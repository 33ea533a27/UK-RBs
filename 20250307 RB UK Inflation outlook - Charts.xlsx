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24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5-02/Inflation RB/"/>
    </mc:Choice>
  </mc:AlternateContent>
  <xr:revisionPtr revIDLastSave="14455" documentId="13_ncr:1_{6B8D4E5B-76E0-411A-9442-CC8CF6638ED2}" xr6:coauthVersionLast="47" xr6:coauthVersionMax="47" xr10:uidLastSave="{31FD87C3-35EA-486E-99CB-F9B7DA236EFB}"/>
  <bookViews>
    <workbookView xWindow="-110" yWindow="-110" windowWidth="19420" windowHeight="10300" tabRatio="807" firstSheet="1" activeTab="4" xr2:uid="{B009B7E9-4F62-4CA9-AFF0-D088977777F3}"/>
  </bookViews>
  <sheets>
    <sheet name="Chart - Petrol &amp; oil (short)" sheetId="13" r:id="rId1"/>
    <sheet name="Chart - FX passthrough" sheetId="12" r:id="rId2"/>
    <sheet name="Chart - Energy price cap" sheetId="22" r:id="rId3"/>
    <sheet name="Chart - CPI Fcast (OE vs BoE)" sheetId="31" r:id="rId4"/>
    <sheet name="Chart - DMP NICs rise" sheetId="34" r:id="rId5"/>
    <sheet name="Chart Data" sheetId="1" r:id="rId6"/>
    <sheet name="Data &gt;&gt;&gt;" sheetId="35" r:id="rId7"/>
    <sheet name="HAVERW" sheetId="6" r:id="rId8"/>
    <sheet name="HAVERD" sheetId="5" r:id="rId9"/>
    <sheet name="HAVERM" sheetId="8" r:id="rId10"/>
    <sheet name="HAVERQ" sheetId="2" r:id="rId11"/>
    <sheet name="BoE MPR - Chart 2.16" sheetId="3" r:id="rId12"/>
    <sheet name="BoE MPR - Chart 2.21" sheetId="20" r:id="rId13"/>
    <sheet name="Charts not used &gt;&gt;&gt;" sheetId="36" r:id="rId14"/>
    <sheet name="Chart - Inflation forecast" sheetId="29" r:id="rId15"/>
    <sheet name="Chart - conts from fd &amp; cg" sheetId="28" r:id="rId16"/>
    <sheet name="Chart - Underlying services" sheetId="21" r:id="rId17"/>
    <sheet name="Chart - Food prices" sheetId="19" r:id="rId18"/>
    <sheet name="Chart - Petrol &amp; oil (long)" sheetId="7" r:id="rId19"/>
    <sheet name="Chart - CPI fd &amp; cg" sheetId="30" r:id="rId20"/>
    <sheet name="Chart - CPI serv vs pay" sheetId="33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HAVERQ!$A$1:$E$6</definedName>
    <definedName name="_DLX2.INC">HAVERD!$B$1:$FZ$6</definedName>
    <definedName name="_DLX3.INC">HAVERW!$B$1:$F$6</definedName>
    <definedName name="_DLX4.INC">HAVERM!$A$1:$AF$6</definedName>
    <definedName name="_Fill" hidden="1">'[2]Forecast data'!#REF!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[8]Data!$D$8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[8]Data!$G$8</definedName>
    <definedName name="BLPH121" hidden="1">#REF!</definedName>
    <definedName name="BLPH122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[8]Data!#REF!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hidden="1">#REF!</definedName>
    <definedName name="BLPH174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hidden="1">#REF!</definedName>
    <definedName name="BLPH223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'[6]4.6 ten year bonds'!$J$4</definedName>
    <definedName name="BLPH40" hidden="1">#REF!</definedName>
    <definedName name="BLPH41" hidden="1">#REF!</definedName>
    <definedName name="BLPH42" hidden="1">#REF!</definedName>
    <definedName name="BLPH43" hidden="1">'[11]oil price'!#REF!</definedName>
    <definedName name="BLPH44" hidden="1">#REF!</definedName>
    <definedName name="BLPH45" hidden="1">'[11]US CP spreads'!#REF!</definedName>
    <definedName name="BLPH46" hidden="1">'[11]US CP spreads'!#REF!</definedName>
    <definedName name="BLPH47" hidden="1">'[11]US CP spreads'!#REF!</definedName>
    <definedName name="BLPH48" hidden="1">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'[7]ROE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'[11]cp iss'!#REF!</definedName>
    <definedName name="BLPH66" hidden="1">'[11]cp iss'!#REF!</definedName>
    <definedName name="BLPH67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'[7]ROE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[15]Population!#REF!</definedName>
    <definedName name="Population" hidden="1">#REF!</definedName>
    <definedName name="Profiles" hidden="1">#REF!</definedName>
    <definedName name="Projections" hidden="1">#REF!</definedName>
    <definedName name="Results" hidden="1">[16]UK99!$A$1:$A$1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hidden="1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'[17]Manuf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'[17]Manuf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'[18]Regional data'!#REF!</definedName>
    <definedName name="TRNR_0797f627283c438d843908b0f764ec0e_311_7" hidden="1" xml:space="preserve">                                                                                                        '[17]Manuf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0931077f409d4debb2939d23f96b4c66_308_9" hidden="1" xml:space="preserve">                            '[17]Manuf PMIs'!$B$2</definedName>
    <definedName name="TRNR_094404681c0049aaaf105e6207cd0a9e_307_7" hidden="1" xml:space="preserve">                                                                                                        '[17]Manuf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'[17]Composite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'[17]Future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0c3ad9423e954a7e898e08a3a1d748bc_25_1" hidden="1">#REF!</definedName>
    <definedName name="TRNR_0c4ceb59db6343918e58d2ab16ce5388_307_7" hidden="1" xml:space="preserve">                            '[17]Manuf delivery times'!$B$4</definedName>
    <definedName name="TRNR_0cf23562878c43eb8b81a2986277632d_307_7" hidden="1" xml:space="preserve">                                                                                                        '[17]Manuf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'[17]Manuf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'[17]Manuf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'[17]Manuf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'[17]Composite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'[17]Manuf export PMIs'!$B$2</definedName>
    <definedName name="TRNR_1306d575d79040c89dd14611aea25382_310_7" hidden="1" xml:space="preserve">                            '[17]Manuf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'[17]Manuf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'[17]Manuf delivery times'!$B$4</definedName>
    <definedName name="TRNR_17d4195441624fdb85ecc12c95160d28_306_7" hidden="1" xml:space="preserve">                                                                        '[17]Composite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'[17]Services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'[17]Manuf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'[17]Manuf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'[17]Composite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'[17]Manuf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'[17]Composite PMIs'!#REF!</definedName>
    <definedName name="TRNR_1fda2f5e7b24416386edaf0ab1869a96_285_6" hidden="1" xml:space="preserve">                                                                                                                        '[17]Manuf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'[17]Composite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'[17]Manuf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'[17]Manuf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'[17]Manuf PMIs'!$B$2</definedName>
    <definedName name="TRNR_29255f630752495894b8181d016863a6_277_7" hidden="1" xml:space="preserve">                        '[17]Composite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'[17]Services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2b31c5ea66d2415fa72afded35f03706_98_0" hidden="1">#REF!</definedName>
    <definedName name="TRNR_2be0e0978d0648e5a2df0a144c949fe8_278_7" hidden="1" xml:space="preserve">                        '[17]Manuf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'[17]Composite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'[17]Manuf delivery times'!$B$4</definedName>
    <definedName name="TRNR_2d676351e36947d4955178221d325df2_278_9" hidden="1" xml:space="preserve">                        '[17]Composite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'[17]Manuf export PMIs'!$B$2</definedName>
    <definedName name="TRNR_2eeb96657c9a4064a24bba63f65810d6_349_1" hidden="1">'[19]All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'[17]Manuf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'[17]Manuf delivery times'!$M$4</definedName>
    <definedName name="TRNR_2fc2126c92af4937980b72519cddabbb_283_7" hidden="1" xml:space="preserve">                                                                                                                    '[17]Manuf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'[17]Manuf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'[17]Composite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'[17]Services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'[17]Composite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36553b495ae245f3a533330b3da14dc0_315_7" hidden="1" xml:space="preserve">                                                                                                        '[17]Composite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'[17]Manuf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'[17]Manuf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'[17]Manuf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'[17]Manuf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'[17]Manuf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'[17]Composite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[20]Reuters!$B$2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'[17]Manuf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'[17]Composite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'[17]Manuf output PMIs'!$B$2</definedName>
    <definedName name="TRNR_411fd349272b442ca456a3b6e01fb3d0_281_6" hidden="1" xml:space="preserve">                                                '[17]Manuf export PMIs'!$B$2</definedName>
    <definedName name="TRNR_41584f61e7cd44c2bccbfc9ca1b75b9d_307_7" hidden="1" xml:space="preserve">                                                                                                        '[17]Manuf delivery times'!$M$4</definedName>
    <definedName name="TRNR_419dd23e85704223bd489abc4159da24_315_7" hidden="1" xml:space="preserve">                                                                                                        '[17]Manuf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'[17]Composite PMIs'!$B$2</definedName>
    <definedName name="TRNR_42f872313d344abf898cde8f80a36b5a_315_9" hidden="1" xml:space="preserve">                                                                                                        '[17]Services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'[17]Manuf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'[17]Services PMIs'!$B$2</definedName>
    <definedName name="TRNR_45ccd6a4e4a84fb697072b68dff5070d_318_7" hidden="1" xml:space="preserve">                                                                                [20]Reuters!$B$2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'[17]Composite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'[17]Composite input prices'!$B$2</definedName>
    <definedName name="TRNR_46d25b77349e47c9ba0fab839fd07856_112_178" hidden="1">#REF!</definedName>
    <definedName name="TRNR_46efc2cf0b5d4ef4a09387edc65ffbe8_277_9" hidden="1" xml:space="preserve">                        '[17]Composite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'[17]Services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'[17]Manuf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4b1f55213cd04778943ad890490e6f3c_315_10" hidden="1" xml:space="preserve">                                                                                                        '[17]Composite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'[17]Manuf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4d50b9e1bcf3489fa25cf6d8032a252a_306_7" hidden="1" xml:space="preserve">                                                                        '[17]Composite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4e43979341694c739d8161fd1d0ee338_284_7" hidden="1" xml:space="preserve">                                                                                                                    '[17]Manuf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4fbc285ab3504259862d01c2c9105992_315_9" hidden="1" xml:space="preserve">                                                                                                        '[17]Manuf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'[17]Manuf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'[17]Manuf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'[17]Composite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'[17]Future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'[17]Manuf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'[17]Manuf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562e5133316b40228b0283515bf5c1ec_310_7" hidden="1" xml:space="preserve">                                                                                                        '[17]Composite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'[17]Composite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'[17]Manuf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[20]Reuters!$B$2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'[17]Services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'[17]Manuf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'[17]Manuf PMIs'!$B$2</definedName>
    <definedName name="TRNR_5e0c063c176747f7b7f6bfa0ce55691b_306_7" hidden="1" xml:space="preserve">                                '[17]Composite input prices'!$B$2</definedName>
    <definedName name="TRNR_5e40ff51b67c49f6bbbe952a8d085f9d_285_7" hidden="1" xml:space="preserve">                                                                                                                        '[17]Manuf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'[17]Manuf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'[17]Manuf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'[17]Manuf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'[17]Manuf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'[17]Manuf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'[17]Manuf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[20]Reuters!$B$2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'[17]Services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'[17]Services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'[17]Manuf PMIs'!$B$2</definedName>
    <definedName name="TRNR_67f221b191cd44aeab109bac23e95b46_315_9" hidden="1" xml:space="preserve">                                                                                                        '[17]Manuf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'[17]Manuf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'[17]Composite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'[17]Manuf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'[17]Services PMIs'!$B$2</definedName>
    <definedName name="TRNR_703554c85802411a9c89e08427322fd1_449_1" hidden="1">#REF!</definedName>
    <definedName name="TRNR_707ee32c9019465c9744511927faa873_278_6" hidden="1" xml:space="preserve">                        '[17]Manuf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70fd1542ae0d4ff38395449291d63ca8_310_7" hidden="1" xml:space="preserve">                                                                                                        '[17]Manuf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'[17]Manuf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'[17]Manuf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7482c4254c6c4c6c909790eb92e1d576_184_8" hidden="1">#REF!</definedName>
    <definedName name="TRNR_7573544af4e645c48b6fd91089902179_9_1" hidden="1">'[18]Regional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'[17]Manuf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'[17]Manuf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[21]Other!#REF!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'[17]Manuf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7b4f9f28fd4d4d6bae975ad3621b24d9_315_8" hidden="1" xml:space="preserve">                                                                                                        '[17]Manuf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'[17]Manuf output'!$B$2</definedName>
    <definedName name="TRNR_7d030e5f07a14cb98343d0465c5117d2_310_7" hidden="1" xml:space="preserve">                                                                                                        '[17]Manuf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'[17]Manuf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'[17]Composite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'[17]Manuf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'[17]Manuf PMIs'!$B$2</definedName>
    <definedName name="TRNR_800187d5e3df4809ba905859f9e65b35_315_10" hidden="1" xml:space="preserve">                                                                                                        '[17]Composite PMIs'!$B$2</definedName>
    <definedName name="TRNR_8006c12b68c04e4fae97dd6c1f32448f_307_7" hidden="1" xml:space="preserve">                                                                                                        '[17]Manuf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'[17]Composite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842f1b6b321c4d1c8f6e9601e44280af_185_8" hidden="1">#REF!</definedName>
    <definedName name="TRNR_844518d8164743eaa5b486b4916b825e_277_9" hidden="1" xml:space="preserve">                        '[17]Composite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'[17]Manuf export PMIs'!$B$2</definedName>
    <definedName name="TRNR_856509193a8c4fe69d6cd43caff79f85_284_7" hidden="1" xml:space="preserve">                                                                                                                    '[17]Manuf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'[17]Manuf export PMIs'!$B$2</definedName>
    <definedName name="TRNR_87e0f68624d94b7a92ed828d9ae65128_283_7" hidden="1" xml:space="preserve">                                                                                                                    '[17]Manuf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'[17]Manuf export PMIs'!$B$2</definedName>
    <definedName name="TRNR_89676ee1566b4381b6a518f27d10e278_310_7" hidden="1" xml:space="preserve">                                                                                                        '[17]Manuf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8ca3e2aefe794a65aac1c48ee2f47db2_322_7" hidden="1" xml:space="preserve">                                        [20]Reuters!$B$2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'[17]Manuf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'[17]Manuf output'!$B$2</definedName>
    <definedName name="TRNR_8ec40826c7914b08962fb7ad11c2940d_278_7" hidden="1" xml:space="preserve">                        '[17]Manuf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'[17]Services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'[17]Composite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94ae754d740d4bbc88a2c4287d5f47f4_97_0" hidden="1">#REF!</definedName>
    <definedName name="TRNR_94c2376d888c44c7b300546ac1b3a983_306_7" hidden="1" xml:space="preserve">                                '[17]Composite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'[17]Services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'[17]Composite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'[17]Composite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'[17]Manuf export PMIs'!$B$2</definedName>
    <definedName name="TRNR_993bb6f2de8646ec80a07b082f9bf806_150_8" hidden="1">#REF!</definedName>
    <definedName name="TRNR_9a07050b1dc64ba497d833205868a50b_277_10" hidden="1" xml:space="preserve">                        '[17]Composite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'[17]Manuf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9c813ac25ec94097b1de4274ebf5c447_281_6" hidden="1" xml:space="preserve">                                                                                                                    '[17]Manuf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'[17]Manuf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'[17]Services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'[17]Composite PMIs'!#REF!</definedName>
    <definedName name="TRNR_a23c8cbf6ac840328fc36730fa49523b_672_1" hidden="1">#REF!</definedName>
    <definedName name="TRNR_a28e233c35f74bde9f0de0c89a932898_93_8" hidden="1">'[18]Regional data'!#REF!</definedName>
    <definedName name="TRNR_a40fdaab5f7e467ca07960b5ff05ecd4_315_7" hidden="1" xml:space="preserve">                                                                                                                        [20]Reuters!$B$2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'[17]Manuf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'[17]Manuf output PMIs'!$B$2</definedName>
    <definedName name="TRNR_a6cbcfa6085d45cdbe72a2402106d9ea_282_6" hidden="1" xml:space="preserve">                                                                                                                    '[17]Manuf export PMIs'!$B$2</definedName>
    <definedName name="TRNR_a723b8bf509b4104869b94a56dc326ba_308_9" hidden="1" xml:space="preserve">                                                                                                        '[17]Services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'[17]Composite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'[17]Composite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'[17]Manuf export PMIs'!$B$2</definedName>
    <definedName name="TRNR_aba39d8439e24644b1be8208d24c2f48_281_7" hidden="1" xml:space="preserve">                                                                                                                    '[17]Manuf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'[18]Regional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'[17]Manuf output'!$B$2</definedName>
    <definedName name="TRNR_af05abc4e6294f91b2636cb3183b6b0e_284_6" hidden="1" xml:space="preserve">                                                                                                                    '[17]Manuf export PMIs'!$B$2</definedName>
    <definedName name="TRNR_af09873f219d42179a34b4a25957bbe0_277_9" hidden="1" xml:space="preserve">                        '[17]Composite PMIs'!$B$2</definedName>
    <definedName name="TRNR_affaf14fd42c468dac7a2a3afdb93d23_315_10" hidden="1" xml:space="preserve">                                                                                                        '[17]Composite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'[17]Manuf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'[17]Services PMIs'!$B$2</definedName>
    <definedName name="TRNR_b0a97af200694497a3f7513bb176baae_8_1" hidden="1">'[21]Brent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'[17]Manuf delivery times'!$Y$4</definedName>
    <definedName name="TRNR_b29e04d5b346434db643679e11a38553_307_7" hidden="1" xml:space="preserve">                                                                                                        '[17]Manuf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'[17]Services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'[17]Manuf output PMIs'!$B$2</definedName>
    <definedName name="TRNR_b5cdc3062d4c405ab047f30b1f20ae64_309_9" hidden="1" xml:space="preserve">                                                                                                        '[17]Manuf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b6553f0a14eb48529884103664acb898_283_6" hidden="1" xml:space="preserve">                                                                                                                    '[17]Manuf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'[17]Manuf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'[17]Manuf delivery times'!$B$4</definedName>
    <definedName name="TRNR_b8e11cf35945473282b32660a22cfba1_282_7" hidden="1" xml:space="preserve">                                                                                                                    '[17]Manuf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'[17]Services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'[17]Services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ba9b2806012a4c01b0f569978484eea1_315_7" hidden="1" xml:space="preserve">                                                                                                        '[17]Manuf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'[17]Manuf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'[17]Manuf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'[17]Manuf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'[17]Manuf delivery times'!$Y$4</definedName>
    <definedName name="TRNR_bca6a702c4ff4105b0f6d337e88ede0b_315_10" hidden="1" xml:space="preserve">                                                                                                        '[17]Composite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'[17]Composite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becc946b44424a27a13912d4f6716c7f_9_1" hidden="1">[22]Futures!#REF!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'[17]Composite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'[17]Manuf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'[17]Composite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'[17]Composite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c2210d10cf2747d4a868f7ba6ed71be4_283_7" hidden="1" xml:space="preserve">                                                                                                                    '[17]Manuf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c38141f1704947949209bb1560b6132d_309_9" hidden="1" xml:space="preserve">                                                                                                        '[17]Manuf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'[17]Manuf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'[17]Manuf export PMIs'!$B$2</definedName>
    <definedName name="TRNR_c4ced292b7994952bcc19c3180ddd67b_98_0" hidden="1">#REF!</definedName>
    <definedName name="TRNR_c4d71313c9d5451b900930aca6fc1074_93_9" hidden="1">'[18]Regional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'[17]Composite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'[17]Services PMIs'!$B$2</definedName>
    <definedName name="TRNR_c881600e062b4e1b91b5049a842974d3_283_6" hidden="1" xml:space="preserve">                                                                                                                    '[17]Manuf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'[17]Composite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'[17]Manuf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'[17]Manuf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'[17]Composite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'[17]Future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'[17]Future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cc7a24932dd449cabbbb743c2de3abc3_97_9" hidden="1" xml:space="preserve">        '[18]Regional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'[17]Services PMIs'!$B$2</definedName>
    <definedName name="TRNR_cfbc8cd5c388460680114737719b48b5_281_7" hidden="1" xml:space="preserve">                                                                                                                    '[17]Manuf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'[17]Composite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'[17]Manuf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d3331dcd914b43a7b16a3edab005524d_307_9" hidden="1" xml:space="preserve">                                                                                                        '[17]Manuf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'[17]Manuf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'[17]Services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'[17]Services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'[17]Manuf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'[17]Manuf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'[17]Manuf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'[17]Composite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'[17]Composite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'[17]Services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'[17]Services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'[17]Services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'[17]Manuf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'[17]Manuf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'[17]Manuf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'[17]Services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'[17]Manuf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'[17]Manuf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'[17]Manuf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'[17]Manuf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'[17]Composite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'[17]Manuf PMIs'!$B$2</definedName>
    <definedName name="TRNR_e89ca8aa8141435eb161629544381ec1_278_7" hidden="1" xml:space="preserve">                        '[17]Manuf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'[17]Manuf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'[17]Manuf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'[17]Manuf PMIs'!$B$2</definedName>
    <definedName name="TRNR_ed7a3547896b432ea4a448eeb566cdcd_97_0" hidden="1">#REF!</definedName>
    <definedName name="TRNR_ed7b09615f4e41c1af9b96ee257a90de_310_7" hidden="1" xml:space="preserve">                            '[17]Manuf delivery times'!$B$4</definedName>
    <definedName name="TRNR_eda75043308043ac8feb8b29c9b5ee8a_279_9" hidden="1" xml:space="preserve">                                                '[17]Composite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'[17]Manuf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'[17]Manuf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'[17]Manuf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'[17]Composite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'[17]Manuf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'[17]Manuf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'[17]Manuf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'[17]Services PMIs'!$B$2</definedName>
    <definedName name="TRNR_f45a145abfd249d38bb6be277f3cd5e0_310_7" hidden="1" xml:space="preserve">                                                                                                        '[17]Manuf delivery times'!$AK$4</definedName>
    <definedName name="TRNR_f47f44e0c9514690be6d2d00d368326a_315_8" hidden="1" xml:space="preserve">                                                                                                                        [20]Reuters!$B$2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'[17]Manuf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'[17]Manuf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'[17]Composite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'[17]Services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'[17]Manuf delivery times'!$B$4</definedName>
    <definedName name="TRNR_f9e391a3005b426883db105d49431747_41_16" hidden="1">'[23]DS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'[17]Manuf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'[17]Manuf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'[17]Composite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'[17]Services PMIs'!$B$2</definedName>
    <definedName name="TRNR_fe8846b0f020452e851778a78f848521_310_7" hidden="1" xml:space="preserve">                                                                                                        '[17]Composite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'[17]Manuf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'[17]Services PMIs'!$B$2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51" i="1" l="1"/>
  <c r="M1352" i="1"/>
  <c r="M1353" i="1"/>
  <c r="AL1352" i="1"/>
  <c r="AL1353" i="1"/>
  <c r="AL1354" i="1"/>
  <c r="A1356" i="5"/>
  <c r="A1357" i="5"/>
  <c r="A1358" i="5"/>
  <c r="A1355" i="5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3" i="1"/>
  <c r="I284" i="1" l="1"/>
  <c r="J284" i="1"/>
  <c r="M1345" i="1" l="1"/>
  <c r="M1346" i="1"/>
  <c r="M1347" i="1"/>
  <c r="M1348" i="1"/>
  <c r="M1349" i="1"/>
  <c r="M1350" i="1"/>
  <c r="L1370" i="1"/>
  <c r="L1371" i="1"/>
  <c r="L1351" i="1"/>
  <c r="L1352" i="1"/>
  <c r="L1353" i="1"/>
  <c r="L1354" i="1"/>
  <c r="L1355" i="1"/>
  <c r="L1360" i="1" s="1"/>
  <c r="L1365" i="1" s="1"/>
  <c r="L1356" i="1"/>
  <c r="L1361" i="1" s="1"/>
  <c r="L1366" i="1" s="1"/>
  <c r="L1357" i="1"/>
  <c r="L1362" i="1" s="1"/>
  <c r="L1367" i="1" s="1"/>
  <c r="L1358" i="1"/>
  <c r="L1363" i="1" s="1"/>
  <c r="L1368" i="1" s="1"/>
  <c r="L1359" i="1"/>
  <c r="L1364" i="1"/>
  <c r="L1369" i="1" s="1"/>
  <c r="I271" i="1"/>
  <c r="J271" i="1"/>
  <c r="I272" i="1"/>
  <c r="J272" i="1"/>
  <c r="H275" i="1"/>
  <c r="H276" i="1" s="1"/>
  <c r="H272" i="1"/>
  <c r="H273" i="1" s="1"/>
  <c r="H274" i="1" s="1"/>
  <c r="A276" i="6"/>
  <c r="A277" i="6" s="1"/>
  <c r="AL1348" i="1"/>
  <c r="AL1349" i="1"/>
  <c r="AL1350" i="1"/>
  <c r="AL1351" i="1"/>
  <c r="A1352" i="5"/>
  <c r="A1353" i="5"/>
  <c r="A1354" i="5"/>
  <c r="AL1346" i="1" l="1"/>
  <c r="AL1347" i="1"/>
  <c r="A1350" i="5"/>
  <c r="A1351" i="5"/>
  <c r="BX4" i="1"/>
  <c r="BY4" i="1"/>
  <c r="BZ4" i="1"/>
  <c r="CA4" i="1"/>
  <c r="CB4" i="1"/>
  <c r="CC4" i="1"/>
  <c r="BX5" i="1"/>
  <c r="BY5" i="1"/>
  <c r="BZ5" i="1"/>
  <c r="CA5" i="1"/>
  <c r="CB5" i="1"/>
  <c r="CC5" i="1"/>
  <c r="BY3" i="1"/>
  <c r="BZ3" i="1"/>
  <c r="CA3" i="1"/>
  <c r="CB3" i="1"/>
  <c r="CC3" i="1"/>
  <c r="BX3" i="1"/>
  <c r="BR4" i="1" l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3" i="1"/>
  <c r="BQ3" i="1"/>
  <c r="BQ4" i="1"/>
  <c r="BQ5" i="1"/>
  <c r="BQ6" i="1"/>
  <c r="BQ8" i="1" l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7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3" i="1"/>
  <c r="BL74" i="1"/>
  <c r="BL77" i="1"/>
  <c r="BL80" i="1"/>
  <c r="BL83" i="1"/>
  <c r="BL86" i="1"/>
  <c r="BL71" i="1"/>
  <c r="BL82" i="1" l="1"/>
  <c r="BL81" i="1"/>
  <c r="BL79" i="1"/>
  <c r="BL78" i="1"/>
  <c r="BL76" i="1"/>
  <c r="BL75" i="1"/>
  <c r="BL73" i="1"/>
  <c r="BL72" i="1"/>
  <c r="BL85" i="1"/>
  <c r="BL84" i="1"/>
  <c r="AL1341" i="1"/>
  <c r="AL1342" i="1"/>
  <c r="AL1343" i="1"/>
  <c r="AL1344" i="1"/>
  <c r="AL1345" i="1"/>
  <c r="L1404" i="1"/>
  <c r="M1344" i="1"/>
  <c r="M1340" i="1"/>
  <c r="M1341" i="1"/>
  <c r="M1342" i="1"/>
  <c r="M1343" i="1"/>
  <c r="I270" i="1"/>
  <c r="J270" i="1"/>
  <c r="A275" i="6"/>
  <c r="A1345" i="5"/>
  <c r="A1346" i="5"/>
  <c r="A1347" i="5"/>
  <c r="A1348" i="5"/>
  <c r="A1349" i="5"/>
  <c r="AL1340" i="1"/>
  <c r="A1344" i="5"/>
  <c r="BA4" i="1" l="1"/>
  <c r="BB4" i="1"/>
  <c r="BA5" i="1"/>
  <c r="BB5" i="1"/>
  <c r="BA6" i="1"/>
  <c r="BB6" i="1"/>
  <c r="BA7" i="1"/>
  <c r="BB7" i="1"/>
  <c r="BA8" i="1"/>
  <c r="BB8" i="1"/>
  <c r="BA9" i="1"/>
  <c r="BB9" i="1"/>
  <c r="BA10" i="1"/>
  <c r="BB10" i="1"/>
  <c r="BA11" i="1"/>
  <c r="BB11" i="1"/>
  <c r="BA12" i="1"/>
  <c r="BB12" i="1"/>
  <c r="BA13" i="1"/>
  <c r="BB13" i="1"/>
  <c r="BA14" i="1"/>
  <c r="BB14" i="1"/>
  <c r="BA3" i="1"/>
  <c r="BB3" i="1"/>
  <c r="E85" i="1"/>
  <c r="D85" i="1"/>
  <c r="E84" i="1"/>
  <c r="D84" i="1"/>
  <c r="E82" i="1"/>
  <c r="D82" i="1"/>
  <c r="E81" i="1"/>
  <c r="D81" i="1"/>
  <c r="E79" i="1"/>
  <c r="D79" i="1"/>
  <c r="E78" i="1"/>
  <c r="D78" i="1"/>
  <c r="E76" i="1"/>
  <c r="D76" i="1"/>
  <c r="E75" i="1"/>
  <c r="D75" i="1"/>
  <c r="E73" i="1"/>
  <c r="D73" i="1"/>
  <c r="E72" i="1"/>
  <c r="D72" i="1"/>
  <c r="D69" i="1"/>
  <c r="D70" i="1"/>
  <c r="E70" i="1"/>
  <c r="E69" i="1"/>
  <c r="E67" i="1"/>
  <c r="E66" i="1"/>
  <c r="D62" i="1"/>
  <c r="D61" i="1"/>
  <c r="D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71" i="1"/>
  <c r="E74" i="1"/>
  <c r="E77" i="1"/>
  <c r="E80" i="1"/>
  <c r="E83" i="1"/>
  <c r="E86" i="1"/>
  <c r="E68" i="1"/>
  <c r="C61" i="1"/>
  <c r="BK61" i="1" s="1"/>
  <c r="C62" i="1"/>
  <c r="BK62" i="1" s="1"/>
  <c r="C63" i="1"/>
  <c r="BK63" i="1" s="1"/>
  <c r="C64" i="1"/>
  <c r="BK64" i="1" s="1"/>
  <c r="C65" i="1"/>
  <c r="BK65" i="1" s="1"/>
  <c r="C66" i="1"/>
  <c r="BK66" i="1" s="1"/>
  <c r="C67" i="1"/>
  <c r="BK67" i="1" s="1"/>
  <c r="C68" i="1"/>
  <c r="BK68" i="1" s="1"/>
  <c r="C69" i="1"/>
  <c r="BK69" i="1" s="1"/>
  <c r="C70" i="1"/>
  <c r="BK70" i="1" s="1"/>
  <c r="C71" i="1"/>
  <c r="BK71" i="1" s="1"/>
  <c r="C72" i="1"/>
  <c r="BK72" i="1" s="1"/>
  <c r="C73" i="1"/>
  <c r="BK73" i="1" s="1"/>
  <c r="C74" i="1"/>
  <c r="BK74" i="1" s="1"/>
  <c r="C75" i="1"/>
  <c r="BK75" i="1" s="1"/>
  <c r="C76" i="1"/>
  <c r="BK76" i="1" s="1"/>
  <c r="C77" i="1"/>
  <c r="BK77" i="1" s="1"/>
  <c r="C78" i="1"/>
  <c r="BK78" i="1" s="1"/>
  <c r="C79" i="1"/>
  <c r="BK79" i="1" s="1"/>
  <c r="C80" i="1"/>
  <c r="BK80" i="1" s="1"/>
  <c r="C81" i="1"/>
  <c r="BK81" i="1" s="1"/>
  <c r="C82" i="1"/>
  <c r="BK82" i="1" s="1"/>
  <c r="C83" i="1"/>
  <c r="BK83" i="1" s="1"/>
  <c r="C84" i="1"/>
  <c r="BK84" i="1" s="1"/>
  <c r="C85" i="1"/>
  <c r="BK85" i="1" s="1"/>
  <c r="C86" i="1"/>
  <c r="BK86" i="1" s="1"/>
  <c r="C60" i="1"/>
  <c r="BK60" i="1" s="1"/>
  <c r="AM1371" i="1" l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4" i="1"/>
  <c r="AL3" i="1"/>
  <c r="AJ8" i="1"/>
  <c r="AJ13" i="1" s="1"/>
  <c r="AJ18" i="1" s="1"/>
  <c r="AJ23" i="1" s="1"/>
  <c r="AJ28" i="1" s="1"/>
  <c r="AJ33" i="1" s="1"/>
  <c r="AJ38" i="1" s="1"/>
  <c r="AJ43" i="1" s="1"/>
  <c r="AJ48" i="1" s="1"/>
  <c r="AJ53" i="1" s="1"/>
  <c r="AJ58" i="1" s="1"/>
  <c r="AJ63" i="1" s="1"/>
  <c r="AJ68" i="1" s="1"/>
  <c r="AJ73" i="1" s="1"/>
  <c r="AJ78" i="1" s="1"/>
  <c r="AJ83" i="1" s="1"/>
  <c r="AJ88" i="1" s="1"/>
  <c r="AJ93" i="1" s="1"/>
  <c r="AJ98" i="1" s="1"/>
  <c r="AJ103" i="1" s="1"/>
  <c r="AJ108" i="1" s="1"/>
  <c r="AJ113" i="1" s="1"/>
  <c r="AJ118" i="1" s="1"/>
  <c r="AJ123" i="1" s="1"/>
  <c r="AJ128" i="1" s="1"/>
  <c r="AJ133" i="1" s="1"/>
  <c r="AJ138" i="1" s="1"/>
  <c r="AJ143" i="1" s="1"/>
  <c r="AJ148" i="1" s="1"/>
  <c r="AJ153" i="1" s="1"/>
  <c r="AJ158" i="1" s="1"/>
  <c r="AJ163" i="1" s="1"/>
  <c r="AJ168" i="1" s="1"/>
  <c r="AJ173" i="1" s="1"/>
  <c r="AJ178" i="1" s="1"/>
  <c r="AJ183" i="1" s="1"/>
  <c r="AJ188" i="1" s="1"/>
  <c r="AJ193" i="1" s="1"/>
  <c r="AJ198" i="1" s="1"/>
  <c r="AJ203" i="1" s="1"/>
  <c r="AJ208" i="1" s="1"/>
  <c r="AJ213" i="1" s="1"/>
  <c r="AJ218" i="1" s="1"/>
  <c r="AJ223" i="1" s="1"/>
  <c r="AJ228" i="1" s="1"/>
  <c r="AJ233" i="1" s="1"/>
  <c r="AJ238" i="1" s="1"/>
  <c r="AJ243" i="1" s="1"/>
  <c r="AJ248" i="1" s="1"/>
  <c r="AJ253" i="1" s="1"/>
  <c r="AJ258" i="1" s="1"/>
  <c r="AJ263" i="1" s="1"/>
  <c r="AJ268" i="1" s="1"/>
  <c r="AJ273" i="1" s="1"/>
  <c r="AJ278" i="1" s="1"/>
  <c r="AJ283" i="1" s="1"/>
  <c r="AJ288" i="1" s="1"/>
  <c r="AJ293" i="1" s="1"/>
  <c r="AJ298" i="1" s="1"/>
  <c r="AJ303" i="1" s="1"/>
  <c r="AJ308" i="1" s="1"/>
  <c r="AJ313" i="1" s="1"/>
  <c r="AJ318" i="1" s="1"/>
  <c r="AJ323" i="1" s="1"/>
  <c r="AJ328" i="1" s="1"/>
  <c r="AJ333" i="1" s="1"/>
  <c r="AJ338" i="1" s="1"/>
  <c r="AJ343" i="1" s="1"/>
  <c r="AJ348" i="1" s="1"/>
  <c r="AJ353" i="1" s="1"/>
  <c r="AJ358" i="1" s="1"/>
  <c r="AJ363" i="1" s="1"/>
  <c r="AJ368" i="1" s="1"/>
  <c r="AJ373" i="1" s="1"/>
  <c r="AJ378" i="1" s="1"/>
  <c r="AJ383" i="1" s="1"/>
  <c r="AJ388" i="1" s="1"/>
  <c r="AJ393" i="1" s="1"/>
  <c r="AJ398" i="1" s="1"/>
  <c r="AJ403" i="1" s="1"/>
  <c r="AJ408" i="1" s="1"/>
  <c r="AJ413" i="1" s="1"/>
  <c r="AJ418" i="1" s="1"/>
  <c r="AJ423" i="1" s="1"/>
  <c r="AJ428" i="1" s="1"/>
  <c r="AJ433" i="1" s="1"/>
  <c r="AJ438" i="1" s="1"/>
  <c r="AJ443" i="1" s="1"/>
  <c r="AJ448" i="1" s="1"/>
  <c r="AJ453" i="1" s="1"/>
  <c r="AJ458" i="1" s="1"/>
  <c r="AJ463" i="1" s="1"/>
  <c r="AJ468" i="1" s="1"/>
  <c r="AJ473" i="1" s="1"/>
  <c r="AJ478" i="1" s="1"/>
  <c r="AJ483" i="1" s="1"/>
  <c r="AJ488" i="1" s="1"/>
  <c r="AJ493" i="1" s="1"/>
  <c r="AJ498" i="1" s="1"/>
  <c r="AJ503" i="1" s="1"/>
  <c r="AJ508" i="1" s="1"/>
  <c r="AJ513" i="1" s="1"/>
  <c r="AJ518" i="1" s="1"/>
  <c r="AJ523" i="1" s="1"/>
  <c r="AJ528" i="1" s="1"/>
  <c r="AJ533" i="1" s="1"/>
  <c r="AJ538" i="1" s="1"/>
  <c r="AJ543" i="1" s="1"/>
  <c r="AJ548" i="1" s="1"/>
  <c r="AJ553" i="1" s="1"/>
  <c r="AJ558" i="1" s="1"/>
  <c r="AJ563" i="1" s="1"/>
  <c r="AJ568" i="1" s="1"/>
  <c r="AJ573" i="1" s="1"/>
  <c r="AJ578" i="1" s="1"/>
  <c r="AJ583" i="1" s="1"/>
  <c r="AJ588" i="1" s="1"/>
  <c r="AJ593" i="1" s="1"/>
  <c r="AJ598" i="1" s="1"/>
  <c r="AJ603" i="1" s="1"/>
  <c r="AJ608" i="1" s="1"/>
  <c r="AJ613" i="1" s="1"/>
  <c r="AJ618" i="1" s="1"/>
  <c r="AJ623" i="1" s="1"/>
  <c r="AJ628" i="1" s="1"/>
  <c r="AJ633" i="1" s="1"/>
  <c r="AJ638" i="1" s="1"/>
  <c r="AJ643" i="1" s="1"/>
  <c r="AJ648" i="1" s="1"/>
  <c r="AJ653" i="1" s="1"/>
  <c r="AJ658" i="1" s="1"/>
  <c r="AJ663" i="1" s="1"/>
  <c r="AJ668" i="1" s="1"/>
  <c r="AJ673" i="1" s="1"/>
  <c r="AJ678" i="1" s="1"/>
  <c r="AJ683" i="1" s="1"/>
  <c r="AJ688" i="1" s="1"/>
  <c r="AJ693" i="1" s="1"/>
  <c r="AJ698" i="1" s="1"/>
  <c r="AJ703" i="1" s="1"/>
  <c r="AJ708" i="1" s="1"/>
  <c r="AJ713" i="1" s="1"/>
  <c r="AJ718" i="1" s="1"/>
  <c r="AJ723" i="1" s="1"/>
  <c r="AJ728" i="1" s="1"/>
  <c r="AJ733" i="1" s="1"/>
  <c r="AJ738" i="1" s="1"/>
  <c r="AJ743" i="1" s="1"/>
  <c r="AJ748" i="1" s="1"/>
  <c r="AJ753" i="1" s="1"/>
  <c r="AJ758" i="1" s="1"/>
  <c r="AJ763" i="1" s="1"/>
  <c r="AJ768" i="1" s="1"/>
  <c r="AJ773" i="1" s="1"/>
  <c r="AJ778" i="1" s="1"/>
  <c r="AJ783" i="1" s="1"/>
  <c r="AJ788" i="1" s="1"/>
  <c r="AJ793" i="1" s="1"/>
  <c r="AJ798" i="1" s="1"/>
  <c r="AJ803" i="1" s="1"/>
  <c r="AJ808" i="1" s="1"/>
  <c r="AJ813" i="1" s="1"/>
  <c r="AJ818" i="1" s="1"/>
  <c r="AJ823" i="1" s="1"/>
  <c r="AJ828" i="1" s="1"/>
  <c r="AJ833" i="1" s="1"/>
  <c r="AJ838" i="1" s="1"/>
  <c r="AJ843" i="1" s="1"/>
  <c r="AJ848" i="1" s="1"/>
  <c r="AJ853" i="1" s="1"/>
  <c r="AJ858" i="1" s="1"/>
  <c r="AJ863" i="1" s="1"/>
  <c r="AJ868" i="1" s="1"/>
  <c r="AJ873" i="1" s="1"/>
  <c r="AJ878" i="1" s="1"/>
  <c r="AJ883" i="1" s="1"/>
  <c r="AJ888" i="1" s="1"/>
  <c r="AJ893" i="1" s="1"/>
  <c r="AJ898" i="1" s="1"/>
  <c r="AJ903" i="1" s="1"/>
  <c r="AJ908" i="1" s="1"/>
  <c r="AJ913" i="1" s="1"/>
  <c r="AJ918" i="1" s="1"/>
  <c r="AJ923" i="1" s="1"/>
  <c r="AJ928" i="1" s="1"/>
  <c r="AJ933" i="1" s="1"/>
  <c r="AJ938" i="1" s="1"/>
  <c r="AJ943" i="1" s="1"/>
  <c r="AJ948" i="1" s="1"/>
  <c r="AJ953" i="1" s="1"/>
  <c r="AJ958" i="1" s="1"/>
  <c r="AJ963" i="1" s="1"/>
  <c r="AJ968" i="1" s="1"/>
  <c r="AJ973" i="1" s="1"/>
  <c r="AJ978" i="1" s="1"/>
  <c r="AJ983" i="1" s="1"/>
  <c r="AJ988" i="1" s="1"/>
  <c r="AJ993" i="1" s="1"/>
  <c r="AJ998" i="1" s="1"/>
  <c r="AJ1003" i="1" s="1"/>
  <c r="AJ1008" i="1" s="1"/>
  <c r="AJ1013" i="1" s="1"/>
  <c r="AJ1018" i="1" s="1"/>
  <c r="AJ1023" i="1" s="1"/>
  <c r="AJ1028" i="1" s="1"/>
  <c r="AJ1033" i="1" s="1"/>
  <c r="AJ1038" i="1" s="1"/>
  <c r="AJ1043" i="1" s="1"/>
  <c r="AJ1048" i="1" s="1"/>
  <c r="AJ1053" i="1" s="1"/>
  <c r="AJ1058" i="1" s="1"/>
  <c r="AJ1063" i="1" s="1"/>
  <c r="AJ1068" i="1" s="1"/>
  <c r="AJ1073" i="1" s="1"/>
  <c r="AJ1078" i="1" s="1"/>
  <c r="AJ1083" i="1" s="1"/>
  <c r="AJ1088" i="1" s="1"/>
  <c r="AJ1093" i="1" s="1"/>
  <c r="AJ1098" i="1" s="1"/>
  <c r="AJ1103" i="1" s="1"/>
  <c r="AJ1108" i="1" s="1"/>
  <c r="AJ1113" i="1" s="1"/>
  <c r="AJ1118" i="1" s="1"/>
  <c r="AJ1123" i="1" s="1"/>
  <c r="AJ1128" i="1" s="1"/>
  <c r="AJ1133" i="1" s="1"/>
  <c r="AJ1138" i="1" s="1"/>
  <c r="AJ1143" i="1" s="1"/>
  <c r="AJ1148" i="1" s="1"/>
  <c r="AJ1153" i="1" s="1"/>
  <c r="AJ1158" i="1" s="1"/>
  <c r="AJ1163" i="1" s="1"/>
  <c r="AJ1168" i="1" s="1"/>
  <c r="AJ1173" i="1" s="1"/>
  <c r="AJ1178" i="1" s="1"/>
  <c r="AJ1183" i="1" s="1"/>
  <c r="AJ1188" i="1" s="1"/>
  <c r="AJ1193" i="1" s="1"/>
  <c r="AJ1198" i="1" s="1"/>
  <c r="AJ1203" i="1" s="1"/>
  <c r="AJ1208" i="1" s="1"/>
  <c r="AJ1213" i="1" s="1"/>
  <c r="AJ1218" i="1" s="1"/>
  <c r="AJ1223" i="1" s="1"/>
  <c r="AJ1228" i="1" s="1"/>
  <c r="AJ1233" i="1" s="1"/>
  <c r="AJ1238" i="1" s="1"/>
  <c r="AJ1243" i="1" s="1"/>
  <c r="AJ1248" i="1" s="1"/>
  <c r="AJ1253" i="1" s="1"/>
  <c r="AJ1258" i="1" s="1"/>
  <c r="AJ1263" i="1" s="1"/>
  <c r="AJ1268" i="1" s="1"/>
  <c r="AJ1273" i="1" s="1"/>
  <c r="AJ1278" i="1" s="1"/>
  <c r="AJ1283" i="1" s="1"/>
  <c r="AJ1288" i="1" s="1"/>
  <c r="AJ1293" i="1" s="1"/>
  <c r="AJ1298" i="1" s="1"/>
  <c r="AJ1303" i="1" s="1"/>
  <c r="AJ1308" i="1" s="1"/>
  <c r="AJ1313" i="1" s="1"/>
  <c r="AJ1318" i="1" s="1"/>
  <c r="AJ1323" i="1" s="1"/>
  <c r="AJ1328" i="1" s="1"/>
  <c r="AJ1333" i="1" s="1"/>
  <c r="AJ1338" i="1" s="1"/>
  <c r="AJ1343" i="1" s="1"/>
  <c r="AJ1348" i="1" s="1"/>
  <c r="AJ1353" i="1" s="1"/>
  <c r="AJ1358" i="1" s="1"/>
  <c r="AJ1363" i="1" s="1"/>
  <c r="AJ1368" i="1" s="1"/>
  <c r="AJ9" i="1"/>
  <c r="AJ14" i="1" s="1"/>
  <c r="AJ19" i="1" s="1"/>
  <c r="AJ24" i="1" s="1"/>
  <c r="AJ29" i="1" s="1"/>
  <c r="AJ34" i="1" s="1"/>
  <c r="AJ39" i="1" s="1"/>
  <c r="AJ44" i="1" s="1"/>
  <c r="AJ49" i="1" s="1"/>
  <c r="AJ54" i="1" s="1"/>
  <c r="AJ59" i="1" s="1"/>
  <c r="AJ64" i="1" s="1"/>
  <c r="AJ69" i="1" s="1"/>
  <c r="AJ74" i="1" s="1"/>
  <c r="AJ79" i="1" s="1"/>
  <c r="AJ84" i="1" s="1"/>
  <c r="AJ89" i="1" s="1"/>
  <c r="AJ94" i="1" s="1"/>
  <c r="AJ99" i="1" s="1"/>
  <c r="AJ104" i="1" s="1"/>
  <c r="AJ109" i="1" s="1"/>
  <c r="AJ114" i="1" s="1"/>
  <c r="AJ119" i="1" s="1"/>
  <c r="AJ124" i="1" s="1"/>
  <c r="AJ129" i="1" s="1"/>
  <c r="AJ134" i="1" s="1"/>
  <c r="AJ139" i="1" s="1"/>
  <c r="AJ144" i="1" s="1"/>
  <c r="AJ149" i="1" s="1"/>
  <c r="AJ154" i="1" s="1"/>
  <c r="AJ159" i="1" s="1"/>
  <c r="AJ164" i="1" s="1"/>
  <c r="AJ169" i="1" s="1"/>
  <c r="AJ174" i="1" s="1"/>
  <c r="AJ179" i="1" s="1"/>
  <c r="AJ184" i="1" s="1"/>
  <c r="AJ189" i="1" s="1"/>
  <c r="AJ194" i="1" s="1"/>
  <c r="AJ199" i="1" s="1"/>
  <c r="AJ204" i="1" s="1"/>
  <c r="AJ209" i="1" s="1"/>
  <c r="AJ214" i="1" s="1"/>
  <c r="AJ219" i="1" s="1"/>
  <c r="AJ224" i="1" s="1"/>
  <c r="AJ229" i="1" s="1"/>
  <c r="AJ234" i="1" s="1"/>
  <c r="AJ239" i="1" s="1"/>
  <c r="AJ244" i="1" s="1"/>
  <c r="AJ249" i="1" s="1"/>
  <c r="AJ254" i="1" s="1"/>
  <c r="AJ259" i="1" s="1"/>
  <c r="AJ264" i="1" s="1"/>
  <c r="AJ269" i="1" s="1"/>
  <c r="AJ274" i="1" s="1"/>
  <c r="AJ279" i="1" s="1"/>
  <c r="AJ284" i="1" s="1"/>
  <c r="AJ289" i="1" s="1"/>
  <c r="AJ294" i="1" s="1"/>
  <c r="AJ299" i="1" s="1"/>
  <c r="AJ304" i="1" s="1"/>
  <c r="AJ309" i="1" s="1"/>
  <c r="AJ314" i="1" s="1"/>
  <c r="AJ319" i="1" s="1"/>
  <c r="AJ324" i="1" s="1"/>
  <c r="AJ329" i="1" s="1"/>
  <c r="AJ334" i="1" s="1"/>
  <c r="AJ339" i="1" s="1"/>
  <c r="AJ344" i="1" s="1"/>
  <c r="AJ349" i="1" s="1"/>
  <c r="AJ354" i="1" s="1"/>
  <c r="AJ359" i="1" s="1"/>
  <c r="AJ364" i="1" s="1"/>
  <c r="AJ369" i="1" s="1"/>
  <c r="AJ374" i="1" s="1"/>
  <c r="AJ379" i="1" s="1"/>
  <c r="AJ384" i="1" s="1"/>
  <c r="AJ389" i="1" s="1"/>
  <c r="AJ394" i="1" s="1"/>
  <c r="AJ399" i="1" s="1"/>
  <c r="AJ404" i="1" s="1"/>
  <c r="AJ409" i="1" s="1"/>
  <c r="AJ414" i="1" s="1"/>
  <c r="AJ419" i="1" s="1"/>
  <c r="AJ424" i="1" s="1"/>
  <c r="AJ429" i="1" s="1"/>
  <c r="AJ434" i="1" s="1"/>
  <c r="AJ439" i="1" s="1"/>
  <c r="AJ444" i="1" s="1"/>
  <c r="AJ449" i="1" s="1"/>
  <c r="AJ454" i="1" s="1"/>
  <c r="AJ459" i="1" s="1"/>
  <c r="AJ464" i="1" s="1"/>
  <c r="AJ469" i="1" s="1"/>
  <c r="AJ474" i="1" s="1"/>
  <c r="AJ479" i="1" s="1"/>
  <c r="AJ484" i="1" s="1"/>
  <c r="AJ489" i="1" s="1"/>
  <c r="AJ494" i="1" s="1"/>
  <c r="AJ499" i="1" s="1"/>
  <c r="AJ504" i="1" s="1"/>
  <c r="AJ509" i="1" s="1"/>
  <c r="AJ514" i="1" s="1"/>
  <c r="AJ519" i="1" s="1"/>
  <c r="AJ524" i="1" s="1"/>
  <c r="AJ529" i="1" s="1"/>
  <c r="AJ534" i="1" s="1"/>
  <c r="AJ539" i="1" s="1"/>
  <c r="AJ544" i="1" s="1"/>
  <c r="AJ549" i="1" s="1"/>
  <c r="AJ554" i="1" s="1"/>
  <c r="AJ559" i="1" s="1"/>
  <c r="AJ564" i="1" s="1"/>
  <c r="AJ569" i="1" s="1"/>
  <c r="AJ574" i="1" s="1"/>
  <c r="AJ579" i="1" s="1"/>
  <c r="AJ584" i="1" s="1"/>
  <c r="AJ589" i="1" s="1"/>
  <c r="AJ594" i="1" s="1"/>
  <c r="AJ599" i="1" s="1"/>
  <c r="AJ604" i="1" s="1"/>
  <c r="AJ609" i="1" s="1"/>
  <c r="AJ614" i="1" s="1"/>
  <c r="AJ619" i="1" s="1"/>
  <c r="AJ624" i="1" s="1"/>
  <c r="AJ629" i="1" s="1"/>
  <c r="AJ634" i="1" s="1"/>
  <c r="AJ639" i="1" s="1"/>
  <c r="AJ644" i="1" s="1"/>
  <c r="AJ649" i="1" s="1"/>
  <c r="AJ654" i="1" s="1"/>
  <c r="AJ659" i="1" s="1"/>
  <c r="AJ664" i="1" s="1"/>
  <c r="AJ669" i="1" s="1"/>
  <c r="AJ674" i="1" s="1"/>
  <c r="AJ679" i="1" s="1"/>
  <c r="AJ684" i="1" s="1"/>
  <c r="AJ689" i="1" s="1"/>
  <c r="AJ694" i="1" s="1"/>
  <c r="AJ699" i="1" s="1"/>
  <c r="AJ704" i="1" s="1"/>
  <c r="AJ709" i="1" s="1"/>
  <c r="AJ714" i="1" s="1"/>
  <c r="AJ719" i="1" s="1"/>
  <c r="AJ724" i="1" s="1"/>
  <c r="AJ729" i="1" s="1"/>
  <c r="AJ734" i="1" s="1"/>
  <c r="AJ739" i="1" s="1"/>
  <c r="AJ744" i="1" s="1"/>
  <c r="AJ749" i="1" s="1"/>
  <c r="AJ754" i="1" s="1"/>
  <c r="AJ759" i="1" s="1"/>
  <c r="AJ764" i="1" s="1"/>
  <c r="AJ769" i="1" s="1"/>
  <c r="AJ774" i="1" s="1"/>
  <c r="AJ779" i="1" s="1"/>
  <c r="AJ784" i="1" s="1"/>
  <c r="AJ789" i="1" s="1"/>
  <c r="AJ794" i="1" s="1"/>
  <c r="AJ799" i="1" s="1"/>
  <c r="AJ804" i="1" s="1"/>
  <c r="AJ809" i="1" s="1"/>
  <c r="AJ814" i="1" s="1"/>
  <c r="AJ819" i="1" s="1"/>
  <c r="AJ824" i="1" s="1"/>
  <c r="AJ829" i="1" s="1"/>
  <c r="AJ834" i="1" s="1"/>
  <c r="AJ839" i="1" s="1"/>
  <c r="AJ844" i="1" s="1"/>
  <c r="AJ849" i="1" s="1"/>
  <c r="AJ854" i="1" s="1"/>
  <c r="AJ859" i="1" s="1"/>
  <c r="AJ864" i="1" s="1"/>
  <c r="AJ869" i="1" s="1"/>
  <c r="AJ874" i="1" s="1"/>
  <c r="AJ879" i="1" s="1"/>
  <c r="AJ884" i="1" s="1"/>
  <c r="AJ889" i="1" s="1"/>
  <c r="AJ894" i="1" s="1"/>
  <c r="AJ899" i="1" s="1"/>
  <c r="AJ904" i="1" s="1"/>
  <c r="AJ909" i="1" s="1"/>
  <c r="AJ914" i="1" s="1"/>
  <c r="AJ919" i="1" s="1"/>
  <c r="AJ924" i="1" s="1"/>
  <c r="AJ929" i="1" s="1"/>
  <c r="AJ934" i="1" s="1"/>
  <c r="AJ939" i="1" s="1"/>
  <c r="AJ944" i="1" s="1"/>
  <c r="AJ949" i="1" s="1"/>
  <c r="AJ954" i="1" s="1"/>
  <c r="AJ959" i="1" s="1"/>
  <c r="AJ964" i="1" s="1"/>
  <c r="AJ969" i="1" s="1"/>
  <c r="AJ974" i="1" s="1"/>
  <c r="AJ979" i="1" s="1"/>
  <c r="AJ984" i="1" s="1"/>
  <c r="AJ989" i="1" s="1"/>
  <c r="AJ994" i="1" s="1"/>
  <c r="AJ999" i="1" s="1"/>
  <c r="AJ1004" i="1" s="1"/>
  <c r="AJ1009" i="1" s="1"/>
  <c r="AJ1014" i="1" s="1"/>
  <c r="AJ1019" i="1" s="1"/>
  <c r="AJ1024" i="1" s="1"/>
  <c r="AJ1029" i="1" s="1"/>
  <c r="AJ1034" i="1" s="1"/>
  <c r="AJ1039" i="1" s="1"/>
  <c r="AJ1044" i="1" s="1"/>
  <c r="AJ1049" i="1" s="1"/>
  <c r="AJ1054" i="1" s="1"/>
  <c r="AJ1059" i="1" s="1"/>
  <c r="AJ1064" i="1" s="1"/>
  <c r="AJ1069" i="1" s="1"/>
  <c r="AJ1074" i="1" s="1"/>
  <c r="AJ1079" i="1" s="1"/>
  <c r="AJ1084" i="1" s="1"/>
  <c r="AJ1089" i="1" s="1"/>
  <c r="AJ1094" i="1" s="1"/>
  <c r="AJ1099" i="1" s="1"/>
  <c r="AJ1104" i="1" s="1"/>
  <c r="AJ1109" i="1" s="1"/>
  <c r="AJ1114" i="1" s="1"/>
  <c r="AJ1119" i="1" s="1"/>
  <c r="AJ1124" i="1" s="1"/>
  <c r="AJ1129" i="1" s="1"/>
  <c r="AJ1134" i="1" s="1"/>
  <c r="AJ1139" i="1" s="1"/>
  <c r="AJ1144" i="1" s="1"/>
  <c r="AJ1149" i="1" s="1"/>
  <c r="AJ1154" i="1" s="1"/>
  <c r="AJ1159" i="1" s="1"/>
  <c r="AJ1164" i="1" s="1"/>
  <c r="AJ1169" i="1" s="1"/>
  <c r="AJ1174" i="1" s="1"/>
  <c r="AJ1179" i="1" s="1"/>
  <c r="AJ1184" i="1" s="1"/>
  <c r="AJ1189" i="1" s="1"/>
  <c r="AJ1194" i="1" s="1"/>
  <c r="AJ1199" i="1" s="1"/>
  <c r="AJ1204" i="1" s="1"/>
  <c r="AJ1209" i="1" s="1"/>
  <c r="AJ1214" i="1" s="1"/>
  <c r="AJ1219" i="1" s="1"/>
  <c r="AJ1224" i="1" s="1"/>
  <c r="AJ1229" i="1" s="1"/>
  <c r="AJ1234" i="1" s="1"/>
  <c r="AJ1239" i="1" s="1"/>
  <c r="AJ1244" i="1" s="1"/>
  <c r="AJ1249" i="1" s="1"/>
  <c r="AJ1254" i="1" s="1"/>
  <c r="AJ1259" i="1" s="1"/>
  <c r="AJ1264" i="1" s="1"/>
  <c r="AJ1269" i="1" s="1"/>
  <c r="AJ1274" i="1" s="1"/>
  <c r="AJ1279" i="1" s="1"/>
  <c r="AJ1284" i="1" s="1"/>
  <c r="AJ1289" i="1" s="1"/>
  <c r="AJ1294" i="1" s="1"/>
  <c r="AJ1299" i="1" s="1"/>
  <c r="AJ1304" i="1" s="1"/>
  <c r="AJ1309" i="1" s="1"/>
  <c r="AJ1314" i="1" s="1"/>
  <c r="AJ1319" i="1" s="1"/>
  <c r="AJ1324" i="1" s="1"/>
  <c r="AJ1329" i="1" s="1"/>
  <c r="AJ1334" i="1" s="1"/>
  <c r="AJ1339" i="1" s="1"/>
  <c r="AJ1344" i="1" s="1"/>
  <c r="AJ1349" i="1" s="1"/>
  <c r="AJ1354" i="1" s="1"/>
  <c r="AJ1359" i="1" s="1"/>
  <c r="AJ1364" i="1" s="1"/>
  <c r="AJ1369" i="1" s="1"/>
  <c r="AJ10" i="1"/>
  <c r="AJ15" i="1" s="1"/>
  <c r="AJ20" i="1" s="1"/>
  <c r="AJ25" i="1" s="1"/>
  <c r="AJ30" i="1" s="1"/>
  <c r="AJ35" i="1" s="1"/>
  <c r="AJ40" i="1" s="1"/>
  <c r="AJ45" i="1" s="1"/>
  <c r="AJ50" i="1" s="1"/>
  <c r="AJ55" i="1" s="1"/>
  <c r="AJ60" i="1" s="1"/>
  <c r="AJ65" i="1" s="1"/>
  <c r="AJ70" i="1" s="1"/>
  <c r="AJ75" i="1" s="1"/>
  <c r="AJ80" i="1" s="1"/>
  <c r="AJ85" i="1" s="1"/>
  <c r="AJ90" i="1" s="1"/>
  <c r="AJ95" i="1" s="1"/>
  <c r="AJ100" i="1" s="1"/>
  <c r="AJ105" i="1" s="1"/>
  <c r="AJ110" i="1" s="1"/>
  <c r="AJ115" i="1" s="1"/>
  <c r="AJ120" i="1" s="1"/>
  <c r="AJ125" i="1" s="1"/>
  <c r="AJ130" i="1" s="1"/>
  <c r="AJ135" i="1" s="1"/>
  <c r="AJ140" i="1" s="1"/>
  <c r="AJ145" i="1" s="1"/>
  <c r="AJ150" i="1" s="1"/>
  <c r="AJ155" i="1" s="1"/>
  <c r="AJ160" i="1" s="1"/>
  <c r="AJ165" i="1" s="1"/>
  <c r="AJ170" i="1" s="1"/>
  <c r="AJ175" i="1" s="1"/>
  <c r="AJ180" i="1" s="1"/>
  <c r="AJ185" i="1" s="1"/>
  <c r="AJ190" i="1" s="1"/>
  <c r="AJ195" i="1" s="1"/>
  <c r="AJ200" i="1" s="1"/>
  <c r="AJ205" i="1" s="1"/>
  <c r="AJ210" i="1" s="1"/>
  <c r="AJ215" i="1" s="1"/>
  <c r="AJ220" i="1" s="1"/>
  <c r="AJ225" i="1" s="1"/>
  <c r="AJ230" i="1" s="1"/>
  <c r="AJ235" i="1" s="1"/>
  <c r="AJ240" i="1" s="1"/>
  <c r="AJ245" i="1" s="1"/>
  <c r="AJ250" i="1" s="1"/>
  <c r="AJ255" i="1" s="1"/>
  <c r="AJ260" i="1" s="1"/>
  <c r="AJ265" i="1" s="1"/>
  <c r="AJ270" i="1" s="1"/>
  <c r="AJ275" i="1" s="1"/>
  <c r="AJ280" i="1" s="1"/>
  <c r="AJ285" i="1" s="1"/>
  <c r="AJ290" i="1" s="1"/>
  <c r="AJ295" i="1" s="1"/>
  <c r="AJ300" i="1" s="1"/>
  <c r="AJ305" i="1" s="1"/>
  <c r="AJ310" i="1" s="1"/>
  <c r="AJ315" i="1" s="1"/>
  <c r="AJ320" i="1" s="1"/>
  <c r="AJ325" i="1" s="1"/>
  <c r="AJ330" i="1" s="1"/>
  <c r="AJ335" i="1" s="1"/>
  <c r="AJ340" i="1" s="1"/>
  <c r="AJ345" i="1" s="1"/>
  <c r="AJ350" i="1" s="1"/>
  <c r="AJ355" i="1" s="1"/>
  <c r="AJ360" i="1" s="1"/>
  <c r="AJ365" i="1" s="1"/>
  <c r="AJ370" i="1" s="1"/>
  <c r="AJ375" i="1" s="1"/>
  <c r="AJ380" i="1" s="1"/>
  <c r="AJ385" i="1" s="1"/>
  <c r="AJ390" i="1" s="1"/>
  <c r="AJ395" i="1" s="1"/>
  <c r="AJ400" i="1" s="1"/>
  <c r="AJ405" i="1" s="1"/>
  <c r="AJ410" i="1" s="1"/>
  <c r="AJ415" i="1" s="1"/>
  <c r="AJ420" i="1" s="1"/>
  <c r="AJ425" i="1" s="1"/>
  <c r="AJ430" i="1" s="1"/>
  <c r="AJ435" i="1" s="1"/>
  <c r="AJ440" i="1" s="1"/>
  <c r="AJ445" i="1" s="1"/>
  <c r="AJ450" i="1" s="1"/>
  <c r="AJ455" i="1" s="1"/>
  <c r="AJ460" i="1" s="1"/>
  <c r="AJ465" i="1" s="1"/>
  <c r="AJ470" i="1" s="1"/>
  <c r="AJ475" i="1" s="1"/>
  <c r="AJ480" i="1" s="1"/>
  <c r="AJ485" i="1" s="1"/>
  <c r="AJ490" i="1" s="1"/>
  <c r="AJ495" i="1" s="1"/>
  <c r="AJ500" i="1" s="1"/>
  <c r="AJ505" i="1" s="1"/>
  <c r="AJ510" i="1" s="1"/>
  <c r="AJ515" i="1" s="1"/>
  <c r="AJ520" i="1" s="1"/>
  <c r="AJ525" i="1" s="1"/>
  <c r="AJ530" i="1" s="1"/>
  <c r="AJ535" i="1" s="1"/>
  <c r="AJ540" i="1" s="1"/>
  <c r="AJ545" i="1" s="1"/>
  <c r="AJ550" i="1" s="1"/>
  <c r="AJ555" i="1" s="1"/>
  <c r="AJ560" i="1" s="1"/>
  <c r="AJ565" i="1" s="1"/>
  <c r="AJ570" i="1" s="1"/>
  <c r="AJ575" i="1" s="1"/>
  <c r="AJ580" i="1" s="1"/>
  <c r="AJ585" i="1" s="1"/>
  <c r="AJ590" i="1" s="1"/>
  <c r="AJ595" i="1" s="1"/>
  <c r="AJ600" i="1" s="1"/>
  <c r="AJ605" i="1" s="1"/>
  <c r="AJ610" i="1" s="1"/>
  <c r="AJ615" i="1" s="1"/>
  <c r="AJ620" i="1" s="1"/>
  <c r="AJ625" i="1" s="1"/>
  <c r="AJ630" i="1" s="1"/>
  <c r="AJ635" i="1" s="1"/>
  <c r="AJ640" i="1" s="1"/>
  <c r="AJ645" i="1" s="1"/>
  <c r="AJ650" i="1" s="1"/>
  <c r="AJ655" i="1" s="1"/>
  <c r="AJ660" i="1" s="1"/>
  <c r="AJ665" i="1" s="1"/>
  <c r="AJ670" i="1" s="1"/>
  <c r="AJ675" i="1" s="1"/>
  <c r="AJ680" i="1" s="1"/>
  <c r="AJ685" i="1" s="1"/>
  <c r="AJ690" i="1" s="1"/>
  <c r="AJ695" i="1" s="1"/>
  <c r="AJ700" i="1" s="1"/>
  <c r="AJ705" i="1" s="1"/>
  <c r="AJ710" i="1" s="1"/>
  <c r="AJ715" i="1" s="1"/>
  <c r="AJ720" i="1" s="1"/>
  <c r="AJ725" i="1" s="1"/>
  <c r="AJ730" i="1" s="1"/>
  <c r="AJ735" i="1" s="1"/>
  <c r="AJ740" i="1" s="1"/>
  <c r="AJ745" i="1" s="1"/>
  <c r="AJ750" i="1" s="1"/>
  <c r="AJ755" i="1" s="1"/>
  <c r="AJ760" i="1" s="1"/>
  <c r="AJ765" i="1" s="1"/>
  <c r="AJ770" i="1" s="1"/>
  <c r="AJ775" i="1" s="1"/>
  <c r="AJ780" i="1" s="1"/>
  <c r="AJ785" i="1" s="1"/>
  <c r="AJ790" i="1" s="1"/>
  <c r="AJ795" i="1" s="1"/>
  <c r="AJ800" i="1" s="1"/>
  <c r="AJ805" i="1" s="1"/>
  <c r="AJ810" i="1" s="1"/>
  <c r="AJ815" i="1" s="1"/>
  <c r="AJ820" i="1" s="1"/>
  <c r="AJ825" i="1" s="1"/>
  <c r="AJ830" i="1" s="1"/>
  <c r="AJ835" i="1" s="1"/>
  <c r="AJ840" i="1" s="1"/>
  <c r="AJ845" i="1" s="1"/>
  <c r="AJ850" i="1" s="1"/>
  <c r="AJ855" i="1" s="1"/>
  <c r="AJ860" i="1" s="1"/>
  <c r="AJ865" i="1" s="1"/>
  <c r="AJ870" i="1" s="1"/>
  <c r="AJ875" i="1" s="1"/>
  <c r="AJ880" i="1" s="1"/>
  <c r="AJ885" i="1" s="1"/>
  <c r="AJ890" i="1" s="1"/>
  <c r="AJ895" i="1" s="1"/>
  <c r="AJ900" i="1" s="1"/>
  <c r="AJ905" i="1" s="1"/>
  <c r="AJ910" i="1" s="1"/>
  <c r="AJ915" i="1" s="1"/>
  <c r="AJ920" i="1" s="1"/>
  <c r="AJ925" i="1" s="1"/>
  <c r="AJ930" i="1" s="1"/>
  <c r="AJ935" i="1" s="1"/>
  <c r="AJ940" i="1" s="1"/>
  <c r="AJ945" i="1" s="1"/>
  <c r="AJ950" i="1" s="1"/>
  <c r="AJ955" i="1" s="1"/>
  <c r="AJ960" i="1" s="1"/>
  <c r="AJ965" i="1" s="1"/>
  <c r="AJ970" i="1" s="1"/>
  <c r="AJ975" i="1" s="1"/>
  <c r="AJ980" i="1" s="1"/>
  <c r="AJ985" i="1" s="1"/>
  <c r="AJ990" i="1" s="1"/>
  <c r="AJ995" i="1" s="1"/>
  <c r="AJ1000" i="1" s="1"/>
  <c r="AJ1005" i="1" s="1"/>
  <c r="AJ1010" i="1" s="1"/>
  <c r="AJ1015" i="1" s="1"/>
  <c r="AJ1020" i="1" s="1"/>
  <c r="AJ1025" i="1" s="1"/>
  <c r="AJ1030" i="1" s="1"/>
  <c r="AJ1035" i="1" s="1"/>
  <c r="AJ1040" i="1" s="1"/>
  <c r="AJ1045" i="1" s="1"/>
  <c r="AJ1050" i="1" s="1"/>
  <c r="AJ1055" i="1" s="1"/>
  <c r="AJ1060" i="1" s="1"/>
  <c r="AJ1065" i="1" s="1"/>
  <c r="AJ1070" i="1" s="1"/>
  <c r="AJ1075" i="1" s="1"/>
  <c r="AJ1080" i="1" s="1"/>
  <c r="AJ1085" i="1" s="1"/>
  <c r="AJ1090" i="1" s="1"/>
  <c r="AJ1095" i="1" s="1"/>
  <c r="AJ1100" i="1" s="1"/>
  <c r="AJ1105" i="1" s="1"/>
  <c r="AJ1110" i="1" s="1"/>
  <c r="AJ1115" i="1" s="1"/>
  <c r="AJ1120" i="1" s="1"/>
  <c r="AJ1125" i="1" s="1"/>
  <c r="AJ1130" i="1" s="1"/>
  <c r="AJ1135" i="1" s="1"/>
  <c r="AJ1140" i="1" s="1"/>
  <c r="AJ1145" i="1" s="1"/>
  <c r="AJ1150" i="1" s="1"/>
  <c r="AJ1155" i="1" s="1"/>
  <c r="AJ1160" i="1" s="1"/>
  <c r="AJ1165" i="1" s="1"/>
  <c r="AJ1170" i="1" s="1"/>
  <c r="AJ1175" i="1" s="1"/>
  <c r="AJ1180" i="1" s="1"/>
  <c r="AJ1185" i="1" s="1"/>
  <c r="AJ1190" i="1" s="1"/>
  <c r="AJ1195" i="1" s="1"/>
  <c r="AJ1200" i="1" s="1"/>
  <c r="AJ1205" i="1" s="1"/>
  <c r="AJ1210" i="1" s="1"/>
  <c r="AJ1215" i="1" s="1"/>
  <c r="AJ1220" i="1" s="1"/>
  <c r="AJ1225" i="1" s="1"/>
  <c r="AJ1230" i="1" s="1"/>
  <c r="AJ1235" i="1" s="1"/>
  <c r="AJ1240" i="1" s="1"/>
  <c r="AJ1245" i="1" s="1"/>
  <c r="AJ1250" i="1" s="1"/>
  <c r="AJ1255" i="1" s="1"/>
  <c r="AJ1260" i="1" s="1"/>
  <c r="AJ1265" i="1" s="1"/>
  <c r="AJ1270" i="1" s="1"/>
  <c r="AJ1275" i="1" s="1"/>
  <c r="AJ1280" i="1" s="1"/>
  <c r="AJ1285" i="1" s="1"/>
  <c r="AJ1290" i="1" s="1"/>
  <c r="AJ1295" i="1" s="1"/>
  <c r="AJ1300" i="1" s="1"/>
  <c r="AJ1305" i="1" s="1"/>
  <c r="AJ1310" i="1" s="1"/>
  <c r="AJ1315" i="1" s="1"/>
  <c r="AJ1320" i="1" s="1"/>
  <c r="AJ1325" i="1" s="1"/>
  <c r="AJ1330" i="1" s="1"/>
  <c r="AJ1335" i="1" s="1"/>
  <c r="AJ1340" i="1" s="1"/>
  <c r="AJ1345" i="1" s="1"/>
  <c r="AJ1350" i="1" s="1"/>
  <c r="AJ1355" i="1" s="1"/>
  <c r="AJ1360" i="1" s="1"/>
  <c r="AJ1365" i="1" s="1"/>
  <c r="AJ1370" i="1" s="1"/>
  <c r="AJ11" i="1"/>
  <c r="AJ16" i="1" s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81" i="1" s="1"/>
  <c r="AJ86" i="1" s="1"/>
  <c r="AJ91" i="1" s="1"/>
  <c r="AJ96" i="1" s="1"/>
  <c r="AJ101" i="1" s="1"/>
  <c r="AJ106" i="1" s="1"/>
  <c r="AJ111" i="1" s="1"/>
  <c r="AJ116" i="1" s="1"/>
  <c r="AJ121" i="1" s="1"/>
  <c r="AJ126" i="1" s="1"/>
  <c r="AJ131" i="1" s="1"/>
  <c r="AJ136" i="1" s="1"/>
  <c r="AJ141" i="1" s="1"/>
  <c r="AJ146" i="1" s="1"/>
  <c r="AJ151" i="1" s="1"/>
  <c r="AJ156" i="1" s="1"/>
  <c r="AJ161" i="1" s="1"/>
  <c r="AJ166" i="1" s="1"/>
  <c r="AJ171" i="1" s="1"/>
  <c r="AJ176" i="1" s="1"/>
  <c r="AJ181" i="1" s="1"/>
  <c r="AJ186" i="1" s="1"/>
  <c r="AJ191" i="1" s="1"/>
  <c r="AJ196" i="1" s="1"/>
  <c r="AJ201" i="1" s="1"/>
  <c r="AJ206" i="1" s="1"/>
  <c r="AJ211" i="1" s="1"/>
  <c r="AJ216" i="1" s="1"/>
  <c r="AJ221" i="1" s="1"/>
  <c r="AJ226" i="1" s="1"/>
  <c r="AJ231" i="1" s="1"/>
  <c r="AJ236" i="1" s="1"/>
  <c r="AJ241" i="1" s="1"/>
  <c r="AJ246" i="1" s="1"/>
  <c r="AJ251" i="1" s="1"/>
  <c r="AJ256" i="1" s="1"/>
  <c r="AJ261" i="1" s="1"/>
  <c r="AJ266" i="1" s="1"/>
  <c r="AJ271" i="1" s="1"/>
  <c r="AJ276" i="1" s="1"/>
  <c r="AJ281" i="1" s="1"/>
  <c r="AJ286" i="1" s="1"/>
  <c r="AJ291" i="1" s="1"/>
  <c r="AJ296" i="1" s="1"/>
  <c r="AJ301" i="1" s="1"/>
  <c r="AJ306" i="1" s="1"/>
  <c r="AJ311" i="1" s="1"/>
  <c r="AJ316" i="1" s="1"/>
  <c r="AJ321" i="1" s="1"/>
  <c r="AJ326" i="1" s="1"/>
  <c r="AJ331" i="1" s="1"/>
  <c r="AJ336" i="1" s="1"/>
  <c r="AJ341" i="1" s="1"/>
  <c r="AJ346" i="1" s="1"/>
  <c r="AJ351" i="1" s="1"/>
  <c r="AJ356" i="1" s="1"/>
  <c r="AJ361" i="1" s="1"/>
  <c r="AJ366" i="1" s="1"/>
  <c r="AJ371" i="1" s="1"/>
  <c r="AJ376" i="1" s="1"/>
  <c r="AJ381" i="1" s="1"/>
  <c r="AJ386" i="1" s="1"/>
  <c r="AJ391" i="1" s="1"/>
  <c r="AJ396" i="1" s="1"/>
  <c r="AJ401" i="1" s="1"/>
  <c r="AJ406" i="1" s="1"/>
  <c r="AJ411" i="1" s="1"/>
  <c r="AJ416" i="1" s="1"/>
  <c r="AJ421" i="1" s="1"/>
  <c r="AJ426" i="1" s="1"/>
  <c r="AJ431" i="1" s="1"/>
  <c r="AJ436" i="1" s="1"/>
  <c r="AJ441" i="1" s="1"/>
  <c r="AJ446" i="1" s="1"/>
  <c r="AJ451" i="1" s="1"/>
  <c r="AJ456" i="1" s="1"/>
  <c r="AJ461" i="1" s="1"/>
  <c r="AJ466" i="1" s="1"/>
  <c r="AJ471" i="1" s="1"/>
  <c r="AJ476" i="1" s="1"/>
  <c r="AJ481" i="1" s="1"/>
  <c r="AJ486" i="1" s="1"/>
  <c r="AJ491" i="1" s="1"/>
  <c r="AJ496" i="1" s="1"/>
  <c r="AJ501" i="1" s="1"/>
  <c r="AJ506" i="1" s="1"/>
  <c r="AJ511" i="1" s="1"/>
  <c r="AJ516" i="1" s="1"/>
  <c r="AJ521" i="1" s="1"/>
  <c r="AJ526" i="1" s="1"/>
  <c r="AJ531" i="1" s="1"/>
  <c r="AJ536" i="1" s="1"/>
  <c r="AJ541" i="1" s="1"/>
  <c r="AJ546" i="1" s="1"/>
  <c r="AJ551" i="1" s="1"/>
  <c r="AJ556" i="1" s="1"/>
  <c r="AJ561" i="1" s="1"/>
  <c r="AJ566" i="1" s="1"/>
  <c r="AJ571" i="1" s="1"/>
  <c r="AJ576" i="1" s="1"/>
  <c r="AJ581" i="1" s="1"/>
  <c r="AJ586" i="1" s="1"/>
  <c r="AJ591" i="1" s="1"/>
  <c r="AJ596" i="1" s="1"/>
  <c r="AJ601" i="1" s="1"/>
  <c r="AJ606" i="1" s="1"/>
  <c r="AJ611" i="1" s="1"/>
  <c r="AJ616" i="1" s="1"/>
  <c r="AJ621" i="1" s="1"/>
  <c r="AJ626" i="1" s="1"/>
  <c r="AJ631" i="1" s="1"/>
  <c r="AJ636" i="1" s="1"/>
  <c r="AJ641" i="1" s="1"/>
  <c r="AJ646" i="1" s="1"/>
  <c r="AJ651" i="1" s="1"/>
  <c r="AJ656" i="1" s="1"/>
  <c r="AJ661" i="1" s="1"/>
  <c r="AJ666" i="1" s="1"/>
  <c r="AJ671" i="1" s="1"/>
  <c r="AJ676" i="1" s="1"/>
  <c r="AJ681" i="1" s="1"/>
  <c r="AJ686" i="1" s="1"/>
  <c r="AJ691" i="1" s="1"/>
  <c r="AJ696" i="1" s="1"/>
  <c r="AJ701" i="1" s="1"/>
  <c r="AJ706" i="1" s="1"/>
  <c r="AJ711" i="1" s="1"/>
  <c r="AJ716" i="1" s="1"/>
  <c r="AJ721" i="1" s="1"/>
  <c r="AJ726" i="1" s="1"/>
  <c r="AJ731" i="1" s="1"/>
  <c r="AJ736" i="1" s="1"/>
  <c r="AJ741" i="1" s="1"/>
  <c r="AJ746" i="1" s="1"/>
  <c r="AJ751" i="1" s="1"/>
  <c r="AJ756" i="1" s="1"/>
  <c r="AJ761" i="1" s="1"/>
  <c r="AJ766" i="1" s="1"/>
  <c r="AJ771" i="1" s="1"/>
  <c r="AJ776" i="1" s="1"/>
  <c r="AJ781" i="1" s="1"/>
  <c r="AJ786" i="1" s="1"/>
  <c r="AJ791" i="1" s="1"/>
  <c r="AJ796" i="1" s="1"/>
  <c r="AJ801" i="1" s="1"/>
  <c r="AJ806" i="1" s="1"/>
  <c r="AJ811" i="1" s="1"/>
  <c r="AJ816" i="1" s="1"/>
  <c r="AJ821" i="1" s="1"/>
  <c r="AJ826" i="1" s="1"/>
  <c r="AJ831" i="1" s="1"/>
  <c r="AJ836" i="1" s="1"/>
  <c r="AJ841" i="1" s="1"/>
  <c r="AJ846" i="1" s="1"/>
  <c r="AJ851" i="1" s="1"/>
  <c r="AJ856" i="1" s="1"/>
  <c r="AJ861" i="1" s="1"/>
  <c r="AJ866" i="1" s="1"/>
  <c r="AJ871" i="1" s="1"/>
  <c r="AJ876" i="1" s="1"/>
  <c r="AJ881" i="1" s="1"/>
  <c r="AJ886" i="1" s="1"/>
  <c r="AJ891" i="1" s="1"/>
  <c r="AJ896" i="1" s="1"/>
  <c r="AJ901" i="1" s="1"/>
  <c r="AJ906" i="1" s="1"/>
  <c r="AJ911" i="1" s="1"/>
  <c r="AJ916" i="1" s="1"/>
  <c r="AJ921" i="1" s="1"/>
  <c r="AJ926" i="1" s="1"/>
  <c r="AJ931" i="1" s="1"/>
  <c r="AJ936" i="1" s="1"/>
  <c r="AJ941" i="1" s="1"/>
  <c r="AJ946" i="1" s="1"/>
  <c r="AJ951" i="1" s="1"/>
  <c r="AJ956" i="1" s="1"/>
  <c r="AJ961" i="1" s="1"/>
  <c r="AJ966" i="1" s="1"/>
  <c r="AJ971" i="1" s="1"/>
  <c r="AJ976" i="1" s="1"/>
  <c r="AJ981" i="1" s="1"/>
  <c r="AJ986" i="1" s="1"/>
  <c r="AJ991" i="1" s="1"/>
  <c r="AJ996" i="1" s="1"/>
  <c r="AJ1001" i="1" s="1"/>
  <c r="AJ1006" i="1" s="1"/>
  <c r="AJ1011" i="1" s="1"/>
  <c r="AJ1016" i="1" s="1"/>
  <c r="AJ1021" i="1" s="1"/>
  <c r="AJ1026" i="1" s="1"/>
  <c r="AJ1031" i="1" s="1"/>
  <c r="AJ1036" i="1" s="1"/>
  <c r="AJ1041" i="1" s="1"/>
  <c r="AJ1046" i="1" s="1"/>
  <c r="AJ1051" i="1" s="1"/>
  <c r="AJ1056" i="1" s="1"/>
  <c r="AJ1061" i="1" s="1"/>
  <c r="AJ1066" i="1" s="1"/>
  <c r="AJ1071" i="1" s="1"/>
  <c r="AJ1076" i="1" s="1"/>
  <c r="AJ1081" i="1" s="1"/>
  <c r="AJ1086" i="1" s="1"/>
  <c r="AJ1091" i="1" s="1"/>
  <c r="AJ1096" i="1" s="1"/>
  <c r="AJ1101" i="1" s="1"/>
  <c r="AJ1106" i="1" s="1"/>
  <c r="AJ1111" i="1" s="1"/>
  <c r="AJ1116" i="1" s="1"/>
  <c r="AJ1121" i="1" s="1"/>
  <c r="AJ1126" i="1" s="1"/>
  <c r="AJ1131" i="1" s="1"/>
  <c r="AJ1136" i="1" s="1"/>
  <c r="AJ1141" i="1" s="1"/>
  <c r="AJ1146" i="1" s="1"/>
  <c r="AJ1151" i="1" s="1"/>
  <c r="AJ1156" i="1" s="1"/>
  <c r="AJ1161" i="1" s="1"/>
  <c r="AJ1166" i="1" s="1"/>
  <c r="AJ1171" i="1" s="1"/>
  <c r="AJ1176" i="1" s="1"/>
  <c r="AJ1181" i="1" s="1"/>
  <c r="AJ1186" i="1" s="1"/>
  <c r="AJ1191" i="1" s="1"/>
  <c r="AJ1196" i="1" s="1"/>
  <c r="AJ1201" i="1" s="1"/>
  <c r="AJ1206" i="1" s="1"/>
  <c r="AJ1211" i="1" s="1"/>
  <c r="AJ1216" i="1" s="1"/>
  <c r="AJ1221" i="1" s="1"/>
  <c r="AJ1226" i="1" s="1"/>
  <c r="AJ1231" i="1" s="1"/>
  <c r="AJ1236" i="1" s="1"/>
  <c r="AJ1241" i="1" s="1"/>
  <c r="AJ1246" i="1" s="1"/>
  <c r="AJ1251" i="1" s="1"/>
  <c r="AJ1256" i="1" s="1"/>
  <c r="AJ1261" i="1" s="1"/>
  <c r="AJ1266" i="1" s="1"/>
  <c r="AJ1271" i="1" s="1"/>
  <c r="AJ1276" i="1" s="1"/>
  <c r="AJ1281" i="1" s="1"/>
  <c r="AJ1286" i="1" s="1"/>
  <c r="AJ1291" i="1" s="1"/>
  <c r="AJ1296" i="1" s="1"/>
  <c r="AJ1301" i="1" s="1"/>
  <c r="AJ1306" i="1" s="1"/>
  <c r="AJ1311" i="1" s="1"/>
  <c r="AJ1316" i="1" s="1"/>
  <c r="AJ1321" i="1" s="1"/>
  <c r="AJ1326" i="1" s="1"/>
  <c r="AJ1331" i="1" s="1"/>
  <c r="AJ1336" i="1" s="1"/>
  <c r="AJ1341" i="1" s="1"/>
  <c r="AJ1346" i="1" s="1"/>
  <c r="AJ1351" i="1" s="1"/>
  <c r="AJ1356" i="1" s="1"/>
  <c r="AJ1361" i="1" s="1"/>
  <c r="AJ1366" i="1" s="1"/>
  <c r="AJ1371" i="1" s="1"/>
  <c r="AJ12" i="1"/>
  <c r="AJ17" i="1" s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82" i="1" s="1"/>
  <c r="AJ87" i="1" s="1"/>
  <c r="AJ92" i="1" s="1"/>
  <c r="AJ97" i="1" s="1"/>
  <c r="AJ102" i="1" s="1"/>
  <c r="AJ107" i="1" s="1"/>
  <c r="AJ112" i="1" s="1"/>
  <c r="AJ117" i="1" s="1"/>
  <c r="AJ122" i="1" s="1"/>
  <c r="AJ127" i="1" s="1"/>
  <c r="AJ132" i="1" s="1"/>
  <c r="AJ137" i="1" s="1"/>
  <c r="AJ142" i="1" s="1"/>
  <c r="AJ147" i="1" s="1"/>
  <c r="AJ152" i="1" s="1"/>
  <c r="AJ157" i="1" s="1"/>
  <c r="AJ162" i="1" s="1"/>
  <c r="AJ167" i="1" s="1"/>
  <c r="AJ172" i="1" s="1"/>
  <c r="AJ177" i="1" s="1"/>
  <c r="AJ182" i="1" s="1"/>
  <c r="AJ187" i="1" s="1"/>
  <c r="AJ192" i="1" s="1"/>
  <c r="AJ197" i="1" s="1"/>
  <c r="AJ202" i="1" s="1"/>
  <c r="AJ207" i="1" s="1"/>
  <c r="AJ212" i="1" s="1"/>
  <c r="AJ217" i="1" s="1"/>
  <c r="AJ222" i="1" s="1"/>
  <c r="AJ227" i="1" s="1"/>
  <c r="AJ232" i="1" s="1"/>
  <c r="AJ237" i="1" s="1"/>
  <c r="AJ242" i="1" s="1"/>
  <c r="AJ247" i="1" s="1"/>
  <c r="AJ252" i="1" s="1"/>
  <c r="AJ257" i="1" s="1"/>
  <c r="AJ262" i="1" s="1"/>
  <c r="AJ267" i="1" s="1"/>
  <c r="AJ272" i="1" s="1"/>
  <c r="AJ277" i="1" s="1"/>
  <c r="AJ282" i="1" s="1"/>
  <c r="AJ287" i="1" s="1"/>
  <c r="AJ292" i="1" s="1"/>
  <c r="AJ297" i="1" s="1"/>
  <c r="AJ302" i="1" s="1"/>
  <c r="AJ307" i="1" s="1"/>
  <c r="AJ312" i="1" s="1"/>
  <c r="AJ317" i="1" s="1"/>
  <c r="AJ322" i="1" s="1"/>
  <c r="AJ327" i="1" s="1"/>
  <c r="AJ332" i="1" s="1"/>
  <c r="AJ337" i="1" s="1"/>
  <c r="AJ342" i="1" s="1"/>
  <c r="AJ347" i="1" s="1"/>
  <c r="AJ352" i="1" s="1"/>
  <c r="AJ357" i="1" s="1"/>
  <c r="AJ362" i="1" s="1"/>
  <c r="AJ367" i="1" s="1"/>
  <c r="AJ372" i="1" s="1"/>
  <c r="AJ377" i="1" s="1"/>
  <c r="AJ382" i="1" s="1"/>
  <c r="AJ387" i="1" s="1"/>
  <c r="AJ392" i="1" s="1"/>
  <c r="AJ397" i="1" s="1"/>
  <c r="AJ402" i="1" s="1"/>
  <c r="AJ407" i="1" s="1"/>
  <c r="AJ412" i="1" s="1"/>
  <c r="AJ417" i="1" s="1"/>
  <c r="AJ422" i="1" s="1"/>
  <c r="AJ427" i="1" s="1"/>
  <c r="AJ432" i="1" s="1"/>
  <c r="AJ437" i="1" s="1"/>
  <c r="AJ442" i="1" s="1"/>
  <c r="AJ447" i="1" s="1"/>
  <c r="AJ452" i="1" s="1"/>
  <c r="AJ457" i="1" s="1"/>
  <c r="AJ462" i="1" s="1"/>
  <c r="AJ467" i="1" s="1"/>
  <c r="AJ472" i="1" s="1"/>
  <c r="AJ477" i="1" s="1"/>
  <c r="AJ482" i="1" s="1"/>
  <c r="AJ487" i="1" s="1"/>
  <c r="AJ492" i="1" s="1"/>
  <c r="AJ497" i="1" s="1"/>
  <c r="AJ502" i="1" s="1"/>
  <c r="AJ507" i="1" s="1"/>
  <c r="AJ512" i="1" s="1"/>
  <c r="AJ517" i="1" s="1"/>
  <c r="AJ522" i="1" s="1"/>
  <c r="AJ527" i="1" s="1"/>
  <c r="AJ532" i="1" s="1"/>
  <c r="AJ537" i="1" s="1"/>
  <c r="AJ542" i="1" s="1"/>
  <c r="AJ547" i="1" s="1"/>
  <c r="AJ552" i="1" s="1"/>
  <c r="AJ557" i="1" s="1"/>
  <c r="AJ562" i="1" s="1"/>
  <c r="AJ567" i="1" s="1"/>
  <c r="AJ572" i="1" s="1"/>
  <c r="AJ577" i="1" s="1"/>
  <c r="AJ582" i="1" s="1"/>
  <c r="AJ587" i="1" s="1"/>
  <c r="AJ592" i="1" s="1"/>
  <c r="AJ597" i="1" s="1"/>
  <c r="AJ602" i="1" s="1"/>
  <c r="AJ607" i="1" s="1"/>
  <c r="AJ612" i="1" s="1"/>
  <c r="AJ617" i="1" s="1"/>
  <c r="AJ622" i="1" s="1"/>
  <c r="AJ627" i="1" s="1"/>
  <c r="AJ632" i="1" s="1"/>
  <c r="AJ637" i="1" s="1"/>
  <c r="AJ642" i="1" s="1"/>
  <c r="AJ647" i="1" s="1"/>
  <c r="AJ652" i="1" s="1"/>
  <c r="AJ657" i="1" s="1"/>
  <c r="AJ662" i="1" s="1"/>
  <c r="AJ667" i="1" s="1"/>
  <c r="AJ672" i="1" s="1"/>
  <c r="AJ677" i="1" s="1"/>
  <c r="AJ682" i="1" s="1"/>
  <c r="AJ687" i="1" s="1"/>
  <c r="AJ692" i="1" s="1"/>
  <c r="AJ697" i="1" s="1"/>
  <c r="AJ702" i="1" s="1"/>
  <c r="AJ707" i="1" s="1"/>
  <c r="AJ712" i="1" s="1"/>
  <c r="AJ717" i="1" s="1"/>
  <c r="AJ722" i="1" s="1"/>
  <c r="AJ727" i="1" s="1"/>
  <c r="AJ732" i="1" s="1"/>
  <c r="AJ737" i="1" s="1"/>
  <c r="AJ742" i="1" s="1"/>
  <c r="AJ747" i="1" s="1"/>
  <c r="AJ752" i="1" s="1"/>
  <c r="AJ757" i="1" s="1"/>
  <c r="AJ762" i="1" s="1"/>
  <c r="AJ767" i="1" s="1"/>
  <c r="AJ772" i="1" s="1"/>
  <c r="AJ777" i="1" s="1"/>
  <c r="AJ782" i="1" s="1"/>
  <c r="AJ787" i="1" s="1"/>
  <c r="AJ792" i="1" s="1"/>
  <c r="AJ797" i="1" s="1"/>
  <c r="AJ802" i="1" s="1"/>
  <c r="AJ807" i="1" s="1"/>
  <c r="AJ812" i="1" s="1"/>
  <c r="AJ817" i="1" s="1"/>
  <c r="AJ822" i="1" s="1"/>
  <c r="AJ827" i="1" s="1"/>
  <c r="AJ832" i="1" s="1"/>
  <c r="AJ837" i="1" s="1"/>
  <c r="AJ842" i="1" s="1"/>
  <c r="AJ847" i="1" s="1"/>
  <c r="AJ852" i="1" s="1"/>
  <c r="AJ857" i="1" s="1"/>
  <c r="AJ862" i="1" s="1"/>
  <c r="AJ867" i="1" s="1"/>
  <c r="AJ872" i="1" s="1"/>
  <c r="AJ877" i="1" s="1"/>
  <c r="AJ882" i="1" s="1"/>
  <c r="AJ887" i="1" s="1"/>
  <c r="AJ892" i="1" s="1"/>
  <c r="AJ897" i="1" s="1"/>
  <c r="AJ902" i="1" s="1"/>
  <c r="AJ907" i="1" s="1"/>
  <c r="AJ912" i="1" s="1"/>
  <c r="AJ917" i="1" s="1"/>
  <c r="AJ922" i="1" s="1"/>
  <c r="AJ927" i="1" s="1"/>
  <c r="AJ932" i="1" s="1"/>
  <c r="AJ937" i="1" s="1"/>
  <c r="AJ942" i="1" s="1"/>
  <c r="AJ947" i="1" s="1"/>
  <c r="AJ952" i="1" s="1"/>
  <c r="AJ957" i="1" s="1"/>
  <c r="AJ962" i="1" s="1"/>
  <c r="AJ967" i="1" s="1"/>
  <c r="AJ972" i="1" s="1"/>
  <c r="AJ977" i="1" s="1"/>
  <c r="AJ982" i="1" s="1"/>
  <c r="AJ987" i="1" s="1"/>
  <c r="AJ992" i="1" s="1"/>
  <c r="AJ997" i="1" s="1"/>
  <c r="AJ1002" i="1" s="1"/>
  <c r="AJ1007" i="1" s="1"/>
  <c r="AJ1012" i="1" s="1"/>
  <c r="AJ1017" i="1" s="1"/>
  <c r="AJ1022" i="1" s="1"/>
  <c r="AJ1027" i="1" s="1"/>
  <c r="AJ1032" i="1" s="1"/>
  <c r="AJ1037" i="1" s="1"/>
  <c r="AJ1042" i="1" s="1"/>
  <c r="AJ1047" i="1" s="1"/>
  <c r="AJ1052" i="1" s="1"/>
  <c r="AJ1057" i="1" s="1"/>
  <c r="AJ1062" i="1" s="1"/>
  <c r="AJ1067" i="1" s="1"/>
  <c r="AJ1072" i="1" s="1"/>
  <c r="AJ1077" i="1" s="1"/>
  <c r="AJ1082" i="1" s="1"/>
  <c r="AJ1087" i="1" s="1"/>
  <c r="AJ1092" i="1" s="1"/>
  <c r="AJ1097" i="1" s="1"/>
  <c r="AJ1102" i="1" s="1"/>
  <c r="AJ1107" i="1" s="1"/>
  <c r="AJ1112" i="1" s="1"/>
  <c r="AJ1117" i="1" s="1"/>
  <c r="AJ1122" i="1" s="1"/>
  <c r="AJ1127" i="1" s="1"/>
  <c r="AJ1132" i="1" s="1"/>
  <c r="AJ1137" i="1" s="1"/>
  <c r="AJ1142" i="1" s="1"/>
  <c r="AJ1147" i="1" s="1"/>
  <c r="AJ1152" i="1" s="1"/>
  <c r="AJ1157" i="1" s="1"/>
  <c r="AJ1162" i="1" s="1"/>
  <c r="AJ1167" i="1" s="1"/>
  <c r="AJ1172" i="1" s="1"/>
  <c r="AJ1177" i="1" s="1"/>
  <c r="AJ1182" i="1" s="1"/>
  <c r="AJ1187" i="1" s="1"/>
  <c r="AJ1192" i="1" s="1"/>
  <c r="AJ1197" i="1" s="1"/>
  <c r="AJ1202" i="1" s="1"/>
  <c r="AJ1207" i="1" s="1"/>
  <c r="AJ1212" i="1" s="1"/>
  <c r="AJ1217" i="1" s="1"/>
  <c r="AJ1222" i="1" s="1"/>
  <c r="AJ1227" i="1" s="1"/>
  <c r="AJ1232" i="1" s="1"/>
  <c r="AJ1237" i="1" s="1"/>
  <c r="AJ1242" i="1" s="1"/>
  <c r="AJ1247" i="1" s="1"/>
  <c r="AJ1252" i="1" s="1"/>
  <c r="AJ1257" i="1" s="1"/>
  <c r="AJ1262" i="1" s="1"/>
  <c r="AJ1267" i="1" s="1"/>
  <c r="AJ1272" i="1" s="1"/>
  <c r="AJ1277" i="1" s="1"/>
  <c r="AJ1282" i="1" s="1"/>
  <c r="AJ1287" i="1" s="1"/>
  <c r="AJ1292" i="1" s="1"/>
  <c r="AJ1297" i="1" s="1"/>
  <c r="AJ1302" i="1" s="1"/>
  <c r="AJ1307" i="1" s="1"/>
  <c r="AJ1312" i="1" s="1"/>
  <c r="AJ1317" i="1" s="1"/>
  <c r="AJ1322" i="1" s="1"/>
  <c r="AJ1327" i="1" s="1"/>
  <c r="AJ1332" i="1" s="1"/>
  <c r="AJ1337" i="1" s="1"/>
  <c r="AJ1342" i="1" s="1"/>
  <c r="AJ1347" i="1" s="1"/>
  <c r="AJ1352" i="1" s="1"/>
  <c r="AJ1357" i="1" s="1"/>
  <c r="AJ1362" i="1" s="1"/>
  <c r="AJ1367" i="1" s="1"/>
  <c r="AU1237" i="1" l="1"/>
  <c r="AS1145" i="1"/>
  <c r="AR1080" i="1"/>
  <c r="AQ1015" i="1"/>
  <c r="AS1099" i="1"/>
  <c r="AT1196" i="1"/>
  <c r="AR1042" i="1"/>
  <c r="AQ1001" i="1"/>
  <c r="AP906" i="1"/>
  <c r="AO847" i="1"/>
  <c r="AQ977" i="1"/>
  <c r="AP914" i="1"/>
  <c r="AR1066" i="1"/>
  <c r="AS1131" i="1"/>
  <c r="AV1310" i="1"/>
  <c r="AU1269" i="1"/>
  <c r="AM1123" i="1"/>
  <c r="AS1107" i="1"/>
  <c r="AT1164" i="1"/>
  <c r="AQ969" i="1"/>
  <c r="AU1229" i="1"/>
  <c r="AT1172" i="1"/>
  <c r="AM896" i="1"/>
  <c r="AQ1014" i="1"/>
  <c r="AR1034" i="1"/>
  <c r="AV1294" i="1"/>
  <c r="AV1302" i="1"/>
  <c r="AP922" i="1"/>
  <c r="AO831" i="1"/>
  <c r="AO839" i="1"/>
  <c r="AM1187" i="1"/>
  <c r="AS1144" i="1"/>
  <c r="AO823" i="1"/>
  <c r="AP890" i="1"/>
  <c r="AQ953" i="1"/>
  <c r="AR1018" i="1"/>
  <c r="AS1083" i="1"/>
  <c r="AT1148" i="1"/>
  <c r="AU1213" i="1"/>
  <c r="AV1278" i="1"/>
  <c r="AM928" i="1"/>
  <c r="AR1079" i="1"/>
  <c r="AP898" i="1"/>
  <c r="AQ961" i="1"/>
  <c r="AR1026" i="1"/>
  <c r="AS1091" i="1"/>
  <c r="AT1156" i="1"/>
  <c r="AU1221" i="1"/>
  <c r="AV1286" i="1"/>
  <c r="AO876" i="1"/>
  <c r="AO868" i="1"/>
  <c r="AO860" i="1"/>
  <c r="AO852" i="1"/>
  <c r="AO844" i="1"/>
  <c r="AO836" i="1"/>
  <c r="AO828" i="1"/>
  <c r="AO883" i="1"/>
  <c r="AO875" i="1"/>
  <c r="AO867" i="1"/>
  <c r="AO859" i="1"/>
  <c r="AO851" i="1"/>
  <c r="AO843" i="1"/>
  <c r="AO835" i="1"/>
  <c r="AO827" i="1"/>
  <c r="AO882" i="1"/>
  <c r="AO874" i="1"/>
  <c r="AO866" i="1"/>
  <c r="AO858" i="1"/>
  <c r="AO850" i="1"/>
  <c r="AO842" i="1"/>
  <c r="AO834" i="1"/>
  <c r="AO826" i="1"/>
  <c r="AO881" i="1"/>
  <c r="AO873" i="1"/>
  <c r="AO865" i="1"/>
  <c r="AO857" i="1"/>
  <c r="AO849" i="1"/>
  <c r="AO841" i="1"/>
  <c r="AO833" i="1"/>
  <c r="AO825" i="1"/>
  <c r="AO880" i="1"/>
  <c r="AO872" i="1"/>
  <c r="AO864" i="1"/>
  <c r="AO856" i="1"/>
  <c r="AO848" i="1"/>
  <c r="AO840" i="1"/>
  <c r="AO832" i="1"/>
  <c r="AO824" i="1"/>
  <c r="AO878" i="1"/>
  <c r="AO870" i="1"/>
  <c r="AO862" i="1"/>
  <c r="AO854" i="1"/>
  <c r="AO846" i="1"/>
  <c r="AO838" i="1"/>
  <c r="AO830" i="1"/>
  <c r="AO822" i="1"/>
  <c r="AO877" i="1"/>
  <c r="AO869" i="1"/>
  <c r="AO861" i="1"/>
  <c r="AO853" i="1"/>
  <c r="AO845" i="1"/>
  <c r="AO837" i="1"/>
  <c r="AO829" i="1"/>
  <c r="AO821" i="1"/>
  <c r="AO855" i="1"/>
  <c r="AQ985" i="1"/>
  <c r="AR1050" i="1"/>
  <c r="AS1115" i="1"/>
  <c r="AT1180" i="1"/>
  <c r="AU1245" i="1"/>
  <c r="AP885" i="1"/>
  <c r="AP943" i="1"/>
  <c r="AP935" i="1"/>
  <c r="AP927" i="1"/>
  <c r="AP919" i="1"/>
  <c r="AP911" i="1"/>
  <c r="AP903" i="1"/>
  <c r="AP895" i="1"/>
  <c r="AP887" i="1"/>
  <c r="AP942" i="1"/>
  <c r="AP934" i="1"/>
  <c r="AP926" i="1"/>
  <c r="AP918" i="1"/>
  <c r="AP910" i="1"/>
  <c r="AP902" i="1"/>
  <c r="AP894" i="1"/>
  <c r="AP886" i="1"/>
  <c r="AP949" i="1"/>
  <c r="AP941" i="1"/>
  <c r="AP933" i="1"/>
  <c r="AP925" i="1"/>
  <c r="AP917" i="1"/>
  <c r="AP909" i="1"/>
  <c r="AP901" i="1"/>
  <c r="AP893" i="1"/>
  <c r="AP948" i="1"/>
  <c r="AP940" i="1"/>
  <c r="AP932" i="1"/>
  <c r="AP924" i="1"/>
  <c r="AP916" i="1"/>
  <c r="AP908" i="1"/>
  <c r="AP900" i="1"/>
  <c r="AP892" i="1"/>
  <c r="AP947" i="1"/>
  <c r="AP939" i="1"/>
  <c r="AP931" i="1"/>
  <c r="AP923" i="1"/>
  <c r="AP915" i="1"/>
  <c r="AP907" i="1"/>
  <c r="AP899" i="1"/>
  <c r="AP891" i="1"/>
  <c r="AP945" i="1"/>
  <c r="AP937" i="1"/>
  <c r="AP929" i="1"/>
  <c r="AP921" i="1"/>
  <c r="AP913" i="1"/>
  <c r="AP905" i="1"/>
  <c r="AP897" i="1"/>
  <c r="AP889" i="1"/>
  <c r="AP944" i="1"/>
  <c r="AP936" i="1"/>
  <c r="AP928" i="1"/>
  <c r="AP920" i="1"/>
  <c r="AP912" i="1"/>
  <c r="AP904" i="1"/>
  <c r="AP896" i="1"/>
  <c r="AP888" i="1"/>
  <c r="AV1339" i="1"/>
  <c r="AV1331" i="1"/>
  <c r="AV1323" i="1"/>
  <c r="AV1315" i="1"/>
  <c r="AV1307" i="1"/>
  <c r="AV1299" i="1"/>
  <c r="AV1291" i="1"/>
  <c r="AV1283" i="1"/>
  <c r="AV1338" i="1"/>
  <c r="AV1330" i="1"/>
  <c r="AV1322" i="1"/>
  <c r="AV1314" i="1"/>
  <c r="AV1306" i="1"/>
  <c r="AV1298" i="1"/>
  <c r="AV1290" i="1"/>
  <c r="AV1282" i="1"/>
  <c r="AV1337" i="1"/>
  <c r="AV1329" i="1"/>
  <c r="AV1321" i="1"/>
  <c r="AV1313" i="1"/>
  <c r="AV1305" i="1"/>
  <c r="AV1297" i="1"/>
  <c r="AV1289" i="1"/>
  <c r="AV1281" i="1"/>
  <c r="AV1336" i="1"/>
  <c r="AV1328" i="1"/>
  <c r="AV1320" i="1"/>
  <c r="AV1312" i="1"/>
  <c r="AV1304" i="1"/>
  <c r="AV1296" i="1"/>
  <c r="AV1288" i="1"/>
  <c r="AV1280" i="1"/>
  <c r="AV1335" i="1"/>
  <c r="AV1327" i="1"/>
  <c r="AV1319" i="1"/>
  <c r="AV1311" i="1"/>
  <c r="AV1303" i="1"/>
  <c r="AV1295" i="1"/>
  <c r="AV1287" i="1"/>
  <c r="AV1279" i="1"/>
  <c r="AV1333" i="1"/>
  <c r="AV1325" i="1"/>
  <c r="AV1317" i="1"/>
  <c r="AV1309" i="1"/>
  <c r="AV1301" i="1"/>
  <c r="AV1293" i="1"/>
  <c r="AV1285" i="1"/>
  <c r="AV1277" i="1"/>
  <c r="AM1298" i="1"/>
  <c r="AV1332" i="1"/>
  <c r="AV1324" i="1"/>
  <c r="AV1316" i="1"/>
  <c r="AV1308" i="1"/>
  <c r="AV1300" i="1"/>
  <c r="AV1292" i="1"/>
  <c r="AV1284" i="1"/>
  <c r="AV1276" i="1"/>
  <c r="AM1330" i="1"/>
  <c r="AO863" i="1"/>
  <c r="AP930" i="1"/>
  <c r="AQ993" i="1"/>
  <c r="AR1058" i="1"/>
  <c r="AS1123" i="1"/>
  <c r="AT1188" i="1"/>
  <c r="AU1253" i="1"/>
  <c r="AV1318" i="1"/>
  <c r="AM1091" i="1"/>
  <c r="AU1270" i="1"/>
  <c r="AO871" i="1"/>
  <c r="AP938" i="1"/>
  <c r="AU1261" i="1"/>
  <c r="AV1326" i="1"/>
  <c r="AM1306" i="1"/>
  <c r="AT1209" i="1"/>
  <c r="AT1201" i="1"/>
  <c r="AT1193" i="1"/>
  <c r="AT1185" i="1"/>
  <c r="AT1177" i="1"/>
  <c r="AT1169" i="1"/>
  <c r="AT1161" i="1"/>
  <c r="AT1153" i="1"/>
  <c r="AT1208" i="1"/>
  <c r="AT1200" i="1"/>
  <c r="AT1192" i="1"/>
  <c r="AT1184" i="1"/>
  <c r="AT1176" i="1"/>
  <c r="AT1168" i="1"/>
  <c r="AT1160" i="1"/>
  <c r="AT1152" i="1"/>
  <c r="AT1207" i="1"/>
  <c r="AT1199" i="1"/>
  <c r="AT1191" i="1"/>
  <c r="AT1183" i="1"/>
  <c r="AT1175" i="1"/>
  <c r="AT1167" i="1"/>
  <c r="AT1159" i="1"/>
  <c r="AT1151" i="1"/>
  <c r="AT1206" i="1"/>
  <c r="AT1198" i="1"/>
  <c r="AT1190" i="1"/>
  <c r="AT1182" i="1"/>
  <c r="AT1174" i="1"/>
  <c r="AT1166" i="1"/>
  <c r="AT1158" i="1"/>
  <c r="AT1150" i="1"/>
  <c r="AM1155" i="1"/>
  <c r="AT1205" i="1"/>
  <c r="AT1197" i="1"/>
  <c r="AT1189" i="1"/>
  <c r="AT1181" i="1"/>
  <c r="AT1173" i="1"/>
  <c r="AT1165" i="1"/>
  <c r="AT1157" i="1"/>
  <c r="AT1149" i="1"/>
  <c r="AT1203" i="1"/>
  <c r="AT1195" i="1"/>
  <c r="AT1187" i="1"/>
  <c r="AT1179" i="1"/>
  <c r="AT1171" i="1"/>
  <c r="AT1163" i="1"/>
  <c r="AT1155" i="1"/>
  <c r="AT1147" i="1"/>
  <c r="AT1202" i="1"/>
  <c r="AT1194" i="1"/>
  <c r="AT1186" i="1"/>
  <c r="AT1178" i="1"/>
  <c r="AT1170" i="1"/>
  <c r="AT1162" i="1"/>
  <c r="AT1154" i="1"/>
  <c r="AT1146" i="1"/>
  <c r="AM1116" i="1"/>
  <c r="AM1051" i="1"/>
  <c r="AM1058" i="1"/>
  <c r="AM1026" i="1"/>
  <c r="AM985" i="1"/>
  <c r="AM992" i="1"/>
  <c r="AM960" i="1"/>
  <c r="AM944" i="1"/>
  <c r="AO879" i="1"/>
  <c r="AP946" i="1"/>
  <c r="AQ1009" i="1"/>
  <c r="AR1074" i="1"/>
  <c r="AS1139" i="1"/>
  <c r="AT1204" i="1"/>
  <c r="AV1334" i="1"/>
  <c r="AQ951" i="1"/>
  <c r="AQ959" i="1"/>
  <c r="AQ967" i="1"/>
  <c r="AQ975" i="1"/>
  <c r="AQ983" i="1"/>
  <c r="AQ991" i="1"/>
  <c r="AQ999" i="1"/>
  <c r="AQ1007" i="1"/>
  <c r="AR1016" i="1"/>
  <c r="AR1024" i="1"/>
  <c r="AR1032" i="1"/>
  <c r="AR1040" i="1"/>
  <c r="AR1048" i="1"/>
  <c r="AR1056" i="1"/>
  <c r="AR1064" i="1"/>
  <c r="AR1072" i="1"/>
  <c r="AS1081" i="1"/>
  <c r="AS1089" i="1"/>
  <c r="AS1097" i="1"/>
  <c r="AS1105" i="1"/>
  <c r="AS1113" i="1"/>
  <c r="AS1121" i="1"/>
  <c r="AS1129" i="1"/>
  <c r="AS1137" i="1"/>
  <c r="AU1211" i="1"/>
  <c r="AU1219" i="1"/>
  <c r="AU1227" i="1"/>
  <c r="AU1235" i="1"/>
  <c r="AU1243" i="1"/>
  <c r="AU1251" i="1"/>
  <c r="AU1259" i="1"/>
  <c r="AU1267" i="1"/>
  <c r="AQ952" i="1"/>
  <c r="AQ960" i="1"/>
  <c r="AQ968" i="1"/>
  <c r="AQ976" i="1"/>
  <c r="AQ984" i="1"/>
  <c r="AQ992" i="1"/>
  <c r="AQ1000" i="1"/>
  <c r="AQ1008" i="1"/>
  <c r="AR1017" i="1"/>
  <c r="AR1025" i="1"/>
  <c r="AR1033" i="1"/>
  <c r="AR1041" i="1"/>
  <c r="AR1049" i="1"/>
  <c r="AR1057" i="1"/>
  <c r="AR1065" i="1"/>
  <c r="AR1073" i="1"/>
  <c r="AS1082" i="1"/>
  <c r="AS1090" i="1"/>
  <c r="AS1098" i="1"/>
  <c r="AS1106" i="1"/>
  <c r="AS1114" i="1"/>
  <c r="AS1122" i="1"/>
  <c r="AS1130" i="1"/>
  <c r="AS1138" i="1"/>
  <c r="AU1212" i="1"/>
  <c r="AU1220" i="1"/>
  <c r="AU1228" i="1"/>
  <c r="AU1236" i="1"/>
  <c r="AU1244" i="1"/>
  <c r="AU1252" i="1"/>
  <c r="AU1260" i="1"/>
  <c r="AU1268" i="1"/>
  <c r="AQ954" i="1"/>
  <c r="AQ962" i="1"/>
  <c r="AQ970" i="1"/>
  <c r="AQ978" i="1"/>
  <c r="AQ986" i="1"/>
  <c r="AQ994" i="1"/>
  <c r="AQ1002" i="1"/>
  <c r="AQ1010" i="1"/>
  <c r="AR1019" i="1"/>
  <c r="AR1027" i="1"/>
  <c r="AR1035" i="1"/>
  <c r="AR1043" i="1"/>
  <c r="AR1051" i="1"/>
  <c r="AR1059" i="1"/>
  <c r="AR1067" i="1"/>
  <c r="AR1075" i="1"/>
  <c r="AS1084" i="1"/>
  <c r="AS1092" i="1"/>
  <c r="AS1100" i="1"/>
  <c r="AS1108" i="1"/>
  <c r="AS1116" i="1"/>
  <c r="AS1124" i="1"/>
  <c r="AS1132" i="1"/>
  <c r="AS1140" i="1"/>
  <c r="AU1214" i="1"/>
  <c r="AU1222" i="1"/>
  <c r="AU1230" i="1"/>
  <c r="AU1238" i="1"/>
  <c r="AU1246" i="1"/>
  <c r="AU1254" i="1"/>
  <c r="AU1262" i="1"/>
  <c r="AM1297" i="1"/>
  <c r="AM1262" i="1"/>
  <c r="AM1156" i="1"/>
  <c r="AM1092" i="1"/>
  <c r="AM1059" i="1"/>
  <c r="AM961" i="1"/>
  <c r="AM897" i="1"/>
  <c r="AQ955" i="1"/>
  <c r="AQ963" i="1"/>
  <c r="AQ971" i="1"/>
  <c r="AQ979" i="1"/>
  <c r="AQ987" i="1"/>
  <c r="AQ995" i="1"/>
  <c r="AQ1003" i="1"/>
  <c r="AQ1011" i="1"/>
  <c r="AR1020" i="1"/>
  <c r="AR1028" i="1"/>
  <c r="AR1036" i="1"/>
  <c r="AR1044" i="1"/>
  <c r="AR1052" i="1"/>
  <c r="AR1060" i="1"/>
  <c r="AR1068" i="1"/>
  <c r="AR1076" i="1"/>
  <c r="AS1085" i="1"/>
  <c r="AS1093" i="1"/>
  <c r="AS1101" i="1"/>
  <c r="AS1109" i="1"/>
  <c r="AS1117" i="1"/>
  <c r="AS1125" i="1"/>
  <c r="AS1133" i="1"/>
  <c r="AS1141" i="1"/>
  <c r="AU1215" i="1"/>
  <c r="AU1223" i="1"/>
  <c r="AU1231" i="1"/>
  <c r="AU1239" i="1"/>
  <c r="AU1247" i="1"/>
  <c r="AU1255" i="1"/>
  <c r="AU1263" i="1"/>
  <c r="AU1271" i="1"/>
  <c r="AQ956" i="1"/>
  <c r="AQ964" i="1"/>
  <c r="AQ972" i="1"/>
  <c r="AQ980" i="1"/>
  <c r="AQ988" i="1"/>
  <c r="AQ996" i="1"/>
  <c r="AQ1004" i="1"/>
  <c r="AQ1012" i="1"/>
  <c r="AR1021" i="1"/>
  <c r="AR1029" i="1"/>
  <c r="AR1037" i="1"/>
  <c r="AR1045" i="1"/>
  <c r="AR1053" i="1"/>
  <c r="AR1061" i="1"/>
  <c r="AR1069" i="1"/>
  <c r="AR1077" i="1"/>
  <c r="AS1086" i="1"/>
  <c r="AS1094" i="1"/>
  <c r="AS1102" i="1"/>
  <c r="AS1110" i="1"/>
  <c r="AS1118" i="1"/>
  <c r="AS1126" i="1"/>
  <c r="AS1134" i="1"/>
  <c r="AS1142" i="1"/>
  <c r="AU1216" i="1"/>
  <c r="AU1224" i="1"/>
  <c r="AU1232" i="1"/>
  <c r="AU1240" i="1"/>
  <c r="AU1248" i="1"/>
  <c r="AU1256" i="1"/>
  <c r="AU1264" i="1"/>
  <c r="AU1272" i="1"/>
  <c r="AM1221" i="1"/>
  <c r="AQ957" i="1"/>
  <c r="AQ965" i="1"/>
  <c r="AQ973" i="1"/>
  <c r="AQ981" i="1"/>
  <c r="AQ989" i="1"/>
  <c r="AQ997" i="1"/>
  <c r="AQ1005" i="1"/>
  <c r="AQ1013" i="1"/>
  <c r="AR1022" i="1"/>
  <c r="AR1030" i="1"/>
  <c r="AR1038" i="1"/>
  <c r="AR1046" i="1"/>
  <c r="AR1054" i="1"/>
  <c r="AR1062" i="1"/>
  <c r="AR1070" i="1"/>
  <c r="AR1078" i="1"/>
  <c r="AS1087" i="1"/>
  <c r="AS1095" i="1"/>
  <c r="AS1103" i="1"/>
  <c r="AS1111" i="1"/>
  <c r="AS1119" i="1"/>
  <c r="AS1127" i="1"/>
  <c r="AS1135" i="1"/>
  <c r="AS1143" i="1"/>
  <c r="AU1217" i="1"/>
  <c r="AU1225" i="1"/>
  <c r="AU1233" i="1"/>
  <c r="AU1241" i="1"/>
  <c r="AU1249" i="1"/>
  <c r="AU1257" i="1"/>
  <c r="AU1265" i="1"/>
  <c r="AU1273" i="1"/>
  <c r="AM1253" i="1"/>
  <c r="AQ958" i="1"/>
  <c r="AQ966" i="1"/>
  <c r="AQ974" i="1"/>
  <c r="AQ982" i="1"/>
  <c r="AQ990" i="1"/>
  <c r="AQ998" i="1"/>
  <c r="AQ1006" i="1"/>
  <c r="AR1023" i="1"/>
  <c r="AR1031" i="1"/>
  <c r="AR1039" i="1"/>
  <c r="AR1047" i="1"/>
  <c r="AR1055" i="1"/>
  <c r="AR1063" i="1"/>
  <c r="AR1071" i="1"/>
  <c r="AS1088" i="1"/>
  <c r="AS1096" i="1"/>
  <c r="AS1104" i="1"/>
  <c r="AS1112" i="1"/>
  <c r="AS1120" i="1"/>
  <c r="AS1128" i="1"/>
  <c r="AS1136" i="1"/>
  <c r="AU1218" i="1"/>
  <c r="AU1226" i="1"/>
  <c r="AU1234" i="1"/>
  <c r="AU1242" i="1"/>
  <c r="AU1250" i="1"/>
  <c r="AU1258" i="1"/>
  <c r="AU1266" i="1"/>
  <c r="AU1274" i="1"/>
  <c r="AM929" i="1"/>
  <c r="AM1188" i="1"/>
  <c r="AM1208" i="1"/>
  <c r="AM1200" i="1"/>
  <c r="AM1192" i="1"/>
  <c r="AM1184" i="1"/>
  <c r="AM1176" i="1"/>
  <c r="AM1168" i="1"/>
  <c r="AM1160" i="1"/>
  <c r="AM1152" i="1"/>
  <c r="AM1207" i="1"/>
  <c r="AM1199" i="1"/>
  <c r="AM1191" i="1"/>
  <c r="AM1183" i="1"/>
  <c r="AM1175" i="1"/>
  <c r="AM1167" i="1"/>
  <c r="AM1159" i="1"/>
  <c r="AM1151" i="1"/>
  <c r="AM1206" i="1"/>
  <c r="AM1198" i="1"/>
  <c r="AM1190" i="1"/>
  <c r="AM1174" i="1"/>
  <c r="AM1166" i="1"/>
  <c r="AM1158" i="1"/>
  <c r="AM1182" i="1"/>
  <c r="AM1205" i="1"/>
  <c r="AM1197" i="1"/>
  <c r="AM1189" i="1"/>
  <c r="AM1181" i="1"/>
  <c r="AM1173" i="1"/>
  <c r="AM1165" i="1"/>
  <c r="AM1157" i="1"/>
  <c r="AM1149" i="1"/>
  <c r="AM1202" i="1"/>
  <c r="AM1194" i="1"/>
  <c r="AM1186" i="1"/>
  <c r="AM1178" i="1"/>
  <c r="AM1170" i="1"/>
  <c r="AM1162" i="1"/>
  <c r="AM1154" i="1"/>
  <c r="AM1146" i="1"/>
  <c r="AM1201" i="1"/>
  <c r="AM1193" i="1"/>
  <c r="AM1185" i="1"/>
  <c r="AM1177" i="1"/>
  <c r="AM1169" i="1"/>
  <c r="AM1161" i="1"/>
  <c r="AM1153" i="1"/>
  <c r="AM1209" i="1"/>
  <c r="AM1150" i="1"/>
  <c r="AM888" i="1"/>
  <c r="AM920" i="1"/>
  <c r="AM952" i="1"/>
  <c r="AM984" i="1"/>
  <c r="AM1018" i="1"/>
  <c r="AM1050" i="1"/>
  <c r="AM1083" i="1"/>
  <c r="AM1115" i="1"/>
  <c r="AM1147" i="1"/>
  <c r="AM1179" i="1"/>
  <c r="AM1213" i="1"/>
  <c r="AM1245" i="1"/>
  <c r="AM1338" i="1"/>
  <c r="AM1124" i="1"/>
  <c r="AM1277" i="1"/>
  <c r="AM1285" i="1"/>
  <c r="AM1293" i="1"/>
  <c r="AM1301" i="1"/>
  <c r="AM1309" i="1"/>
  <c r="AM1317" i="1"/>
  <c r="AM1325" i="1"/>
  <c r="AM1333" i="1"/>
  <c r="AM1278" i="1"/>
  <c r="AM1286" i="1"/>
  <c r="AM1294" i="1"/>
  <c r="AM1302" i="1"/>
  <c r="AM1310" i="1"/>
  <c r="AM1318" i="1"/>
  <c r="AM1326" i="1"/>
  <c r="AM1334" i="1"/>
  <c r="AM1311" i="1"/>
  <c r="AM1319" i="1"/>
  <c r="AM1327" i="1"/>
  <c r="AM1335" i="1"/>
  <c r="AM1279" i="1"/>
  <c r="AM1287" i="1"/>
  <c r="AM1295" i="1"/>
  <c r="AM1303" i="1"/>
  <c r="AM1280" i="1"/>
  <c r="AM1288" i="1"/>
  <c r="AM1296" i="1"/>
  <c r="AM1304" i="1"/>
  <c r="AM1312" i="1"/>
  <c r="AM1320" i="1"/>
  <c r="AM1328" i="1"/>
  <c r="AM1336" i="1"/>
  <c r="AM1283" i="1"/>
  <c r="AM1291" i="1"/>
  <c r="AM1299" i="1"/>
  <c r="AM1307" i="1"/>
  <c r="AM1315" i="1"/>
  <c r="AM1323" i="1"/>
  <c r="AM1331" i="1"/>
  <c r="AM1339" i="1"/>
  <c r="AM1284" i="1"/>
  <c r="AM1292" i="1"/>
  <c r="AM1300" i="1"/>
  <c r="AM1308" i="1"/>
  <c r="AM1316" i="1"/>
  <c r="AM1324" i="1"/>
  <c r="AM1332" i="1"/>
  <c r="AM1276" i="1"/>
  <c r="AM889" i="1"/>
  <c r="AM921" i="1"/>
  <c r="AM953" i="1"/>
  <c r="AM1019" i="1"/>
  <c r="AM1084" i="1"/>
  <c r="AM1148" i="1"/>
  <c r="AM1180" i="1"/>
  <c r="AM1214" i="1"/>
  <c r="AM1246" i="1"/>
  <c r="AM1337" i="1"/>
  <c r="AM1305" i="1"/>
  <c r="AM1027" i="1"/>
  <c r="AM1254" i="1"/>
  <c r="AM1079" i="1"/>
  <c r="AM1071" i="1"/>
  <c r="AM1063" i="1"/>
  <c r="AM1055" i="1"/>
  <c r="AM1047" i="1"/>
  <c r="AM1039" i="1"/>
  <c r="AM1031" i="1"/>
  <c r="AM1023" i="1"/>
  <c r="AM1053" i="1"/>
  <c r="AM1078" i="1"/>
  <c r="AM1070" i="1"/>
  <c r="AM1062" i="1"/>
  <c r="AM1054" i="1"/>
  <c r="AM1046" i="1"/>
  <c r="AM1038" i="1"/>
  <c r="AM1030" i="1"/>
  <c r="AM1022" i="1"/>
  <c r="AM1077" i="1"/>
  <c r="AM1045" i="1"/>
  <c r="AM1021" i="1"/>
  <c r="AM1061" i="1"/>
  <c r="AM1076" i="1"/>
  <c r="AM1068" i="1"/>
  <c r="AM1060" i="1"/>
  <c r="AM1052" i="1"/>
  <c r="AM1044" i="1"/>
  <c r="AM1036" i="1"/>
  <c r="AM1028" i="1"/>
  <c r="AM1020" i="1"/>
  <c r="AM1073" i="1"/>
  <c r="AM1065" i="1"/>
  <c r="AM1057" i="1"/>
  <c r="AM1049" i="1"/>
  <c r="AM1041" i="1"/>
  <c r="AM1033" i="1"/>
  <c r="AM1025" i="1"/>
  <c r="AM1017" i="1"/>
  <c r="AM1069" i="1"/>
  <c r="AM1029" i="1"/>
  <c r="AM1072" i="1"/>
  <c r="AM1064" i="1"/>
  <c r="AM1056" i="1"/>
  <c r="AM1048" i="1"/>
  <c r="AM1040" i="1"/>
  <c r="AM1032" i="1"/>
  <c r="AM1024" i="1"/>
  <c r="AM1016" i="1"/>
  <c r="AM1037" i="1"/>
  <c r="AM1013" i="1"/>
  <c r="AM1005" i="1"/>
  <c r="AM997" i="1"/>
  <c r="AM989" i="1"/>
  <c r="AM981" i="1"/>
  <c r="AM973" i="1"/>
  <c r="AM965" i="1"/>
  <c r="AM957" i="1"/>
  <c r="AM1011" i="1"/>
  <c r="AM971" i="1"/>
  <c r="AM1012" i="1"/>
  <c r="AM1004" i="1"/>
  <c r="AM996" i="1"/>
  <c r="AM988" i="1"/>
  <c r="AM980" i="1"/>
  <c r="AM972" i="1"/>
  <c r="AM964" i="1"/>
  <c r="AM956" i="1"/>
  <c r="AM979" i="1"/>
  <c r="AM1003" i="1"/>
  <c r="AM963" i="1"/>
  <c r="AM1010" i="1"/>
  <c r="AM1002" i="1"/>
  <c r="AM994" i="1"/>
  <c r="AM986" i="1"/>
  <c r="AM978" i="1"/>
  <c r="AM970" i="1"/>
  <c r="AM962" i="1"/>
  <c r="AM954" i="1"/>
  <c r="AM1007" i="1"/>
  <c r="AM999" i="1"/>
  <c r="AM991" i="1"/>
  <c r="AM983" i="1"/>
  <c r="AM975" i="1"/>
  <c r="AM967" i="1"/>
  <c r="AM959" i="1"/>
  <c r="AM951" i="1"/>
  <c r="AM995" i="1"/>
  <c r="AM955" i="1"/>
  <c r="AM1006" i="1"/>
  <c r="AM998" i="1"/>
  <c r="AM990" i="1"/>
  <c r="AM982" i="1"/>
  <c r="AM974" i="1"/>
  <c r="AM966" i="1"/>
  <c r="AM958" i="1"/>
  <c r="AM1014" i="1"/>
  <c r="AM987" i="1"/>
  <c r="AM853" i="1"/>
  <c r="AM993" i="1"/>
  <c r="AM1222" i="1"/>
  <c r="AM1144" i="1"/>
  <c r="AM1136" i="1"/>
  <c r="AM1128" i="1"/>
  <c r="AM1120" i="1"/>
  <c r="AM1112" i="1"/>
  <c r="AM1104" i="1"/>
  <c r="AM1096" i="1"/>
  <c r="AM1088" i="1"/>
  <c r="AM1126" i="1"/>
  <c r="AM1143" i="1"/>
  <c r="AM1135" i="1"/>
  <c r="AM1127" i="1"/>
  <c r="AM1119" i="1"/>
  <c r="AM1111" i="1"/>
  <c r="AM1103" i="1"/>
  <c r="AM1095" i="1"/>
  <c r="AM1087" i="1"/>
  <c r="AM1134" i="1"/>
  <c r="AM1118" i="1"/>
  <c r="AM1102" i="1"/>
  <c r="AM1094" i="1"/>
  <c r="AM1110" i="1"/>
  <c r="AM1141" i="1"/>
  <c r="AM1133" i="1"/>
  <c r="AM1125" i="1"/>
  <c r="AM1117" i="1"/>
  <c r="AM1109" i="1"/>
  <c r="AM1101" i="1"/>
  <c r="AM1093" i="1"/>
  <c r="AM1085" i="1"/>
  <c r="AM1138" i="1"/>
  <c r="AM1130" i="1"/>
  <c r="AM1122" i="1"/>
  <c r="AM1114" i="1"/>
  <c r="AM1106" i="1"/>
  <c r="AM1098" i="1"/>
  <c r="AM1090" i="1"/>
  <c r="AM1082" i="1"/>
  <c r="AM1142" i="1"/>
  <c r="AM1137" i="1"/>
  <c r="AM1129" i="1"/>
  <c r="AM1121" i="1"/>
  <c r="AM1113" i="1"/>
  <c r="AM1105" i="1"/>
  <c r="AM1097" i="1"/>
  <c r="AM1089" i="1"/>
  <c r="AM1081" i="1"/>
  <c r="AM1086" i="1"/>
  <c r="AM904" i="1"/>
  <c r="AM936" i="1"/>
  <c r="AM968" i="1"/>
  <c r="AM1000" i="1"/>
  <c r="AM1034" i="1"/>
  <c r="AM1066" i="1"/>
  <c r="AM1099" i="1"/>
  <c r="AM1131" i="1"/>
  <c r="AM1163" i="1"/>
  <c r="AM1195" i="1"/>
  <c r="AM1229" i="1"/>
  <c r="AM1261" i="1"/>
  <c r="AM1322" i="1"/>
  <c r="AM1290" i="1"/>
  <c r="AM1329" i="1"/>
  <c r="AM905" i="1"/>
  <c r="AM937" i="1"/>
  <c r="AM969" i="1"/>
  <c r="AM1001" i="1"/>
  <c r="AM1035" i="1"/>
  <c r="AM1067" i="1"/>
  <c r="AM1100" i="1"/>
  <c r="AM1132" i="1"/>
  <c r="AM1164" i="1"/>
  <c r="AM1196" i="1"/>
  <c r="AM1230" i="1"/>
  <c r="AM1321" i="1"/>
  <c r="AM1289" i="1"/>
  <c r="AM1274" i="1"/>
  <c r="AM1266" i="1"/>
  <c r="AM1258" i="1"/>
  <c r="AM1250" i="1"/>
  <c r="AM1242" i="1"/>
  <c r="AM1234" i="1"/>
  <c r="AM1226" i="1"/>
  <c r="AM1218" i="1"/>
  <c r="AM1273" i="1"/>
  <c r="AM1265" i="1"/>
  <c r="AM1257" i="1"/>
  <c r="AM1249" i="1"/>
  <c r="AM1241" i="1"/>
  <c r="AM1233" i="1"/>
  <c r="AM1225" i="1"/>
  <c r="AM1217" i="1"/>
  <c r="AM1272" i="1"/>
  <c r="AM1264" i="1"/>
  <c r="AM1256" i="1"/>
  <c r="AM1248" i="1"/>
  <c r="AM1240" i="1"/>
  <c r="AM1232" i="1"/>
  <c r="AM1224" i="1"/>
  <c r="AM1216" i="1"/>
  <c r="AM1271" i="1"/>
  <c r="AM1263" i="1"/>
  <c r="AM1255" i="1"/>
  <c r="AM1247" i="1"/>
  <c r="AM1239" i="1"/>
  <c r="AM1231" i="1"/>
  <c r="AM1223" i="1"/>
  <c r="AM1215" i="1"/>
  <c r="AM1268" i="1"/>
  <c r="AM1260" i="1"/>
  <c r="AM1252" i="1"/>
  <c r="AM1244" i="1"/>
  <c r="AM1236" i="1"/>
  <c r="AM1228" i="1"/>
  <c r="AM1220" i="1"/>
  <c r="AM1212" i="1"/>
  <c r="AM1267" i="1"/>
  <c r="AM1259" i="1"/>
  <c r="AM1251" i="1"/>
  <c r="AM1243" i="1"/>
  <c r="AM1235" i="1"/>
  <c r="AM1227" i="1"/>
  <c r="AM1219" i="1"/>
  <c r="AM1211" i="1"/>
  <c r="AM912" i="1"/>
  <c r="AM976" i="1"/>
  <c r="AM1008" i="1"/>
  <c r="AM1042" i="1"/>
  <c r="AM1074" i="1"/>
  <c r="AM1107" i="1"/>
  <c r="AM1139" i="1"/>
  <c r="AM1171" i="1"/>
  <c r="AM1203" i="1"/>
  <c r="AM1237" i="1"/>
  <c r="AM1269" i="1"/>
  <c r="AM1314" i="1"/>
  <c r="AM1282" i="1"/>
  <c r="AM949" i="1"/>
  <c r="AM941" i="1"/>
  <c r="AM933" i="1"/>
  <c r="AM925" i="1"/>
  <c r="AM917" i="1"/>
  <c r="AM909" i="1"/>
  <c r="AM901" i="1"/>
  <c r="AM893" i="1"/>
  <c r="AM885" i="1"/>
  <c r="AM923" i="1"/>
  <c r="AM948" i="1"/>
  <c r="AM940" i="1"/>
  <c r="AM932" i="1"/>
  <c r="AM924" i="1"/>
  <c r="AM916" i="1"/>
  <c r="AM908" i="1"/>
  <c r="AM900" i="1"/>
  <c r="AM892" i="1"/>
  <c r="AM947" i="1"/>
  <c r="AM907" i="1"/>
  <c r="AM915" i="1"/>
  <c r="AM946" i="1"/>
  <c r="AM938" i="1"/>
  <c r="AM930" i="1"/>
  <c r="AM922" i="1"/>
  <c r="AM914" i="1"/>
  <c r="AM906" i="1"/>
  <c r="AM898" i="1"/>
  <c r="AM890" i="1"/>
  <c r="AM943" i="1"/>
  <c r="AM935" i="1"/>
  <c r="AM927" i="1"/>
  <c r="AM919" i="1"/>
  <c r="AM911" i="1"/>
  <c r="AM903" i="1"/>
  <c r="AM895" i="1"/>
  <c r="AM887" i="1"/>
  <c r="AM931" i="1"/>
  <c r="AM899" i="1"/>
  <c r="AM942" i="1"/>
  <c r="AM934" i="1"/>
  <c r="AM926" i="1"/>
  <c r="AM918" i="1"/>
  <c r="AM910" i="1"/>
  <c r="AM902" i="1"/>
  <c r="AM894" i="1"/>
  <c r="AM886" i="1"/>
  <c r="AM939" i="1"/>
  <c r="AM891" i="1"/>
  <c r="AM913" i="1"/>
  <c r="AM945" i="1"/>
  <c r="AM977" i="1"/>
  <c r="AM1009" i="1"/>
  <c r="AM1043" i="1"/>
  <c r="AM1075" i="1"/>
  <c r="AM1108" i="1"/>
  <c r="AM1140" i="1"/>
  <c r="AM1172" i="1"/>
  <c r="AM1204" i="1"/>
  <c r="AM1238" i="1"/>
  <c r="AM1270" i="1"/>
  <c r="AM1313" i="1"/>
  <c r="AM1281" i="1"/>
  <c r="AM884" i="1"/>
  <c r="AM821" i="1"/>
  <c r="AM829" i="1"/>
  <c r="AM869" i="1"/>
  <c r="AM822" i="1"/>
  <c r="AM838" i="1"/>
  <c r="AM870" i="1"/>
  <c r="AM823" i="1"/>
  <c r="AM839" i="1"/>
  <c r="AM855" i="1"/>
  <c r="AM863" i="1"/>
  <c r="AM871" i="1"/>
  <c r="AM879" i="1"/>
  <c r="AM824" i="1"/>
  <c r="AM832" i="1"/>
  <c r="AM840" i="1"/>
  <c r="AM848" i="1"/>
  <c r="AM856" i="1"/>
  <c r="AM864" i="1"/>
  <c r="AM872" i="1"/>
  <c r="AM880" i="1"/>
  <c r="AM877" i="1"/>
  <c r="AM846" i="1"/>
  <c r="AM825" i="1"/>
  <c r="AM833" i="1"/>
  <c r="AM841" i="1"/>
  <c r="AM849" i="1"/>
  <c r="AM857" i="1"/>
  <c r="AM865" i="1"/>
  <c r="AM873" i="1"/>
  <c r="AM881" i="1"/>
  <c r="AM845" i="1"/>
  <c r="AM854" i="1"/>
  <c r="AM826" i="1"/>
  <c r="AM834" i="1"/>
  <c r="AM842" i="1"/>
  <c r="AM850" i="1"/>
  <c r="AM858" i="1"/>
  <c r="AM866" i="1"/>
  <c r="AM874" i="1"/>
  <c r="AM882" i="1"/>
  <c r="AM837" i="1"/>
  <c r="AM861" i="1"/>
  <c r="AM830" i="1"/>
  <c r="AM878" i="1"/>
  <c r="AM831" i="1"/>
  <c r="AM827" i="1"/>
  <c r="AM835" i="1"/>
  <c r="AM843" i="1"/>
  <c r="AM851" i="1"/>
  <c r="AM859" i="1"/>
  <c r="AM867" i="1"/>
  <c r="AM875" i="1"/>
  <c r="AM883" i="1"/>
  <c r="AM862" i="1"/>
  <c r="AM847" i="1"/>
  <c r="AM828" i="1"/>
  <c r="AM836" i="1"/>
  <c r="AM844" i="1"/>
  <c r="AM852" i="1"/>
  <c r="AM860" i="1"/>
  <c r="AM868" i="1"/>
  <c r="AM876" i="1"/>
  <c r="AM1357" i="1" l="1"/>
  <c r="AM1353" i="1"/>
  <c r="AM1346" i="1"/>
  <c r="AM1342" i="1"/>
  <c r="AM1344" i="1"/>
  <c r="AM1364" i="1"/>
  <c r="AM1349" i="1"/>
  <c r="AM1369" i="1"/>
  <c r="AM1359" i="1"/>
  <c r="AM1362" i="1"/>
  <c r="AM1356" i="1"/>
  <c r="AM1367" i="1"/>
  <c r="AM1361" i="1" l="1"/>
  <c r="AM1348" i="1"/>
  <c r="AM1345" i="1"/>
  <c r="AM1352" i="1"/>
  <c r="AM1366" i="1"/>
  <c r="AM1365" i="1"/>
  <c r="AM1370" i="1"/>
  <c r="AM1351" i="1"/>
  <c r="AM1341" i="1"/>
  <c r="AM1368" i="1"/>
  <c r="AM1358" i="1"/>
  <c r="AM1343" i="1"/>
  <c r="AM1360" i="1"/>
  <c r="AM1347" i="1"/>
  <c r="AM1355" i="1"/>
  <c r="AM1354" i="1"/>
  <c r="AM1363" i="1"/>
  <c r="AM1350" i="1"/>
  <c r="AW1342" i="1" l="1"/>
  <c r="AW1350" i="1"/>
  <c r="AW1358" i="1"/>
  <c r="AW1366" i="1"/>
  <c r="AW1374" i="1"/>
  <c r="AW1382" i="1"/>
  <c r="AW1390" i="1"/>
  <c r="AW1398" i="1"/>
  <c r="AW1343" i="1"/>
  <c r="AW1351" i="1"/>
  <c r="AW1359" i="1"/>
  <c r="AW1367" i="1"/>
  <c r="AW1375" i="1"/>
  <c r="AW1383" i="1"/>
  <c r="AW1391" i="1"/>
  <c r="AW1399" i="1"/>
  <c r="AW1344" i="1"/>
  <c r="AW1352" i="1"/>
  <c r="AW1360" i="1"/>
  <c r="AW1368" i="1"/>
  <c r="AW1376" i="1"/>
  <c r="AW1384" i="1"/>
  <c r="AW1392" i="1"/>
  <c r="AW1400" i="1"/>
  <c r="AW1345" i="1"/>
  <c r="AW1346" i="1"/>
  <c r="AW1354" i="1"/>
  <c r="AW1362" i="1"/>
  <c r="AW1370" i="1"/>
  <c r="AW1378" i="1"/>
  <c r="AW1386" i="1"/>
  <c r="AW1394" i="1"/>
  <c r="AW1402" i="1"/>
  <c r="AW1347" i="1"/>
  <c r="AW1355" i="1"/>
  <c r="AW1363" i="1"/>
  <c r="AW1371" i="1"/>
  <c r="AW1379" i="1"/>
  <c r="AW1387" i="1"/>
  <c r="AW1395" i="1"/>
  <c r="AW1403" i="1"/>
  <c r="AW1361" i="1"/>
  <c r="AW1377" i="1"/>
  <c r="AW1385" i="1"/>
  <c r="AW1401" i="1"/>
  <c r="AW1348" i="1"/>
  <c r="AW1356" i="1"/>
  <c r="AW1364" i="1"/>
  <c r="AW1372" i="1"/>
  <c r="AW1380" i="1"/>
  <c r="AW1388" i="1"/>
  <c r="AW1396" i="1"/>
  <c r="AW1404" i="1"/>
  <c r="AW1349" i="1"/>
  <c r="AW1357" i="1"/>
  <c r="AW1365" i="1"/>
  <c r="AW1373" i="1"/>
  <c r="AW1381" i="1"/>
  <c r="AW1389" i="1"/>
  <c r="AW1397" i="1"/>
  <c r="AW1341" i="1"/>
  <c r="AW1353" i="1"/>
  <c r="AW1369" i="1"/>
  <c r="AW1393" i="1"/>
  <c r="M1339" i="1"/>
  <c r="M1335" i="1"/>
  <c r="M1336" i="1"/>
  <c r="M1337" i="1"/>
  <c r="M1338" i="1"/>
  <c r="I269" i="1"/>
  <c r="J269" i="1"/>
  <c r="A274" i="6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3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V21" i="1"/>
  <c r="V22" i="1"/>
  <c r="V23" i="1"/>
  <c r="V24" i="1"/>
  <c r="V25" i="1"/>
  <c r="V26" i="1"/>
  <c r="V15" i="1"/>
  <c r="V16" i="1"/>
  <c r="V17" i="1"/>
  <c r="V18" i="1"/>
  <c r="V19" i="1"/>
  <c r="V2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3" i="1"/>
  <c r="V14" i="1" l="1"/>
  <c r="V13" i="1"/>
  <c r="V12" i="1"/>
  <c r="V11" i="1"/>
  <c r="V10" i="1"/>
  <c r="V9" i="1"/>
  <c r="V8" i="1"/>
  <c r="V7" i="1"/>
  <c r="V6" i="1"/>
  <c r="V5" i="1"/>
  <c r="V4" i="1"/>
  <c r="V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3" i="1"/>
  <c r="AA163" i="1" l="1"/>
  <c r="AA147" i="1"/>
  <c r="AA115" i="1"/>
  <c r="AA179" i="1"/>
  <c r="AA131" i="1"/>
  <c r="AA139" i="1"/>
  <c r="AA171" i="1"/>
  <c r="AA155" i="1"/>
  <c r="AA123" i="1"/>
  <c r="AA5" i="1"/>
  <c r="AA107" i="1"/>
  <c r="AA99" i="1"/>
  <c r="AA91" i="1"/>
  <c r="AA75" i="1"/>
  <c r="AA11" i="1"/>
  <c r="AA59" i="1"/>
  <c r="AA67" i="1"/>
  <c r="AA83" i="1"/>
  <c r="AA35" i="1"/>
  <c r="AA183" i="1"/>
  <c r="AA175" i="1"/>
  <c r="V187" i="1" s="1"/>
  <c r="AA167" i="1"/>
  <c r="AA159" i="1"/>
  <c r="V171" i="1" s="1"/>
  <c r="AA151" i="1"/>
  <c r="AA143" i="1"/>
  <c r="AA135" i="1"/>
  <c r="AA127" i="1"/>
  <c r="V139" i="1" s="1"/>
  <c r="AA119" i="1"/>
  <c r="V131" i="1" s="1"/>
  <c r="AA111" i="1"/>
  <c r="AA103" i="1"/>
  <c r="AA95" i="1"/>
  <c r="V107" i="1" s="1"/>
  <c r="AA87" i="1"/>
  <c r="AA79" i="1"/>
  <c r="V91" i="1" s="1"/>
  <c r="AA71" i="1"/>
  <c r="AA63" i="1"/>
  <c r="AA55" i="1"/>
  <c r="AA47" i="1"/>
  <c r="V59" i="1" s="1"/>
  <c r="AA39" i="1"/>
  <c r="AA31" i="1"/>
  <c r="AA23" i="1"/>
  <c r="AA15" i="1"/>
  <c r="AA7" i="1"/>
  <c r="AA43" i="1"/>
  <c r="AA182" i="1"/>
  <c r="AA174" i="1"/>
  <c r="AA166" i="1"/>
  <c r="AA158" i="1"/>
  <c r="AA150" i="1"/>
  <c r="AA142" i="1"/>
  <c r="AA134" i="1"/>
  <c r="AA126" i="1"/>
  <c r="AA118" i="1"/>
  <c r="AA110" i="1"/>
  <c r="AA102" i="1"/>
  <c r="AA94" i="1"/>
  <c r="AA86" i="1"/>
  <c r="AA78" i="1"/>
  <c r="AA70" i="1"/>
  <c r="AA62" i="1"/>
  <c r="AA54" i="1"/>
  <c r="AA46" i="1"/>
  <c r="AA38" i="1"/>
  <c r="AA30" i="1"/>
  <c r="AA22" i="1"/>
  <c r="AA14" i="1"/>
  <c r="AA6" i="1"/>
  <c r="V159" i="1"/>
  <c r="AA51" i="1"/>
  <c r="AA176" i="1"/>
  <c r="AA181" i="1"/>
  <c r="AA173" i="1"/>
  <c r="AA165" i="1"/>
  <c r="AA157" i="1"/>
  <c r="AA149" i="1"/>
  <c r="AA141" i="1"/>
  <c r="AA133" i="1"/>
  <c r="AA125" i="1"/>
  <c r="AA117" i="1"/>
  <c r="AA109" i="1"/>
  <c r="AA101" i="1"/>
  <c r="AA93" i="1"/>
  <c r="AA85" i="1"/>
  <c r="AA77" i="1"/>
  <c r="AA69" i="1"/>
  <c r="AA61" i="1"/>
  <c r="AA53" i="1"/>
  <c r="AA45" i="1"/>
  <c r="AA37" i="1"/>
  <c r="AA29" i="1"/>
  <c r="AA21" i="1"/>
  <c r="AA13" i="1"/>
  <c r="AA27" i="1"/>
  <c r="AA178" i="1"/>
  <c r="AA170" i="1"/>
  <c r="AA162" i="1"/>
  <c r="AA154" i="1"/>
  <c r="AA146" i="1"/>
  <c r="V158" i="1" s="1"/>
  <c r="AA138" i="1"/>
  <c r="V150" i="1" s="1"/>
  <c r="AA130" i="1"/>
  <c r="AA122" i="1"/>
  <c r="AA114" i="1"/>
  <c r="AA106" i="1"/>
  <c r="AA98" i="1"/>
  <c r="AA90" i="1"/>
  <c r="AA82" i="1"/>
  <c r="V94" i="1" s="1"/>
  <c r="AA74" i="1"/>
  <c r="V86" i="1" s="1"/>
  <c r="AA66" i="1"/>
  <c r="AA58" i="1"/>
  <c r="AA50" i="1"/>
  <c r="AA42" i="1"/>
  <c r="AA34" i="1"/>
  <c r="AA26" i="1"/>
  <c r="AA18" i="1"/>
  <c r="V30" i="1" s="1"/>
  <c r="AA10" i="1"/>
  <c r="V95" i="1"/>
  <c r="AA19" i="1"/>
  <c r="V31" i="1" s="1"/>
  <c r="AA177" i="1"/>
  <c r="AA169" i="1"/>
  <c r="AA161" i="1"/>
  <c r="V173" i="1" s="1"/>
  <c r="AA153" i="1"/>
  <c r="AA145" i="1"/>
  <c r="AA137" i="1"/>
  <c r="AA129" i="1"/>
  <c r="AA121" i="1"/>
  <c r="AA113" i="1"/>
  <c r="AA105" i="1"/>
  <c r="AA97" i="1"/>
  <c r="V109" i="1" s="1"/>
  <c r="AA89" i="1"/>
  <c r="AA81" i="1"/>
  <c r="AA73" i="1"/>
  <c r="AA65" i="1"/>
  <c r="AA57" i="1"/>
  <c r="AA49" i="1"/>
  <c r="AA41" i="1"/>
  <c r="AA33" i="1"/>
  <c r="V45" i="1" s="1"/>
  <c r="AA25" i="1"/>
  <c r="AA17" i="1"/>
  <c r="V29" i="1" s="1"/>
  <c r="AA9" i="1"/>
  <c r="AA3" i="1"/>
  <c r="AA168" i="1"/>
  <c r="AA160" i="1"/>
  <c r="AA152" i="1"/>
  <c r="AA144" i="1"/>
  <c r="AA136" i="1"/>
  <c r="AA128" i="1"/>
  <c r="AA120" i="1"/>
  <c r="AA112" i="1"/>
  <c r="AA104" i="1"/>
  <c r="AA96" i="1"/>
  <c r="AA88" i="1"/>
  <c r="AA80" i="1"/>
  <c r="AA72" i="1"/>
  <c r="AA64" i="1"/>
  <c r="AA56" i="1"/>
  <c r="AA48" i="1"/>
  <c r="AA40" i="1"/>
  <c r="AA32" i="1"/>
  <c r="AA24" i="1"/>
  <c r="AA16" i="1"/>
  <c r="AA8" i="1"/>
  <c r="AA180" i="1"/>
  <c r="AA124" i="1"/>
  <c r="AA76" i="1"/>
  <c r="AA52" i="1"/>
  <c r="AA164" i="1"/>
  <c r="AA100" i="1"/>
  <c r="AA36" i="1"/>
  <c r="AA148" i="1"/>
  <c r="V160" i="1" s="1"/>
  <c r="AA84" i="1"/>
  <c r="AA28" i="1"/>
  <c r="AA172" i="1"/>
  <c r="AA116" i="1"/>
  <c r="V128" i="1" s="1"/>
  <c r="AA68" i="1"/>
  <c r="AA44" i="1"/>
  <c r="AA156" i="1"/>
  <c r="AA108" i="1"/>
  <c r="AA12" i="1"/>
  <c r="AA132" i="1"/>
  <c r="V144" i="1" s="1"/>
  <c r="AA60" i="1"/>
  <c r="AA4" i="1"/>
  <c r="AA140" i="1"/>
  <c r="AA92" i="1"/>
  <c r="AA20" i="1"/>
  <c r="V38" i="1" l="1"/>
  <c r="V102" i="1"/>
  <c r="V166" i="1"/>
  <c r="V35" i="1"/>
  <c r="V115" i="1"/>
  <c r="V78" i="1"/>
  <c r="V147" i="1"/>
  <c r="V142" i="1"/>
  <c r="V72" i="1"/>
  <c r="V143" i="1"/>
  <c r="V168" i="1"/>
  <c r="V191" i="1"/>
  <c r="V123" i="1"/>
  <c r="V88" i="1"/>
  <c r="V77" i="1"/>
  <c r="V87" i="1"/>
  <c r="V104" i="1"/>
  <c r="V183" i="1"/>
  <c r="V141" i="1"/>
  <c r="V64" i="1"/>
  <c r="V119" i="1"/>
  <c r="V151" i="1"/>
  <c r="V85" i="1"/>
  <c r="V149" i="1"/>
  <c r="V93" i="1"/>
  <c r="V157" i="1"/>
  <c r="V135" i="1"/>
  <c r="V37" i="1"/>
  <c r="V165" i="1"/>
  <c r="V80" i="1"/>
  <c r="V62" i="1"/>
  <c r="V126" i="1"/>
  <c r="V190" i="1"/>
  <c r="V101" i="1"/>
  <c r="V152" i="1"/>
  <c r="V112" i="1"/>
  <c r="V99" i="1"/>
  <c r="V163" i="1"/>
  <c r="V71" i="1"/>
  <c r="V52" i="1"/>
  <c r="V70" i="1"/>
  <c r="V134" i="1"/>
  <c r="V63" i="1"/>
  <c r="V136" i="1"/>
  <c r="V127" i="1"/>
  <c r="V179" i="1"/>
  <c r="V32" i="1"/>
  <c r="V40" i="1"/>
  <c r="V96" i="1"/>
  <c r="V34" i="1"/>
  <c r="V98" i="1"/>
  <c r="V162" i="1"/>
  <c r="V27" i="1"/>
  <c r="V155" i="1"/>
  <c r="V79" i="1"/>
  <c r="V53" i="1"/>
  <c r="V116" i="1"/>
  <c r="V180" i="1"/>
  <c r="V61" i="1"/>
  <c r="V125" i="1"/>
  <c r="V189" i="1"/>
  <c r="V54" i="1"/>
  <c r="V118" i="1"/>
  <c r="V182" i="1"/>
  <c r="V57" i="1"/>
  <c r="V121" i="1"/>
  <c r="V185" i="1"/>
  <c r="V124" i="1"/>
  <c r="V184" i="1"/>
  <c r="V68" i="1"/>
  <c r="V175" i="1"/>
  <c r="V181" i="1"/>
  <c r="V117" i="1"/>
  <c r="V120" i="1"/>
  <c r="V176" i="1"/>
  <c r="V48" i="1"/>
  <c r="V83" i="1"/>
  <c r="V60" i="1"/>
  <c r="V69" i="1"/>
  <c r="V133" i="1"/>
  <c r="V65" i="1"/>
  <c r="V129" i="1"/>
  <c r="V193" i="1"/>
  <c r="V42" i="1"/>
  <c r="V106" i="1"/>
  <c r="V170" i="1"/>
  <c r="V132" i="1"/>
  <c r="V39" i="1"/>
  <c r="V73" i="1"/>
  <c r="V137" i="1"/>
  <c r="V188" i="1"/>
  <c r="V50" i="1"/>
  <c r="V114" i="1"/>
  <c r="V178" i="1"/>
  <c r="V43" i="1"/>
  <c r="V192" i="1"/>
  <c r="V76" i="1"/>
  <c r="V140" i="1"/>
  <c r="V81" i="1"/>
  <c r="V145" i="1"/>
  <c r="V167" i="1"/>
  <c r="V58" i="1"/>
  <c r="V122" i="1"/>
  <c r="V186" i="1"/>
  <c r="V51" i="1"/>
  <c r="V84" i="1"/>
  <c r="V148" i="1"/>
  <c r="V89" i="1"/>
  <c r="V153" i="1"/>
  <c r="V103" i="1"/>
  <c r="V66" i="1"/>
  <c r="V130" i="1"/>
  <c r="V194" i="1"/>
  <c r="V28" i="1"/>
  <c r="V92" i="1"/>
  <c r="V156" i="1"/>
  <c r="V33" i="1"/>
  <c r="V97" i="1"/>
  <c r="V161" i="1"/>
  <c r="V74" i="1"/>
  <c r="V138" i="1"/>
  <c r="V55" i="1"/>
  <c r="V67" i="1"/>
  <c r="V56" i="1"/>
  <c r="V36" i="1"/>
  <c r="V100" i="1"/>
  <c r="V164" i="1"/>
  <c r="V41" i="1"/>
  <c r="V105" i="1"/>
  <c r="V169" i="1"/>
  <c r="V82" i="1"/>
  <c r="V146" i="1"/>
  <c r="V75" i="1"/>
  <c r="V47" i="1"/>
  <c r="V44" i="1"/>
  <c r="V108" i="1"/>
  <c r="V172" i="1"/>
  <c r="V46" i="1"/>
  <c r="V110" i="1"/>
  <c r="V174" i="1"/>
  <c r="V49" i="1"/>
  <c r="V113" i="1"/>
  <c r="V177" i="1"/>
  <c r="V90" i="1"/>
  <c r="V154" i="1"/>
  <c r="V111" i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3" i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D64" i="1" l="1"/>
  <c r="BL64" i="1" s="1"/>
  <c r="D65" i="1"/>
  <c r="BL65" i="1" s="1"/>
  <c r="D66" i="1"/>
  <c r="BL66" i="1" s="1"/>
  <c r="D67" i="1"/>
  <c r="BL67" i="1" s="1"/>
  <c r="D68" i="1"/>
  <c r="BL68" i="1" s="1"/>
  <c r="D63" i="1"/>
  <c r="BL63" i="1" s="1"/>
  <c r="BL70" i="1" l="1"/>
  <c r="BL69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401" i="1" s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A218" i="6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Q3" i="1" l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L1401" i="1" l="1"/>
  <c r="M1052" i="1"/>
  <c r="M1051" i="1"/>
  <c r="M1050" i="1" l="1"/>
  <c r="I212" i="1"/>
  <c r="J212" i="1"/>
  <c r="A217" i="6"/>
  <c r="M1049" i="1" l="1"/>
  <c r="C93" i="1" l="1"/>
  <c r="C9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3" i="1"/>
  <c r="L9" i="1"/>
  <c r="L14" i="1" s="1"/>
  <c r="L19" i="1" s="1"/>
  <c r="L24" i="1" s="1"/>
  <c r="L29" i="1" s="1"/>
  <c r="L34" i="1" s="1"/>
  <c r="L39" i="1" s="1"/>
  <c r="L44" i="1" s="1"/>
  <c r="L49" i="1" s="1"/>
  <c r="L54" i="1" s="1"/>
  <c r="L59" i="1" s="1"/>
  <c r="L64" i="1" s="1"/>
  <c r="L69" i="1" s="1"/>
  <c r="L74" i="1" s="1"/>
  <c r="L79" i="1" s="1"/>
  <c r="L84" i="1" s="1"/>
  <c r="L89" i="1" s="1"/>
  <c r="L94" i="1" s="1"/>
  <c r="L99" i="1" s="1"/>
  <c r="L104" i="1" s="1"/>
  <c r="L109" i="1" s="1"/>
  <c r="L114" i="1" s="1"/>
  <c r="L119" i="1" s="1"/>
  <c r="L124" i="1" s="1"/>
  <c r="L129" i="1" s="1"/>
  <c r="L134" i="1" s="1"/>
  <c r="L139" i="1" s="1"/>
  <c r="L144" i="1" s="1"/>
  <c r="L149" i="1" s="1"/>
  <c r="L154" i="1" s="1"/>
  <c r="L159" i="1" s="1"/>
  <c r="L164" i="1" s="1"/>
  <c r="L169" i="1" s="1"/>
  <c r="L174" i="1" s="1"/>
  <c r="L179" i="1" s="1"/>
  <c r="L184" i="1" s="1"/>
  <c r="L189" i="1" s="1"/>
  <c r="L194" i="1" s="1"/>
  <c r="L199" i="1" s="1"/>
  <c r="L204" i="1" s="1"/>
  <c r="L209" i="1" s="1"/>
  <c r="L214" i="1" s="1"/>
  <c r="L219" i="1" s="1"/>
  <c r="L224" i="1" s="1"/>
  <c r="L229" i="1" s="1"/>
  <c r="L234" i="1" s="1"/>
  <c r="L239" i="1" s="1"/>
  <c r="L244" i="1" s="1"/>
  <c r="L249" i="1" s="1"/>
  <c r="L254" i="1" s="1"/>
  <c r="L259" i="1" s="1"/>
  <c r="L264" i="1" s="1"/>
  <c r="L269" i="1" s="1"/>
  <c r="L274" i="1" s="1"/>
  <c r="L279" i="1" s="1"/>
  <c r="L284" i="1" s="1"/>
  <c r="L289" i="1" s="1"/>
  <c r="L294" i="1" s="1"/>
  <c r="L299" i="1" s="1"/>
  <c r="L304" i="1" s="1"/>
  <c r="L309" i="1" s="1"/>
  <c r="L314" i="1" s="1"/>
  <c r="L319" i="1" s="1"/>
  <c r="L324" i="1" s="1"/>
  <c r="L329" i="1" s="1"/>
  <c r="L334" i="1" s="1"/>
  <c r="L339" i="1" s="1"/>
  <c r="L344" i="1" s="1"/>
  <c r="L349" i="1" s="1"/>
  <c r="L354" i="1" s="1"/>
  <c r="L359" i="1" s="1"/>
  <c r="L364" i="1" s="1"/>
  <c r="L369" i="1" s="1"/>
  <c r="L374" i="1" s="1"/>
  <c r="L379" i="1" s="1"/>
  <c r="L384" i="1" s="1"/>
  <c r="L389" i="1" s="1"/>
  <c r="L394" i="1" s="1"/>
  <c r="L399" i="1" s="1"/>
  <c r="L404" i="1" s="1"/>
  <c r="L409" i="1" s="1"/>
  <c r="L414" i="1" s="1"/>
  <c r="L419" i="1" s="1"/>
  <c r="L424" i="1" s="1"/>
  <c r="L429" i="1" s="1"/>
  <c r="L434" i="1" s="1"/>
  <c r="L439" i="1" s="1"/>
  <c r="L444" i="1" s="1"/>
  <c r="L449" i="1" s="1"/>
  <c r="L454" i="1" s="1"/>
  <c r="L459" i="1" s="1"/>
  <c r="L464" i="1" s="1"/>
  <c r="L469" i="1" s="1"/>
  <c r="L474" i="1" s="1"/>
  <c r="L479" i="1" s="1"/>
  <c r="L484" i="1" s="1"/>
  <c r="L489" i="1" s="1"/>
  <c r="L494" i="1" s="1"/>
  <c r="L499" i="1" s="1"/>
  <c r="L504" i="1" s="1"/>
  <c r="L509" i="1" s="1"/>
  <c r="L514" i="1" s="1"/>
  <c r="L519" i="1" s="1"/>
  <c r="L524" i="1" s="1"/>
  <c r="L529" i="1" s="1"/>
  <c r="L534" i="1" s="1"/>
  <c r="L539" i="1" s="1"/>
  <c r="L544" i="1" s="1"/>
  <c r="L549" i="1" s="1"/>
  <c r="L554" i="1" s="1"/>
  <c r="L559" i="1" s="1"/>
  <c r="L564" i="1" s="1"/>
  <c r="L569" i="1" s="1"/>
  <c r="L574" i="1" s="1"/>
  <c r="L579" i="1" s="1"/>
  <c r="L584" i="1" s="1"/>
  <c r="L589" i="1" s="1"/>
  <c r="L594" i="1" s="1"/>
  <c r="L599" i="1" s="1"/>
  <c r="L604" i="1" s="1"/>
  <c r="L609" i="1" s="1"/>
  <c r="L614" i="1" s="1"/>
  <c r="L619" i="1" s="1"/>
  <c r="L624" i="1" s="1"/>
  <c r="L629" i="1" s="1"/>
  <c r="L634" i="1" s="1"/>
  <c r="L639" i="1" s="1"/>
  <c r="L644" i="1" s="1"/>
  <c r="L649" i="1" s="1"/>
  <c r="L654" i="1" s="1"/>
  <c r="L659" i="1" s="1"/>
  <c r="L664" i="1" s="1"/>
  <c r="L669" i="1" s="1"/>
  <c r="L674" i="1" s="1"/>
  <c r="L679" i="1" s="1"/>
  <c r="L684" i="1" s="1"/>
  <c r="L689" i="1" s="1"/>
  <c r="L694" i="1" s="1"/>
  <c r="L699" i="1" s="1"/>
  <c r="L704" i="1" s="1"/>
  <c r="L709" i="1" s="1"/>
  <c r="L714" i="1" s="1"/>
  <c r="L719" i="1" s="1"/>
  <c r="L724" i="1" s="1"/>
  <c r="L729" i="1" s="1"/>
  <c r="L734" i="1" s="1"/>
  <c r="L739" i="1" s="1"/>
  <c r="L744" i="1" s="1"/>
  <c r="L749" i="1" s="1"/>
  <c r="L754" i="1" s="1"/>
  <c r="L759" i="1" s="1"/>
  <c r="L764" i="1" s="1"/>
  <c r="L769" i="1" s="1"/>
  <c r="L774" i="1" s="1"/>
  <c r="L779" i="1" s="1"/>
  <c r="L784" i="1" s="1"/>
  <c r="L789" i="1" s="1"/>
  <c r="L794" i="1" s="1"/>
  <c r="L799" i="1" s="1"/>
  <c r="L804" i="1" s="1"/>
  <c r="L809" i="1" s="1"/>
  <c r="L814" i="1" s="1"/>
  <c r="L819" i="1" s="1"/>
  <c r="L824" i="1" s="1"/>
  <c r="L829" i="1" s="1"/>
  <c r="L834" i="1" s="1"/>
  <c r="L839" i="1" s="1"/>
  <c r="L844" i="1" s="1"/>
  <c r="L849" i="1" s="1"/>
  <c r="L854" i="1" s="1"/>
  <c r="L859" i="1" s="1"/>
  <c r="L864" i="1" s="1"/>
  <c r="L869" i="1" s="1"/>
  <c r="L874" i="1" s="1"/>
  <c r="L879" i="1" s="1"/>
  <c r="L884" i="1" s="1"/>
  <c r="L889" i="1" s="1"/>
  <c r="L894" i="1" s="1"/>
  <c r="L899" i="1" s="1"/>
  <c r="L904" i="1" s="1"/>
  <c r="L909" i="1" s="1"/>
  <c r="L914" i="1" s="1"/>
  <c r="L919" i="1" s="1"/>
  <c r="L924" i="1" s="1"/>
  <c r="L929" i="1" s="1"/>
  <c r="L934" i="1" s="1"/>
  <c r="L939" i="1" s="1"/>
  <c r="L944" i="1" s="1"/>
  <c r="L949" i="1" s="1"/>
  <c r="L954" i="1" s="1"/>
  <c r="L959" i="1" s="1"/>
  <c r="L964" i="1" s="1"/>
  <c r="L969" i="1" s="1"/>
  <c r="L974" i="1" s="1"/>
  <c r="L979" i="1" s="1"/>
  <c r="L984" i="1" s="1"/>
  <c r="L989" i="1" s="1"/>
  <c r="L994" i="1" s="1"/>
  <c r="L999" i="1" s="1"/>
  <c r="L1004" i="1" s="1"/>
  <c r="L1009" i="1" s="1"/>
  <c r="L1014" i="1" s="1"/>
  <c r="L1019" i="1" s="1"/>
  <c r="L1024" i="1" s="1"/>
  <c r="L1029" i="1" s="1"/>
  <c r="L1034" i="1" s="1"/>
  <c r="L1039" i="1" s="1"/>
  <c r="L1044" i="1" s="1"/>
  <c r="L1049" i="1" s="1"/>
  <c r="L1054" i="1" s="1"/>
  <c r="L1059" i="1" s="1"/>
  <c r="L1064" i="1" s="1"/>
  <c r="L1069" i="1" s="1"/>
  <c r="L1074" i="1" s="1"/>
  <c r="L1079" i="1" s="1"/>
  <c r="L1084" i="1" s="1"/>
  <c r="L1089" i="1" s="1"/>
  <c r="L1094" i="1" s="1"/>
  <c r="L1099" i="1" s="1"/>
  <c r="L1104" i="1" s="1"/>
  <c r="L1109" i="1" s="1"/>
  <c r="L1114" i="1" s="1"/>
  <c r="L1119" i="1" s="1"/>
  <c r="L1124" i="1" s="1"/>
  <c r="L1129" i="1" s="1"/>
  <c r="L1134" i="1" s="1"/>
  <c r="L1139" i="1" s="1"/>
  <c r="L1144" i="1" s="1"/>
  <c r="L1149" i="1" s="1"/>
  <c r="L1154" i="1" s="1"/>
  <c r="L1159" i="1" s="1"/>
  <c r="L1164" i="1" s="1"/>
  <c r="L1169" i="1" s="1"/>
  <c r="L1174" i="1" s="1"/>
  <c r="L1179" i="1" s="1"/>
  <c r="L1184" i="1" s="1"/>
  <c r="L1189" i="1" s="1"/>
  <c r="L1194" i="1" s="1"/>
  <c r="L1199" i="1" s="1"/>
  <c r="L1204" i="1" s="1"/>
  <c r="L1209" i="1" s="1"/>
  <c r="L1214" i="1" s="1"/>
  <c r="L1219" i="1" s="1"/>
  <c r="L1224" i="1" s="1"/>
  <c r="L1229" i="1" s="1"/>
  <c r="L1234" i="1" s="1"/>
  <c r="L1239" i="1" s="1"/>
  <c r="L1244" i="1" s="1"/>
  <c r="L1249" i="1" s="1"/>
  <c r="L1254" i="1" s="1"/>
  <c r="L1259" i="1" s="1"/>
  <c r="L1264" i="1" s="1"/>
  <c r="L1269" i="1" s="1"/>
  <c r="L1274" i="1" s="1"/>
  <c r="L1279" i="1" s="1"/>
  <c r="L1284" i="1" s="1"/>
  <c r="L1289" i="1" s="1"/>
  <c r="L1294" i="1" s="1"/>
  <c r="L1299" i="1" s="1"/>
  <c r="L1304" i="1" s="1"/>
  <c r="L1309" i="1" s="1"/>
  <c r="L1314" i="1" s="1"/>
  <c r="L1319" i="1" s="1"/>
  <c r="L1324" i="1" s="1"/>
  <c r="L1329" i="1" s="1"/>
  <c r="L1334" i="1" s="1"/>
  <c r="L1339" i="1" s="1"/>
  <c r="L1344" i="1" s="1"/>
  <c r="L1349" i="1" s="1"/>
  <c r="L10" i="1"/>
  <c r="L15" i="1" s="1"/>
  <c r="L20" i="1" s="1"/>
  <c r="L25" i="1" s="1"/>
  <c r="L30" i="1" s="1"/>
  <c r="L35" i="1" s="1"/>
  <c r="L40" i="1" s="1"/>
  <c r="L45" i="1" s="1"/>
  <c r="L50" i="1" s="1"/>
  <c r="L55" i="1" s="1"/>
  <c r="L60" i="1" s="1"/>
  <c r="L65" i="1" s="1"/>
  <c r="L70" i="1" s="1"/>
  <c r="L75" i="1" s="1"/>
  <c r="L80" i="1" s="1"/>
  <c r="L85" i="1" s="1"/>
  <c r="L90" i="1" s="1"/>
  <c r="L95" i="1" s="1"/>
  <c r="L100" i="1" s="1"/>
  <c r="L105" i="1" s="1"/>
  <c r="L110" i="1" s="1"/>
  <c r="L115" i="1" s="1"/>
  <c r="L120" i="1" s="1"/>
  <c r="L125" i="1" s="1"/>
  <c r="L130" i="1" s="1"/>
  <c r="L135" i="1" s="1"/>
  <c r="L140" i="1" s="1"/>
  <c r="L145" i="1" s="1"/>
  <c r="L150" i="1" s="1"/>
  <c r="L155" i="1" s="1"/>
  <c r="L160" i="1" s="1"/>
  <c r="L165" i="1" s="1"/>
  <c r="L170" i="1" s="1"/>
  <c r="L175" i="1" s="1"/>
  <c r="L180" i="1" s="1"/>
  <c r="L185" i="1" s="1"/>
  <c r="L190" i="1" s="1"/>
  <c r="L195" i="1" s="1"/>
  <c r="L200" i="1" s="1"/>
  <c r="L205" i="1" s="1"/>
  <c r="L210" i="1" s="1"/>
  <c r="L215" i="1" s="1"/>
  <c r="L220" i="1" s="1"/>
  <c r="L225" i="1" s="1"/>
  <c r="L230" i="1" s="1"/>
  <c r="L235" i="1" s="1"/>
  <c r="L240" i="1" s="1"/>
  <c r="L245" i="1" s="1"/>
  <c r="L250" i="1" s="1"/>
  <c r="L255" i="1" s="1"/>
  <c r="L260" i="1" s="1"/>
  <c r="L265" i="1" s="1"/>
  <c r="L270" i="1" s="1"/>
  <c r="L275" i="1" s="1"/>
  <c r="L280" i="1" s="1"/>
  <c r="L285" i="1" s="1"/>
  <c r="L290" i="1" s="1"/>
  <c r="L295" i="1" s="1"/>
  <c r="L300" i="1" s="1"/>
  <c r="L305" i="1" s="1"/>
  <c r="L310" i="1" s="1"/>
  <c r="L315" i="1" s="1"/>
  <c r="L320" i="1" s="1"/>
  <c r="L325" i="1" s="1"/>
  <c r="L330" i="1" s="1"/>
  <c r="L335" i="1" s="1"/>
  <c r="L340" i="1" s="1"/>
  <c r="L345" i="1" s="1"/>
  <c r="L350" i="1" s="1"/>
  <c r="L355" i="1" s="1"/>
  <c r="L360" i="1" s="1"/>
  <c r="L365" i="1" s="1"/>
  <c r="L370" i="1" s="1"/>
  <c r="L375" i="1" s="1"/>
  <c r="L380" i="1" s="1"/>
  <c r="L385" i="1" s="1"/>
  <c r="L390" i="1" s="1"/>
  <c r="L395" i="1" s="1"/>
  <c r="L400" i="1" s="1"/>
  <c r="L405" i="1" s="1"/>
  <c r="L410" i="1" s="1"/>
  <c r="L415" i="1" s="1"/>
  <c r="L420" i="1" s="1"/>
  <c r="L425" i="1" s="1"/>
  <c r="L430" i="1" s="1"/>
  <c r="L435" i="1" s="1"/>
  <c r="L440" i="1" s="1"/>
  <c r="L445" i="1" s="1"/>
  <c r="L450" i="1" s="1"/>
  <c r="L455" i="1" s="1"/>
  <c r="L460" i="1" s="1"/>
  <c r="L465" i="1" s="1"/>
  <c r="L470" i="1" s="1"/>
  <c r="L475" i="1" s="1"/>
  <c r="L480" i="1" s="1"/>
  <c r="L485" i="1" s="1"/>
  <c r="L490" i="1" s="1"/>
  <c r="L495" i="1" s="1"/>
  <c r="L500" i="1" s="1"/>
  <c r="L505" i="1" s="1"/>
  <c r="L510" i="1" s="1"/>
  <c r="L515" i="1" s="1"/>
  <c r="L520" i="1" s="1"/>
  <c r="L525" i="1" s="1"/>
  <c r="L530" i="1" s="1"/>
  <c r="L535" i="1" s="1"/>
  <c r="L540" i="1" s="1"/>
  <c r="L545" i="1" s="1"/>
  <c r="L550" i="1" s="1"/>
  <c r="L555" i="1" s="1"/>
  <c r="L560" i="1" s="1"/>
  <c r="L565" i="1" s="1"/>
  <c r="L570" i="1" s="1"/>
  <c r="L575" i="1" s="1"/>
  <c r="L580" i="1" s="1"/>
  <c r="L585" i="1" s="1"/>
  <c r="L590" i="1" s="1"/>
  <c r="L595" i="1" s="1"/>
  <c r="L600" i="1" s="1"/>
  <c r="L605" i="1" s="1"/>
  <c r="L610" i="1" s="1"/>
  <c r="L615" i="1" s="1"/>
  <c r="L620" i="1" s="1"/>
  <c r="L625" i="1" s="1"/>
  <c r="L630" i="1" s="1"/>
  <c r="L635" i="1" s="1"/>
  <c r="L640" i="1" s="1"/>
  <c r="L645" i="1" s="1"/>
  <c r="L650" i="1" s="1"/>
  <c r="L655" i="1" s="1"/>
  <c r="L660" i="1" s="1"/>
  <c r="L665" i="1" s="1"/>
  <c r="L670" i="1" s="1"/>
  <c r="L675" i="1" s="1"/>
  <c r="L680" i="1" s="1"/>
  <c r="L685" i="1" s="1"/>
  <c r="L690" i="1" s="1"/>
  <c r="L695" i="1" s="1"/>
  <c r="L700" i="1" s="1"/>
  <c r="L705" i="1" s="1"/>
  <c r="L710" i="1" s="1"/>
  <c r="L715" i="1" s="1"/>
  <c r="L720" i="1" s="1"/>
  <c r="L725" i="1" s="1"/>
  <c r="L730" i="1" s="1"/>
  <c r="L735" i="1" s="1"/>
  <c r="L740" i="1" s="1"/>
  <c r="L745" i="1" s="1"/>
  <c r="L750" i="1" s="1"/>
  <c r="L755" i="1" s="1"/>
  <c r="L760" i="1" s="1"/>
  <c r="L765" i="1" s="1"/>
  <c r="L770" i="1" s="1"/>
  <c r="L775" i="1" s="1"/>
  <c r="L780" i="1" s="1"/>
  <c r="L785" i="1" s="1"/>
  <c r="L790" i="1" s="1"/>
  <c r="L795" i="1" s="1"/>
  <c r="L800" i="1" s="1"/>
  <c r="L805" i="1" s="1"/>
  <c r="L810" i="1" s="1"/>
  <c r="L815" i="1" s="1"/>
  <c r="L820" i="1" s="1"/>
  <c r="L825" i="1" s="1"/>
  <c r="L830" i="1" s="1"/>
  <c r="L835" i="1" s="1"/>
  <c r="L840" i="1" s="1"/>
  <c r="L845" i="1" s="1"/>
  <c r="L850" i="1" s="1"/>
  <c r="L855" i="1" s="1"/>
  <c r="L860" i="1" s="1"/>
  <c r="L865" i="1" s="1"/>
  <c r="L870" i="1" s="1"/>
  <c r="L875" i="1" s="1"/>
  <c r="L880" i="1" s="1"/>
  <c r="L885" i="1" s="1"/>
  <c r="L890" i="1" s="1"/>
  <c r="L895" i="1" s="1"/>
  <c r="L900" i="1" s="1"/>
  <c r="L905" i="1" s="1"/>
  <c r="L910" i="1" s="1"/>
  <c r="L915" i="1" s="1"/>
  <c r="L920" i="1" s="1"/>
  <c r="L925" i="1" s="1"/>
  <c r="L930" i="1" s="1"/>
  <c r="L935" i="1" s="1"/>
  <c r="L940" i="1" s="1"/>
  <c r="L945" i="1" s="1"/>
  <c r="L950" i="1" s="1"/>
  <c r="L955" i="1" s="1"/>
  <c r="L960" i="1" s="1"/>
  <c r="L965" i="1" s="1"/>
  <c r="L970" i="1" s="1"/>
  <c r="L975" i="1" s="1"/>
  <c r="L980" i="1" s="1"/>
  <c r="L985" i="1" s="1"/>
  <c r="L990" i="1" s="1"/>
  <c r="L995" i="1" s="1"/>
  <c r="L1000" i="1" s="1"/>
  <c r="L1005" i="1" s="1"/>
  <c r="L1010" i="1" s="1"/>
  <c r="L1015" i="1" s="1"/>
  <c r="L1020" i="1" s="1"/>
  <c r="L1025" i="1" s="1"/>
  <c r="L1030" i="1" s="1"/>
  <c r="L1035" i="1" s="1"/>
  <c r="L1040" i="1" s="1"/>
  <c r="L1045" i="1" s="1"/>
  <c r="L1050" i="1" s="1"/>
  <c r="L1055" i="1" s="1"/>
  <c r="L1060" i="1" s="1"/>
  <c r="L1065" i="1" s="1"/>
  <c r="L1070" i="1" s="1"/>
  <c r="L1075" i="1" s="1"/>
  <c r="L1080" i="1" s="1"/>
  <c r="L1085" i="1" s="1"/>
  <c r="L1090" i="1" s="1"/>
  <c r="L1095" i="1" s="1"/>
  <c r="L1100" i="1" s="1"/>
  <c r="L1105" i="1" s="1"/>
  <c r="L1110" i="1" s="1"/>
  <c r="L1115" i="1" s="1"/>
  <c r="L1120" i="1" s="1"/>
  <c r="L1125" i="1" s="1"/>
  <c r="L1130" i="1" s="1"/>
  <c r="L1135" i="1" s="1"/>
  <c r="L1140" i="1" s="1"/>
  <c r="L1145" i="1" s="1"/>
  <c r="L1150" i="1" s="1"/>
  <c r="L1155" i="1" s="1"/>
  <c r="L1160" i="1" s="1"/>
  <c r="L1165" i="1" s="1"/>
  <c r="L1170" i="1" s="1"/>
  <c r="L1175" i="1" s="1"/>
  <c r="L1180" i="1" s="1"/>
  <c r="L1185" i="1" s="1"/>
  <c r="L1190" i="1" s="1"/>
  <c r="L1195" i="1" s="1"/>
  <c r="L1200" i="1" s="1"/>
  <c r="L1205" i="1" s="1"/>
  <c r="L1210" i="1" s="1"/>
  <c r="L1215" i="1" s="1"/>
  <c r="L1220" i="1" s="1"/>
  <c r="L1225" i="1" s="1"/>
  <c r="L1230" i="1" s="1"/>
  <c r="L1235" i="1" s="1"/>
  <c r="L1240" i="1" s="1"/>
  <c r="L1245" i="1" s="1"/>
  <c r="L1250" i="1" s="1"/>
  <c r="L1255" i="1" s="1"/>
  <c r="L1260" i="1" s="1"/>
  <c r="L1265" i="1" s="1"/>
  <c r="L1270" i="1" s="1"/>
  <c r="L1275" i="1" s="1"/>
  <c r="L1280" i="1" s="1"/>
  <c r="L1285" i="1" s="1"/>
  <c r="L1290" i="1" s="1"/>
  <c r="L1295" i="1" s="1"/>
  <c r="L1300" i="1" s="1"/>
  <c r="L1305" i="1" s="1"/>
  <c r="L1310" i="1" s="1"/>
  <c r="L1315" i="1" s="1"/>
  <c r="L1320" i="1" s="1"/>
  <c r="L1325" i="1" s="1"/>
  <c r="L1330" i="1" s="1"/>
  <c r="L1335" i="1" s="1"/>
  <c r="L1340" i="1" s="1"/>
  <c r="L1345" i="1" s="1"/>
  <c r="L1350" i="1" s="1"/>
  <c r="L11" i="1"/>
  <c r="L16" i="1" s="1"/>
  <c r="L21" i="1" s="1"/>
  <c r="L26" i="1" s="1"/>
  <c r="L31" i="1" s="1"/>
  <c r="L36" i="1" s="1"/>
  <c r="L41" i="1" s="1"/>
  <c r="L46" i="1" s="1"/>
  <c r="L51" i="1" s="1"/>
  <c r="L56" i="1" s="1"/>
  <c r="L61" i="1" s="1"/>
  <c r="L66" i="1" s="1"/>
  <c r="L71" i="1" s="1"/>
  <c r="L76" i="1" s="1"/>
  <c r="L81" i="1" s="1"/>
  <c r="L86" i="1" s="1"/>
  <c r="L91" i="1" s="1"/>
  <c r="L96" i="1" s="1"/>
  <c r="L101" i="1" s="1"/>
  <c r="L106" i="1" s="1"/>
  <c r="L111" i="1" s="1"/>
  <c r="L116" i="1" s="1"/>
  <c r="L121" i="1" s="1"/>
  <c r="L126" i="1" s="1"/>
  <c r="L131" i="1" s="1"/>
  <c r="L136" i="1" s="1"/>
  <c r="L141" i="1" s="1"/>
  <c r="L146" i="1" s="1"/>
  <c r="L151" i="1" s="1"/>
  <c r="L156" i="1" s="1"/>
  <c r="L161" i="1" s="1"/>
  <c r="L166" i="1" s="1"/>
  <c r="L171" i="1" s="1"/>
  <c r="L176" i="1" s="1"/>
  <c r="L181" i="1" s="1"/>
  <c r="L186" i="1" s="1"/>
  <c r="L191" i="1" s="1"/>
  <c r="L196" i="1" s="1"/>
  <c r="L201" i="1" s="1"/>
  <c r="L206" i="1" s="1"/>
  <c r="L211" i="1" s="1"/>
  <c r="L216" i="1" s="1"/>
  <c r="L221" i="1" s="1"/>
  <c r="L226" i="1" s="1"/>
  <c r="L231" i="1" s="1"/>
  <c r="L236" i="1" s="1"/>
  <c r="L241" i="1" s="1"/>
  <c r="L246" i="1" s="1"/>
  <c r="L251" i="1" s="1"/>
  <c r="L256" i="1" s="1"/>
  <c r="L261" i="1" s="1"/>
  <c r="L266" i="1" s="1"/>
  <c r="L271" i="1" s="1"/>
  <c r="L276" i="1" s="1"/>
  <c r="L281" i="1" s="1"/>
  <c r="L286" i="1" s="1"/>
  <c r="L291" i="1" s="1"/>
  <c r="L296" i="1" s="1"/>
  <c r="L301" i="1" s="1"/>
  <c r="L306" i="1" s="1"/>
  <c r="L311" i="1" s="1"/>
  <c r="L316" i="1" s="1"/>
  <c r="L321" i="1" s="1"/>
  <c r="L326" i="1" s="1"/>
  <c r="L331" i="1" s="1"/>
  <c r="L336" i="1" s="1"/>
  <c r="L341" i="1" s="1"/>
  <c r="L346" i="1" s="1"/>
  <c r="L351" i="1" s="1"/>
  <c r="L356" i="1" s="1"/>
  <c r="L361" i="1" s="1"/>
  <c r="L366" i="1" s="1"/>
  <c r="L371" i="1" s="1"/>
  <c r="L376" i="1" s="1"/>
  <c r="L381" i="1" s="1"/>
  <c r="L386" i="1" s="1"/>
  <c r="L391" i="1" s="1"/>
  <c r="L396" i="1" s="1"/>
  <c r="L401" i="1" s="1"/>
  <c r="L406" i="1" s="1"/>
  <c r="L411" i="1" s="1"/>
  <c r="L416" i="1" s="1"/>
  <c r="L421" i="1" s="1"/>
  <c r="L426" i="1" s="1"/>
  <c r="L431" i="1" s="1"/>
  <c r="L436" i="1" s="1"/>
  <c r="L441" i="1" s="1"/>
  <c r="L446" i="1" s="1"/>
  <c r="L451" i="1" s="1"/>
  <c r="L456" i="1" s="1"/>
  <c r="L461" i="1" s="1"/>
  <c r="L466" i="1" s="1"/>
  <c r="L471" i="1" s="1"/>
  <c r="L476" i="1" s="1"/>
  <c r="L481" i="1" s="1"/>
  <c r="L486" i="1" s="1"/>
  <c r="L491" i="1" s="1"/>
  <c r="L496" i="1" s="1"/>
  <c r="L501" i="1" s="1"/>
  <c r="L506" i="1" s="1"/>
  <c r="L511" i="1" s="1"/>
  <c r="L516" i="1" s="1"/>
  <c r="L521" i="1" s="1"/>
  <c r="L526" i="1" s="1"/>
  <c r="L531" i="1" s="1"/>
  <c r="L536" i="1" s="1"/>
  <c r="L541" i="1" s="1"/>
  <c r="L546" i="1" s="1"/>
  <c r="L551" i="1" s="1"/>
  <c r="L556" i="1" s="1"/>
  <c r="L561" i="1" s="1"/>
  <c r="L566" i="1" s="1"/>
  <c r="L571" i="1" s="1"/>
  <c r="L576" i="1" s="1"/>
  <c r="L581" i="1" s="1"/>
  <c r="L586" i="1" s="1"/>
  <c r="L591" i="1" s="1"/>
  <c r="L596" i="1" s="1"/>
  <c r="L601" i="1" s="1"/>
  <c r="L606" i="1" s="1"/>
  <c r="L611" i="1" s="1"/>
  <c r="L616" i="1" s="1"/>
  <c r="L621" i="1" s="1"/>
  <c r="L626" i="1" s="1"/>
  <c r="L631" i="1" s="1"/>
  <c r="L636" i="1" s="1"/>
  <c r="L641" i="1" s="1"/>
  <c r="L646" i="1" s="1"/>
  <c r="L651" i="1" s="1"/>
  <c r="L656" i="1" s="1"/>
  <c r="L661" i="1" s="1"/>
  <c r="L666" i="1" s="1"/>
  <c r="L671" i="1" s="1"/>
  <c r="L676" i="1" s="1"/>
  <c r="L681" i="1" s="1"/>
  <c r="L686" i="1" s="1"/>
  <c r="L691" i="1" s="1"/>
  <c r="L696" i="1" s="1"/>
  <c r="L701" i="1" s="1"/>
  <c r="L706" i="1" s="1"/>
  <c r="L711" i="1" s="1"/>
  <c r="L716" i="1" s="1"/>
  <c r="L721" i="1" s="1"/>
  <c r="L726" i="1" s="1"/>
  <c r="L731" i="1" s="1"/>
  <c r="L736" i="1" s="1"/>
  <c r="L741" i="1" s="1"/>
  <c r="L746" i="1" s="1"/>
  <c r="L751" i="1" s="1"/>
  <c r="L756" i="1" s="1"/>
  <c r="L761" i="1" s="1"/>
  <c r="L766" i="1" s="1"/>
  <c r="L771" i="1" s="1"/>
  <c r="L776" i="1" s="1"/>
  <c r="L781" i="1" s="1"/>
  <c r="L786" i="1" s="1"/>
  <c r="L791" i="1" s="1"/>
  <c r="L796" i="1" s="1"/>
  <c r="L801" i="1" s="1"/>
  <c r="L806" i="1" s="1"/>
  <c r="L811" i="1" s="1"/>
  <c r="L816" i="1" s="1"/>
  <c r="L821" i="1" s="1"/>
  <c r="L826" i="1" s="1"/>
  <c r="L831" i="1" s="1"/>
  <c r="L836" i="1" s="1"/>
  <c r="L841" i="1" s="1"/>
  <c r="L846" i="1" s="1"/>
  <c r="L851" i="1" s="1"/>
  <c r="L856" i="1" s="1"/>
  <c r="L861" i="1" s="1"/>
  <c r="L866" i="1" s="1"/>
  <c r="L871" i="1" s="1"/>
  <c r="L876" i="1" s="1"/>
  <c r="L881" i="1" s="1"/>
  <c r="L886" i="1" s="1"/>
  <c r="L891" i="1" s="1"/>
  <c r="L896" i="1" s="1"/>
  <c r="L901" i="1" s="1"/>
  <c r="L906" i="1" s="1"/>
  <c r="L911" i="1" s="1"/>
  <c r="L916" i="1" s="1"/>
  <c r="L921" i="1" s="1"/>
  <c r="L926" i="1" s="1"/>
  <c r="L931" i="1" s="1"/>
  <c r="L936" i="1" s="1"/>
  <c r="L941" i="1" s="1"/>
  <c r="L946" i="1" s="1"/>
  <c r="L951" i="1" s="1"/>
  <c r="L956" i="1" s="1"/>
  <c r="L961" i="1" s="1"/>
  <c r="L966" i="1" s="1"/>
  <c r="L971" i="1" s="1"/>
  <c r="L976" i="1" s="1"/>
  <c r="L981" i="1" s="1"/>
  <c r="L986" i="1" s="1"/>
  <c r="L991" i="1" s="1"/>
  <c r="L996" i="1" s="1"/>
  <c r="L1001" i="1" s="1"/>
  <c r="L1006" i="1" s="1"/>
  <c r="L1011" i="1" s="1"/>
  <c r="L1016" i="1" s="1"/>
  <c r="L1021" i="1" s="1"/>
  <c r="L1026" i="1" s="1"/>
  <c r="L1031" i="1" s="1"/>
  <c r="L1036" i="1" s="1"/>
  <c r="L1041" i="1" s="1"/>
  <c r="L1046" i="1" s="1"/>
  <c r="L1051" i="1" s="1"/>
  <c r="L1056" i="1" s="1"/>
  <c r="L1061" i="1" s="1"/>
  <c r="L1066" i="1" s="1"/>
  <c r="L1071" i="1" s="1"/>
  <c r="L1076" i="1" s="1"/>
  <c r="L1081" i="1" s="1"/>
  <c r="L1086" i="1" s="1"/>
  <c r="L1091" i="1" s="1"/>
  <c r="L1096" i="1" s="1"/>
  <c r="L1101" i="1" s="1"/>
  <c r="L1106" i="1" s="1"/>
  <c r="L1111" i="1" s="1"/>
  <c r="L1116" i="1" s="1"/>
  <c r="L1121" i="1" s="1"/>
  <c r="L1126" i="1" s="1"/>
  <c r="L1131" i="1" s="1"/>
  <c r="L1136" i="1" s="1"/>
  <c r="L1141" i="1" s="1"/>
  <c r="L1146" i="1" s="1"/>
  <c r="L1151" i="1" s="1"/>
  <c r="L1156" i="1" s="1"/>
  <c r="L1161" i="1" s="1"/>
  <c r="L1166" i="1" s="1"/>
  <c r="L1171" i="1" s="1"/>
  <c r="L1176" i="1" s="1"/>
  <c r="L1181" i="1" s="1"/>
  <c r="L1186" i="1" s="1"/>
  <c r="L1191" i="1" s="1"/>
  <c r="L1196" i="1" s="1"/>
  <c r="L1201" i="1" s="1"/>
  <c r="L1206" i="1" s="1"/>
  <c r="L1211" i="1" s="1"/>
  <c r="L1216" i="1" s="1"/>
  <c r="L1221" i="1" s="1"/>
  <c r="L1226" i="1" s="1"/>
  <c r="L1231" i="1" s="1"/>
  <c r="L1236" i="1" s="1"/>
  <c r="L1241" i="1" s="1"/>
  <c r="L1246" i="1" s="1"/>
  <c r="L1251" i="1" s="1"/>
  <c r="L1256" i="1" s="1"/>
  <c r="L1261" i="1" s="1"/>
  <c r="L1266" i="1" s="1"/>
  <c r="L1271" i="1" s="1"/>
  <c r="L1276" i="1" s="1"/>
  <c r="L1281" i="1" s="1"/>
  <c r="L1286" i="1" s="1"/>
  <c r="L1291" i="1" s="1"/>
  <c r="L1296" i="1" s="1"/>
  <c r="L1301" i="1" s="1"/>
  <c r="L1306" i="1" s="1"/>
  <c r="L1311" i="1" s="1"/>
  <c r="L1316" i="1" s="1"/>
  <c r="L1321" i="1" s="1"/>
  <c r="L1326" i="1" s="1"/>
  <c r="L1331" i="1" s="1"/>
  <c r="L1336" i="1" s="1"/>
  <c r="L1341" i="1" s="1"/>
  <c r="L1346" i="1" s="1"/>
  <c r="L12" i="1"/>
  <c r="L17" i="1" s="1"/>
  <c r="L22" i="1" s="1"/>
  <c r="L27" i="1" s="1"/>
  <c r="L32" i="1" s="1"/>
  <c r="L37" i="1" s="1"/>
  <c r="L42" i="1" s="1"/>
  <c r="L47" i="1" s="1"/>
  <c r="L52" i="1" s="1"/>
  <c r="L57" i="1" s="1"/>
  <c r="L62" i="1" s="1"/>
  <c r="L67" i="1" s="1"/>
  <c r="L72" i="1" s="1"/>
  <c r="L77" i="1" s="1"/>
  <c r="L82" i="1" s="1"/>
  <c r="L87" i="1" s="1"/>
  <c r="L92" i="1" s="1"/>
  <c r="L97" i="1" s="1"/>
  <c r="L102" i="1" s="1"/>
  <c r="L107" i="1" s="1"/>
  <c r="L112" i="1" s="1"/>
  <c r="L117" i="1" s="1"/>
  <c r="L122" i="1" s="1"/>
  <c r="L127" i="1" s="1"/>
  <c r="L132" i="1" s="1"/>
  <c r="L137" i="1" s="1"/>
  <c r="L142" i="1" s="1"/>
  <c r="L147" i="1" s="1"/>
  <c r="L152" i="1" s="1"/>
  <c r="L157" i="1" s="1"/>
  <c r="L162" i="1" s="1"/>
  <c r="L167" i="1" s="1"/>
  <c r="L172" i="1" s="1"/>
  <c r="L177" i="1" s="1"/>
  <c r="L182" i="1" s="1"/>
  <c r="L187" i="1" s="1"/>
  <c r="L192" i="1" s="1"/>
  <c r="L197" i="1" s="1"/>
  <c r="L202" i="1" s="1"/>
  <c r="L207" i="1" s="1"/>
  <c r="L212" i="1" s="1"/>
  <c r="L217" i="1" s="1"/>
  <c r="L222" i="1" s="1"/>
  <c r="L227" i="1" s="1"/>
  <c r="L232" i="1" s="1"/>
  <c r="L237" i="1" s="1"/>
  <c r="L242" i="1" s="1"/>
  <c r="L247" i="1" s="1"/>
  <c r="L252" i="1" s="1"/>
  <c r="L257" i="1" s="1"/>
  <c r="L262" i="1" s="1"/>
  <c r="L267" i="1" s="1"/>
  <c r="L272" i="1" s="1"/>
  <c r="L277" i="1" s="1"/>
  <c r="L282" i="1" s="1"/>
  <c r="L287" i="1" s="1"/>
  <c r="L292" i="1" s="1"/>
  <c r="L297" i="1" s="1"/>
  <c r="L302" i="1" s="1"/>
  <c r="L307" i="1" s="1"/>
  <c r="L312" i="1" s="1"/>
  <c r="L317" i="1" s="1"/>
  <c r="L322" i="1" s="1"/>
  <c r="L327" i="1" s="1"/>
  <c r="L332" i="1" s="1"/>
  <c r="L337" i="1" s="1"/>
  <c r="L342" i="1" s="1"/>
  <c r="L347" i="1" s="1"/>
  <c r="L352" i="1" s="1"/>
  <c r="L357" i="1" s="1"/>
  <c r="L362" i="1" s="1"/>
  <c r="L367" i="1" s="1"/>
  <c r="L372" i="1" s="1"/>
  <c r="L377" i="1" s="1"/>
  <c r="L382" i="1" s="1"/>
  <c r="L387" i="1" s="1"/>
  <c r="L392" i="1" s="1"/>
  <c r="L397" i="1" s="1"/>
  <c r="L402" i="1" s="1"/>
  <c r="L407" i="1" s="1"/>
  <c r="L412" i="1" s="1"/>
  <c r="L417" i="1" s="1"/>
  <c r="L422" i="1" s="1"/>
  <c r="L427" i="1" s="1"/>
  <c r="L432" i="1" s="1"/>
  <c r="L437" i="1" s="1"/>
  <c r="L442" i="1" s="1"/>
  <c r="L447" i="1" s="1"/>
  <c r="L452" i="1" s="1"/>
  <c r="L457" i="1" s="1"/>
  <c r="L462" i="1" s="1"/>
  <c r="L467" i="1" s="1"/>
  <c r="L472" i="1" s="1"/>
  <c r="L477" i="1" s="1"/>
  <c r="L482" i="1" s="1"/>
  <c r="L487" i="1" s="1"/>
  <c r="L492" i="1" s="1"/>
  <c r="L497" i="1" s="1"/>
  <c r="L502" i="1" s="1"/>
  <c r="L507" i="1" s="1"/>
  <c r="L512" i="1" s="1"/>
  <c r="L517" i="1" s="1"/>
  <c r="L522" i="1" s="1"/>
  <c r="L527" i="1" s="1"/>
  <c r="L532" i="1" s="1"/>
  <c r="L537" i="1" s="1"/>
  <c r="L542" i="1" s="1"/>
  <c r="L547" i="1" s="1"/>
  <c r="L552" i="1" s="1"/>
  <c r="L557" i="1" s="1"/>
  <c r="L562" i="1" s="1"/>
  <c r="L567" i="1" s="1"/>
  <c r="L572" i="1" s="1"/>
  <c r="L577" i="1" s="1"/>
  <c r="L582" i="1" s="1"/>
  <c r="L587" i="1" s="1"/>
  <c r="L592" i="1" s="1"/>
  <c r="L597" i="1" s="1"/>
  <c r="L602" i="1" s="1"/>
  <c r="L607" i="1" s="1"/>
  <c r="L612" i="1" s="1"/>
  <c r="L617" i="1" s="1"/>
  <c r="L622" i="1" s="1"/>
  <c r="L627" i="1" s="1"/>
  <c r="L632" i="1" s="1"/>
  <c r="L637" i="1" s="1"/>
  <c r="L642" i="1" s="1"/>
  <c r="L647" i="1" s="1"/>
  <c r="L652" i="1" s="1"/>
  <c r="L657" i="1" s="1"/>
  <c r="L662" i="1" s="1"/>
  <c r="L667" i="1" s="1"/>
  <c r="L672" i="1" s="1"/>
  <c r="L677" i="1" s="1"/>
  <c r="L682" i="1" s="1"/>
  <c r="L687" i="1" s="1"/>
  <c r="L692" i="1" s="1"/>
  <c r="L697" i="1" s="1"/>
  <c r="L702" i="1" s="1"/>
  <c r="L707" i="1" s="1"/>
  <c r="L712" i="1" s="1"/>
  <c r="L717" i="1" s="1"/>
  <c r="L722" i="1" s="1"/>
  <c r="L727" i="1" s="1"/>
  <c r="L732" i="1" s="1"/>
  <c r="L737" i="1" s="1"/>
  <c r="L742" i="1" s="1"/>
  <c r="L747" i="1" s="1"/>
  <c r="L752" i="1" s="1"/>
  <c r="L757" i="1" s="1"/>
  <c r="L762" i="1" s="1"/>
  <c r="L767" i="1" s="1"/>
  <c r="L772" i="1" s="1"/>
  <c r="L777" i="1" s="1"/>
  <c r="L782" i="1" s="1"/>
  <c r="L787" i="1" s="1"/>
  <c r="L792" i="1" s="1"/>
  <c r="L797" i="1" s="1"/>
  <c r="L802" i="1" s="1"/>
  <c r="L807" i="1" s="1"/>
  <c r="L812" i="1" s="1"/>
  <c r="L817" i="1" s="1"/>
  <c r="L822" i="1" s="1"/>
  <c r="L827" i="1" s="1"/>
  <c r="L832" i="1" s="1"/>
  <c r="L837" i="1" s="1"/>
  <c r="L842" i="1" s="1"/>
  <c r="L847" i="1" s="1"/>
  <c r="L852" i="1" s="1"/>
  <c r="L857" i="1" s="1"/>
  <c r="L862" i="1" s="1"/>
  <c r="L867" i="1" s="1"/>
  <c r="L872" i="1" s="1"/>
  <c r="L877" i="1" s="1"/>
  <c r="L882" i="1" s="1"/>
  <c r="L887" i="1" s="1"/>
  <c r="L892" i="1" s="1"/>
  <c r="L897" i="1" s="1"/>
  <c r="L902" i="1" s="1"/>
  <c r="L907" i="1" s="1"/>
  <c r="L912" i="1" s="1"/>
  <c r="L917" i="1" s="1"/>
  <c r="L922" i="1" s="1"/>
  <c r="L927" i="1" s="1"/>
  <c r="L932" i="1" s="1"/>
  <c r="L937" i="1" s="1"/>
  <c r="L942" i="1" s="1"/>
  <c r="L947" i="1" s="1"/>
  <c r="L952" i="1" s="1"/>
  <c r="L957" i="1" s="1"/>
  <c r="L962" i="1" s="1"/>
  <c r="L967" i="1" s="1"/>
  <c r="L972" i="1" s="1"/>
  <c r="L977" i="1" s="1"/>
  <c r="L982" i="1" s="1"/>
  <c r="L987" i="1" s="1"/>
  <c r="L992" i="1" s="1"/>
  <c r="L997" i="1" s="1"/>
  <c r="L1002" i="1" s="1"/>
  <c r="L1007" i="1" s="1"/>
  <c r="L1012" i="1" s="1"/>
  <c r="L1017" i="1" s="1"/>
  <c r="L1022" i="1" s="1"/>
  <c r="L1027" i="1" s="1"/>
  <c r="L1032" i="1" s="1"/>
  <c r="L1037" i="1" s="1"/>
  <c r="L1042" i="1" s="1"/>
  <c r="L1047" i="1" s="1"/>
  <c r="L1052" i="1" s="1"/>
  <c r="L1057" i="1" s="1"/>
  <c r="L1062" i="1" s="1"/>
  <c r="L1067" i="1" s="1"/>
  <c r="L1072" i="1" s="1"/>
  <c r="L1077" i="1" s="1"/>
  <c r="L1082" i="1" s="1"/>
  <c r="L1087" i="1" s="1"/>
  <c r="L1092" i="1" s="1"/>
  <c r="L1097" i="1" s="1"/>
  <c r="L1102" i="1" s="1"/>
  <c r="L1107" i="1" s="1"/>
  <c r="L1112" i="1" s="1"/>
  <c r="L1117" i="1" s="1"/>
  <c r="L1122" i="1" s="1"/>
  <c r="L1127" i="1" s="1"/>
  <c r="L1132" i="1" s="1"/>
  <c r="L1137" i="1" s="1"/>
  <c r="L1142" i="1" s="1"/>
  <c r="L1147" i="1" s="1"/>
  <c r="L1152" i="1" s="1"/>
  <c r="L1157" i="1" s="1"/>
  <c r="L1162" i="1" s="1"/>
  <c r="L1167" i="1" s="1"/>
  <c r="L1172" i="1" s="1"/>
  <c r="L1177" i="1" s="1"/>
  <c r="L1182" i="1" s="1"/>
  <c r="L1187" i="1" s="1"/>
  <c r="L1192" i="1" s="1"/>
  <c r="L1197" i="1" s="1"/>
  <c r="L1202" i="1" s="1"/>
  <c r="L1207" i="1" s="1"/>
  <c r="L1212" i="1" s="1"/>
  <c r="L1217" i="1" s="1"/>
  <c r="L1222" i="1" s="1"/>
  <c r="L1227" i="1" s="1"/>
  <c r="L1232" i="1" s="1"/>
  <c r="L1237" i="1" s="1"/>
  <c r="L1242" i="1" s="1"/>
  <c r="L1247" i="1" s="1"/>
  <c r="L1252" i="1" s="1"/>
  <c r="L1257" i="1" s="1"/>
  <c r="L1262" i="1" s="1"/>
  <c r="L1267" i="1" s="1"/>
  <c r="L1272" i="1" s="1"/>
  <c r="L1277" i="1" s="1"/>
  <c r="L1282" i="1" s="1"/>
  <c r="L1287" i="1" s="1"/>
  <c r="L1292" i="1" s="1"/>
  <c r="L1297" i="1" s="1"/>
  <c r="L1302" i="1" s="1"/>
  <c r="L1307" i="1" s="1"/>
  <c r="L1312" i="1" s="1"/>
  <c r="L1317" i="1" s="1"/>
  <c r="L1322" i="1" s="1"/>
  <c r="L1327" i="1" s="1"/>
  <c r="L1332" i="1" s="1"/>
  <c r="L1337" i="1" s="1"/>
  <c r="L1342" i="1" s="1"/>
  <c r="L1347" i="1" s="1"/>
  <c r="L8" i="1"/>
  <c r="L13" i="1" s="1"/>
  <c r="L18" i="1" s="1"/>
  <c r="L23" i="1" s="1"/>
  <c r="L28" i="1" s="1"/>
  <c r="L33" i="1" s="1"/>
  <c r="L38" i="1" s="1"/>
  <c r="L43" i="1" s="1"/>
  <c r="L48" i="1" s="1"/>
  <c r="L53" i="1" s="1"/>
  <c r="L58" i="1" s="1"/>
  <c r="L63" i="1" s="1"/>
  <c r="L68" i="1" s="1"/>
  <c r="L73" i="1" s="1"/>
  <c r="L78" i="1" s="1"/>
  <c r="L83" i="1" s="1"/>
  <c r="L88" i="1" s="1"/>
  <c r="L93" i="1" s="1"/>
  <c r="L98" i="1" s="1"/>
  <c r="L103" i="1" s="1"/>
  <c r="L108" i="1" s="1"/>
  <c r="L113" i="1" s="1"/>
  <c r="L118" i="1" s="1"/>
  <c r="L123" i="1" s="1"/>
  <c r="L128" i="1" s="1"/>
  <c r="L133" i="1" s="1"/>
  <c r="L138" i="1" s="1"/>
  <c r="L143" i="1" s="1"/>
  <c r="L148" i="1" s="1"/>
  <c r="L153" i="1" s="1"/>
  <c r="L158" i="1" s="1"/>
  <c r="L163" i="1" s="1"/>
  <c r="L168" i="1" s="1"/>
  <c r="L173" i="1" s="1"/>
  <c r="L178" i="1" s="1"/>
  <c r="L183" i="1" s="1"/>
  <c r="L188" i="1" s="1"/>
  <c r="L193" i="1" s="1"/>
  <c r="L198" i="1" s="1"/>
  <c r="L203" i="1" s="1"/>
  <c r="L208" i="1" s="1"/>
  <c r="L213" i="1" s="1"/>
  <c r="L218" i="1" s="1"/>
  <c r="L223" i="1" s="1"/>
  <c r="L228" i="1" s="1"/>
  <c r="L233" i="1" s="1"/>
  <c r="L238" i="1" s="1"/>
  <c r="L243" i="1" s="1"/>
  <c r="L248" i="1" s="1"/>
  <c r="L253" i="1" s="1"/>
  <c r="L258" i="1" s="1"/>
  <c r="L263" i="1" s="1"/>
  <c r="L268" i="1" s="1"/>
  <c r="L273" i="1" s="1"/>
  <c r="L278" i="1" s="1"/>
  <c r="L283" i="1" s="1"/>
  <c r="L288" i="1" s="1"/>
  <c r="L293" i="1" s="1"/>
  <c r="L298" i="1" s="1"/>
  <c r="L303" i="1" s="1"/>
  <c r="L308" i="1" s="1"/>
  <c r="L313" i="1" s="1"/>
  <c r="L318" i="1" s="1"/>
  <c r="L323" i="1" s="1"/>
  <c r="L328" i="1" s="1"/>
  <c r="L333" i="1" s="1"/>
  <c r="L338" i="1" s="1"/>
  <c r="L343" i="1" s="1"/>
  <c r="L348" i="1" s="1"/>
  <c r="L353" i="1" s="1"/>
  <c r="L358" i="1" s="1"/>
  <c r="L363" i="1" s="1"/>
  <c r="L368" i="1" s="1"/>
  <c r="L373" i="1" s="1"/>
  <c r="L378" i="1" s="1"/>
  <c r="L383" i="1" s="1"/>
  <c r="L388" i="1" s="1"/>
  <c r="L393" i="1" s="1"/>
  <c r="L398" i="1" s="1"/>
  <c r="L403" i="1" s="1"/>
  <c r="L408" i="1" s="1"/>
  <c r="L413" i="1" s="1"/>
  <c r="L418" i="1" s="1"/>
  <c r="L423" i="1" s="1"/>
  <c r="L428" i="1" s="1"/>
  <c r="L433" i="1" s="1"/>
  <c r="L438" i="1" s="1"/>
  <c r="L443" i="1" s="1"/>
  <c r="L448" i="1" s="1"/>
  <c r="L453" i="1" s="1"/>
  <c r="L458" i="1" s="1"/>
  <c r="L463" i="1" s="1"/>
  <c r="L468" i="1" s="1"/>
  <c r="L473" i="1" s="1"/>
  <c r="L478" i="1" s="1"/>
  <c r="L483" i="1" s="1"/>
  <c r="L488" i="1" s="1"/>
  <c r="L493" i="1" s="1"/>
  <c r="L498" i="1" s="1"/>
  <c r="L503" i="1" s="1"/>
  <c r="L508" i="1" s="1"/>
  <c r="L513" i="1" s="1"/>
  <c r="L518" i="1" s="1"/>
  <c r="L523" i="1" s="1"/>
  <c r="L528" i="1" s="1"/>
  <c r="L533" i="1" s="1"/>
  <c r="L538" i="1" s="1"/>
  <c r="L543" i="1" s="1"/>
  <c r="L548" i="1" s="1"/>
  <c r="L553" i="1" s="1"/>
  <c r="L558" i="1" s="1"/>
  <c r="L563" i="1" s="1"/>
  <c r="L568" i="1" s="1"/>
  <c r="L573" i="1" s="1"/>
  <c r="L578" i="1" s="1"/>
  <c r="L583" i="1" s="1"/>
  <c r="L588" i="1" s="1"/>
  <c r="L593" i="1" s="1"/>
  <c r="L598" i="1" s="1"/>
  <c r="L603" i="1" s="1"/>
  <c r="L608" i="1" s="1"/>
  <c r="L613" i="1" s="1"/>
  <c r="L618" i="1" s="1"/>
  <c r="L623" i="1" s="1"/>
  <c r="L628" i="1" s="1"/>
  <c r="L633" i="1" s="1"/>
  <c r="L638" i="1" s="1"/>
  <c r="L643" i="1" s="1"/>
  <c r="L648" i="1" s="1"/>
  <c r="L653" i="1" s="1"/>
  <c r="L658" i="1" s="1"/>
  <c r="L663" i="1" s="1"/>
  <c r="L668" i="1" s="1"/>
  <c r="L673" i="1" s="1"/>
  <c r="L678" i="1" s="1"/>
  <c r="L683" i="1" s="1"/>
  <c r="L688" i="1" s="1"/>
  <c r="L693" i="1" s="1"/>
  <c r="L698" i="1" s="1"/>
  <c r="L703" i="1" s="1"/>
  <c r="L708" i="1" s="1"/>
  <c r="L713" i="1" s="1"/>
  <c r="L718" i="1" s="1"/>
  <c r="L723" i="1" s="1"/>
  <c r="L728" i="1" s="1"/>
  <c r="L733" i="1" s="1"/>
  <c r="L738" i="1" s="1"/>
  <c r="L743" i="1" s="1"/>
  <c r="L748" i="1" s="1"/>
  <c r="L753" i="1" s="1"/>
  <c r="L758" i="1" s="1"/>
  <c r="L763" i="1" s="1"/>
  <c r="L768" i="1" s="1"/>
  <c r="L773" i="1" s="1"/>
  <c r="L778" i="1" s="1"/>
  <c r="L783" i="1" s="1"/>
  <c r="L788" i="1" s="1"/>
  <c r="L793" i="1" s="1"/>
  <c r="L798" i="1" s="1"/>
  <c r="L803" i="1" s="1"/>
  <c r="L808" i="1" s="1"/>
  <c r="L813" i="1" s="1"/>
  <c r="L818" i="1" s="1"/>
  <c r="L823" i="1" s="1"/>
  <c r="L828" i="1" s="1"/>
  <c r="L833" i="1" s="1"/>
  <c r="L838" i="1" s="1"/>
  <c r="L843" i="1" s="1"/>
  <c r="L848" i="1" s="1"/>
  <c r="L853" i="1" s="1"/>
  <c r="L858" i="1" s="1"/>
  <c r="L863" i="1" s="1"/>
  <c r="L868" i="1" s="1"/>
  <c r="L873" i="1" s="1"/>
  <c r="L878" i="1" s="1"/>
  <c r="L883" i="1" s="1"/>
  <c r="L888" i="1" s="1"/>
  <c r="L893" i="1" s="1"/>
  <c r="L898" i="1" s="1"/>
  <c r="L903" i="1" s="1"/>
  <c r="L908" i="1" s="1"/>
  <c r="L913" i="1" s="1"/>
  <c r="L918" i="1" s="1"/>
  <c r="L923" i="1" s="1"/>
  <c r="L928" i="1" s="1"/>
  <c r="L933" i="1" s="1"/>
  <c r="L938" i="1" s="1"/>
  <c r="L943" i="1" s="1"/>
  <c r="L948" i="1" s="1"/>
  <c r="L953" i="1" s="1"/>
  <c r="L958" i="1" s="1"/>
  <c r="L963" i="1" s="1"/>
  <c r="L968" i="1" s="1"/>
  <c r="L973" i="1" s="1"/>
  <c r="L978" i="1" s="1"/>
  <c r="L983" i="1" s="1"/>
  <c r="L988" i="1" s="1"/>
  <c r="L993" i="1" s="1"/>
  <c r="L998" i="1" s="1"/>
  <c r="L1003" i="1" s="1"/>
  <c r="L1008" i="1" s="1"/>
  <c r="L1013" i="1" s="1"/>
  <c r="L1018" i="1" s="1"/>
  <c r="L1023" i="1" s="1"/>
  <c r="L1028" i="1" s="1"/>
  <c r="L1033" i="1" s="1"/>
  <c r="L1038" i="1" s="1"/>
  <c r="L1043" i="1" s="1"/>
  <c r="L1048" i="1" s="1"/>
  <c r="L1053" i="1" s="1"/>
  <c r="L1058" i="1" s="1"/>
  <c r="L1063" i="1" s="1"/>
  <c r="L1068" i="1" s="1"/>
  <c r="L1073" i="1" s="1"/>
  <c r="L1078" i="1" s="1"/>
  <c r="L1083" i="1" s="1"/>
  <c r="L1088" i="1" s="1"/>
  <c r="L1093" i="1" s="1"/>
  <c r="L1098" i="1" s="1"/>
  <c r="L1103" i="1" s="1"/>
  <c r="L1108" i="1" s="1"/>
  <c r="L1113" i="1" s="1"/>
  <c r="L1118" i="1" s="1"/>
  <c r="L1123" i="1" s="1"/>
  <c r="L1128" i="1" s="1"/>
  <c r="L1133" i="1" s="1"/>
  <c r="L1138" i="1" s="1"/>
  <c r="L1143" i="1" s="1"/>
  <c r="L1148" i="1" s="1"/>
  <c r="L1153" i="1" s="1"/>
  <c r="L1158" i="1" s="1"/>
  <c r="L1163" i="1" s="1"/>
  <c r="L1168" i="1" s="1"/>
  <c r="L1173" i="1" s="1"/>
  <c r="L1178" i="1" s="1"/>
  <c r="L1183" i="1" s="1"/>
  <c r="L1188" i="1" s="1"/>
  <c r="L1193" i="1" s="1"/>
  <c r="L1198" i="1" s="1"/>
  <c r="L1203" i="1" s="1"/>
  <c r="L1208" i="1" s="1"/>
  <c r="L1213" i="1" s="1"/>
  <c r="L1218" i="1" s="1"/>
  <c r="L1223" i="1" s="1"/>
  <c r="L1228" i="1" s="1"/>
  <c r="L1233" i="1" s="1"/>
  <c r="L1238" i="1" s="1"/>
  <c r="L1243" i="1" s="1"/>
  <c r="L1248" i="1" s="1"/>
  <c r="L1253" i="1" s="1"/>
  <c r="L1258" i="1" s="1"/>
  <c r="L1263" i="1" s="1"/>
  <c r="L1268" i="1" s="1"/>
  <c r="L1273" i="1" s="1"/>
  <c r="L1278" i="1" s="1"/>
  <c r="L1283" i="1" s="1"/>
  <c r="L1288" i="1" s="1"/>
  <c r="L1293" i="1" s="1"/>
  <c r="L1298" i="1" s="1"/>
  <c r="L1303" i="1" s="1"/>
  <c r="L1308" i="1" s="1"/>
  <c r="L1313" i="1" s="1"/>
  <c r="L1318" i="1" s="1"/>
  <c r="L1323" i="1" s="1"/>
  <c r="L1328" i="1" s="1"/>
  <c r="L1333" i="1" s="1"/>
  <c r="L1338" i="1" s="1"/>
  <c r="L1343" i="1" s="1"/>
  <c r="L1348" i="1" s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J3" i="1"/>
  <c r="I3" i="1"/>
  <c r="H4" i="1"/>
  <c r="A13" i="5"/>
  <c r="A18" i="5" s="1"/>
  <c r="A23" i="5" s="1"/>
  <c r="A28" i="5" s="1"/>
  <c r="A33" i="5" s="1"/>
  <c r="A38" i="5" s="1"/>
  <c r="A43" i="5" s="1"/>
  <c r="A48" i="5" s="1"/>
  <c r="A53" i="5" s="1"/>
  <c r="A58" i="5" s="1"/>
  <c r="A63" i="5" s="1"/>
  <c r="A68" i="5" s="1"/>
  <c r="A73" i="5" s="1"/>
  <c r="A78" i="5" s="1"/>
  <c r="A83" i="5" s="1"/>
  <c r="A88" i="5" s="1"/>
  <c r="A93" i="5" s="1"/>
  <c r="A98" i="5" s="1"/>
  <c r="A103" i="5" s="1"/>
  <c r="A108" i="5" s="1"/>
  <c r="A113" i="5" s="1"/>
  <c r="A118" i="5" s="1"/>
  <c r="A123" i="5" s="1"/>
  <c r="A128" i="5" s="1"/>
  <c r="A133" i="5" s="1"/>
  <c r="A138" i="5" s="1"/>
  <c r="A143" i="5" s="1"/>
  <c r="A148" i="5" s="1"/>
  <c r="A153" i="5" s="1"/>
  <c r="A158" i="5" s="1"/>
  <c r="A163" i="5" s="1"/>
  <c r="A168" i="5" s="1"/>
  <c r="A173" i="5" s="1"/>
  <c r="A178" i="5" s="1"/>
  <c r="A183" i="5" s="1"/>
  <c r="A188" i="5" s="1"/>
  <c r="A193" i="5" s="1"/>
  <c r="A198" i="5" s="1"/>
  <c r="A203" i="5" s="1"/>
  <c r="A208" i="5" s="1"/>
  <c r="A213" i="5" s="1"/>
  <c r="A218" i="5" s="1"/>
  <c r="A223" i="5" s="1"/>
  <c r="A228" i="5" s="1"/>
  <c r="A233" i="5" s="1"/>
  <c r="A238" i="5" s="1"/>
  <c r="A243" i="5" s="1"/>
  <c r="A248" i="5" s="1"/>
  <c r="A253" i="5" s="1"/>
  <c r="A258" i="5" s="1"/>
  <c r="A263" i="5" s="1"/>
  <c r="A268" i="5" s="1"/>
  <c r="A273" i="5" s="1"/>
  <c r="A278" i="5" s="1"/>
  <c r="A283" i="5" s="1"/>
  <c r="A288" i="5" s="1"/>
  <c r="A293" i="5" s="1"/>
  <c r="A298" i="5" s="1"/>
  <c r="A303" i="5" s="1"/>
  <c r="A308" i="5" s="1"/>
  <c r="A313" i="5" s="1"/>
  <c r="A318" i="5" s="1"/>
  <c r="A323" i="5" s="1"/>
  <c r="A328" i="5" s="1"/>
  <c r="A333" i="5" s="1"/>
  <c r="A338" i="5" s="1"/>
  <c r="A343" i="5" s="1"/>
  <c r="A348" i="5" s="1"/>
  <c r="A353" i="5" s="1"/>
  <c r="A358" i="5" s="1"/>
  <c r="A363" i="5" s="1"/>
  <c r="A368" i="5" s="1"/>
  <c r="A373" i="5" s="1"/>
  <c r="A378" i="5" s="1"/>
  <c r="A383" i="5" s="1"/>
  <c r="A388" i="5" s="1"/>
  <c r="A393" i="5" s="1"/>
  <c r="A398" i="5" s="1"/>
  <c r="A403" i="5" s="1"/>
  <c r="A408" i="5" s="1"/>
  <c r="A413" i="5" s="1"/>
  <c r="A418" i="5" s="1"/>
  <c r="A423" i="5" s="1"/>
  <c r="A428" i="5" s="1"/>
  <c r="A433" i="5" s="1"/>
  <c r="A438" i="5" s="1"/>
  <c r="A443" i="5" s="1"/>
  <c r="A448" i="5" s="1"/>
  <c r="A453" i="5" s="1"/>
  <c r="A458" i="5" s="1"/>
  <c r="A463" i="5" s="1"/>
  <c r="A468" i="5" s="1"/>
  <c r="A473" i="5" s="1"/>
  <c r="A478" i="5" s="1"/>
  <c r="A483" i="5" s="1"/>
  <c r="A488" i="5" s="1"/>
  <c r="A493" i="5" s="1"/>
  <c r="A498" i="5" s="1"/>
  <c r="A503" i="5" s="1"/>
  <c r="A508" i="5" s="1"/>
  <c r="A513" i="5" s="1"/>
  <c r="A518" i="5" s="1"/>
  <c r="A523" i="5" s="1"/>
  <c r="A528" i="5" s="1"/>
  <c r="A533" i="5" s="1"/>
  <c r="A538" i="5" s="1"/>
  <c r="A543" i="5" s="1"/>
  <c r="A548" i="5" s="1"/>
  <c r="A553" i="5" s="1"/>
  <c r="A558" i="5" s="1"/>
  <c r="A563" i="5" s="1"/>
  <c r="A568" i="5" s="1"/>
  <c r="A573" i="5" s="1"/>
  <c r="A578" i="5" s="1"/>
  <c r="A583" i="5" s="1"/>
  <c r="A588" i="5" s="1"/>
  <c r="A593" i="5" s="1"/>
  <c r="A598" i="5" s="1"/>
  <c r="A603" i="5" s="1"/>
  <c r="A608" i="5" s="1"/>
  <c r="A613" i="5" s="1"/>
  <c r="A618" i="5" s="1"/>
  <c r="A623" i="5" s="1"/>
  <c r="A628" i="5" s="1"/>
  <c r="A633" i="5" s="1"/>
  <c r="A638" i="5" s="1"/>
  <c r="A643" i="5" s="1"/>
  <c r="A648" i="5" s="1"/>
  <c r="A653" i="5" s="1"/>
  <c r="A658" i="5" s="1"/>
  <c r="A663" i="5" s="1"/>
  <c r="A668" i="5" s="1"/>
  <c r="A673" i="5" s="1"/>
  <c r="A678" i="5" s="1"/>
  <c r="A683" i="5" s="1"/>
  <c r="A688" i="5" s="1"/>
  <c r="A693" i="5" s="1"/>
  <c r="A698" i="5" s="1"/>
  <c r="A703" i="5" s="1"/>
  <c r="A708" i="5" s="1"/>
  <c r="A713" i="5" s="1"/>
  <c r="A718" i="5" s="1"/>
  <c r="A723" i="5" s="1"/>
  <c r="A728" i="5" s="1"/>
  <c r="A733" i="5" s="1"/>
  <c r="A738" i="5" s="1"/>
  <c r="A743" i="5" s="1"/>
  <c r="A748" i="5" s="1"/>
  <c r="A753" i="5" s="1"/>
  <c r="A758" i="5" s="1"/>
  <c r="A763" i="5" s="1"/>
  <c r="A768" i="5" s="1"/>
  <c r="A773" i="5" s="1"/>
  <c r="A778" i="5" s="1"/>
  <c r="A783" i="5" s="1"/>
  <c r="A788" i="5" s="1"/>
  <c r="A793" i="5" s="1"/>
  <c r="A798" i="5" s="1"/>
  <c r="A803" i="5" s="1"/>
  <c r="A808" i="5" s="1"/>
  <c r="A813" i="5" s="1"/>
  <c r="A818" i="5" s="1"/>
  <c r="A823" i="5" s="1"/>
  <c r="A828" i="5" s="1"/>
  <c r="A833" i="5" s="1"/>
  <c r="A838" i="5" s="1"/>
  <c r="A843" i="5" s="1"/>
  <c r="A848" i="5" s="1"/>
  <c r="A853" i="5" s="1"/>
  <c r="A858" i="5" s="1"/>
  <c r="A863" i="5" s="1"/>
  <c r="A868" i="5" s="1"/>
  <c r="A873" i="5" s="1"/>
  <c r="A878" i="5" s="1"/>
  <c r="A883" i="5" s="1"/>
  <c r="A888" i="5" s="1"/>
  <c r="A893" i="5" s="1"/>
  <c r="A898" i="5" s="1"/>
  <c r="A903" i="5" s="1"/>
  <c r="A908" i="5" s="1"/>
  <c r="A913" i="5" s="1"/>
  <c r="A918" i="5" s="1"/>
  <c r="A923" i="5" s="1"/>
  <c r="A928" i="5" s="1"/>
  <c r="A933" i="5" s="1"/>
  <c r="A938" i="5" s="1"/>
  <c r="A943" i="5" s="1"/>
  <c r="A948" i="5" s="1"/>
  <c r="A953" i="5" s="1"/>
  <c r="A958" i="5" s="1"/>
  <c r="A963" i="5" s="1"/>
  <c r="A968" i="5" s="1"/>
  <c r="A973" i="5" s="1"/>
  <c r="A978" i="5" s="1"/>
  <c r="A983" i="5" s="1"/>
  <c r="A988" i="5" s="1"/>
  <c r="A993" i="5" s="1"/>
  <c r="A998" i="5" s="1"/>
  <c r="A1003" i="5" s="1"/>
  <c r="A1008" i="5" s="1"/>
  <c r="A1013" i="5" s="1"/>
  <c r="A1018" i="5" s="1"/>
  <c r="A1023" i="5" s="1"/>
  <c r="A1028" i="5" s="1"/>
  <c r="A1033" i="5" s="1"/>
  <c r="A1038" i="5" s="1"/>
  <c r="A1043" i="5" s="1"/>
  <c r="A1048" i="5" s="1"/>
  <c r="A1053" i="5" s="1"/>
  <c r="A1058" i="5" s="1"/>
  <c r="A1063" i="5" s="1"/>
  <c r="A1068" i="5" s="1"/>
  <c r="A1073" i="5" s="1"/>
  <c r="A1078" i="5" s="1"/>
  <c r="A1083" i="5" s="1"/>
  <c r="A1088" i="5" s="1"/>
  <c r="A1093" i="5" s="1"/>
  <c r="A1098" i="5" s="1"/>
  <c r="A1103" i="5" s="1"/>
  <c r="A1108" i="5" s="1"/>
  <c r="A1113" i="5" s="1"/>
  <c r="A1118" i="5" s="1"/>
  <c r="A1123" i="5" s="1"/>
  <c r="A1128" i="5" s="1"/>
  <c r="A1133" i="5" s="1"/>
  <c r="A1138" i="5" s="1"/>
  <c r="A1143" i="5" s="1"/>
  <c r="A1148" i="5" s="1"/>
  <c r="A1153" i="5" s="1"/>
  <c r="A1158" i="5" s="1"/>
  <c r="A1163" i="5" s="1"/>
  <c r="A1168" i="5" s="1"/>
  <c r="A1173" i="5" s="1"/>
  <c r="A1178" i="5" s="1"/>
  <c r="A1183" i="5" s="1"/>
  <c r="A1188" i="5" s="1"/>
  <c r="A1193" i="5" s="1"/>
  <c r="A1198" i="5" s="1"/>
  <c r="A1203" i="5" s="1"/>
  <c r="A1208" i="5" s="1"/>
  <c r="A1213" i="5" s="1"/>
  <c r="A1218" i="5" s="1"/>
  <c r="A1223" i="5" s="1"/>
  <c r="A1228" i="5" s="1"/>
  <c r="A1233" i="5" s="1"/>
  <c r="A1238" i="5" s="1"/>
  <c r="A1243" i="5" s="1"/>
  <c r="A1248" i="5" s="1"/>
  <c r="A1253" i="5" s="1"/>
  <c r="A1258" i="5" s="1"/>
  <c r="A1263" i="5" s="1"/>
  <c r="A1268" i="5" s="1"/>
  <c r="A1273" i="5" s="1"/>
  <c r="A1278" i="5" s="1"/>
  <c r="A1283" i="5" s="1"/>
  <c r="A1288" i="5" s="1"/>
  <c r="A1293" i="5" s="1"/>
  <c r="A1298" i="5" s="1"/>
  <c r="A1303" i="5" s="1"/>
  <c r="A1308" i="5" s="1"/>
  <c r="A1313" i="5" s="1"/>
  <c r="A1318" i="5" s="1"/>
  <c r="A1323" i="5" s="1"/>
  <c r="A1328" i="5" s="1"/>
  <c r="A1333" i="5" s="1"/>
  <c r="A1338" i="5" s="1"/>
  <c r="A1343" i="5" s="1"/>
  <c r="A14" i="5"/>
  <c r="A15" i="5"/>
  <c r="A20" i="5" s="1"/>
  <c r="A25" i="5" s="1"/>
  <c r="A30" i="5" s="1"/>
  <c r="A35" i="5" s="1"/>
  <c r="A40" i="5" s="1"/>
  <c r="A45" i="5" s="1"/>
  <c r="A50" i="5" s="1"/>
  <c r="A55" i="5" s="1"/>
  <c r="A60" i="5" s="1"/>
  <c r="A65" i="5" s="1"/>
  <c r="A70" i="5" s="1"/>
  <c r="A75" i="5" s="1"/>
  <c r="A80" i="5" s="1"/>
  <c r="A85" i="5" s="1"/>
  <c r="A90" i="5" s="1"/>
  <c r="A95" i="5" s="1"/>
  <c r="A100" i="5" s="1"/>
  <c r="A105" i="5" s="1"/>
  <c r="A110" i="5" s="1"/>
  <c r="A115" i="5" s="1"/>
  <c r="A120" i="5" s="1"/>
  <c r="A125" i="5" s="1"/>
  <c r="A130" i="5" s="1"/>
  <c r="A135" i="5" s="1"/>
  <c r="A140" i="5" s="1"/>
  <c r="A145" i="5" s="1"/>
  <c r="A150" i="5" s="1"/>
  <c r="A155" i="5" s="1"/>
  <c r="A160" i="5" s="1"/>
  <c r="A165" i="5" s="1"/>
  <c r="A170" i="5" s="1"/>
  <c r="A175" i="5" s="1"/>
  <c r="A180" i="5" s="1"/>
  <c r="A185" i="5" s="1"/>
  <c r="A190" i="5" s="1"/>
  <c r="A195" i="5" s="1"/>
  <c r="A200" i="5" s="1"/>
  <c r="A205" i="5" s="1"/>
  <c r="A210" i="5" s="1"/>
  <c r="A215" i="5" s="1"/>
  <c r="A220" i="5" s="1"/>
  <c r="A225" i="5" s="1"/>
  <c r="A230" i="5" s="1"/>
  <c r="A235" i="5" s="1"/>
  <c r="A240" i="5" s="1"/>
  <c r="A245" i="5" s="1"/>
  <c r="A250" i="5" s="1"/>
  <c r="A255" i="5" s="1"/>
  <c r="A260" i="5" s="1"/>
  <c r="A265" i="5" s="1"/>
  <c r="A270" i="5" s="1"/>
  <c r="A275" i="5" s="1"/>
  <c r="A280" i="5" s="1"/>
  <c r="A285" i="5" s="1"/>
  <c r="A290" i="5" s="1"/>
  <c r="A295" i="5" s="1"/>
  <c r="A300" i="5" s="1"/>
  <c r="A305" i="5" s="1"/>
  <c r="A310" i="5" s="1"/>
  <c r="A315" i="5" s="1"/>
  <c r="A320" i="5" s="1"/>
  <c r="A325" i="5" s="1"/>
  <c r="A330" i="5" s="1"/>
  <c r="A335" i="5" s="1"/>
  <c r="A340" i="5" s="1"/>
  <c r="A345" i="5" s="1"/>
  <c r="A350" i="5" s="1"/>
  <c r="A355" i="5" s="1"/>
  <c r="A360" i="5" s="1"/>
  <c r="A365" i="5" s="1"/>
  <c r="A370" i="5" s="1"/>
  <c r="A375" i="5" s="1"/>
  <c r="A380" i="5" s="1"/>
  <c r="A385" i="5" s="1"/>
  <c r="A390" i="5" s="1"/>
  <c r="A395" i="5" s="1"/>
  <c r="A400" i="5" s="1"/>
  <c r="A405" i="5" s="1"/>
  <c r="A410" i="5" s="1"/>
  <c r="A415" i="5" s="1"/>
  <c r="A420" i="5" s="1"/>
  <c r="A425" i="5" s="1"/>
  <c r="A430" i="5" s="1"/>
  <c r="A435" i="5" s="1"/>
  <c r="A440" i="5" s="1"/>
  <c r="A445" i="5" s="1"/>
  <c r="A450" i="5" s="1"/>
  <c r="A455" i="5" s="1"/>
  <c r="A460" i="5" s="1"/>
  <c r="A465" i="5" s="1"/>
  <c r="A470" i="5" s="1"/>
  <c r="A475" i="5" s="1"/>
  <c r="A480" i="5" s="1"/>
  <c r="A485" i="5" s="1"/>
  <c r="A490" i="5" s="1"/>
  <c r="A495" i="5" s="1"/>
  <c r="A500" i="5" s="1"/>
  <c r="A505" i="5" s="1"/>
  <c r="A510" i="5" s="1"/>
  <c r="A515" i="5" s="1"/>
  <c r="A520" i="5" s="1"/>
  <c r="A525" i="5" s="1"/>
  <c r="A530" i="5" s="1"/>
  <c r="A535" i="5" s="1"/>
  <c r="A540" i="5" s="1"/>
  <c r="A545" i="5" s="1"/>
  <c r="A550" i="5" s="1"/>
  <c r="A555" i="5" s="1"/>
  <c r="A560" i="5" s="1"/>
  <c r="A565" i="5" s="1"/>
  <c r="A570" i="5" s="1"/>
  <c r="A575" i="5" s="1"/>
  <c r="A580" i="5" s="1"/>
  <c r="A585" i="5" s="1"/>
  <c r="A590" i="5" s="1"/>
  <c r="A595" i="5" s="1"/>
  <c r="A600" i="5" s="1"/>
  <c r="A605" i="5" s="1"/>
  <c r="A610" i="5" s="1"/>
  <c r="A615" i="5" s="1"/>
  <c r="A620" i="5" s="1"/>
  <c r="A625" i="5" s="1"/>
  <c r="A630" i="5" s="1"/>
  <c r="A635" i="5" s="1"/>
  <c r="A640" i="5" s="1"/>
  <c r="A645" i="5" s="1"/>
  <c r="A650" i="5" s="1"/>
  <c r="A655" i="5" s="1"/>
  <c r="A660" i="5" s="1"/>
  <c r="A665" i="5" s="1"/>
  <c r="A670" i="5" s="1"/>
  <c r="A675" i="5" s="1"/>
  <c r="A680" i="5" s="1"/>
  <c r="A685" i="5" s="1"/>
  <c r="A690" i="5" s="1"/>
  <c r="A695" i="5" s="1"/>
  <c r="A700" i="5" s="1"/>
  <c r="A705" i="5" s="1"/>
  <c r="A710" i="5" s="1"/>
  <c r="A715" i="5" s="1"/>
  <c r="A720" i="5" s="1"/>
  <c r="A725" i="5" s="1"/>
  <c r="A730" i="5" s="1"/>
  <c r="A735" i="5" s="1"/>
  <c r="A740" i="5" s="1"/>
  <c r="A745" i="5" s="1"/>
  <c r="A750" i="5" s="1"/>
  <c r="A755" i="5" s="1"/>
  <c r="A760" i="5" s="1"/>
  <c r="A765" i="5" s="1"/>
  <c r="A770" i="5" s="1"/>
  <c r="A775" i="5" s="1"/>
  <c r="A780" i="5" s="1"/>
  <c r="A785" i="5" s="1"/>
  <c r="A790" i="5" s="1"/>
  <c r="A795" i="5" s="1"/>
  <c r="A800" i="5" s="1"/>
  <c r="A805" i="5" s="1"/>
  <c r="A810" i="5" s="1"/>
  <c r="A815" i="5" s="1"/>
  <c r="A820" i="5" s="1"/>
  <c r="A825" i="5" s="1"/>
  <c r="A830" i="5" s="1"/>
  <c r="A835" i="5" s="1"/>
  <c r="A840" i="5" s="1"/>
  <c r="A845" i="5" s="1"/>
  <c r="A850" i="5" s="1"/>
  <c r="A855" i="5" s="1"/>
  <c r="A860" i="5" s="1"/>
  <c r="A865" i="5" s="1"/>
  <c r="A870" i="5" s="1"/>
  <c r="A875" i="5" s="1"/>
  <c r="A880" i="5" s="1"/>
  <c r="A885" i="5" s="1"/>
  <c r="A890" i="5" s="1"/>
  <c r="A895" i="5" s="1"/>
  <c r="A900" i="5" s="1"/>
  <c r="A905" i="5" s="1"/>
  <c r="A910" i="5" s="1"/>
  <c r="A915" i="5" s="1"/>
  <c r="A920" i="5" s="1"/>
  <c r="A925" i="5" s="1"/>
  <c r="A930" i="5" s="1"/>
  <c r="A935" i="5" s="1"/>
  <c r="A940" i="5" s="1"/>
  <c r="A945" i="5" s="1"/>
  <c r="A950" i="5" s="1"/>
  <c r="A955" i="5" s="1"/>
  <c r="A960" i="5" s="1"/>
  <c r="A965" i="5" s="1"/>
  <c r="A970" i="5" s="1"/>
  <c r="A975" i="5" s="1"/>
  <c r="A980" i="5" s="1"/>
  <c r="A985" i="5" s="1"/>
  <c r="A990" i="5" s="1"/>
  <c r="A995" i="5" s="1"/>
  <c r="A1000" i="5" s="1"/>
  <c r="A1005" i="5" s="1"/>
  <c r="A1010" i="5" s="1"/>
  <c r="A1015" i="5" s="1"/>
  <c r="A1020" i="5" s="1"/>
  <c r="A1025" i="5" s="1"/>
  <c r="A1030" i="5" s="1"/>
  <c r="A1035" i="5" s="1"/>
  <c r="A1040" i="5" s="1"/>
  <c r="A1045" i="5" s="1"/>
  <c r="A1050" i="5" s="1"/>
  <c r="A1055" i="5" s="1"/>
  <c r="A1060" i="5" s="1"/>
  <c r="A1065" i="5" s="1"/>
  <c r="A1070" i="5" s="1"/>
  <c r="A1075" i="5" s="1"/>
  <c r="A1080" i="5" s="1"/>
  <c r="A1085" i="5" s="1"/>
  <c r="A1090" i="5" s="1"/>
  <c r="A1095" i="5" s="1"/>
  <c r="A1100" i="5" s="1"/>
  <c r="A1105" i="5" s="1"/>
  <c r="A1110" i="5" s="1"/>
  <c r="A1115" i="5" s="1"/>
  <c r="A1120" i="5" s="1"/>
  <c r="A1125" i="5" s="1"/>
  <c r="A1130" i="5" s="1"/>
  <c r="A1135" i="5" s="1"/>
  <c r="A1140" i="5" s="1"/>
  <c r="A1145" i="5" s="1"/>
  <c r="A1150" i="5" s="1"/>
  <c r="A1155" i="5" s="1"/>
  <c r="A1160" i="5" s="1"/>
  <c r="A1165" i="5" s="1"/>
  <c r="A1170" i="5" s="1"/>
  <c r="A1175" i="5" s="1"/>
  <c r="A1180" i="5" s="1"/>
  <c r="A1185" i="5" s="1"/>
  <c r="A1190" i="5" s="1"/>
  <c r="A1195" i="5" s="1"/>
  <c r="A1200" i="5" s="1"/>
  <c r="A1205" i="5" s="1"/>
  <c r="A1210" i="5" s="1"/>
  <c r="A1215" i="5" s="1"/>
  <c r="A1220" i="5" s="1"/>
  <c r="A1225" i="5" s="1"/>
  <c r="A1230" i="5" s="1"/>
  <c r="A1235" i="5" s="1"/>
  <c r="A1240" i="5" s="1"/>
  <c r="A1245" i="5" s="1"/>
  <c r="A1250" i="5" s="1"/>
  <c r="A1255" i="5" s="1"/>
  <c r="A1260" i="5" s="1"/>
  <c r="A1265" i="5" s="1"/>
  <c r="A1270" i="5" s="1"/>
  <c r="A1275" i="5" s="1"/>
  <c r="A1280" i="5" s="1"/>
  <c r="A1285" i="5" s="1"/>
  <c r="A1290" i="5" s="1"/>
  <c r="A1295" i="5" s="1"/>
  <c r="A1300" i="5" s="1"/>
  <c r="A1305" i="5" s="1"/>
  <c r="A1310" i="5" s="1"/>
  <c r="A1315" i="5" s="1"/>
  <c r="A1320" i="5" s="1"/>
  <c r="A1325" i="5" s="1"/>
  <c r="A1330" i="5" s="1"/>
  <c r="A1335" i="5" s="1"/>
  <c r="A1340" i="5" s="1"/>
  <c r="A16" i="5"/>
  <c r="A21" i="5" s="1"/>
  <c r="A26" i="5" s="1"/>
  <c r="A31" i="5" s="1"/>
  <c r="A36" i="5" s="1"/>
  <c r="A41" i="5" s="1"/>
  <c r="A46" i="5" s="1"/>
  <c r="A51" i="5" s="1"/>
  <c r="A56" i="5" s="1"/>
  <c r="A61" i="5" s="1"/>
  <c r="A66" i="5" s="1"/>
  <c r="A71" i="5" s="1"/>
  <c r="A76" i="5" s="1"/>
  <c r="A81" i="5" s="1"/>
  <c r="A86" i="5" s="1"/>
  <c r="A91" i="5" s="1"/>
  <c r="A96" i="5" s="1"/>
  <c r="A101" i="5" s="1"/>
  <c r="A106" i="5" s="1"/>
  <c r="A111" i="5" s="1"/>
  <c r="A116" i="5" s="1"/>
  <c r="A121" i="5" s="1"/>
  <c r="A126" i="5" s="1"/>
  <c r="A131" i="5" s="1"/>
  <c r="A136" i="5" s="1"/>
  <c r="A141" i="5" s="1"/>
  <c r="A146" i="5" s="1"/>
  <c r="A151" i="5" s="1"/>
  <c r="A156" i="5" s="1"/>
  <c r="A161" i="5" s="1"/>
  <c r="A166" i="5" s="1"/>
  <c r="A171" i="5" s="1"/>
  <c r="A176" i="5" s="1"/>
  <c r="A181" i="5" s="1"/>
  <c r="A186" i="5" s="1"/>
  <c r="A191" i="5" s="1"/>
  <c r="A196" i="5" s="1"/>
  <c r="A201" i="5" s="1"/>
  <c r="A206" i="5" s="1"/>
  <c r="A211" i="5" s="1"/>
  <c r="A216" i="5" s="1"/>
  <c r="A221" i="5" s="1"/>
  <c r="A226" i="5" s="1"/>
  <c r="A231" i="5" s="1"/>
  <c r="A236" i="5" s="1"/>
  <c r="A241" i="5" s="1"/>
  <c r="A246" i="5" s="1"/>
  <c r="A251" i="5" s="1"/>
  <c r="A256" i="5" s="1"/>
  <c r="A261" i="5" s="1"/>
  <c r="A266" i="5" s="1"/>
  <c r="A271" i="5" s="1"/>
  <c r="A276" i="5" s="1"/>
  <c r="A281" i="5" s="1"/>
  <c r="A286" i="5" s="1"/>
  <c r="A291" i="5" s="1"/>
  <c r="A296" i="5" s="1"/>
  <c r="A301" i="5" s="1"/>
  <c r="A306" i="5" s="1"/>
  <c r="A311" i="5" s="1"/>
  <c r="A316" i="5" s="1"/>
  <c r="A321" i="5" s="1"/>
  <c r="A326" i="5" s="1"/>
  <c r="A331" i="5" s="1"/>
  <c r="A336" i="5" s="1"/>
  <c r="A341" i="5" s="1"/>
  <c r="A346" i="5" s="1"/>
  <c r="A351" i="5" s="1"/>
  <c r="A356" i="5" s="1"/>
  <c r="A361" i="5" s="1"/>
  <c r="A366" i="5" s="1"/>
  <c r="A371" i="5" s="1"/>
  <c r="A376" i="5" s="1"/>
  <c r="A381" i="5" s="1"/>
  <c r="A386" i="5" s="1"/>
  <c r="A391" i="5" s="1"/>
  <c r="A396" i="5" s="1"/>
  <c r="A401" i="5" s="1"/>
  <c r="A406" i="5" s="1"/>
  <c r="A411" i="5" s="1"/>
  <c r="A416" i="5" s="1"/>
  <c r="A421" i="5" s="1"/>
  <c r="A426" i="5" s="1"/>
  <c r="A431" i="5" s="1"/>
  <c r="A436" i="5" s="1"/>
  <c r="A441" i="5" s="1"/>
  <c r="A446" i="5" s="1"/>
  <c r="A451" i="5" s="1"/>
  <c r="A456" i="5" s="1"/>
  <c r="A461" i="5" s="1"/>
  <c r="A466" i="5" s="1"/>
  <c r="A471" i="5" s="1"/>
  <c r="A476" i="5" s="1"/>
  <c r="A481" i="5" s="1"/>
  <c r="A486" i="5" s="1"/>
  <c r="A491" i="5" s="1"/>
  <c r="A496" i="5" s="1"/>
  <c r="A501" i="5" s="1"/>
  <c r="A506" i="5" s="1"/>
  <c r="A511" i="5" s="1"/>
  <c r="A516" i="5" s="1"/>
  <c r="A521" i="5" s="1"/>
  <c r="A526" i="5" s="1"/>
  <c r="A531" i="5" s="1"/>
  <c r="A536" i="5" s="1"/>
  <c r="A541" i="5" s="1"/>
  <c r="A546" i="5" s="1"/>
  <c r="A551" i="5" s="1"/>
  <c r="A556" i="5" s="1"/>
  <c r="A561" i="5" s="1"/>
  <c r="A566" i="5" s="1"/>
  <c r="A571" i="5" s="1"/>
  <c r="A576" i="5" s="1"/>
  <c r="A581" i="5" s="1"/>
  <c r="A586" i="5" s="1"/>
  <c r="A591" i="5" s="1"/>
  <c r="A596" i="5" s="1"/>
  <c r="A601" i="5" s="1"/>
  <c r="A606" i="5" s="1"/>
  <c r="A611" i="5" s="1"/>
  <c r="A616" i="5" s="1"/>
  <c r="A621" i="5" s="1"/>
  <c r="A626" i="5" s="1"/>
  <c r="A631" i="5" s="1"/>
  <c r="A636" i="5" s="1"/>
  <c r="A641" i="5" s="1"/>
  <c r="A646" i="5" s="1"/>
  <c r="A651" i="5" s="1"/>
  <c r="A656" i="5" s="1"/>
  <c r="A661" i="5" s="1"/>
  <c r="A666" i="5" s="1"/>
  <c r="A671" i="5" s="1"/>
  <c r="A676" i="5" s="1"/>
  <c r="A681" i="5" s="1"/>
  <c r="A686" i="5" s="1"/>
  <c r="A691" i="5" s="1"/>
  <c r="A696" i="5" s="1"/>
  <c r="A701" i="5" s="1"/>
  <c r="A706" i="5" s="1"/>
  <c r="A711" i="5" s="1"/>
  <c r="A716" i="5" s="1"/>
  <c r="A721" i="5" s="1"/>
  <c r="A726" i="5" s="1"/>
  <c r="A731" i="5" s="1"/>
  <c r="A736" i="5" s="1"/>
  <c r="A741" i="5" s="1"/>
  <c r="A746" i="5" s="1"/>
  <c r="A751" i="5" s="1"/>
  <c r="A756" i="5" s="1"/>
  <c r="A761" i="5" s="1"/>
  <c r="A766" i="5" s="1"/>
  <c r="A771" i="5" s="1"/>
  <c r="A776" i="5" s="1"/>
  <c r="A781" i="5" s="1"/>
  <c r="A786" i="5" s="1"/>
  <c r="A791" i="5" s="1"/>
  <c r="A796" i="5" s="1"/>
  <c r="A801" i="5" s="1"/>
  <c r="A806" i="5" s="1"/>
  <c r="A811" i="5" s="1"/>
  <c r="A816" i="5" s="1"/>
  <c r="A821" i="5" s="1"/>
  <c r="A826" i="5" s="1"/>
  <c r="A831" i="5" s="1"/>
  <c r="A836" i="5" s="1"/>
  <c r="A841" i="5" s="1"/>
  <c r="A846" i="5" s="1"/>
  <c r="A851" i="5" s="1"/>
  <c r="A856" i="5" s="1"/>
  <c r="A861" i="5" s="1"/>
  <c r="A866" i="5" s="1"/>
  <c r="A871" i="5" s="1"/>
  <c r="A876" i="5" s="1"/>
  <c r="A881" i="5" s="1"/>
  <c r="A886" i="5" s="1"/>
  <c r="A891" i="5" s="1"/>
  <c r="A896" i="5" s="1"/>
  <c r="A901" i="5" s="1"/>
  <c r="A906" i="5" s="1"/>
  <c r="A911" i="5" s="1"/>
  <c r="A916" i="5" s="1"/>
  <c r="A921" i="5" s="1"/>
  <c r="A926" i="5" s="1"/>
  <c r="A931" i="5" s="1"/>
  <c r="A936" i="5" s="1"/>
  <c r="A941" i="5" s="1"/>
  <c r="A946" i="5" s="1"/>
  <c r="A951" i="5" s="1"/>
  <c r="A956" i="5" s="1"/>
  <c r="A961" i="5" s="1"/>
  <c r="A966" i="5" s="1"/>
  <c r="A971" i="5" s="1"/>
  <c r="A976" i="5" s="1"/>
  <c r="A981" i="5" s="1"/>
  <c r="A986" i="5" s="1"/>
  <c r="A991" i="5" s="1"/>
  <c r="A996" i="5" s="1"/>
  <c r="A1001" i="5" s="1"/>
  <c r="A1006" i="5" s="1"/>
  <c r="A1011" i="5" s="1"/>
  <c r="A1016" i="5" s="1"/>
  <c r="A1021" i="5" s="1"/>
  <c r="A1026" i="5" s="1"/>
  <c r="A1031" i="5" s="1"/>
  <c r="A1036" i="5" s="1"/>
  <c r="A1041" i="5" s="1"/>
  <c r="A1046" i="5" s="1"/>
  <c r="A1051" i="5" s="1"/>
  <c r="A1056" i="5" s="1"/>
  <c r="A1061" i="5" s="1"/>
  <c r="A1066" i="5" s="1"/>
  <c r="A1071" i="5" s="1"/>
  <c r="A1076" i="5" s="1"/>
  <c r="A1081" i="5" s="1"/>
  <c r="A1086" i="5" s="1"/>
  <c r="A1091" i="5" s="1"/>
  <c r="A1096" i="5" s="1"/>
  <c r="A1101" i="5" s="1"/>
  <c r="A1106" i="5" s="1"/>
  <c r="A1111" i="5" s="1"/>
  <c r="A1116" i="5" s="1"/>
  <c r="A1121" i="5" s="1"/>
  <c r="A1126" i="5" s="1"/>
  <c r="A1131" i="5" s="1"/>
  <c r="A1136" i="5" s="1"/>
  <c r="A1141" i="5" s="1"/>
  <c r="A1146" i="5" s="1"/>
  <c r="A1151" i="5" s="1"/>
  <c r="A1156" i="5" s="1"/>
  <c r="A1161" i="5" s="1"/>
  <c r="A1166" i="5" s="1"/>
  <c r="A1171" i="5" s="1"/>
  <c r="A1176" i="5" s="1"/>
  <c r="A1181" i="5" s="1"/>
  <c r="A1186" i="5" s="1"/>
  <c r="A1191" i="5" s="1"/>
  <c r="A1196" i="5" s="1"/>
  <c r="A1201" i="5" s="1"/>
  <c r="A1206" i="5" s="1"/>
  <c r="A1211" i="5" s="1"/>
  <c r="A1216" i="5" s="1"/>
  <c r="A1221" i="5" s="1"/>
  <c r="A1226" i="5" s="1"/>
  <c r="A1231" i="5" s="1"/>
  <c r="A1236" i="5" s="1"/>
  <c r="A1241" i="5" s="1"/>
  <c r="A1246" i="5" s="1"/>
  <c r="A1251" i="5" s="1"/>
  <c r="A1256" i="5" s="1"/>
  <c r="A1261" i="5" s="1"/>
  <c r="A1266" i="5" s="1"/>
  <c r="A1271" i="5" s="1"/>
  <c r="A1276" i="5" s="1"/>
  <c r="A1281" i="5" s="1"/>
  <c r="A1286" i="5" s="1"/>
  <c r="A1291" i="5" s="1"/>
  <c r="A1296" i="5" s="1"/>
  <c r="A1301" i="5" s="1"/>
  <c r="A1306" i="5" s="1"/>
  <c r="A1311" i="5" s="1"/>
  <c r="A1316" i="5" s="1"/>
  <c r="A1321" i="5" s="1"/>
  <c r="A1326" i="5" s="1"/>
  <c r="A1331" i="5" s="1"/>
  <c r="A1336" i="5" s="1"/>
  <c r="A1341" i="5" s="1"/>
  <c r="A19" i="5"/>
  <c r="A24" i="5" s="1"/>
  <c r="A29" i="5" s="1"/>
  <c r="A34" i="5" s="1"/>
  <c r="A39" i="5" s="1"/>
  <c r="A44" i="5" s="1"/>
  <c r="A49" i="5" s="1"/>
  <c r="A54" i="5" s="1"/>
  <c r="A59" i="5" s="1"/>
  <c r="A64" i="5" s="1"/>
  <c r="A69" i="5" s="1"/>
  <c r="A74" i="5" s="1"/>
  <c r="A79" i="5" s="1"/>
  <c r="A84" i="5" s="1"/>
  <c r="A89" i="5" s="1"/>
  <c r="A94" i="5" s="1"/>
  <c r="A99" i="5" s="1"/>
  <c r="A104" i="5" s="1"/>
  <c r="A109" i="5" s="1"/>
  <c r="A114" i="5" s="1"/>
  <c r="A119" i="5" s="1"/>
  <c r="A124" i="5" s="1"/>
  <c r="A129" i="5" s="1"/>
  <c r="A134" i="5" s="1"/>
  <c r="A139" i="5" s="1"/>
  <c r="A144" i="5" s="1"/>
  <c r="A149" i="5" s="1"/>
  <c r="A154" i="5" s="1"/>
  <c r="A159" i="5" s="1"/>
  <c r="A164" i="5" s="1"/>
  <c r="A169" i="5" s="1"/>
  <c r="A174" i="5" s="1"/>
  <c r="A179" i="5" s="1"/>
  <c r="A184" i="5" s="1"/>
  <c r="A189" i="5" s="1"/>
  <c r="A194" i="5" s="1"/>
  <c r="A199" i="5" s="1"/>
  <c r="A204" i="5" s="1"/>
  <c r="A209" i="5" s="1"/>
  <c r="A214" i="5" s="1"/>
  <c r="A219" i="5" s="1"/>
  <c r="A224" i="5" s="1"/>
  <c r="A229" i="5" s="1"/>
  <c r="A234" i="5" s="1"/>
  <c r="A239" i="5" s="1"/>
  <c r="A244" i="5" s="1"/>
  <c r="A249" i="5" s="1"/>
  <c r="A254" i="5" s="1"/>
  <c r="A259" i="5" s="1"/>
  <c r="A264" i="5" s="1"/>
  <c r="A269" i="5" s="1"/>
  <c r="A274" i="5" s="1"/>
  <c r="A279" i="5" s="1"/>
  <c r="A284" i="5" s="1"/>
  <c r="A289" i="5" s="1"/>
  <c r="A294" i="5" s="1"/>
  <c r="A299" i="5" s="1"/>
  <c r="A304" i="5" s="1"/>
  <c r="A309" i="5" s="1"/>
  <c r="A314" i="5" s="1"/>
  <c r="A319" i="5" s="1"/>
  <c r="A324" i="5" s="1"/>
  <c r="A329" i="5" s="1"/>
  <c r="A334" i="5" s="1"/>
  <c r="A339" i="5" s="1"/>
  <c r="A344" i="5" s="1"/>
  <c r="A349" i="5" s="1"/>
  <c r="A354" i="5" s="1"/>
  <c r="A359" i="5" s="1"/>
  <c r="A364" i="5" s="1"/>
  <c r="A369" i="5" s="1"/>
  <c r="A374" i="5" s="1"/>
  <c r="A379" i="5" s="1"/>
  <c r="A384" i="5" s="1"/>
  <c r="A389" i="5" s="1"/>
  <c r="A394" i="5" s="1"/>
  <c r="A399" i="5" s="1"/>
  <c r="A404" i="5" s="1"/>
  <c r="A409" i="5" s="1"/>
  <c r="A414" i="5" s="1"/>
  <c r="A419" i="5" s="1"/>
  <c r="A424" i="5" s="1"/>
  <c r="A429" i="5" s="1"/>
  <c r="A434" i="5" s="1"/>
  <c r="A439" i="5" s="1"/>
  <c r="A444" i="5" s="1"/>
  <c r="A449" i="5" s="1"/>
  <c r="A454" i="5" s="1"/>
  <c r="A459" i="5" s="1"/>
  <c r="A464" i="5" s="1"/>
  <c r="A469" i="5" s="1"/>
  <c r="A474" i="5" s="1"/>
  <c r="A479" i="5" s="1"/>
  <c r="A484" i="5" s="1"/>
  <c r="A489" i="5" s="1"/>
  <c r="A494" i="5" s="1"/>
  <c r="A499" i="5" s="1"/>
  <c r="A504" i="5" s="1"/>
  <c r="A509" i="5" s="1"/>
  <c r="A514" i="5" s="1"/>
  <c r="A519" i="5" s="1"/>
  <c r="A524" i="5" s="1"/>
  <c r="A529" i="5" s="1"/>
  <c r="A534" i="5" s="1"/>
  <c r="A539" i="5" s="1"/>
  <c r="A544" i="5" s="1"/>
  <c r="A549" i="5" s="1"/>
  <c r="A554" i="5" s="1"/>
  <c r="A559" i="5" s="1"/>
  <c r="A564" i="5" s="1"/>
  <c r="A569" i="5" s="1"/>
  <c r="A574" i="5" s="1"/>
  <c r="A579" i="5" s="1"/>
  <c r="A584" i="5" s="1"/>
  <c r="A589" i="5" s="1"/>
  <c r="A594" i="5" s="1"/>
  <c r="A599" i="5" s="1"/>
  <c r="A604" i="5" s="1"/>
  <c r="A609" i="5" s="1"/>
  <c r="A614" i="5" s="1"/>
  <c r="A619" i="5" s="1"/>
  <c r="A624" i="5" s="1"/>
  <c r="A629" i="5" s="1"/>
  <c r="A634" i="5" s="1"/>
  <c r="A639" i="5" s="1"/>
  <c r="A644" i="5" s="1"/>
  <c r="A649" i="5" s="1"/>
  <c r="A654" i="5" s="1"/>
  <c r="A659" i="5" s="1"/>
  <c r="A664" i="5" s="1"/>
  <c r="A669" i="5" s="1"/>
  <c r="A674" i="5" s="1"/>
  <c r="A679" i="5" s="1"/>
  <c r="A684" i="5" s="1"/>
  <c r="A689" i="5" s="1"/>
  <c r="A694" i="5" s="1"/>
  <c r="A699" i="5" s="1"/>
  <c r="A704" i="5" s="1"/>
  <c r="A709" i="5" s="1"/>
  <c r="A714" i="5" s="1"/>
  <c r="A719" i="5" s="1"/>
  <c r="A724" i="5" s="1"/>
  <c r="A729" i="5" s="1"/>
  <c r="A734" i="5" s="1"/>
  <c r="A739" i="5" s="1"/>
  <c r="A744" i="5" s="1"/>
  <c r="A749" i="5" s="1"/>
  <c r="A754" i="5" s="1"/>
  <c r="A759" i="5" s="1"/>
  <c r="A764" i="5" s="1"/>
  <c r="A769" i="5" s="1"/>
  <c r="A774" i="5" s="1"/>
  <c r="A779" i="5" s="1"/>
  <c r="A784" i="5" s="1"/>
  <c r="A789" i="5" s="1"/>
  <c r="A794" i="5" s="1"/>
  <c r="A799" i="5" s="1"/>
  <c r="A804" i="5" s="1"/>
  <c r="A809" i="5" s="1"/>
  <c r="A814" i="5" s="1"/>
  <c r="A819" i="5" s="1"/>
  <c r="A824" i="5" s="1"/>
  <c r="A829" i="5" s="1"/>
  <c r="A834" i="5" s="1"/>
  <c r="A839" i="5" s="1"/>
  <c r="A844" i="5" s="1"/>
  <c r="A849" i="5" s="1"/>
  <c r="A854" i="5" s="1"/>
  <c r="A859" i="5" s="1"/>
  <c r="A864" i="5" s="1"/>
  <c r="A869" i="5" s="1"/>
  <c r="A874" i="5" s="1"/>
  <c r="A879" i="5" s="1"/>
  <c r="A884" i="5" s="1"/>
  <c r="A889" i="5" s="1"/>
  <c r="A894" i="5" s="1"/>
  <c r="A899" i="5" s="1"/>
  <c r="A904" i="5" s="1"/>
  <c r="A909" i="5" s="1"/>
  <c r="A914" i="5" s="1"/>
  <c r="A919" i="5" s="1"/>
  <c r="A924" i="5" s="1"/>
  <c r="A929" i="5" s="1"/>
  <c r="A934" i="5" s="1"/>
  <c r="A939" i="5" s="1"/>
  <c r="A944" i="5" s="1"/>
  <c r="A949" i="5" s="1"/>
  <c r="A954" i="5" s="1"/>
  <c r="A959" i="5" s="1"/>
  <c r="A964" i="5" s="1"/>
  <c r="A969" i="5" s="1"/>
  <c r="A974" i="5" s="1"/>
  <c r="A979" i="5" s="1"/>
  <c r="A984" i="5" s="1"/>
  <c r="A989" i="5" s="1"/>
  <c r="A994" i="5" s="1"/>
  <c r="A999" i="5" s="1"/>
  <c r="A1004" i="5" s="1"/>
  <c r="A1009" i="5" s="1"/>
  <c r="A1014" i="5" s="1"/>
  <c r="A1019" i="5" s="1"/>
  <c r="A1024" i="5" s="1"/>
  <c r="A1029" i="5" s="1"/>
  <c r="A1034" i="5" s="1"/>
  <c r="A1039" i="5" s="1"/>
  <c r="A1044" i="5" s="1"/>
  <c r="A1049" i="5" s="1"/>
  <c r="A1054" i="5" s="1"/>
  <c r="A1059" i="5" s="1"/>
  <c r="A1064" i="5" s="1"/>
  <c r="A1069" i="5" s="1"/>
  <c r="A1074" i="5" s="1"/>
  <c r="A1079" i="5" s="1"/>
  <c r="A1084" i="5" s="1"/>
  <c r="A1089" i="5" s="1"/>
  <c r="A1094" i="5" s="1"/>
  <c r="A1099" i="5" s="1"/>
  <c r="A1104" i="5" s="1"/>
  <c r="A1109" i="5" s="1"/>
  <c r="A1114" i="5" s="1"/>
  <c r="A1119" i="5" s="1"/>
  <c r="A1124" i="5" s="1"/>
  <c r="A1129" i="5" s="1"/>
  <c r="A1134" i="5" s="1"/>
  <c r="A1139" i="5" s="1"/>
  <c r="A1144" i="5" s="1"/>
  <c r="A1149" i="5" s="1"/>
  <c r="A1154" i="5" s="1"/>
  <c r="A1159" i="5" s="1"/>
  <c r="A1164" i="5" s="1"/>
  <c r="A1169" i="5" s="1"/>
  <c r="A1174" i="5" s="1"/>
  <c r="A1179" i="5" s="1"/>
  <c r="A1184" i="5" s="1"/>
  <c r="A1189" i="5" s="1"/>
  <c r="A1194" i="5" s="1"/>
  <c r="A1199" i="5" s="1"/>
  <c r="A1204" i="5" s="1"/>
  <c r="A1209" i="5" s="1"/>
  <c r="A1214" i="5" s="1"/>
  <c r="A1219" i="5" s="1"/>
  <c r="A1224" i="5" s="1"/>
  <c r="A1229" i="5" s="1"/>
  <c r="A1234" i="5" s="1"/>
  <c r="A1239" i="5" s="1"/>
  <c r="A1244" i="5" s="1"/>
  <c r="A1249" i="5" s="1"/>
  <c r="A1254" i="5" s="1"/>
  <c r="A1259" i="5" s="1"/>
  <c r="A1264" i="5" s="1"/>
  <c r="A1269" i="5" s="1"/>
  <c r="A1274" i="5" s="1"/>
  <c r="A1279" i="5" s="1"/>
  <c r="A1284" i="5" s="1"/>
  <c r="A1289" i="5" s="1"/>
  <c r="A1294" i="5" s="1"/>
  <c r="A1299" i="5" s="1"/>
  <c r="A1304" i="5" s="1"/>
  <c r="A1309" i="5" s="1"/>
  <c r="A1314" i="5" s="1"/>
  <c r="A1319" i="5" s="1"/>
  <c r="A1324" i="5" s="1"/>
  <c r="A1329" i="5" s="1"/>
  <c r="A1334" i="5" s="1"/>
  <c r="A1339" i="5" s="1"/>
  <c r="A12" i="5"/>
  <c r="A17" i="5" s="1"/>
  <c r="A22" i="5" s="1"/>
  <c r="A27" i="5" s="1"/>
  <c r="A32" i="5" s="1"/>
  <c r="A37" i="5" s="1"/>
  <c r="A42" i="5" s="1"/>
  <c r="A47" i="5" s="1"/>
  <c r="A52" i="5" s="1"/>
  <c r="A57" i="5" s="1"/>
  <c r="A62" i="5" s="1"/>
  <c r="A67" i="5" s="1"/>
  <c r="A72" i="5" s="1"/>
  <c r="A77" i="5" s="1"/>
  <c r="A82" i="5" s="1"/>
  <c r="A87" i="5" s="1"/>
  <c r="A92" i="5" s="1"/>
  <c r="A97" i="5" s="1"/>
  <c r="A102" i="5" s="1"/>
  <c r="A107" i="5" s="1"/>
  <c r="A112" i="5" s="1"/>
  <c r="A117" i="5" s="1"/>
  <c r="A122" i="5" s="1"/>
  <c r="A127" i="5" s="1"/>
  <c r="A132" i="5" s="1"/>
  <c r="A137" i="5" s="1"/>
  <c r="A142" i="5" s="1"/>
  <c r="A147" i="5" s="1"/>
  <c r="A152" i="5" s="1"/>
  <c r="A157" i="5" s="1"/>
  <c r="A162" i="5" s="1"/>
  <c r="A167" i="5" s="1"/>
  <c r="A172" i="5" s="1"/>
  <c r="A177" i="5" s="1"/>
  <c r="A182" i="5" s="1"/>
  <c r="A187" i="5" s="1"/>
  <c r="A192" i="5" s="1"/>
  <c r="A197" i="5" s="1"/>
  <c r="A202" i="5" s="1"/>
  <c r="A207" i="5" s="1"/>
  <c r="A212" i="5" s="1"/>
  <c r="A217" i="5" s="1"/>
  <c r="A222" i="5" s="1"/>
  <c r="A227" i="5" s="1"/>
  <c r="A232" i="5" s="1"/>
  <c r="A237" i="5" s="1"/>
  <c r="A242" i="5" s="1"/>
  <c r="A247" i="5" s="1"/>
  <c r="A252" i="5" s="1"/>
  <c r="A257" i="5" s="1"/>
  <c r="A262" i="5" s="1"/>
  <c r="A267" i="5" s="1"/>
  <c r="A272" i="5" s="1"/>
  <c r="A277" i="5" s="1"/>
  <c r="A282" i="5" s="1"/>
  <c r="A287" i="5" s="1"/>
  <c r="A292" i="5" s="1"/>
  <c r="A297" i="5" s="1"/>
  <c r="A302" i="5" s="1"/>
  <c r="A307" i="5" s="1"/>
  <c r="A312" i="5" s="1"/>
  <c r="A317" i="5" s="1"/>
  <c r="A322" i="5" s="1"/>
  <c r="A327" i="5" s="1"/>
  <c r="A332" i="5" s="1"/>
  <c r="A337" i="5" s="1"/>
  <c r="A342" i="5" s="1"/>
  <c r="A347" i="5" s="1"/>
  <c r="A352" i="5" s="1"/>
  <c r="A357" i="5" s="1"/>
  <c r="A362" i="5" s="1"/>
  <c r="A367" i="5" s="1"/>
  <c r="A372" i="5" s="1"/>
  <c r="A377" i="5" s="1"/>
  <c r="A382" i="5" s="1"/>
  <c r="A387" i="5" s="1"/>
  <c r="A392" i="5" s="1"/>
  <c r="A397" i="5" s="1"/>
  <c r="A402" i="5" s="1"/>
  <c r="A407" i="5" s="1"/>
  <c r="A412" i="5" s="1"/>
  <c r="A417" i="5" s="1"/>
  <c r="A422" i="5" s="1"/>
  <c r="A427" i="5" s="1"/>
  <c r="A432" i="5" s="1"/>
  <c r="A437" i="5" s="1"/>
  <c r="A442" i="5" s="1"/>
  <c r="A447" i="5" s="1"/>
  <c r="A452" i="5" s="1"/>
  <c r="A457" i="5" s="1"/>
  <c r="A462" i="5" s="1"/>
  <c r="A467" i="5" s="1"/>
  <c r="A472" i="5" s="1"/>
  <c r="A477" i="5" s="1"/>
  <c r="A482" i="5" s="1"/>
  <c r="A487" i="5" s="1"/>
  <c r="A492" i="5" s="1"/>
  <c r="A497" i="5" s="1"/>
  <c r="A502" i="5" s="1"/>
  <c r="A507" i="5" s="1"/>
  <c r="A512" i="5" s="1"/>
  <c r="A517" i="5" s="1"/>
  <c r="A522" i="5" s="1"/>
  <c r="A527" i="5" s="1"/>
  <c r="A532" i="5" s="1"/>
  <c r="A537" i="5" s="1"/>
  <c r="A542" i="5" s="1"/>
  <c r="A547" i="5" s="1"/>
  <c r="A552" i="5" s="1"/>
  <c r="A557" i="5" s="1"/>
  <c r="A562" i="5" s="1"/>
  <c r="A567" i="5" s="1"/>
  <c r="A572" i="5" s="1"/>
  <c r="A577" i="5" s="1"/>
  <c r="A582" i="5" s="1"/>
  <c r="A587" i="5" s="1"/>
  <c r="A592" i="5" s="1"/>
  <c r="A597" i="5" s="1"/>
  <c r="A602" i="5" s="1"/>
  <c r="A607" i="5" s="1"/>
  <c r="A612" i="5" s="1"/>
  <c r="A617" i="5" s="1"/>
  <c r="A622" i="5" s="1"/>
  <c r="A627" i="5" s="1"/>
  <c r="A632" i="5" s="1"/>
  <c r="A637" i="5" s="1"/>
  <c r="A642" i="5" s="1"/>
  <c r="A647" i="5" s="1"/>
  <c r="A652" i="5" s="1"/>
  <c r="A657" i="5" s="1"/>
  <c r="A662" i="5" s="1"/>
  <c r="A667" i="5" s="1"/>
  <c r="A672" i="5" s="1"/>
  <c r="A677" i="5" s="1"/>
  <c r="A682" i="5" s="1"/>
  <c r="A687" i="5" s="1"/>
  <c r="A692" i="5" s="1"/>
  <c r="A697" i="5" s="1"/>
  <c r="A702" i="5" s="1"/>
  <c r="A707" i="5" s="1"/>
  <c r="A712" i="5" s="1"/>
  <c r="A717" i="5" s="1"/>
  <c r="A722" i="5" s="1"/>
  <c r="A727" i="5" s="1"/>
  <c r="A732" i="5" s="1"/>
  <c r="A737" i="5" s="1"/>
  <c r="A742" i="5" s="1"/>
  <c r="A747" i="5" s="1"/>
  <c r="A752" i="5" s="1"/>
  <c r="A757" i="5" s="1"/>
  <c r="A762" i="5" s="1"/>
  <c r="A767" i="5" s="1"/>
  <c r="A772" i="5" s="1"/>
  <c r="A777" i="5" s="1"/>
  <c r="A782" i="5" s="1"/>
  <c r="A787" i="5" s="1"/>
  <c r="A792" i="5" s="1"/>
  <c r="A797" i="5" s="1"/>
  <c r="A802" i="5" s="1"/>
  <c r="A807" i="5" s="1"/>
  <c r="A812" i="5" s="1"/>
  <c r="A817" i="5" s="1"/>
  <c r="A822" i="5" s="1"/>
  <c r="A827" i="5" s="1"/>
  <c r="A832" i="5" s="1"/>
  <c r="A837" i="5" s="1"/>
  <c r="A842" i="5" s="1"/>
  <c r="A847" i="5" s="1"/>
  <c r="A852" i="5" s="1"/>
  <c r="A857" i="5" s="1"/>
  <c r="A862" i="5" s="1"/>
  <c r="A867" i="5" s="1"/>
  <c r="A872" i="5" s="1"/>
  <c r="A877" i="5" s="1"/>
  <c r="A882" i="5" s="1"/>
  <c r="A887" i="5" s="1"/>
  <c r="A892" i="5" s="1"/>
  <c r="A897" i="5" s="1"/>
  <c r="A902" i="5" s="1"/>
  <c r="A907" i="5" s="1"/>
  <c r="A912" i="5" s="1"/>
  <c r="A917" i="5" s="1"/>
  <c r="A922" i="5" s="1"/>
  <c r="A927" i="5" s="1"/>
  <c r="A932" i="5" s="1"/>
  <c r="A937" i="5" s="1"/>
  <c r="A942" i="5" s="1"/>
  <c r="A947" i="5" s="1"/>
  <c r="A952" i="5" s="1"/>
  <c r="A957" i="5" s="1"/>
  <c r="A962" i="5" s="1"/>
  <c r="A967" i="5" s="1"/>
  <c r="A972" i="5" s="1"/>
  <c r="A977" i="5" s="1"/>
  <c r="A982" i="5" s="1"/>
  <c r="A987" i="5" s="1"/>
  <c r="A992" i="5" s="1"/>
  <c r="A997" i="5" s="1"/>
  <c r="A1002" i="5" s="1"/>
  <c r="A1007" i="5" s="1"/>
  <c r="A1012" i="5" s="1"/>
  <c r="A1017" i="5" s="1"/>
  <c r="A1022" i="5" s="1"/>
  <c r="A1027" i="5" s="1"/>
  <c r="A1032" i="5" s="1"/>
  <c r="A1037" i="5" s="1"/>
  <c r="A1042" i="5" s="1"/>
  <c r="A1047" i="5" s="1"/>
  <c r="A1052" i="5" s="1"/>
  <c r="A1057" i="5" s="1"/>
  <c r="A1062" i="5" s="1"/>
  <c r="A1067" i="5" s="1"/>
  <c r="A1072" i="5" s="1"/>
  <c r="A1077" i="5" s="1"/>
  <c r="A1082" i="5" s="1"/>
  <c r="A1087" i="5" s="1"/>
  <c r="A1092" i="5" s="1"/>
  <c r="A1097" i="5" s="1"/>
  <c r="A1102" i="5" s="1"/>
  <c r="A1107" i="5" s="1"/>
  <c r="A1112" i="5" s="1"/>
  <c r="A1117" i="5" s="1"/>
  <c r="A1122" i="5" s="1"/>
  <c r="A1127" i="5" s="1"/>
  <c r="A1132" i="5" s="1"/>
  <c r="A1137" i="5" s="1"/>
  <c r="A1142" i="5" s="1"/>
  <c r="A1147" i="5" s="1"/>
  <c r="A1152" i="5" s="1"/>
  <c r="A1157" i="5" s="1"/>
  <c r="A1162" i="5" s="1"/>
  <c r="A1167" i="5" s="1"/>
  <c r="A1172" i="5" s="1"/>
  <c r="A1177" i="5" s="1"/>
  <c r="A1182" i="5" s="1"/>
  <c r="A1187" i="5" s="1"/>
  <c r="A1192" i="5" s="1"/>
  <c r="A1197" i="5" s="1"/>
  <c r="A1202" i="5" s="1"/>
  <c r="A1207" i="5" s="1"/>
  <c r="A1212" i="5" s="1"/>
  <c r="A1217" i="5" s="1"/>
  <c r="A1222" i="5" s="1"/>
  <c r="A1227" i="5" s="1"/>
  <c r="A1232" i="5" s="1"/>
  <c r="A1237" i="5" s="1"/>
  <c r="A1242" i="5" s="1"/>
  <c r="A1247" i="5" s="1"/>
  <c r="A1252" i="5" s="1"/>
  <c r="A1257" i="5" s="1"/>
  <c r="A1262" i="5" s="1"/>
  <c r="A1267" i="5" s="1"/>
  <c r="A1272" i="5" s="1"/>
  <c r="A1277" i="5" s="1"/>
  <c r="A1282" i="5" s="1"/>
  <c r="A1287" i="5" s="1"/>
  <c r="A1292" i="5" s="1"/>
  <c r="A1297" i="5" s="1"/>
  <c r="A1302" i="5" s="1"/>
  <c r="A1307" i="5" s="1"/>
  <c r="A1312" i="5" s="1"/>
  <c r="A1317" i="5" s="1"/>
  <c r="A1322" i="5" s="1"/>
  <c r="A1327" i="5" s="1"/>
  <c r="A1332" i="5" s="1"/>
  <c r="A1337" i="5" s="1"/>
  <c r="A1342" i="5" s="1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8" i="6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E97" i="1" l="1"/>
  <c r="E96" i="1"/>
  <c r="E95" i="1"/>
  <c r="B95" i="1" l="1"/>
  <c r="B96" i="1" l="1"/>
  <c r="B97" i="1" l="1"/>
  <c r="B92" i="1"/>
  <c r="B93" i="1" l="1"/>
  <c r="BB15" i="1" l="1"/>
  <c r="BB16" i="1" l="1"/>
  <c r="BB17" i="1" l="1"/>
  <c r="BB18" i="1" l="1"/>
  <c r="BB19" i="1" l="1"/>
  <c r="BB20" i="1" l="1"/>
  <c r="BB21" i="1" l="1"/>
  <c r="BB22" i="1" l="1"/>
  <c r="BB23" i="1" l="1"/>
  <c r="BB24" i="1" l="1"/>
  <c r="BB25" i="1" l="1"/>
  <c r="BB26" i="1" l="1"/>
  <c r="BB27" i="1" l="1"/>
  <c r="BB28" i="1" l="1"/>
  <c r="BB29" i="1" l="1"/>
  <c r="BB30" i="1" l="1"/>
  <c r="BA15" i="1" l="1"/>
  <c r="BA16" i="1" l="1"/>
  <c r="BA17" i="1" l="1"/>
  <c r="BA18" i="1" l="1"/>
  <c r="BA19" i="1" l="1"/>
  <c r="BA20" i="1" l="1"/>
  <c r="BA21" i="1" l="1"/>
  <c r="BA22" i="1" l="1"/>
  <c r="BA23" i="1" l="1"/>
  <c r="BA24" i="1" l="1"/>
  <c r="BA25" i="1" l="1"/>
  <c r="BA26" i="1" l="1"/>
  <c r="BA27" i="1" l="1"/>
  <c r="BA28" i="1" l="1"/>
  <c r="BA29" i="1" l="1"/>
  <c r="BA30" i="1" l="1"/>
  <c r="BA31" i="1" l="1"/>
  <c r="BA32" i="1" l="1"/>
  <c r="BA33" i="1" l="1"/>
  <c r="BA34" i="1" l="1"/>
  <c r="BA35" i="1" l="1"/>
  <c r="BA36" i="1" l="1"/>
  <c r="BA37" i="1" l="1"/>
  <c r="BA38" i="1" l="1"/>
  <c r="BB31" i="1" l="1"/>
  <c r="BB32" i="1" l="1"/>
  <c r="BB33" i="1" l="1"/>
  <c r="BB34" i="1" l="1"/>
  <c r="BB35" i="1" l="1"/>
  <c r="BB36" i="1" l="1"/>
  <c r="BB37" i="1" l="1"/>
  <c r="BB38" i="1" l="1"/>
  <c r="BR27" i="1" l="1"/>
  <c r="BR28" i="1" l="1"/>
  <c r="BR29" i="1" l="1"/>
  <c r="BR30" i="1" l="1"/>
  <c r="BR31" i="1" l="1"/>
  <c r="BR32" i="1" l="1"/>
  <c r="BR33" i="1" l="1"/>
  <c r="BR34" i="1" l="1"/>
  <c r="BR35" i="1" l="1"/>
  <c r="BR36" i="1" l="1"/>
  <c r="BR37" i="1" l="1"/>
  <c r="BR38" i="1" l="1"/>
  <c r="BJ64" i="1" l="1"/>
  <c r="BJ65" i="1" l="1"/>
  <c r="BJ66" i="1" l="1"/>
  <c r="BJ67" i="1" l="1"/>
  <c r="BJ68" i="1" l="1"/>
  <c r="BJ69" i="1" l="1"/>
  <c r="BJ70" i="1" l="1"/>
  <c r="BJ71" i="1" l="1"/>
  <c r="BJ72" i="1" l="1"/>
  <c r="BJ73" i="1" l="1"/>
  <c r="BJ74" i="1" l="1"/>
  <c r="BJ75" i="1" l="1"/>
  <c r="BJ76" i="1" l="1"/>
  <c r="BJ77" i="1" l="1"/>
  <c r="BJ78" i="1" l="1"/>
  <c r="BJ79" i="1" l="1"/>
  <c r="BJ80" i="1" l="1"/>
  <c r="BJ81" i="1" l="1"/>
  <c r="BJ82" i="1" l="1"/>
  <c r="BJ83" i="1" l="1"/>
  <c r="BJ84" i="1" l="1"/>
  <c r="BJ85" i="1" l="1"/>
  <c r="BJ86" i="1" l="1"/>
</calcChain>
</file>

<file path=xl/sharedStrings.xml><?xml version="1.0" encoding="utf-8"?>
<sst xmlns="http://schemas.openxmlformats.org/spreadsheetml/2006/main" count="3119" uniqueCount="2270">
  <si>
    <t>Inflation forecasts</t>
  </si>
  <si>
    <t>2% LINE</t>
  </si>
  <si>
    <t>20201 !Q</t>
  </si>
  <si>
    <t>20201</t>
  </si>
  <si>
    <t>.DTLM</t>
  </si>
  <si>
    <t>.LSOURCE</t>
  </si>
  <si>
    <t>.TN</t>
  </si>
  <si>
    <t>.T1</t>
  </si>
  <si>
    <t>.DESC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</si>
  <si>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</si>
  <si>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</si>
  <si>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</si>
  <si>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</si>
  <si>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</si>
  <si>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</si>
  <si>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</si>
  <si>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</si>
  <si>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</si>
  <si>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</si>
  <si>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</si>
  <si>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</si>
  <si>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</si>
  <si>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</si>
  <si>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</si>
  <si>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</si>
  <si>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</si>
  <si>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</si>
  <si>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</si>
  <si>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</si>
  <si>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</si>
  <si>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</si>
  <si>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</si>
  <si>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</si>
  <si>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</si>
  <si>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</si>
  <si>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</si>
  <si>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Section 2: Current economic conditions</t>
  </si>
  <si>
    <t>Date</t>
  </si>
  <si>
    <t>Fuels and lubricants</t>
  </si>
  <si>
    <t>Other goods</t>
  </si>
  <si>
    <t>Services</t>
  </si>
  <si>
    <t>Total CPI</t>
  </si>
  <si>
    <t>P112GPU@INTWKLY</t>
  </si>
  <si>
    <t>P112GPD@INTWKLY</t>
  </si>
  <si>
    <t>X112USB@INTDAILY</t>
  </si>
  <si>
    <t>20200101 !D</t>
  </si>
  <si>
    <t>20200101</t>
  </si>
  <si>
    <t>Bank of England</t>
  </si>
  <si>
    <t>02-Jan-1975</t>
  </si>
  <si>
    <t>UK: Spot Exchange Rate: US Dollar (US$/GBP)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</si>
  <si>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</si>
  <si>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</si>
  <si>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</si>
  <si>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</si>
  <si>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</si>
  <si>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</si>
  <si>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</si>
  <si>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</si>
  <si>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</si>
  <si>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</si>
  <si>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</si>
  <si>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</si>
  <si>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</si>
  <si>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</si>
  <si>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</si>
  <si>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</si>
  <si>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20200124</t>
  </si>
  <si>
    <t>20200127</t>
  </si>
  <si>
    <t>20200128</t>
  </si>
  <si>
    <t>20200129</t>
  </si>
  <si>
    <t>20200130</t>
  </si>
  <si>
    <t>20200131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</si>
  <si>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</si>
  <si>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</si>
  <si>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</si>
  <si>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</si>
  <si>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</si>
  <si>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</si>
  <si>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</si>
  <si>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</si>
  <si>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</si>
  <si>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</si>
  <si>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</si>
  <si>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</si>
  <si>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</si>
  <si>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</si>
  <si>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</si>
  <si>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</si>
  <si>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</si>
  <si>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</si>
  <si>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</si>
  <si>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</si>
  <si>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</si>
  <si>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</si>
  <si>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</si>
  <si>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</si>
  <si>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</si>
  <si>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</si>
  <si>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</si>
  <si>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</si>
  <si>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</si>
  <si>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</si>
  <si>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</si>
  <si>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</si>
  <si>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</si>
  <si>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</si>
  <si>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</si>
  <si>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</si>
  <si>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</si>
  <si>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</si>
  <si>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</si>
  <si>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</si>
  <si>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</si>
  <si>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</si>
  <si>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</si>
  <si>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</si>
  <si>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</si>
  <si>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20200406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</si>
  <si>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</si>
  <si>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</si>
  <si>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</si>
  <si>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</si>
  <si>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</si>
  <si>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</si>
  <si>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</si>
  <si>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</si>
  <si>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</si>
  <si>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</si>
  <si>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</si>
  <si>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</si>
  <si>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</si>
  <si>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</si>
  <si>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</si>
  <si>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</si>
  <si>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</si>
  <si>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</si>
  <si>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20200501</t>
  </si>
  <si>
    <t>20200504</t>
  </si>
  <si>
    <t>20200505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</si>
  <si>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</si>
  <si>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</si>
  <si>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</si>
  <si>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</si>
  <si>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</si>
  <si>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</si>
  <si>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</si>
  <si>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</si>
  <si>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</si>
  <si>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</si>
  <si>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</si>
  <si>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</si>
  <si>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</si>
  <si>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</si>
  <si>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</si>
  <si>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</si>
  <si>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</si>
  <si>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</si>
  <si>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</si>
  <si>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</si>
  <si>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</si>
  <si>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</si>
  <si>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</si>
  <si>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</si>
  <si>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</si>
  <si>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</si>
  <si>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</si>
  <si>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</si>
  <si>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</si>
  <si>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</si>
  <si>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</si>
  <si>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</si>
  <si>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</si>
  <si>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</si>
  <si>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</si>
  <si>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</si>
  <si>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20200625</t>
  </si>
  <si>
    <t>20200626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</si>
  <si>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</si>
  <si>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</si>
  <si>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</si>
  <si>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</si>
  <si>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</si>
  <si>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</si>
  <si>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</si>
  <si>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</si>
  <si>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</si>
  <si>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</si>
  <si>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</si>
  <si>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</si>
  <si>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</si>
  <si>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</si>
  <si>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</si>
  <si>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</si>
  <si>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</si>
  <si>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</si>
  <si>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</si>
  <si>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</si>
  <si>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</si>
  <si>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</si>
  <si>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</si>
  <si>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</si>
  <si>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</si>
  <si>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</si>
  <si>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</si>
  <si>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</si>
  <si>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</si>
  <si>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</si>
  <si>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</si>
  <si>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</si>
  <si>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</si>
  <si>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</si>
  <si>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</si>
  <si>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</si>
  <si>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</si>
  <si>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</si>
  <si>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</si>
  <si>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</si>
  <si>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</si>
  <si>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</si>
  <si>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</si>
  <si>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</si>
  <si>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</si>
  <si>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</si>
  <si>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</si>
  <si>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</si>
  <si>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</si>
  <si>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</si>
  <si>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</si>
  <si>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</si>
  <si>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</si>
  <si>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</si>
  <si>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</si>
  <si>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</si>
  <si>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</si>
  <si>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</si>
  <si>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</si>
  <si>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</si>
  <si>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</si>
  <si>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</si>
  <si>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</si>
  <si>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</si>
  <si>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</si>
  <si>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</si>
  <si>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</si>
  <si>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</si>
  <si>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20201001</t>
  </si>
  <si>
    <t>20201002</t>
  </si>
  <si>
    <t>20201005</t>
  </si>
  <si>
    <t>20201006</t>
  </si>
  <si>
    <t>20201007</t>
  </si>
  <si>
    <t>20201008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</si>
  <si>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</si>
  <si>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</si>
  <si>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</si>
  <si>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</si>
  <si>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</si>
  <si>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</si>
  <si>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</si>
  <si>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</si>
  <si>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</si>
  <si>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</si>
  <si>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</si>
  <si>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</si>
  <si>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</si>
  <si>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</si>
  <si>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</si>
  <si>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</si>
  <si>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</si>
  <si>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</si>
  <si>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</si>
  <si>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</si>
  <si>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</si>
  <si>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</si>
  <si>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</si>
  <si>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</si>
  <si>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</si>
  <si>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</si>
  <si>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</si>
  <si>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</si>
  <si>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</si>
  <si>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</si>
  <si>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</si>
  <si>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</si>
  <si>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</si>
  <si>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</si>
  <si>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</si>
  <si>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</si>
  <si>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</si>
  <si>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</si>
  <si>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</si>
  <si>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</si>
  <si>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</si>
  <si>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</si>
  <si>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</si>
  <si>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</si>
  <si>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</si>
  <si>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</si>
  <si>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</si>
  <si>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</si>
  <si>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</si>
  <si>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</si>
  <si>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</si>
  <si>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</si>
  <si>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</si>
  <si>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</si>
  <si>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</si>
  <si>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</si>
  <si>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</si>
  <si>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</si>
  <si>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</si>
  <si>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</si>
  <si>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</si>
  <si>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</si>
  <si>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</si>
  <si>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</si>
  <si>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</si>
  <si>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</si>
  <si>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</si>
  <si>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</si>
  <si>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</si>
  <si>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</si>
  <si>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</si>
  <si>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</si>
  <si>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</si>
  <si>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</si>
  <si>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</si>
  <si>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</si>
  <si>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</si>
  <si>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</si>
  <si>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</si>
  <si>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</si>
  <si>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</si>
  <si>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</si>
  <si>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</si>
  <si>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</si>
  <si>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</si>
  <si>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</si>
  <si>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</si>
  <si>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</si>
  <si>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</si>
  <si>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20210211</t>
  </si>
  <si>
    <t>20210212</t>
  </si>
  <si>
    <t>20210215</t>
  </si>
  <si>
    <t>20210216</t>
  </si>
  <si>
    <t>20210217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</si>
  <si>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</si>
  <si>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</si>
  <si>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</si>
  <si>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</si>
  <si>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</si>
  <si>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</si>
  <si>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</si>
  <si>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</si>
  <si>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</si>
  <si>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</si>
  <si>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</si>
  <si>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</si>
  <si>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</si>
  <si>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</si>
  <si>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</si>
  <si>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</si>
  <si>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</si>
  <si>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</si>
  <si>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</si>
  <si>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</si>
  <si>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</si>
  <si>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</si>
  <si>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</si>
  <si>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</si>
  <si>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</si>
  <si>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</si>
  <si>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</si>
  <si>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</si>
  <si>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</si>
  <si>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</si>
  <si>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</si>
  <si>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</si>
  <si>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20210405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</si>
  <si>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</si>
  <si>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</si>
  <si>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</si>
  <si>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</si>
  <si>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</si>
  <si>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</si>
  <si>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</si>
  <si>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</si>
  <si>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</si>
  <si>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</si>
  <si>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</si>
  <si>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</si>
  <si>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</si>
  <si>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</si>
  <si>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</si>
  <si>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</si>
  <si>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</si>
  <si>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</si>
  <si>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</si>
  <si>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20210503</t>
  </si>
  <si>
    <t>20210504</t>
  </si>
  <si>
    <t>20210505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</si>
  <si>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</si>
  <si>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</si>
  <si>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</si>
  <si>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</si>
  <si>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</si>
  <si>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</si>
  <si>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</si>
  <si>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</si>
  <si>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</si>
  <si>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</si>
  <si>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</si>
  <si>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</si>
  <si>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</si>
  <si>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</si>
  <si>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</si>
  <si>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</si>
  <si>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</si>
  <si>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</si>
  <si>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</si>
  <si>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</si>
  <si>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</si>
  <si>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</si>
  <si>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</si>
  <si>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</si>
  <si>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</si>
  <si>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</si>
  <si>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</si>
  <si>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20210614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</si>
  <si>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</si>
  <si>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</si>
  <si>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</si>
  <si>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</si>
  <si>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</si>
  <si>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</si>
  <si>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</si>
  <si>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</si>
  <si>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</si>
  <si>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</si>
  <si>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</si>
  <si>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</si>
  <si>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</si>
  <si>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</si>
  <si>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</si>
  <si>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</si>
  <si>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</si>
  <si>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</si>
  <si>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</si>
  <si>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</si>
  <si>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</si>
  <si>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</si>
  <si>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</si>
  <si>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</si>
  <si>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</si>
  <si>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</si>
  <si>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</si>
  <si>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</si>
  <si>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</si>
  <si>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</si>
  <si>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</si>
  <si>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</si>
  <si>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</si>
  <si>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</si>
  <si>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</si>
  <si>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</si>
  <si>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</si>
  <si>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</si>
  <si>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</si>
  <si>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</si>
  <si>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</si>
  <si>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</si>
  <si>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</si>
  <si>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</si>
  <si>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</si>
  <si>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</si>
  <si>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</si>
  <si>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</si>
  <si>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</si>
  <si>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</si>
  <si>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</si>
  <si>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</si>
  <si>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</si>
  <si>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</si>
  <si>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</si>
  <si>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</si>
  <si>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</si>
  <si>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</si>
  <si>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</si>
  <si>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</si>
  <si>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</si>
  <si>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</si>
  <si>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</si>
  <si>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</si>
  <si>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</si>
  <si>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</si>
  <si>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</si>
  <si>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</si>
  <si>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</si>
  <si>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20210920</t>
  </si>
  <si>
    <t>20210921</t>
  </si>
  <si>
    <t>20210922</t>
  </si>
  <si>
    <t>20210923</t>
  </si>
  <si>
    <t>20210924</t>
  </si>
  <si>
    <t>20210927</t>
  </si>
  <si>
    <t>20210928</t>
  </si>
  <si>
    <t>20210929</t>
  </si>
  <si>
    <t>20210930</t>
  </si>
  <si>
    <t>20211001</t>
  </si>
  <si>
    <t>20211004</t>
  </si>
  <si>
    <t>20211005</t>
  </si>
  <si>
    <t>20211006</t>
  </si>
  <si>
    <t>20211007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</si>
  <si>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</si>
  <si>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</si>
  <si>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</si>
  <si>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</si>
  <si>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</si>
  <si>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</si>
  <si>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</si>
  <si>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</si>
  <si>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</si>
  <si>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</si>
  <si>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</si>
  <si>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</si>
  <si>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</si>
  <si>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</si>
  <si>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</si>
  <si>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</si>
  <si>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</si>
  <si>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</si>
  <si>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</si>
  <si>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</si>
  <si>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</si>
  <si>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</si>
  <si>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</si>
  <si>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</si>
  <si>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</si>
  <si>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</si>
  <si>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</si>
  <si>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</si>
  <si>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</si>
  <si>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</si>
  <si>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</si>
  <si>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</si>
  <si>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</si>
  <si>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</si>
  <si>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</si>
  <si>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</si>
  <si>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</si>
  <si>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</si>
  <si>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</si>
  <si>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</si>
  <si>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</si>
  <si>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</si>
  <si>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</si>
  <si>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</si>
  <si>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</si>
  <si>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</si>
  <si>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</si>
  <si>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</si>
  <si>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</si>
  <si>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</si>
  <si>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</si>
  <si>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</si>
  <si>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</si>
  <si>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</si>
  <si>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</si>
  <si>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</si>
  <si>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</si>
  <si>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</si>
  <si>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</si>
  <si>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</si>
  <si>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</si>
  <si>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20220103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</si>
  <si>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</si>
  <si>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</si>
  <si>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</si>
  <si>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</si>
  <si>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</si>
  <si>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</si>
  <si>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</si>
  <si>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</si>
  <si>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</si>
  <si>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</si>
  <si>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</si>
  <si>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</si>
  <si>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</si>
  <si>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</si>
  <si>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</si>
  <si>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</si>
  <si>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</si>
  <si>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</si>
  <si>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</si>
  <si>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</si>
  <si>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</si>
  <si>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</si>
  <si>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</si>
  <si>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</si>
  <si>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</si>
  <si>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</si>
  <si>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</si>
  <si>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</si>
  <si>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</si>
  <si>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</si>
  <si>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</si>
  <si>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</si>
  <si>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</si>
  <si>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</si>
  <si>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</si>
  <si>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</si>
  <si>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</si>
  <si>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</si>
  <si>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</si>
  <si>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</si>
  <si>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</si>
  <si>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</si>
  <si>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</si>
  <si>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</si>
  <si>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</si>
  <si>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</si>
  <si>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</si>
  <si>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</si>
  <si>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</si>
  <si>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</si>
  <si>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</si>
  <si>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</si>
  <si>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</si>
  <si>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</si>
  <si>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</si>
  <si>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</si>
  <si>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</si>
  <si>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</si>
  <si>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</si>
  <si>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</si>
  <si>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</si>
  <si>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</si>
  <si>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</si>
  <si>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</si>
  <si>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</si>
  <si>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</si>
  <si>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</si>
  <si>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</si>
  <si>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</si>
  <si>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</si>
  <si>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</si>
  <si>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</si>
  <si>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</si>
  <si>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</si>
  <si>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</si>
  <si>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</si>
  <si>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</si>
  <si>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</si>
  <si>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</si>
  <si>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</si>
  <si>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</si>
  <si>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</si>
  <si>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</si>
  <si>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</si>
  <si>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</si>
  <si>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</si>
  <si>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</si>
  <si>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</si>
  <si>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</si>
  <si>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</si>
  <si>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</si>
  <si>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</si>
  <si>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</si>
  <si>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</si>
  <si>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</si>
  <si>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</si>
  <si>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</si>
  <si>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</si>
  <si>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</si>
  <si>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</si>
  <si>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</si>
  <si>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</si>
  <si>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</si>
  <si>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</si>
  <si>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</si>
  <si>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</si>
  <si>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</si>
  <si>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</si>
  <si>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</si>
  <si>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</si>
  <si>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</si>
  <si>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</si>
  <si>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</si>
  <si>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</si>
  <si>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</si>
  <si>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</si>
  <si>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</si>
  <si>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</si>
  <si>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</si>
  <si>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</si>
  <si>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</si>
  <si>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</si>
  <si>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</si>
  <si>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</si>
  <si>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</si>
  <si>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</si>
  <si>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</si>
  <si>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</si>
  <si>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</si>
  <si>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</si>
  <si>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</si>
  <si>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</si>
  <si>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</si>
  <si>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</si>
  <si>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</si>
  <si>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</si>
  <si>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</si>
  <si>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</si>
  <si>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</si>
  <si>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</si>
  <si>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</si>
  <si>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</si>
  <si>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</si>
  <si>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</si>
  <si>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</si>
  <si>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</si>
  <si>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</si>
  <si>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</si>
  <si>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</si>
  <si>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</si>
  <si>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</si>
  <si>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</si>
  <si>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</si>
  <si>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</si>
  <si>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</si>
  <si>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</si>
  <si>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</si>
  <si>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</si>
  <si>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</si>
  <si>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</si>
  <si>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</si>
  <si>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</si>
  <si>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</si>
  <si>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</si>
  <si>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</si>
  <si>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</si>
  <si>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</si>
  <si>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</si>
  <si>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</si>
  <si>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</si>
  <si>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</si>
  <si>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</si>
  <si>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</si>
  <si>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</si>
  <si>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</si>
  <si>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</si>
  <si>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</si>
  <si>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</si>
  <si>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</si>
  <si>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</si>
  <si>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</si>
  <si>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</si>
  <si>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</si>
  <si>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</si>
  <si>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</si>
  <si>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</si>
  <si>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</si>
  <si>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</si>
  <si>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</si>
  <si>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</si>
  <si>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</si>
  <si>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</si>
  <si>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</si>
  <si>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</si>
  <si>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</si>
  <si>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</si>
  <si>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</si>
  <si>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</si>
  <si>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</si>
  <si>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</si>
  <si>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</si>
  <si>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</si>
  <si>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</si>
  <si>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</si>
  <si>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</si>
  <si>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</si>
  <si>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</si>
  <si>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</si>
  <si>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</si>
  <si>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</si>
  <si>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</si>
  <si>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</si>
  <si>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</si>
  <si>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</si>
  <si>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</si>
  <si>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</si>
  <si>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</si>
  <si>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</si>
  <si>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</si>
  <si>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</si>
  <si>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</si>
  <si>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</si>
  <si>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</si>
  <si>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</si>
  <si>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</si>
  <si>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</si>
  <si>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</si>
  <si>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</si>
  <si>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</si>
  <si>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</si>
  <si>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</si>
  <si>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</si>
  <si>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</si>
  <si>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</si>
  <si>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</si>
  <si>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</si>
  <si>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</si>
  <si>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</si>
  <si>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</si>
  <si>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</si>
  <si>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</si>
  <si>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</si>
  <si>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</si>
  <si>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</si>
  <si>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</si>
  <si>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</si>
  <si>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</si>
  <si>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</si>
  <si>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</si>
  <si>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</si>
  <si>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</si>
  <si>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</si>
  <si>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</si>
  <si>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</si>
  <si>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</si>
  <si>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</si>
  <si>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</si>
  <si>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</si>
  <si>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</si>
  <si>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</si>
  <si>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</si>
  <si>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</si>
  <si>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</si>
  <si>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</si>
  <si>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</si>
  <si>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</si>
  <si>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</si>
  <si>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</si>
  <si>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</si>
  <si>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</si>
  <si>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</si>
  <si>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</si>
  <si>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</si>
  <si>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</si>
  <si>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</si>
  <si>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</si>
  <si>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</si>
  <si>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</si>
  <si>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</si>
  <si>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</si>
  <si>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</si>
  <si>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</si>
  <si>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</si>
  <si>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</si>
  <si>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</si>
  <si>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</si>
  <si>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</si>
  <si>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</si>
  <si>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</si>
  <si>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</si>
  <si>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</si>
  <si>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</si>
  <si>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</si>
  <si>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</si>
  <si>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</si>
  <si>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</si>
  <si>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</si>
  <si>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</si>
  <si>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</si>
  <si>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</si>
  <si>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</si>
  <si>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</si>
  <si>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</si>
  <si>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</si>
  <si>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</si>
  <si>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</si>
  <si>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</si>
  <si>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</si>
  <si>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</si>
  <si>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</si>
  <si>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</si>
  <si>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</si>
  <si>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</si>
  <si>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</si>
  <si>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</si>
  <si>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</si>
  <si>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</si>
  <si>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</si>
  <si>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</si>
  <si>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</si>
  <si>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</si>
  <si>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</si>
  <si>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</si>
  <si>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</si>
  <si>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</si>
  <si>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</si>
  <si>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</si>
  <si>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</si>
  <si>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</si>
  <si>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</si>
  <si>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</si>
  <si>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</si>
  <si>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</si>
  <si>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</si>
  <si>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</si>
  <si>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</si>
  <si>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</si>
  <si>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</si>
  <si>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</si>
  <si>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</si>
  <si>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</si>
  <si>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</si>
  <si>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</si>
  <si>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</si>
  <si>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</si>
  <si>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</si>
  <si>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</si>
  <si>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</si>
  <si>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</si>
  <si>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</si>
  <si>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</si>
  <si>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</si>
  <si>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</si>
  <si>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</si>
  <si>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</si>
  <si>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</si>
  <si>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</si>
  <si>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</si>
  <si>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</si>
  <si>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</si>
  <si>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</si>
  <si>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</si>
  <si>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</si>
  <si>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</si>
  <si>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</si>
  <si>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</si>
  <si>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</si>
  <si>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</si>
  <si>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</si>
  <si>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</si>
  <si>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</si>
  <si>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</si>
  <si>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</si>
  <si>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</si>
  <si>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</si>
  <si>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</si>
  <si>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</si>
  <si>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</si>
  <si>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</si>
  <si>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</si>
  <si>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</si>
  <si>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</si>
  <si>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</si>
  <si>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</si>
  <si>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</si>
  <si>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</si>
  <si>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</si>
  <si>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</si>
  <si>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</si>
  <si>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</si>
  <si>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</si>
  <si>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</si>
  <si>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</si>
  <si>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</si>
  <si>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</si>
  <si>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</si>
  <si>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</si>
  <si>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</si>
  <si>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</si>
  <si>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</si>
  <si>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</si>
  <si>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</si>
  <si>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</si>
  <si>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</si>
  <si>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</si>
  <si>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</si>
  <si>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</si>
  <si>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</si>
  <si>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</si>
  <si>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</si>
  <si>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</si>
  <si>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</si>
  <si>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</si>
  <si>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</si>
  <si>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</si>
  <si>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</si>
  <si>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</si>
  <si>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</si>
  <si>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</si>
  <si>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</si>
  <si>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</si>
  <si>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</si>
  <si>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</si>
  <si>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</si>
  <si>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</si>
  <si>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</si>
  <si>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</si>
  <si>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</si>
  <si>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</si>
  <si>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</si>
  <si>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</si>
  <si>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</si>
  <si>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</si>
  <si>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</si>
  <si>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</si>
  <si>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</si>
  <si>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</si>
  <si>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</si>
  <si>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</si>
  <si>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</si>
  <si>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</si>
  <si>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</si>
  <si>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</si>
  <si>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</si>
  <si>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</si>
  <si>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</si>
  <si>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</si>
  <si>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</si>
  <si>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</si>
  <si>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</si>
  <si>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</si>
  <si>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</si>
  <si>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</si>
  <si>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</si>
  <si>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</si>
  <si>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</si>
  <si>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</si>
  <si>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</si>
  <si>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</si>
  <si>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</si>
  <si>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</si>
  <si>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</si>
  <si>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</si>
  <si>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</si>
  <si>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</si>
  <si>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</si>
  <si>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</si>
  <si>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</si>
  <si>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</si>
  <si>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</si>
  <si>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</si>
  <si>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</si>
  <si>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</si>
  <si>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</si>
  <si>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</si>
  <si>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</si>
  <si>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</si>
  <si>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</si>
  <si>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</si>
  <si>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</si>
  <si>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</si>
  <si>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</si>
  <si>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</si>
  <si>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</si>
  <si>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</si>
  <si>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</si>
  <si>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</si>
  <si>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</si>
  <si>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</si>
  <si>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</si>
  <si>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</si>
  <si>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</si>
  <si>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</si>
  <si>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</si>
  <si>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</si>
  <si>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</si>
  <si>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</si>
  <si>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</si>
  <si>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</si>
  <si>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</si>
  <si>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</si>
  <si>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</si>
  <si>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</si>
  <si>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</si>
  <si>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</si>
  <si>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</si>
  <si>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</si>
  <si>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</si>
  <si>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</si>
  <si>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</si>
  <si>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</si>
  <si>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</si>
  <si>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</si>
  <si>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</si>
  <si>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</si>
  <si>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</si>
  <si>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</si>
  <si>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</si>
  <si>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</si>
  <si>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</si>
  <si>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</si>
  <si>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</si>
  <si>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PEBRT@DAILY</t>
  </si>
  <si>
    <t>Energy Information Administration</t>
  </si>
  <si>
    <t>21-May-1986</t>
  </si>
  <si>
    <t>Europe Brent Spot Price FOB (US$ per Barrel)</t>
  </si>
  <si>
    <t>20200101W !W</t>
  </si>
  <si>
    <t>UK Department of Energy &amp; Climate Change</t>
  </si>
  <si>
    <t>09-Jun-2003W</t>
  </si>
  <si>
    <t>United Kingdom: Pump Price: Ultra Low Sulfur Unleaded Petrol (Pence/Liter)</t>
  </si>
  <si>
    <t>United Kingdom: Pump Price: Ultra Low Sulfur Diesel (Pence/Liter)</t>
  </si>
  <si>
    <t>20191230W</t>
  </si>
  <si>
    <t>20200106W</t>
  </si>
  <si>
    <t>20200113W</t>
  </si>
  <si>
    <t>20200120W</t>
  </si>
  <si>
    <t>20200127W</t>
  </si>
  <si>
    <t>20200203W</t>
  </si>
  <si>
    <t>20200210W</t>
  </si>
  <si>
    <t>20200217W</t>
  </si>
  <si>
    <t>20200224W</t>
  </si>
  <si>
    <t>20200302W</t>
  </si>
  <si>
    <t>20200309W</t>
  </si>
  <si>
    <t>20200316W</t>
  </si>
  <si>
    <t>20200323W</t>
  </si>
  <si>
    <t>20200330W</t>
  </si>
  <si>
    <t>20200406W</t>
  </si>
  <si>
    <t>20200413W</t>
  </si>
  <si>
    <t>20200420W</t>
  </si>
  <si>
    <t>20200427W</t>
  </si>
  <si>
    <t>20200504W</t>
  </si>
  <si>
    <t>20200511W</t>
  </si>
  <si>
    <t>20200518W</t>
  </si>
  <si>
    <t>20200525W</t>
  </si>
  <si>
    <t>20200601W</t>
  </si>
  <si>
    <t>20200608W</t>
  </si>
  <si>
    <t>20200615W</t>
  </si>
  <si>
    <t>20200622W</t>
  </si>
  <si>
    <t>20200629W</t>
  </si>
  <si>
    <t>20200706W</t>
  </si>
  <si>
    <t>20200713W</t>
  </si>
  <si>
    <t>20200720W</t>
  </si>
  <si>
    <t>20200727W</t>
  </si>
  <si>
    <t>20200803W</t>
  </si>
  <si>
    <t>20200810W</t>
  </si>
  <si>
    <t>20200817W</t>
  </si>
  <si>
    <t>20200824W</t>
  </si>
  <si>
    <t>20200831W</t>
  </si>
  <si>
    <t>20200907W</t>
  </si>
  <si>
    <t>20200914W</t>
  </si>
  <si>
    <t>20200921W</t>
  </si>
  <si>
    <t>20200928W</t>
  </si>
  <si>
    <t>20201005W</t>
  </si>
  <si>
    <t>20201012W</t>
  </si>
  <si>
    <t>20201019W</t>
  </si>
  <si>
    <t>20201026W</t>
  </si>
  <si>
    <t>20201102W</t>
  </si>
  <si>
    <t>20201109W</t>
  </si>
  <si>
    <t>20201116W</t>
  </si>
  <si>
    <t>20201123W</t>
  </si>
  <si>
    <t>20201130W</t>
  </si>
  <si>
    <t>20201207W</t>
  </si>
  <si>
    <t>20201214W</t>
  </si>
  <si>
    <t>20201221W</t>
  </si>
  <si>
    <t>20201228W</t>
  </si>
  <si>
    <t>20210104W</t>
  </si>
  <si>
    <t>20210111W</t>
  </si>
  <si>
    <t>20210118W</t>
  </si>
  <si>
    <t>20210125W</t>
  </si>
  <si>
    <t>20210201W</t>
  </si>
  <si>
    <t>20210208W</t>
  </si>
  <si>
    <t>20210215W</t>
  </si>
  <si>
    <t>20210222W</t>
  </si>
  <si>
    <t>20210301W</t>
  </si>
  <si>
    <t>20210308W</t>
  </si>
  <si>
    <t>20210315W</t>
  </si>
  <si>
    <t>20210322W</t>
  </si>
  <si>
    <t>20210329W</t>
  </si>
  <si>
    <t>20210405W</t>
  </si>
  <si>
    <t>20210412W</t>
  </si>
  <si>
    <t>20210419W</t>
  </si>
  <si>
    <t>20210426W</t>
  </si>
  <si>
    <t>20210503W</t>
  </si>
  <si>
    <t>20210510W</t>
  </si>
  <si>
    <t>20210517W</t>
  </si>
  <si>
    <t>20210524W</t>
  </si>
  <si>
    <t>20210531W</t>
  </si>
  <si>
    <t>20210607W</t>
  </si>
  <si>
    <t>20210614W</t>
  </si>
  <si>
    <t>20210621W</t>
  </si>
  <si>
    <t>20210628W</t>
  </si>
  <si>
    <t>20210705W</t>
  </si>
  <si>
    <t>20210712W</t>
  </si>
  <si>
    <t>20210719W</t>
  </si>
  <si>
    <t>20210726W</t>
  </si>
  <si>
    <t>20210802W</t>
  </si>
  <si>
    <t>20210809W</t>
  </si>
  <si>
    <t>20210816W</t>
  </si>
  <si>
    <t>20210823W</t>
  </si>
  <si>
    <t>20210830W</t>
  </si>
  <si>
    <t>20210906W</t>
  </si>
  <si>
    <t>20210913W</t>
  </si>
  <si>
    <t>20210920W</t>
  </si>
  <si>
    <t>20210927W</t>
  </si>
  <si>
    <t>20211004W</t>
  </si>
  <si>
    <t>20211011W</t>
  </si>
  <si>
    <t>20211018W</t>
  </si>
  <si>
    <t>20211025W</t>
  </si>
  <si>
    <t>20211101W</t>
  </si>
  <si>
    <t>20211108W</t>
  </si>
  <si>
    <t>20211115W</t>
  </si>
  <si>
    <t>20211122W</t>
  </si>
  <si>
    <t>20211129W</t>
  </si>
  <si>
    <t>20211206W</t>
  </si>
  <si>
    <t>20211213W</t>
  </si>
  <si>
    <t>20211220W</t>
  </si>
  <si>
    <t>20211227W</t>
  </si>
  <si>
    <t>20220103W</t>
  </si>
  <si>
    <t>20220110W</t>
  </si>
  <si>
    <t>20220117W</t>
  </si>
  <si>
    <t>20220124W</t>
  </si>
  <si>
    <t>20220131W</t>
  </si>
  <si>
    <t>20220207W</t>
  </si>
  <si>
    <t>20220214W</t>
  </si>
  <si>
    <t>20220221W</t>
  </si>
  <si>
    <t>20220228W</t>
  </si>
  <si>
    <t>20220307W</t>
  </si>
  <si>
    <t>20220314W</t>
  </si>
  <si>
    <t>20220321W</t>
  </si>
  <si>
    <t>20220328W</t>
  </si>
  <si>
    <t>20220404W</t>
  </si>
  <si>
    <t>20220411W</t>
  </si>
  <si>
    <t>20220418W</t>
  </si>
  <si>
    <t>20220425W</t>
  </si>
  <si>
    <t>20220502W</t>
  </si>
  <si>
    <t>20220509W</t>
  </si>
  <si>
    <t>20220516W</t>
  </si>
  <si>
    <t>20220523W</t>
  </si>
  <si>
    <t>20220530W</t>
  </si>
  <si>
    <t>20220606W</t>
  </si>
  <si>
    <t>20220613W</t>
  </si>
  <si>
    <t>20220620W</t>
  </si>
  <si>
    <t>20220627W</t>
  </si>
  <si>
    <t>20220704W</t>
  </si>
  <si>
    <t>20220711W</t>
  </si>
  <si>
    <t>20220718W</t>
  </si>
  <si>
    <t>20220725W</t>
  </si>
  <si>
    <t>20220801W</t>
  </si>
  <si>
    <t>20220808W</t>
  </si>
  <si>
    <t>20220815W</t>
  </si>
  <si>
    <t>20220822W</t>
  </si>
  <si>
    <t>20220829W</t>
  </si>
  <si>
    <t>20220905W</t>
  </si>
  <si>
    <t>20220912W</t>
  </si>
  <si>
    <t>20220919W</t>
  </si>
  <si>
    <t>20220926W</t>
  </si>
  <si>
    <t>20221003W</t>
  </si>
  <si>
    <t>20221010W</t>
  </si>
  <si>
    <t>20221017W</t>
  </si>
  <si>
    <t>20221024W</t>
  </si>
  <si>
    <t>20221031W</t>
  </si>
  <si>
    <t>20221107W</t>
  </si>
  <si>
    <t>20221114W</t>
  </si>
  <si>
    <t>20221121W</t>
  </si>
  <si>
    <t>20221128W</t>
  </si>
  <si>
    <t>20221205W</t>
  </si>
  <si>
    <t>20221212W</t>
  </si>
  <si>
    <t>20221219W</t>
  </si>
  <si>
    <t>20221226W</t>
  </si>
  <si>
    <t>20230102W</t>
  </si>
  <si>
    <t>20230109W</t>
  </si>
  <si>
    <t>20230116W</t>
  </si>
  <si>
    <t>20230123W</t>
  </si>
  <si>
    <t>20230130W</t>
  </si>
  <si>
    <t>20230206W</t>
  </si>
  <si>
    <t>20230213W</t>
  </si>
  <si>
    <t>20230220W</t>
  </si>
  <si>
    <t>20230227W</t>
  </si>
  <si>
    <t>20230306W</t>
  </si>
  <si>
    <t>20230313W</t>
  </si>
  <si>
    <t>20230320W</t>
  </si>
  <si>
    <t>20230327W</t>
  </si>
  <si>
    <t>20230403W</t>
  </si>
  <si>
    <t>20230410W</t>
  </si>
  <si>
    <t>20230417W</t>
  </si>
  <si>
    <t>20230424W</t>
  </si>
  <si>
    <t>20230501W</t>
  </si>
  <si>
    <t>20230508W</t>
  </si>
  <si>
    <t>20230515W</t>
  </si>
  <si>
    <t>20230522W</t>
  </si>
  <si>
    <t>20230529W</t>
  </si>
  <si>
    <t>20230605W</t>
  </si>
  <si>
    <t>20230612W</t>
  </si>
  <si>
    <t>20230619W</t>
  </si>
  <si>
    <t>20230626W</t>
  </si>
  <si>
    <t>20230703W</t>
  </si>
  <si>
    <t>20230710W</t>
  </si>
  <si>
    <t>20230717W</t>
  </si>
  <si>
    <t>20230724W</t>
  </si>
  <si>
    <t>20230731W</t>
  </si>
  <si>
    <t>20230807W</t>
  </si>
  <si>
    <t>20230814W</t>
  </si>
  <si>
    <t>20230821W</t>
  </si>
  <si>
    <t>20230828W</t>
  </si>
  <si>
    <t>20230904W</t>
  </si>
  <si>
    <t>20230911W</t>
  </si>
  <si>
    <t>20230918W</t>
  </si>
  <si>
    <t>20230925W</t>
  </si>
  <si>
    <t>20231002W</t>
  </si>
  <si>
    <t>20231009W</t>
  </si>
  <si>
    <t>20231016W</t>
  </si>
  <si>
    <t>20231023W</t>
  </si>
  <si>
    <t>20231030W</t>
  </si>
  <si>
    <t>20231106W</t>
  </si>
  <si>
    <t>20231113W</t>
  </si>
  <si>
    <t>20231120W</t>
  </si>
  <si>
    <t>20231127W</t>
  </si>
  <si>
    <t>20231204W</t>
  </si>
  <si>
    <t>20231211W</t>
  </si>
  <si>
    <t>20231218W</t>
  </si>
  <si>
    <t>20231225W</t>
  </si>
  <si>
    <t>20240101W</t>
  </si>
  <si>
    <t>Oil and petrol prices</t>
  </si>
  <si>
    <t>Unleaded pump price (LHS)</t>
  </si>
  <si>
    <t>Diesel pump price (LHS)</t>
  </si>
  <si>
    <t>Brent crude oil price (RHS)</t>
  </si>
  <si>
    <t>Q4 2024</t>
  </si>
  <si>
    <t>£</t>
  </si>
  <si>
    <t>$</t>
  </si>
  <si>
    <t>20240104</t>
  </si>
  <si>
    <t>Q2 2024</t>
  </si>
  <si>
    <t>Q3 2024</t>
  </si>
  <si>
    <t>K5BZ@UK</t>
  </si>
  <si>
    <t>K5C3@UK</t>
  </si>
  <si>
    <t>200001</t>
  </si>
  <si>
    <t>Office for National Statistics</t>
  </si>
  <si>
    <t>Jan-2000</t>
  </si>
  <si>
    <t>Great Britain: AWE, Total Pay: Services (SA, GBP)</t>
  </si>
  <si>
    <t>Mar-2001</t>
  </si>
  <si>
    <t>Great Britain: AWE, Total Pay: Services [3Mo Mvg Avg vs Yr Ago] (SA, %)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</si>
  <si>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</si>
  <si>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</si>
  <si>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</si>
  <si>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</si>
  <si>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</si>
  <si>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</si>
  <si>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</si>
  <si>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</si>
  <si>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</si>
  <si>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</si>
  <si>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</si>
  <si>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</si>
  <si>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</si>
  <si>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</si>
  <si>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</si>
  <si>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</si>
  <si>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</si>
  <si>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</si>
  <si>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</si>
  <si>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</si>
  <si>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</si>
  <si>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</si>
  <si>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</si>
  <si>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</si>
  <si>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</si>
  <si>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</si>
  <si>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</si>
  <si>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</si>
  <si>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</si>
  <si>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</si>
  <si>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</si>
  <si>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</si>
  <si>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</si>
  <si>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</si>
  <si>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</si>
  <si>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</si>
  <si>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</si>
  <si>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</si>
  <si>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</si>
  <si>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</si>
  <si>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</si>
  <si>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</si>
  <si>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</si>
  <si>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</si>
  <si>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</si>
  <si>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</si>
  <si>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</si>
  <si>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</si>
  <si>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</si>
  <si>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</si>
  <si>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</si>
  <si>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</si>
  <si>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</si>
  <si>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</si>
  <si>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</si>
  <si>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</si>
  <si>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</si>
  <si>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</si>
  <si>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</si>
  <si>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</si>
  <si>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</si>
  <si>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</si>
  <si>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</si>
  <si>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</si>
  <si>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</si>
  <si>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</si>
  <si>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</si>
  <si>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</si>
  <si>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</si>
  <si>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</si>
  <si>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</si>
  <si>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</si>
  <si>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</si>
  <si>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</si>
  <si>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</si>
  <si>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</si>
  <si>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</si>
  <si>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</si>
  <si>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</si>
  <si>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</si>
  <si>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</si>
  <si>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</si>
  <si>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</si>
  <si>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</si>
  <si>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</si>
  <si>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</si>
  <si>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</si>
  <si>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</si>
  <si>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</si>
  <si>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</si>
  <si>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</si>
  <si>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</si>
  <si>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</si>
  <si>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</si>
  <si>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</si>
  <si>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</si>
  <si>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</si>
  <si>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</si>
  <si>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</si>
  <si>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</si>
  <si>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</si>
  <si>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</si>
  <si>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</si>
  <si>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</si>
  <si>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</si>
  <si>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</si>
  <si>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</si>
  <si>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</si>
  <si>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</si>
  <si>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</si>
  <si>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</si>
  <si>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</si>
  <si>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</si>
  <si>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</si>
  <si>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</si>
  <si>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</si>
  <si>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</si>
  <si>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</si>
  <si>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</si>
  <si>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</si>
  <si>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</si>
  <si>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</si>
  <si>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</si>
  <si>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</si>
  <si>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</si>
  <si>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</si>
  <si>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</si>
  <si>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</si>
  <si>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</si>
  <si>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</si>
  <si>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</si>
  <si>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</si>
  <si>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</si>
  <si>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</si>
  <si>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</si>
  <si>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</si>
  <si>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</si>
  <si>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</si>
  <si>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</si>
  <si>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</si>
  <si>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</si>
  <si>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</si>
  <si>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</si>
  <si>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</si>
  <si>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</si>
  <si>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</si>
  <si>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</si>
  <si>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</si>
  <si>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</si>
  <si>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</si>
  <si>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</si>
  <si>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</si>
  <si>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</si>
  <si>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</si>
  <si>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</si>
  <si>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</si>
  <si>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</si>
  <si>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</si>
  <si>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</si>
  <si>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</si>
  <si>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</si>
  <si>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</si>
  <si>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</si>
  <si>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</si>
  <si>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</si>
  <si>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</si>
  <si>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</si>
  <si>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</si>
  <si>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</si>
  <si>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</si>
  <si>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</si>
  <si>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</si>
  <si>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</si>
  <si>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</si>
  <si>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</si>
  <si>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</si>
  <si>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</si>
  <si>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</si>
  <si>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</si>
  <si>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</si>
  <si>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</si>
  <si>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</si>
  <si>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</si>
  <si>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</si>
  <si>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</si>
  <si>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</si>
  <si>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</si>
  <si>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</si>
  <si>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</si>
  <si>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</si>
  <si>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</si>
  <si>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</si>
  <si>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</si>
  <si>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</si>
  <si>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</si>
  <si>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</si>
  <si>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</si>
  <si>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</si>
  <si>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</si>
  <si>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</si>
  <si>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</si>
  <si>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</si>
  <si>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</si>
  <si>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</si>
  <si>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</si>
  <si>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</si>
  <si>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</si>
  <si>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</si>
  <si>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</si>
  <si>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</si>
  <si>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</si>
  <si>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</si>
  <si>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</si>
  <si>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</si>
  <si>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</si>
  <si>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</si>
  <si>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</si>
  <si>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</si>
  <si>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</si>
  <si>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</si>
  <si>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</si>
  <si>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</si>
  <si>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</si>
  <si>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</si>
  <si>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</si>
  <si>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</si>
  <si>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</si>
  <si>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</si>
  <si>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</si>
  <si>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</si>
  <si>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</si>
  <si>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</si>
  <si>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</si>
  <si>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</si>
  <si>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</si>
  <si>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</si>
  <si>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</si>
  <si>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</si>
  <si>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</si>
  <si>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</si>
  <si>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</si>
  <si>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</si>
  <si>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</si>
  <si>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</si>
  <si>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</si>
  <si>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</si>
  <si>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</si>
  <si>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</si>
  <si>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</si>
  <si>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</si>
  <si>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</si>
  <si>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</si>
  <si>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</si>
  <si>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</si>
  <si>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</si>
  <si>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</si>
  <si>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</si>
  <si>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</si>
  <si>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</si>
  <si>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</si>
  <si>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</si>
  <si>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</si>
  <si>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</si>
  <si>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</si>
  <si>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</si>
  <si>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</si>
  <si>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</si>
  <si>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</si>
  <si>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</si>
  <si>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</si>
  <si>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</si>
  <si>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</si>
  <si>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</si>
  <si>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</si>
  <si>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</si>
  <si>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</si>
  <si>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</si>
  <si>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</si>
  <si>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</si>
  <si>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</si>
  <si>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</si>
  <si>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</si>
  <si>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</si>
  <si>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</si>
  <si>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</si>
  <si>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KAB9@UK</t>
  </si>
  <si>
    <t>KAC3@UK</t>
  </si>
  <si>
    <t>Great Britain: AWE, Total Pay: Whole Economy (SA, GBP)</t>
  </si>
  <si>
    <t>Great Britain: AWE: Total Pay: Whole Economy [3Mo Mvg Avg vs Yr Ago] (SA, %)</t>
  </si>
  <si>
    <t>Jan-1988</t>
  </si>
  <si>
    <t>202311</t>
  </si>
  <si>
    <t>sa(D7F5@UK)</t>
  </si>
  <si>
    <t>UK: Consumer Price Index: All Services (NSA, 2015=100)  - Seasonal Adjustment, All</t>
  </si>
  <si>
    <t>20240105</t>
  </si>
  <si>
    <t>20240108</t>
  </si>
  <si>
    <t>20240108W</t>
  </si>
  <si>
    <t>20240109</t>
  </si>
  <si>
    <t>199901 !M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</si>
  <si>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</si>
  <si>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</si>
  <si>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</si>
  <si>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</si>
  <si>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</si>
  <si>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</si>
  <si>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</si>
  <si>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</si>
  <si>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</si>
  <si>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</si>
  <si>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</si>
  <si>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</si>
  <si>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D7F5@UK</t>
  </si>
  <si>
    <t>UK: Consumer Price Index: All Services (NSA, 2015=100)</t>
  </si>
  <si>
    <t>20240110</t>
  </si>
  <si>
    <t>20240111</t>
  </si>
  <si>
    <t>20240112</t>
  </si>
  <si>
    <t>20240115</t>
  </si>
  <si>
    <t>20240115W</t>
  </si>
  <si>
    <t>202312</t>
  </si>
  <si>
    <t>FX pass through</t>
  </si>
  <si>
    <t>Period</t>
  </si>
  <si>
    <t>Passthrough to price level (LHS)</t>
  </si>
  <si>
    <t>Passthrough to annual inflation (LHS)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</si>
  <si>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</si>
  <si>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</si>
  <si>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</si>
  <si>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</si>
  <si>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</si>
  <si>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</si>
  <si>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</si>
  <si>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</si>
  <si>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</si>
  <si>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</si>
  <si>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</si>
  <si>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</si>
  <si>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</si>
  <si>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</si>
  <si>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</si>
  <si>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</si>
  <si>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</si>
  <si>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</si>
  <si>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</si>
  <si>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</si>
  <si>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</si>
  <si>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</si>
  <si>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</si>
  <si>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</si>
  <si>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</si>
  <si>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</si>
  <si>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</si>
  <si>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</si>
  <si>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</si>
  <si>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</si>
  <si>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</si>
  <si>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</si>
  <si>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</si>
  <si>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</si>
  <si>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</si>
  <si>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</si>
  <si>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</si>
  <si>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</si>
  <si>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</si>
  <si>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</si>
  <si>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</si>
  <si>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</si>
  <si>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</si>
  <si>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</si>
  <si>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</si>
  <si>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</si>
  <si>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</si>
  <si>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</si>
  <si>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</si>
  <si>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</si>
  <si>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</si>
  <si>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</si>
  <si>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</si>
  <si>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</si>
  <si>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</si>
  <si>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</si>
  <si>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</si>
  <si>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</si>
  <si>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</si>
  <si>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</si>
  <si>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</si>
  <si>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</si>
  <si>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</si>
  <si>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</si>
  <si>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</si>
  <si>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</si>
  <si>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</si>
  <si>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</si>
  <si>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</si>
  <si>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</si>
  <si>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</si>
  <si>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</si>
  <si>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</si>
  <si>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</si>
  <si>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</si>
  <si>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</si>
  <si>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</si>
  <si>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</si>
  <si>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</si>
  <si>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</si>
  <si>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</si>
  <si>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</si>
  <si>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</si>
  <si>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</si>
  <si>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</si>
  <si>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</si>
  <si>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</si>
  <si>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</si>
  <si>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</si>
  <si>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</si>
  <si>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</si>
  <si>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</si>
  <si>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</si>
  <si>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</si>
  <si>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</si>
  <si>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</si>
  <si>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</si>
  <si>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</si>
  <si>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</si>
  <si>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</si>
  <si>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</si>
  <si>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</si>
  <si>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</si>
  <si>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</si>
  <si>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</si>
  <si>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</si>
  <si>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</si>
  <si>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</si>
  <si>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</si>
  <si>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</si>
  <si>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</si>
  <si>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</si>
  <si>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</si>
  <si>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</si>
  <si>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</si>
  <si>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</si>
  <si>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</si>
  <si>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</si>
  <si>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</si>
  <si>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</si>
  <si>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</si>
  <si>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</si>
  <si>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</si>
  <si>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</si>
  <si>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</si>
  <si>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</si>
  <si>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</si>
  <si>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</si>
  <si>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</si>
  <si>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</si>
  <si>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</si>
  <si>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</si>
  <si>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</si>
  <si>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</si>
  <si>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</si>
  <si>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</si>
  <si>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</si>
  <si>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</si>
  <si>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</si>
  <si>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</si>
  <si>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</si>
  <si>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</si>
  <si>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</si>
  <si>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</si>
  <si>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</si>
  <si>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</si>
  <si>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</si>
  <si>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</si>
  <si>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</si>
  <si>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</si>
  <si>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</si>
  <si>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</si>
  <si>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</si>
  <si>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</si>
  <si>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</si>
  <si>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</si>
  <si>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</si>
  <si>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</si>
  <si>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</si>
  <si>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</si>
  <si>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</si>
  <si>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</si>
  <si>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</si>
  <si>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</si>
  <si>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</si>
  <si>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</si>
  <si>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</si>
  <si>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</si>
  <si>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</si>
  <si>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</si>
  <si>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</si>
  <si>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</si>
  <si>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</si>
  <si>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</si>
  <si>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</si>
  <si>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</si>
  <si>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</si>
  <si>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</si>
  <si>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</si>
  <si>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</si>
  <si>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</si>
  <si>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</si>
  <si>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</si>
  <si>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</si>
  <si>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</si>
  <si>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</si>
  <si>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</si>
  <si>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</si>
  <si>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</si>
  <si>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</si>
  <si>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</si>
  <si>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</si>
  <si>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</si>
  <si>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</si>
  <si>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</si>
  <si>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</si>
  <si>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</si>
  <si>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</si>
  <si>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</si>
  <si>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</si>
  <si>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</si>
  <si>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</si>
  <si>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</si>
  <si>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</si>
  <si>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</si>
  <si>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</si>
  <si>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</si>
  <si>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</si>
  <si>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</si>
  <si>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</si>
  <si>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</si>
  <si>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</si>
  <si>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</si>
  <si>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</si>
  <si>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</si>
  <si>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</si>
  <si>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</si>
  <si>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</si>
  <si>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</si>
  <si>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</si>
  <si>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</si>
  <si>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</si>
  <si>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</si>
  <si>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</si>
  <si>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</si>
  <si>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</si>
  <si>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</si>
  <si>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</si>
  <si>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</si>
  <si>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</si>
  <si>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</si>
  <si>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</si>
  <si>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</si>
  <si>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</si>
  <si>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</si>
  <si>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</si>
  <si>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</si>
  <si>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</si>
  <si>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</si>
  <si>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</si>
  <si>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</si>
  <si>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</si>
  <si>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</si>
  <si>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</si>
  <si>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</si>
  <si>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</si>
  <si>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</si>
  <si>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</si>
  <si>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</si>
  <si>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</si>
  <si>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</si>
  <si>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</si>
  <si>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</si>
  <si>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</si>
  <si>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</si>
  <si>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</si>
  <si>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</si>
  <si>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</si>
  <si>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</si>
  <si>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</si>
  <si>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</si>
  <si>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</si>
  <si>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</si>
  <si>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</si>
  <si>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</si>
  <si>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</si>
  <si>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</si>
  <si>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</si>
  <si>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</si>
  <si>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</si>
  <si>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</si>
  <si>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</si>
  <si>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</si>
  <si>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</si>
  <si>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</si>
  <si>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</si>
  <si>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</si>
  <si>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</si>
  <si>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20240122W</t>
  </si>
  <si>
    <t>20240129W</t>
  </si>
  <si>
    <t>20240205W</t>
  </si>
  <si>
    <t>20240212W</t>
  </si>
  <si>
    <t>20240219W</t>
  </si>
  <si>
    <t>20240226W</t>
  </si>
  <si>
    <t>20240304W</t>
  </si>
  <si>
    <t>20240311W</t>
  </si>
  <si>
    <t>20240318W</t>
  </si>
  <si>
    <t>20240325W</t>
  </si>
  <si>
    <t>20240401W</t>
  </si>
  <si>
    <t>20240408W</t>
  </si>
  <si>
    <t>20240415W</t>
  </si>
  <si>
    <t>20240422W</t>
  </si>
  <si>
    <t>20240429W</t>
  </si>
  <si>
    <t>20240506W</t>
  </si>
  <si>
    <t>20240513W</t>
  </si>
  <si>
    <t>20240520W</t>
  </si>
  <si>
    <t>20240527W</t>
  </si>
  <si>
    <t>20240603W</t>
  </si>
  <si>
    <t>20240610W</t>
  </si>
  <si>
    <t>20240617W</t>
  </si>
  <si>
    <t>20240624W</t>
  </si>
  <si>
    <t>20240701W</t>
  </si>
  <si>
    <t>20240708W</t>
  </si>
  <si>
    <t>20240715W</t>
  </si>
  <si>
    <t>20240722W</t>
  </si>
  <si>
    <t>20240729W</t>
  </si>
  <si>
    <t>20240805W</t>
  </si>
  <si>
    <t>20240812W</t>
  </si>
  <si>
    <t>20240819W</t>
  </si>
  <si>
    <t>20240826W</t>
  </si>
  <si>
    <t>20240902W</t>
  </si>
  <si>
    <t>20240909W</t>
  </si>
  <si>
    <t>20240916W</t>
  </si>
  <si>
    <t>20240923W</t>
  </si>
  <si>
    <t>20240930W</t>
  </si>
  <si>
    <t>20241007W</t>
  </si>
  <si>
    <t>20241014W</t>
  </si>
  <si>
    <t>20241021W</t>
  </si>
  <si>
    <t>20241028W</t>
  </si>
  <si>
    <t>20241104W</t>
  </si>
  <si>
    <t>20241111W</t>
  </si>
  <si>
    <t>20241118W</t>
  </si>
  <si>
    <t>20241125W</t>
  </si>
  <si>
    <t>20241202W</t>
  </si>
  <si>
    <t>20241209W</t>
  </si>
  <si>
    <t>20241216W</t>
  </si>
  <si>
    <t>20241223W</t>
  </si>
  <si>
    <t>20241230W</t>
  </si>
  <si>
    <t>20250106W</t>
  </si>
  <si>
    <t>20250113W</t>
  </si>
  <si>
    <t>20250120W</t>
  </si>
  <si>
    <t>20250127W</t>
  </si>
  <si>
    <t>20250203W</t>
  </si>
  <si>
    <t>Chart 2.18 - Contributions to CPI inflation</t>
  </si>
  <si>
    <t>Contributions, percentage points</t>
  </si>
  <si>
    <t>Inflation rates, per cent</t>
  </si>
  <si>
    <t>Food</t>
  </si>
  <si>
    <t xml:space="preserve">Electricity and gas </t>
  </si>
  <si>
    <t>January 2025
(Bank staff projections)</t>
  </si>
  <si>
    <t>February 2025
(Bank staff projections)</t>
  </si>
  <si>
    <t>March 2025
(Bank staff projections)</t>
  </si>
  <si>
    <t>April 2025
(Bank staff projections)</t>
  </si>
  <si>
    <t>May 2025
(Bank staff projections)</t>
  </si>
  <si>
    <t>June 2025
(Bank staff projections)</t>
  </si>
  <si>
    <t>UNQMPCPI@UK</t>
  </si>
  <si>
    <t>Feb-06-2025 12:42</t>
  </si>
  <si>
    <t>Q1-2028</t>
  </si>
  <si>
    <t>Q1-2017</t>
  </si>
  <si>
    <t>UK: BoE MPR Bank Staff Projections: CPI (Y/Y % Change)</t>
  </si>
  <si>
    <t>20271</t>
  </si>
  <si>
    <t>20272</t>
  </si>
  <si>
    <t>20273</t>
  </si>
  <si>
    <t>20274</t>
  </si>
  <si>
    <t>20281</t>
  </si>
  <si>
    <t>PUNFPI@CMDTY</t>
  </si>
  <si>
    <t>UNAUSS@UK</t>
  </si>
  <si>
    <t>Dec-2024</t>
  </si>
  <si>
    <t>Feb-07-2025 11:28</t>
  </si>
  <si>
    <t>Food and Agriculture Organization of the UN</t>
  </si>
  <si>
    <t>Jan-2025</t>
  </si>
  <si>
    <t>Jan-1990</t>
  </si>
  <si>
    <t>Food and Agriculture Organization of the UN: Food Price Index (2014-16=100)</t>
  </si>
  <si>
    <t>Jan-1921</t>
  </si>
  <si>
    <t>UK: Exchange Rate: United States, Average (US$/GBP)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</si>
  <si>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</si>
  <si>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</si>
  <si>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</si>
  <si>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</si>
  <si>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</si>
  <si>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</si>
  <si>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</si>
  <si>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</si>
  <si>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</si>
  <si>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</si>
  <si>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</si>
  <si>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</si>
  <si>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</si>
  <si>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Food commodities</t>
  </si>
  <si>
    <t>FX adj</t>
  </si>
  <si>
    <t>Rebase</t>
  </si>
  <si>
    <t>D7BU@UK</t>
  </si>
  <si>
    <t>UK: Consumer Price Index: Food &amp; Non-Alcoholic Beverages (NSA, 2015=100)</t>
  </si>
  <si>
    <t>Zeroline</t>
  </si>
  <si>
    <t>ONS UK food price inflation (RHS)</t>
  </si>
  <si>
    <t>UN global food price inflation in £ terms (adv. 12m, LHS)</t>
  </si>
  <si>
    <t>GBA6@UK</t>
  </si>
  <si>
    <t>Jan-1996</t>
  </si>
  <si>
    <t>UK: PPI: Gross Sector Output: Food, Beverages &amp; Tobacco Excl Duty(NSA, 2015=100)</t>
  </si>
  <si>
    <t>PPI food output</t>
  </si>
  <si>
    <t>UNVDPE3@UK</t>
  </si>
  <si>
    <t>Feb-06-2025 14:01</t>
  </si>
  <si>
    <t>Jan-2017</t>
  </si>
  <si>
    <t>UK: BoE DMP: Expected Price Growth Over the Next Year: 3 Month Average (%)</t>
  </si>
  <si>
    <t>Chart 2.21 - Measures of annual services price inflation, per cent</t>
  </si>
  <si>
    <t>Annual inflation</t>
  </si>
  <si>
    <t>Services low variance weighted</t>
  </si>
  <si>
    <t>Services excluding indexed and volatile components, rents and foreign holidays</t>
  </si>
  <si>
    <t>Services trimmed mean</t>
  </si>
  <si>
    <t>MPC's measure of underlying CPI services inflation* (LHS)</t>
  </si>
  <si>
    <t>BoE DMP measure of one-year inflation expectations (adv. 6m, RHS)</t>
  </si>
  <si>
    <t>20250207</t>
  </si>
  <si>
    <t>20250210</t>
  </si>
  <si>
    <t>20250211</t>
  </si>
  <si>
    <t>20250212</t>
  </si>
  <si>
    <t>20250213</t>
  </si>
  <si>
    <t>20250210W</t>
  </si>
  <si>
    <t>IFNG01C@CMDTY</t>
  </si>
  <si>
    <t>IFNG02C@CMDTY</t>
  </si>
  <si>
    <t>IFNG03C@CMDTY</t>
  </si>
  <si>
    <t>IFNG04C@CMDTY</t>
  </si>
  <si>
    <t>IFNG05C@CMDTY</t>
  </si>
  <si>
    <t>IFNG06C@CMDTY</t>
  </si>
  <si>
    <t>IFNG07C@CMDTY</t>
  </si>
  <si>
    <t>IFNG08C@CMDTY</t>
  </si>
  <si>
    <t>IFNG09C@CMDTY</t>
  </si>
  <si>
    <t>IFNG10C@CMDTY</t>
  </si>
  <si>
    <t>IFNG11C@CMDTY</t>
  </si>
  <si>
    <t>IFNG12C@CMDTY</t>
  </si>
  <si>
    <t>IFNG13C@CMDTY</t>
  </si>
  <si>
    <t>IFNG14C@CMDTY</t>
  </si>
  <si>
    <t>IFNG15C@CMDTY</t>
  </si>
  <si>
    <t>IFNG16C@CMDTY</t>
  </si>
  <si>
    <t>IFNG17C@CMDTY</t>
  </si>
  <si>
    <t>IFNG18C@CMDTY</t>
  </si>
  <si>
    <t>IFNG19C@CMDTY</t>
  </si>
  <si>
    <t>IFNG20C@CMDTY</t>
  </si>
  <si>
    <t>IFNG21C@CMDTY</t>
  </si>
  <si>
    <t>IFNG22C@CMDTY</t>
  </si>
  <si>
    <t>IFNG23C@CMDTY</t>
  </si>
  <si>
    <t>IFNG24C@CMDTY</t>
  </si>
  <si>
    <t>IFNG25C@CMDTY</t>
  </si>
  <si>
    <t>IFNG26C@CMDTY</t>
  </si>
  <si>
    <t>IFNG27C@CMDTY</t>
  </si>
  <si>
    <t>IFNG28C@CMDTY</t>
  </si>
  <si>
    <t>IFNG29C@CMDTY</t>
  </si>
  <si>
    <t>IFNG30C@CMDTY</t>
  </si>
  <si>
    <t>IFNG31C@CMDTY</t>
  </si>
  <si>
    <t>IFNG32C@CMDTY</t>
  </si>
  <si>
    <t>IFNG33C@CMDTY</t>
  </si>
  <si>
    <t>IFNG34C@CMDTY</t>
  </si>
  <si>
    <t>IFNG35C@CMDTY</t>
  </si>
  <si>
    <t>IFNG36C@CMDTY</t>
  </si>
  <si>
    <t>IFNG37C@CMDTY</t>
  </si>
  <si>
    <t>IFNG38C@CMDTY</t>
  </si>
  <si>
    <t>IFNG39C@CMDTY</t>
  </si>
  <si>
    <t>IFNG40C@CMDTY</t>
  </si>
  <si>
    <t>IFNG41C@CMDTY</t>
  </si>
  <si>
    <t>IFNG42C@CMDTY</t>
  </si>
  <si>
    <t>IFNG43C@CMDTY</t>
  </si>
  <si>
    <t>IFNG44C@CMDTY</t>
  </si>
  <si>
    <t>IFNG45C@CMDTY</t>
  </si>
  <si>
    <t>IFNG46C@CMDTY</t>
  </si>
  <si>
    <t>IFNG47C@CMDTY</t>
  </si>
  <si>
    <t>IFNG48C@CMDTY</t>
  </si>
  <si>
    <t>IntercontinentalExchange</t>
  </si>
  <si>
    <t>31-Jan-1997</t>
  </si>
  <si>
    <t>ICE UK Natural Gas Futures: 1st Position: Settlement Price (Sterling/Therm)</t>
  </si>
  <si>
    <t>ICE UK Natural Gas Futures: 2nd Position: Settlement Price (Sterling/Therm)</t>
  </si>
  <si>
    <t>ICE UK Natural Gas Futures: 3rd Position: Settlement Price (Sterling/Therm)</t>
  </si>
  <si>
    <t>ICE UK Natural Gas Futures: 4th Position: Settlement Price (Sterling/Therm)</t>
  </si>
  <si>
    <t>ICE UK Natural Gas Futures: 5th Position: Settlement Price (Sterling/Therm)</t>
  </si>
  <si>
    <t>ICE UK Natural Gas Futures: 6th Position: Settlement Price (Sterling/Therm)</t>
  </si>
  <si>
    <t>ICE UK Natural Gas Futures: 7th Position: Settlement Price (Sterling/Therm)</t>
  </si>
  <si>
    <t>ICE UK Natural Gas Futures: 8th Position: Settlement Price (Sterling/Therm)</t>
  </si>
  <si>
    <t>ICE UK Natural Gas Futures: 9th Position: Settlement Price (Sterling/Therm)</t>
  </si>
  <si>
    <t>ICE UK Natural Gas Futures: 10th Position: Settlement Price (Sterling/Therm)</t>
  </si>
  <si>
    <t>ICE UK Natural Gas Futures: 11th Position: Settlement Price (Sterling/Therm)</t>
  </si>
  <si>
    <t>29-Jun-2004</t>
  </si>
  <si>
    <t>ICE UK Natural Gas Futures: 12th Position: Settlement Price (Sterling/Therm)</t>
  </si>
  <si>
    <t>28-Feb-2007</t>
  </si>
  <si>
    <t>ICE UK Natural Gas Futures: 13th Position: Settlement Price (Sterling/Therm)</t>
  </si>
  <si>
    <t>11-Apr-2008</t>
  </si>
  <si>
    <t>ICE UK Natural Gas Futures: 14th Position: Settlement Price (Sterling/Therm)</t>
  </si>
  <si>
    <t>ICE UK Natural Gas Futures: 15th Position: Settlement Price (Sterling/Therm)</t>
  </si>
  <si>
    <t>ICE UK Natural Gas Futures: 16th Position: Settlement Price (Sterling/Therm)</t>
  </si>
  <si>
    <t>ICE UK Natural Gas Futures: 17th Position: Settlement Price (Sterling/Therm)</t>
  </si>
  <si>
    <t>30-May-2008</t>
  </si>
  <si>
    <t>ICE UK Natural Gas Futures: 18th Position: Settlement Price (Sterling/Therm)</t>
  </si>
  <si>
    <t>16-Aug-2010</t>
  </si>
  <si>
    <t>ICE UK Natural Gas Future: 19th Position: Settlement Price (Sterling/Therm)</t>
  </si>
  <si>
    <t>ICE UK Natural Gas Future: 20th Position: Settlement Price (Sterling/Therm)</t>
  </si>
  <si>
    <t>ICE UK Natural Gas Future: 21st Position: Settlement Price (Sterling/Therm)</t>
  </si>
  <si>
    <t>ICE UK Natural Gas Future: 22nd Position: Settlement Price (Sterling/Therm)</t>
  </si>
  <si>
    <t>ICE UK Natural Gas Future: 23rd Position: Settlement Price (Sterling/Therm)</t>
  </si>
  <si>
    <t>ICE UK Natural Gas Future: 24th Position: Settlement Price (Sterling/Therm)</t>
  </si>
  <si>
    <t>ICE UK Natural Gas Future: 25th Position: Settlement Price (Sterling/Therm)</t>
  </si>
  <si>
    <t>ICE UK Natural Gas Future: 26th Position: Settlement Price (Sterling/Therm)</t>
  </si>
  <si>
    <t>ICE UK Natural Gas Future: 27th Position: Settlement Price (Sterling/Therm)</t>
  </si>
  <si>
    <t>ICE UK Natural Gas Future: 28th Position: Settlement Price (Sterling/Therm)</t>
  </si>
  <si>
    <t>ICE UK Natural Gas Future: 29th Position: Settlement Price (Sterling/Therm)</t>
  </si>
  <si>
    <t>ICE UK Natural Gas Future: 30th Position: Settlement Price (Sterling/Therm)</t>
  </si>
  <si>
    <t>ICE UK Natural Gas Future: 31st Position: Settlement Price (Sterling/Therm)</t>
  </si>
  <si>
    <t>ICE UK Natural Gas Future: 32nd Position: Settlement Price (Sterling/Therm)</t>
  </si>
  <si>
    <t>ICE UK Natural Gas Future: 33rd Position: Settlement Price (Sterling/Therm)</t>
  </si>
  <si>
    <t>ICE UK Natural Gas Future: 34th Position: Settlement Price (Sterling/Therm)</t>
  </si>
  <si>
    <t>ICE UK Natural Gas Future: 35th Position: Settlement Price (Sterling/Therm)</t>
  </si>
  <si>
    <t>ICE UK Natural Gas Future: 36th Position: Settlement Price (Sterling/Therm)</t>
  </si>
  <si>
    <t>ICE UK Natural Gas Future: 37th Position: Settlement Price (Sterling/Therm)</t>
  </si>
  <si>
    <t>ICE UK Natural Gas Future: 38th Position: Settlement Price (Sterling/Therm)</t>
  </si>
  <si>
    <t>ICE UK Natural Gas Future: 39th Position: Settlement Price (Sterling/Therm)</t>
  </si>
  <si>
    <t>ICE UK Natural Gas Future: 40th Position: Settlement Price (Sterling/Therm)</t>
  </si>
  <si>
    <t>ICE UK Natural Gas Future: 41st Position: Settlement Price (Sterling/Therm)</t>
  </si>
  <si>
    <t>ICE UK Natural Gas Future: 42nd Position: Settlement Price (Sterling/Therm)</t>
  </si>
  <si>
    <t>ICE UK Natural Gas Future: 43rd Position: Settlement Price (Sterling/Therm)</t>
  </si>
  <si>
    <t>ICE UK Natural Gas Future: 44th Position: Settlement Price (Sterling/Therm)</t>
  </si>
  <si>
    <t>ICE UK Natural Gas Future: 45th Position: Settlement Price (Sterling/Therm)</t>
  </si>
  <si>
    <t>ICE UK Natural Gas Future: 46th Position: Settlement Price (Sterling/Therm)</t>
  </si>
  <si>
    <t>ICE UK Natural Gas Future: 47th Position: Settlement Price (Sterling/Therm)</t>
  </si>
  <si>
    <t>ICE UK Natural Gas Future: 48th Position: Settlement Price (Sterling/Therm)</t>
  </si>
  <si>
    <t>Pence per therm</t>
  </si>
  <si>
    <t>Q4 2023</t>
  </si>
  <si>
    <t>Q3 2023</t>
  </si>
  <si>
    <t>Q1 2024</t>
  </si>
  <si>
    <t>Q1 2025</t>
  </si>
  <si>
    <t>Q2 2025</t>
  </si>
  <si>
    <t>Q3 2025</t>
  </si>
  <si>
    <t>Q4 2025</t>
  </si>
  <si>
    <t>Jul-23 cap</t>
  </si>
  <si>
    <t>Oct-23 cap</t>
  </si>
  <si>
    <t>Jan-24 cap</t>
  </si>
  <si>
    <t>Apr-24 cap</t>
  </si>
  <si>
    <t>Jul-24 cap</t>
  </si>
  <si>
    <t>Oct-24 cap</t>
  </si>
  <si>
    <t>Jan-25 cap</t>
  </si>
  <si>
    <t>Apr-25 cap</t>
  </si>
  <si>
    <t>Jul-25 cap</t>
  </si>
  <si>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</si>
  <si>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</si>
  <si>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</si>
  <si>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</si>
  <si>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</si>
  <si>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</si>
  <si>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</si>
  <si>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</si>
  <si>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</si>
  <si>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</si>
  <si>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</si>
  <si>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</si>
  <si>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Food and core goods contributions</t>
  </si>
  <si>
    <t>Core goods</t>
  </si>
  <si>
    <t>BoE (Nov)</t>
  </si>
  <si>
    <t>UNPM244@UK</t>
  </si>
  <si>
    <t>Nov-07-2024 12:46</t>
  </si>
  <si>
    <t>Discontinued</t>
  </si>
  <si>
    <t>Q4-2027</t>
  </si>
  <si>
    <t>Q4-2024</t>
  </si>
  <si>
    <t>UK: BoE CPI Proj Based on Expected Interest Rate: Median [Q4-24] (Y/Y % Chg)</t>
  </si>
  <si>
    <t>OE (February)</t>
  </si>
  <si>
    <t>BoE (February)</t>
  </si>
  <si>
    <t>Food avg</t>
  </si>
  <si>
    <t>Core goods avg</t>
  </si>
  <si>
    <t>2010-2019 average</t>
  </si>
  <si>
    <t>20250214</t>
  </si>
  <si>
    <t>20250217</t>
  </si>
  <si>
    <t>20250218</t>
  </si>
  <si>
    <t>20250219</t>
  </si>
  <si>
    <t>20250220</t>
  </si>
  <si>
    <t>20250221</t>
  </si>
  <si>
    <t>Feb-18-2025 07:06</t>
  </si>
  <si>
    <t>Feb-19-2025 07:02</t>
  </si>
  <si>
    <t>Feb-19-2025 07:06</t>
  </si>
  <si>
    <t>20250217W</t>
  </si>
  <si>
    <t>OE (Nov)</t>
  </si>
  <si>
    <t>OE vs BoE forecast &gt;&gt;&gt;</t>
  </si>
  <si>
    <t>CPI Services vs Pay growth &gt;&gt;&gt;</t>
  </si>
  <si>
    <t>CPI services</t>
  </si>
  <si>
    <t>AWE total pay growth</t>
  </si>
  <si>
    <t>UNVDNPM@UK</t>
  </si>
  <si>
    <t>UNVDNHP@UK</t>
  </si>
  <si>
    <t>UNVDNNE@UK</t>
  </si>
  <si>
    <t>UNVDNEW@UK</t>
  </si>
  <si>
    <t>UNVDNO@UK</t>
  </si>
  <si>
    <t>Nov-2024</t>
  </si>
  <si>
    <t>UK: BoE DMP: Reaction to Chg in NICs After Nov24 Budget: Lower Profit Margins(%)</t>
  </si>
  <si>
    <t>UK: BoE DMP: Reaction to Change in NICs After Nov24 Budget: Higher Prices (%)</t>
  </si>
  <si>
    <t>UK: BoE DMP: Reaction to Change in NICs After Nov24 Budget: Less Employees (%)</t>
  </si>
  <si>
    <t>UK: BoE DMP: Reaction to Chg in NICs After Nov24 Budget: Lower Employee Wages(%)</t>
  </si>
  <si>
    <t>UK: BoE DMP: Reaction to Change in NICs After Nov24 Budget: Other (%)</t>
  </si>
  <si>
    <t>UNVDNOA@UK</t>
  </si>
  <si>
    <t>UK: BoE DMP: Reaction to Change in NICs After Nov24 Budget: None of the Above(%)</t>
  </si>
  <si>
    <t>Lower profit margins</t>
  </si>
  <si>
    <t>Higher prices</t>
  </si>
  <si>
    <t>Lower number of employees</t>
  </si>
  <si>
    <t>Lower employee wages</t>
  </si>
  <si>
    <t>Other</t>
  </si>
  <si>
    <t>None of the above</t>
  </si>
  <si>
    <t>20250224</t>
  </si>
  <si>
    <t>20250225</t>
  </si>
  <si>
    <t>BoE* (Feb)</t>
  </si>
  <si>
    <t>t</t>
  </si>
  <si>
    <t>t+1</t>
  </si>
  <si>
    <t>t+2</t>
  </si>
  <si>
    <t>t+3</t>
  </si>
  <si>
    <t>t+4</t>
  </si>
  <si>
    <t>t+5</t>
  </si>
  <si>
    <t>20250226</t>
  </si>
  <si>
    <t>20250227</t>
  </si>
  <si>
    <t>20250228</t>
  </si>
  <si>
    <t>20250303</t>
  </si>
  <si>
    <t>Mar-03-2025 11:29</t>
  </si>
  <si>
    <t>Feb-2025</t>
  </si>
  <si>
    <t>202502</t>
  </si>
  <si>
    <t>Mar-04-2025 10:01</t>
  </si>
  <si>
    <t>03-Mar-2025W</t>
  </si>
  <si>
    <t>20250224W</t>
  </si>
  <si>
    <t>20250303W</t>
  </si>
  <si>
    <t>Mar-06-2025 09:31</t>
  </si>
  <si>
    <t>OE (latest)</t>
  </si>
  <si>
    <t>Mar-07-2025 03:19</t>
  </si>
  <si>
    <t>06-Mar-2025</t>
  </si>
  <si>
    <t>Mar-06-2025 13:02</t>
  </si>
  <si>
    <t>05-Mar-2025</t>
  </si>
  <si>
    <t>Mar-07-2025 09:31</t>
  </si>
  <si>
    <t>20250304</t>
  </si>
  <si>
    <t>20250305</t>
  </si>
  <si>
    <t>20250306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</si>
</sst>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mmm\ yyyy"/>
    <numFmt numFmtId="166" formatCode="0.00000"/>
    <numFmt numFmtId="167" formatCode="0.0000"/>
    <numFmt numFmtId="168" formatCode="0.000"/>
    <numFmt numFmtId="169" formatCode="yyyymm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11" fillId="0" borderId="0"/>
    <xf numFmtId="0" fontId="14" fillId="0" borderId="0"/>
    <xf numFmtId="0" fontId="10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43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0" borderId="0" xfId="0" applyAlignment="1">
      <alignment wrapText="1"/>
    </xf>
    <xf numFmtId="15" fontId="3" fillId="0" borderId="0" xfId="1" applyNumberFormat="1" applyFont="1" applyAlignment="1">
      <alignment horizontal="left" vertical="center"/>
    </xf>
    <xf numFmtId="0" fontId="4" fillId="0" borderId="0" xfId="0" applyFont="1"/>
    <xf numFmtId="15" fontId="5" fillId="0" borderId="0" xfId="1" applyNumberFormat="1" applyFont="1" applyAlignment="1">
      <alignment horizontal="center" vertical="center"/>
    </xf>
    <xf numFmtId="15" fontId="6" fillId="0" borderId="0" xfId="1" applyNumberFormat="1" applyFont="1" applyAlignment="1">
      <alignment horizontal="left" vertical="center"/>
    </xf>
    <xf numFmtId="15" fontId="7" fillId="0" borderId="1" xfId="1" applyNumberFormat="1" applyFont="1" applyBorder="1" applyAlignment="1">
      <alignment horizontal="center" vertical="center"/>
    </xf>
    <xf numFmtId="16" fontId="7" fillId="0" borderId="1" xfId="1" applyNumberFormat="1" applyFont="1" applyBorder="1" applyAlignment="1">
      <alignment horizontal="center" vertical="center" wrapText="1"/>
    </xf>
    <xf numFmtId="165" fontId="5" fillId="0" borderId="0" xfId="2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/>
    <xf numFmtId="0" fontId="0" fillId="0" borderId="0" xfId="0" applyFill="1"/>
    <xf numFmtId="0" fontId="0" fillId="0" borderId="0" xfId="0" applyNumberFormat="1"/>
    <xf numFmtId="1" fontId="0" fillId="0" borderId="0" xfId="0" applyNumberForma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8" fillId="0" borderId="0" xfId="3"/>
    <xf numFmtId="168" fontId="0" fillId="0" borderId="0" xfId="0" applyNumberFormat="1"/>
    <xf numFmtId="2" fontId="4" fillId="0" borderId="0" xfId="4" applyNumberFormat="1" applyFont="1"/>
    <xf numFmtId="0" fontId="4" fillId="0" borderId="0" xfId="4" applyFont="1"/>
    <xf numFmtId="15" fontId="6" fillId="0" borderId="0" xfId="5" applyNumberFormat="1" applyFont="1" applyAlignment="1">
      <alignment horizontal="left"/>
    </xf>
    <xf numFmtId="2" fontId="7" fillId="0" borderId="1" xfId="6" applyNumberFormat="1" applyFont="1" applyBorder="1" applyAlignment="1">
      <alignment horizontal="centerContinuous" vertical="center" wrapText="1"/>
    </xf>
    <xf numFmtId="0" fontId="4" fillId="0" borderId="1" xfId="4" applyFont="1" applyBorder="1" applyAlignment="1">
      <alignment horizontal="centerContinuous"/>
    </xf>
    <xf numFmtId="15" fontId="7" fillId="0" borderId="1" xfId="6" applyNumberFormat="1" applyFont="1" applyBorder="1" applyAlignment="1">
      <alignment horizontal="center" vertical="center" wrapText="1"/>
    </xf>
    <xf numFmtId="2" fontId="7" fillId="0" borderId="1" xfId="6" applyNumberFormat="1" applyFont="1" applyBorder="1" applyAlignment="1">
      <alignment horizontal="center" vertical="center" wrapText="1"/>
    </xf>
    <xf numFmtId="165" fontId="5" fillId="0" borderId="0" xfId="4" applyNumberFormat="1" applyFont="1" applyAlignment="1">
      <alignment horizontal="center"/>
    </xf>
    <xf numFmtId="164" fontId="5" fillId="0" borderId="0" xfId="4" applyNumberFormat="1" applyFont="1" applyAlignment="1">
      <alignment horizontal="center"/>
    </xf>
    <xf numFmtId="169" fontId="0" fillId="0" borderId="0" xfId="0" applyNumberFormat="1"/>
    <xf numFmtId="17" fontId="12" fillId="0" borderId="0" xfId="7" applyNumberFormat="1" applyFont="1" applyAlignment="1">
      <alignment horizontal="left"/>
    </xf>
    <xf numFmtId="17" fontId="13" fillId="0" borderId="0" xfId="7" applyNumberFormat="1" applyFont="1" applyAlignment="1">
      <alignment horizontal="left"/>
    </xf>
    <xf numFmtId="0" fontId="0" fillId="0" borderId="0" xfId="0"/>
    <xf numFmtId="164" fontId="0" fillId="0" borderId="0" xfId="0" applyNumberFormat="1"/>
    <xf numFmtId="2" fontId="0" fillId="0" borderId="0" xfId="0" applyNumberFormat="1"/>
    <xf numFmtId="167" fontId="0" fillId="0" borderId="0" xfId="0" applyNumberFormat="1"/>
    <xf numFmtId="164" fontId="0" fillId="0" borderId="0" xfId="0" applyNumberFormat="1" applyAlignment="1">
      <alignment horizontal="center"/>
    </xf>
    <xf numFmtId="17" fontId="0" fillId="0" borderId="0" xfId="0" applyNumberFormat="1"/>
    <xf numFmtId="2" fontId="16" fillId="0" borderId="0" xfId="0" applyNumberFormat="1" applyFont="1"/>
    <xf numFmtId="16" fontId="7" fillId="0" borderId="1" xfId="1" applyNumberFormat="1" applyFont="1" applyBorder="1" applyAlignment="1">
      <alignment horizontal="center" vertical="center" wrapText="1"/>
    </xf>
  </cellXfs>
  <cellStyles count="17">
    <cellStyle name="%" xfId="7" xr:uid="{1241F209-7A9A-4562-A238-2DDC7AFC11A9}"/>
    <cellStyle name="Hyperlink" xfId="3" builtinId="8"/>
    <cellStyle name="Normal" xfId="0" builtinId="0"/>
    <cellStyle name="Normal 2" xfId="8" xr:uid="{0804B677-09D4-48DF-B57E-C0C8FA2A6F66}"/>
    <cellStyle name="Normal 22" xfId="11" xr:uid="{BCB8B3EB-74D1-4D89-B734-4AFC08872E10}"/>
    <cellStyle name="Normal 3" xfId="12" xr:uid="{120488CF-68BB-46DB-813B-B694BF7EBC2B}"/>
    <cellStyle name="Normal 30" xfId="10" xr:uid="{0DC19CA1-D856-4680-BAEC-BE61BCE5D2D7}"/>
    <cellStyle name="Normal 4" xfId="9" xr:uid="{69838B76-026A-4431-A4AF-30F5C1E81F81}"/>
    <cellStyle name="Normal 4 2 2" xfId="4" xr:uid="{2CE248F0-0B3E-4524-B96A-1ABEBCC3FBD1}"/>
    <cellStyle name="Normal 5" xfId="13" xr:uid="{04939955-9CFD-4E1E-8A9B-8288248C4E3A}"/>
    <cellStyle name="Normal 6" xfId="14" xr:uid="{8A92F351-A822-42B4-B407-2525BB90E3E4}"/>
    <cellStyle name="Normal 7" xfId="15" xr:uid="{E8641EE5-5C32-4CB7-9588-5CD20745C403}"/>
    <cellStyle name="Normal 8" xfId="16" xr:uid="{FED36E70-2446-414E-BD48-3449691A867F}"/>
    <cellStyle name="Normal_Chart 1.1 - Bank Rate and one day forward curves (updated)" xfId="5" xr:uid="{F9ECDA8C-B4E0-4FF1-A255-0F2E46432A95}"/>
    <cellStyle name="Normal_Chart 2.3 - Nominal consumer spending 2" xfId="2" xr:uid="{D1088E29-C7EE-47FD-B18B-3BBBA97AED4B}"/>
    <cellStyle name="Normal_Section 1 Data for the web  " xfId="6" xr:uid="{941F050E-6537-4CC7-A405-2855C048E81A}"/>
    <cellStyle name="Normal_Sheet1 2" xfId="1" xr:uid="{08AD8D68-59A2-407A-B195-3BAC488578C9}"/>
  </cellStyles>
  <dxfs count="0"/>
  <tableStyles count="0" defaultTableStyle="TableStyleMedium2" defaultPivotStyle="PivotStyleLight16"/>
  <colors>
    <mruColors>
      <color rgb="FF003469"/>
      <color rgb="FF495057"/>
      <color rgb="FFD1A21E"/>
      <color rgb="FFBD1B21"/>
      <color rgb="FF00793F"/>
      <color rgb="FF965793"/>
      <color rgb="FF7B7C77"/>
      <color rgb="FF00A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8.xml"/><Relationship Id="rId18" Type="http://schemas.openxmlformats.org/officeDocument/2006/relationships/chartsheet" Target="chartsheets/sheet9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chartsheet" Target="chartsheets/sheet12.xml"/><Relationship Id="rId34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29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2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7.xml"/><Relationship Id="rId29" Type="http://schemas.openxmlformats.org/officeDocument/2006/relationships/externalLink" Target="externalLinks/externalLink8.xml"/><Relationship Id="rId11" Type="http://schemas.openxmlformats.org/officeDocument/2006/relationships/worksheet" Target="worksheets/sheet6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53" Type="http://schemas.openxmlformats.org/officeDocument/2006/relationships/theme" Target="theme/theme1.xml"/><Relationship Id="rId5" Type="http://schemas.openxmlformats.org/officeDocument/2006/relationships/chartsheet" Target="chartsheets/sheet5.xml"/><Relationship Id="rId19" Type="http://schemas.openxmlformats.org/officeDocument/2006/relationships/chartsheet" Target="chartsheets/sheet10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4.xml"/><Relationship Id="rId14" Type="http://schemas.openxmlformats.org/officeDocument/2006/relationships/worksheet" Target="worksheets/sheet9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56" Type="http://schemas.microsoft.com/office/2017/10/relationships/person" Target="persons/person.xml"/><Relationship Id="rId8" Type="http://schemas.openxmlformats.org/officeDocument/2006/relationships/worksheet" Target="worksheets/sheet3.xml"/><Relationship Id="rId51" Type="http://schemas.openxmlformats.org/officeDocument/2006/relationships/externalLink" Target="externalLinks/externalLink30.xml"/><Relationship Id="rId3" Type="http://schemas.openxmlformats.org/officeDocument/2006/relationships/chartsheet" Target="chartsheets/sheet3.xml"/><Relationship Id="rId12" Type="http://schemas.openxmlformats.org/officeDocument/2006/relationships/worksheet" Target="worksheets/sheet7.xml"/><Relationship Id="rId17" Type="http://schemas.openxmlformats.org/officeDocument/2006/relationships/chartsheet" Target="chartsheets/sheet8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20" Type="http://schemas.openxmlformats.org/officeDocument/2006/relationships/chartsheet" Target="chartsheets/sheet11.xml"/><Relationship Id="rId41" Type="http://schemas.openxmlformats.org/officeDocument/2006/relationships/externalLink" Target="externalLinks/externalLink20.xml"/><Relationship Id="rId54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5" Type="http://schemas.openxmlformats.org/officeDocument/2006/relationships/chartsheet" Target="chartsheets/sheet6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calcChain" Target="calcChain.xml"/><Relationship Id="rId10" Type="http://schemas.openxmlformats.org/officeDocument/2006/relationships/worksheet" Target="worksheets/sheet5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8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70016459806939E-2"/>
          <c:y val="0.14725688325786473"/>
          <c:w val="0.84011269777718478"/>
          <c:h val="0.7282813846382409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Data'!$I$2</c:f>
              <c:strCache>
                <c:ptCount val="1"/>
                <c:pt idx="0">
                  <c:v>Unleaded pump price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Data'!$H$211:$H$276</c:f>
              <c:numCache>
                <c:formatCode>m/d/yyyy</c:formatCode>
                <c:ptCount val="66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</c:numCache>
            </c:numRef>
          </c:cat>
          <c:val>
            <c:numRef>
              <c:f>'Chart Data'!$I$211:$I$276</c:f>
              <c:numCache>
                <c:formatCode>0.00</c:formatCode>
                <c:ptCount val="66"/>
                <c:pt idx="0">
                  <c:v>140.78</c:v>
                </c:pt>
                <c:pt idx="1">
                  <c:v>139.72</c:v>
                </c:pt>
                <c:pt idx="2">
                  <c:v>139.49</c:v>
                </c:pt>
                <c:pt idx="3">
                  <c:v>139.38999999999999</c:v>
                </c:pt>
                <c:pt idx="4">
                  <c:v>139.91</c:v>
                </c:pt>
                <c:pt idx="5">
                  <c:v>140.55000000000001</c:v>
                </c:pt>
                <c:pt idx="6">
                  <c:v>141.28</c:v>
                </c:pt>
                <c:pt idx="7">
                  <c:v>142.86000000000001</c:v>
                </c:pt>
                <c:pt idx="8">
                  <c:v>143.96</c:v>
                </c:pt>
                <c:pt idx="9">
                  <c:v>144.72999999999999</c:v>
                </c:pt>
                <c:pt idx="10">
                  <c:v>144.69999999999999</c:v>
                </c:pt>
                <c:pt idx="11">
                  <c:v>144.72999999999999</c:v>
                </c:pt>
                <c:pt idx="12">
                  <c:v>145.06</c:v>
                </c:pt>
                <c:pt idx="13">
                  <c:v>146.25</c:v>
                </c:pt>
                <c:pt idx="14">
                  <c:v>146.91</c:v>
                </c:pt>
                <c:pt idx="15">
                  <c:v>148.49</c:v>
                </c:pt>
                <c:pt idx="16">
                  <c:v>149.21</c:v>
                </c:pt>
                <c:pt idx="17">
                  <c:v>149.49</c:v>
                </c:pt>
                <c:pt idx="18">
                  <c:v>149.54</c:v>
                </c:pt>
                <c:pt idx="19">
                  <c:v>149.22999999999999</c:v>
                </c:pt>
                <c:pt idx="20">
                  <c:v>148.83000000000001</c:v>
                </c:pt>
                <c:pt idx="21">
                  <c:v>147.65</c:v>
                </c:pt>
                <c:pt idx="22">
                  <c:v>147.27000000000001</c:v>
                </c:pt>
                <c:pt idx="23">
                  <c:v>146.25</c:v>
                </c:pt>
                <c:pt idx="24">
                  <c:v>145.09</c:v>
                </c:pt>
                <c:pt idx="25">
                  <c:v>144.43</c:v>
                </c:pt>
                <c:pt idx="26">
                  <c:v>144.28</c:v>
                </c:pt>
                <c:pt idx="27">
                  <c:v>144.44999999999999</c:v>
                </c:pt>
                <c:pt idx="28">
                  <c:v>144.6</c:v>
                </c:pt>
                <c:pt idx="29">
                  <c:v>144.69</c:v>
                </c:pt>
                <c:pt idx="30">
                  <c:v>144.19</c:v>
                </c:pt>
                <c:pt idx="31">
                  <c:v>143.41999999999999</c:v>
                </c:pt>
                <c:pt idx="32">
                  <c:v>142.91</c:v>
                </c:pt>
                <c:pt idx="33">
                  <c:v>141.96</c:v>
                </c:pt>
                <c:pt idx="34">
                  <c:v>141.01</c:v>
                </c:pt>
                <c:pt idx="35">
                  <c:v>139.96</c:v>
                </c:pt>
                <c:pt idx="36">
                  <c:v>138.1</c:v>
                </c:pt>
                <c:pt idx="37">
                  <c:v>136.49</c:v>
                </c:pt>
                <c:pt idx="38">
                  <c:v>135.26</c:v>
                </c:pt>
                <c:pt idx="39">
                  <c:v>134.16999999999999</c:v>
                </c:pt>
                <c:pt idx="40">
                  <c:v>133.59</c:v>
                </c:pt>
                <c:pt idx="41">
                  <c:v>133.86000000000001</c:v>
                </c:pt>
                <c:pt idx="42">
                  <c:v>133.99</c:v>
                </c:pt>
                <c:pt idx="43">
                  <c:v>134.41</c:v>
                </c:pt>
                <c:pt idx="44">
                  <c:v>134.41</c:v>
                </c:pt>
                <c:pt idx="45">
                  <c:v>134.59</c:v>
                </c:pt>
                <c:pt idx="46">
                  <c:v>134.85</c:v>
                </c:pt>
                <c:pt idx="47">
                  <c:v>135.37</c:v>
                </c:pt>
                <c:pt idx="48">
                  <c:v>135.93</c:v>
                </c:pt>
                <c:pt idx="49">
                  <c:v>136.22999999999999</c:v>
                </c:pt>
                <c:pt idx="50">
                  <c:v>136.38999999999999</c:v>
                </c:pt>
                <c:pt idx="51">
                  <c:v>136.38999999999999</c:v>
                </c:pt>
                <c:pt idx="52">
                  <c:v>136.49</c:v>
                </c:pt>
                <c:pt idx="53">
                  <c:v>136.6</c:v>
                </c:pt>
                <c:pt idx="54">
                  <c:v>136.51</c:v>
                </c:pt>
                <c:pt idx="55">
                  <c:v>136.97</c:v>
                </c:pt>
                <c:pt idx="56">
                  <c:v>138.36000000000001</c:v>
                </c:pt>
                <c:pt idx="57">
                  <c:v>138.74</c:v>
                </c:pt>
                <c:pt idx="58">
                  <c:v>139.02000000000001</c:v>
                </c:pt>
                <c:pt idx="59">
                  <c:v>139.22</c:v>
                </c:pt>
                <c:pt idx="60">
                  <c:v>139.62</c:v>
                </c:pt>
                <c:pt idx="61">
                  <c:v>139.61000000000001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F-461F-8C16-37095EE68308}"/>
            </c:ext>
          </c:extLst>
        </c:ser>
        <c:ser>
          <c:idx val="1"/>
          <c:order val="1"/>
          <c:tx>
            <c:strRef>
              <c:f>'Chart Data'!$J$2</c:f>
              <c:strCache>
                <c:ptCount val="1"/>
                <c:pt idx="0">
                  <c:v>Diesel pump price (LHS)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Data'!$H$211:$H$276</c:f>
              <c:numCache>
                <c:formatCode>m/d/yyyy</c:formatCode>
                <c:ptCount val="66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</c:numCache>
            </c:numRef>
          </c:cat>
          <c:val>
            <c:numRef>
              <c:f>'Chart Data'!$J$211:$J$276</c:f>
              <c:numCache>
                <c:formatCode>0.00</c:formatCode>
                <c:ptCount val="66"/>
                <c:pt idx="0">
                  <c:v>148.66</c:v>
                </c:pt>
                <c:pt idx="1">
                  <c:v>148.21</c:v>
                </c:pt>
                <c:pt idx="2">
                  <c:v>147.93</c:v>
                </c:pt>
                <c:pt idx="3">
                  <c:v>147.96</c:v>
                </c:pt>
                <c:pt idx="4">
                  <c:v>148.56</c:v>
                </c:pt>
                <c:pt idx="5">
                  <c:v>149.35</c:v>
                </c:pt>
                <c:pt idx="6">
                  <c:v>150.28</c:v>
                </c:pt>
                <c:pt idx="7">
                  <c:v>152.08000000000001</c:v>
                </c:pt>
                <c:pt idx="8">
                  <c:v>153.29</c:v>
                </c:pt>
                <c:pt idx="9">
                  <c:v>154.53</c:v>
                </c:pt>
                <c:pt idx="10">
                  <c:v>154.29</c:v>
                </c:pt>
                <c:pt idx="11">
                  <c:v>153.81</c:v>
                </c:pt>
                <c:pt idx="12">
                  <c:v>153.9</c:v>
                </c:pt>
                <c:pt idx="13">
                  <c:v>156</c:v>
                </c:pt>
                <c:pt idx="14">
                  <c:v>156.29</c:v>
                </c:pt>
                <c:pt idx="15">
                  <c:v>157.46</c:v>
                </c:pt>
                <c:pt idx="16">
                  <c:v>157.97999999999999</c:v>
                </c:pt>
                <c:pt idx="17">
                  <c:v>157.97999999999999</c:v>
                </c:pt>
                <c:pt idx="18">
                  <c:v>157.63999999999999</c:v>
                </c:pt>
                <c:pt idx="19">
                  <c:v>157.08000000000001</c:v>
                </c:pt>
                <c:pt idx="20">
                  <c:v>156.21</c:v>
                </c:pt>
                <c:pt idx="21">
                  <c:v>154.30000000000001</c:v>
                </c:pt>
                <c:pt idx="22">
                  <c:v>153.26</c:v>
                </c:pt>
                <c:pt idx="23">
                  <c:v>151.99</c:v>
                </c:pt>
                <c:pt idx="24">
                  <c:v>150.69999999999999</c:v>
                </c:pt>
                <c:pt idx="25">
                  <c:v>150.12</c:v>
                </c:pt>
                <c:pt idx="26">
                  <c:v>150.06</c:v>
                </c:pt>
                <c:pt idx="27">
                  <c:v>150.38999999999999</c:v>
                </c:pt>
                <c:pt idx="28">
                  <c:v>150.56</c:v>
                </c:pt>
                <c:pt idx="29">
                  <c:v>150.59</c:v>
                </c:pt>
                <c:pt idx="30">
                  <c:v>150.16</c:v>
                </c:pt>
                <c:pt idx="31">
                  <c:v>149.1</c:v>
                </c:pt>
                <c:pt idx="32">
                  <c:v>148.47999999999999</c:v>
                </c:pt>
                <c:pt idx="33">
                  <c:v>147.41999999999999</c:v>
                </c:pt>
                <c:pt idx="34">
                  <c:v>146.15</c:v>
                </c:pt>
                <c:pt idx="35">
                  <c:v>145.19</c:v>
                </c:pt>
                <c:pt idx="36">
                  <c:v>143.4</c:v>
                </c:pt>
                <c:pt idx="37">
                  <c:v>141.61000000000001</c:v>
                </c:pt>
                <c:pt idx="38">
                  <c:v>140.02000000000001</c:v>
                </c:pt>
                <c:pt idx="39">
                  <c:v>138.85</c:v>
                </c:pt>
                <c:pt idx="40">
                  <c:v>138.46</c:v>
                </c:pt>
                <c:pt idx="41">
                  <c:v>139.08000000000001</c:v>
                </c:pt>
                <c:pt idx="42">
                  <c:v>139.26</c:v>
                </c:pt>
                <c:pt idx="43">
                  <c:v>139.71</c:v>
                </c:pt>
                <c:pt idx="44">
                  <c:v>139.84</c:v>
                </c:pt>
                <c:pt idx="45">
                  <c:v>140.13</c:v>
                </c:pt>
                <c:pt idx="46">
                  <c:v>140.49</c:v>
                </c:pt>
                <c:pt idx="47">
                  <c:v>141.4</c:v>
                </c:pt>
                <c:pt idx="48">
                  <c:v>142.04</c:v>
                </c:pt>
                <c:pt idx="49">
                  <c:v>142.49</c:v>
                </c:pt>
                <c:pt idx="50">
                  <c:v>142.71</c:v>
                </c:pt>
                <c:pt idx="51">
                  <c:v>142.85</c:v>
                </c:pt>
                <c:pt idx="52">
                  <c:v>142.97999999999999</c:v>
                </c:pt>
                <c:pt idx="53">
                  <c:v>143.30000000000001</c:v>
                </c:pt>
                <c:pt idx="54">
                  <c:v>143.33000000000001</c:v>
                </c:pt>
                <c:pt idx="55">
                  <c:v>144.27000000000001</c:v>
                </c:pt>
                <c:pt idx="56">
                  <c:v>145.57</c:v>
                </c:pt>
                <c:pt idx="57">
                  <c:v>146.13</c:v>
                </c:pt>
                <c:pt idx="58">
                  <c:v>146.29</c:v>
                </c:pt>
                <c:pt idx="59">
                  <c:v>146.44999999999999</c:v>
                </c:pt>
                <c:pt idx="60">
                  <c:v>146.82</c:v>
                </c:pt>
                <c:pt idx="61">
                  <c:v>146.88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F-461F-8C16-37095EE68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2"/>
          <c:order val="2"/>
          <c:tx>
            <c:strRef>
              <c:f>'Chart Data'!$M$2</c:f>
              <c:strCache>
                <c:ptCount val="1"/>
                <c:pt idx="0">
                  <c:v>Brent crude oil price (RHS)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Data'!$L$1046:$L$1371</c:f>
              <c:numCache>
                <c:formatCode>m/d/yyyy</c:formatCode>
                <c:ptCount val="326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45313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45317</c:v>
                </c:pt>
                <c:pt idx="20">
                  <c:v>45320</c:v>
                </c:pt>
                <c:pt idx="21">
                  <c:v>45321</c:v>
                </c:pt>
                <c:pt idx="22">
                  <c:v>45322</c:v>
                </c:pt>
                <c:pt idx="23">
                  <c:v>45323</c:v>
                </c:pt>
                <c:pt idx="24">
                  <c:v>45324</c:v>
                </c:pt>
                <c:pt idx="25">
                  <c:v>45327</c:v>
                </c:pt>
                <c:pt idx="26">
                  <c:v>45328</c:v>
                </c:pt>
                <c:pt idx="27">
                  <c:v>45329</c:v>
                </c:pt>
                <c:pt idx="28">
                  <c:v>45330</c:v>
                </c:pt>
                <c:pt idx="29">
                  <c:v>45331</c:v>
                </c:pt>
                <c:pt idx="30">
                  <c:v>45334</c:v>
                </c:pt>
                <c:pt idx="31">
                  <c:v>45335</c:v>
                </c:pt>
                <c:pt idx="32">
                  <c:v>45336</c:v>
                </c:pt>
                <c:pt idx="33">
                  <c:v>45337</c:v>
                </c:pt>
                <c:pt idx="34">
                  <c:v>45338</c:v>
                </c:pt>
                <c:pt idx="35">
                  <c:v>45341</c:v>
                </c:pt>
                <c:pt idx="36">
                  <c:v>45342</c:v>
                </c:pt>
                <c:pt idx="37">
                  <c:v>45343</c:v>
                </c:pt>
                <c:pt idx="38">
                  <c:v>45344</c:v>
                </c:pt>
                <c:pt idx="39">
                  <c:v>45345</c:v>
                </c:pt>
                <c:pt idx="40">
                  <c:v>45348</c:v>
                </c:pt>
                <c:pt idx="41">
                  <c:v>45349</c:v>
                </c:pt>
                <c:pt idx="42">
                  <c:v>45350</c:v>
                </c:pt>
                <c:pt idx="43">
                  <c:v>45351</c:v>
                </c:pt>
                <c:pt idx="44">
                  <c:v>45352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  <c:pt idx="50">
                  <c:v>45362</c:v>
                </c:pt>
                <c:pt idx="51">
                  <c:v>45363</c:v>
                </c:pt>
                <c:pt idx="52">
                  <c:v>45364</c:v>
                </c:pt>
                <c:pt idx="53">
                  <c:v>45365</c:v>
                </c:pt>
                <c:pt idx="54">
                  <c:v>45366</c:v>
                </c:pt>
                <c:pt idx="55">
                  <c:v>45369</c:v>
                </c:pt>
                <c:pt idx="56">
                  <c:v>45370</c:v>
                </c:pt>
                <c:pt idx="57">
                  <c:v>45371</c:v>
                </c:pt>
                <c:pt idx="58">
                  <c:v>45372</c:v>
                </c:pt>
                <c:pt idx="59">
                  <c:v>45373</c:v>
                </c:pt>
                <c:pt idx="60">
                  <c:v>45376</c:v>
                </c:pt>
                <c:pt idx="61">
                  <c:v>45377</c:v>
                </c:pt>
                <c:pt idx="62">
                  <c:v>45378</c:v>
                </c:pt>
                <c:pt idx="63">
                  <c:v>45379</c:v>
                </c:pt>
                <c:pt idx="64">
                  <c:v>45380</c:v>
                </c:pt>
                <c:pt idx="65">
                  <c:v>45383</c:v>
                </c:pt>
                <c:pt idx="66">
                  <c:v>45384</c:v>
                </c:pt>
                <c:pt idx="67">
                  <c:v>45385</c:v>
                </c:pt>
                <c:pt idx="68">
                  <c:v>45386</c:v>
                </c:pt>
                <c:pt idx="69">
                  <c:v>45387</c:v>
                </c:pt>
                <c:pt idx="70">
                  <c:v>45390</c:v>
                </c:pt>
                <c:pt idx="71">
                  <c:v>45391</c:v>
                </c:pt>
                <c:pt idx="72">
                  <c:v>45392</c:v>
                </c:pt>
                <c:pt idx="73">
                  <c:v>45393</c:v>
                </c:pt>
                <c:pt idx="74">
                  <c:v>45394</c:v>
                </c:pt>
                <c:pt idx="75">
                  <c:v>45397</c:v>
                </c:pt>
                <c:pt idx="76">
                  <c:v>45398</c:v>
                </c:pt>
                <c:pt idx="77">
                  <c:v>45399</c:v>
                </c:pt>
                <c:pt idx="78">
                  <c:v>45400</c:v>
                </c:pt>
                <c:pt idx="79">
                  <c:v>45401</c:v>
                </c:pt>
                <c:pt idx="80">
                  <c:v>45404</c:v>
                </c:pt>
                <c:pt idx="81">
                  <c:v>45405</c:v>
                </c:pt>
                <c:pt idx="82">
                  <c:v>45406</c:v>
                </c:pt>
                <c:pt idx="83">
                  <c:v>45407</c:v>
                </c:pt>
                <c:pt idx="84">
                  <c:v>45408</c:v>
                </c:pt>
                <c:pt idx="85">
                  <c:v>45411</c:v>
                </c:pt>
                <c:pt idx="86">
                  <c:v>45412</c:v>
                </c:pt>
                <c:pt idx="87">
                  <c:v>45413</c:v>
                </c:pt>
                <c:pt idx="88">
                  <c:v>45414</c:v>
                </c:pt>
                <c:pt idx="89">
                  <c:v>45415</c:v>
                </c:pt>
                <c:pt idx="90">
                  <c:v>45418</c:v>
                </c:pt>
                <c:pt idx="91">
                  <c:v>45419</c:v>
                </c:pt>
                <c:pt idx="92">
                  <c:v>45420</c:v>
                </c:pt>
                <c:pt idx="93">
                  <c:v>45421</c:v>
                </c:pt>
                <c:pt idx="94">
                  <c:v>45422</c:v>
                </c:pt>
                <c:pt idx="95">
                  <c:v>45425</c:v>
                </c:pt>
                <c:pt idx="96">
                  <c:v>45426</c:v>
                </c:pt>
                <c:pt idx="97">
                  <c:v>45427</c:v>
                </c:pt>
                <c:pt idx="98">
                  <c:v>45428</c:v>
                </c:pt>
                <c:pt idx="99">
                  <c:v>45429</c:v>
                </c:pt>
                <c:pt idx="100">
                  <c:v>45432</c:v>
                </c:pt>
                <c:pt idx="101">
                  <c:v>45433</c:v>
                </c:pt>
                <c:pt idx="102">
                  <c:v>45434</c:v>
                </c:pt>
                <c:pt idx="103">
                  <c:v>45435</c:v>
                </c:pt>
                <c:pt idx="104">
                  <c:v>45436</c:v>
                </c:pt>
                <c:pt idx="105">
                  <c:v>45439</c:v>
                </c:pt>
                <c:pt idx="106">
                  <c:v>45440</c:v>
                </c:pt>
                <c:pt idx="107">
                  <c:v>45441</c:v>
                </c:pt>
                <c:pt idx="108">
                  <c:v>45442</c:v>
                </c:pt>
                <c:pt idx="109">
                  <c:v>45443</c:v>
                </c:pt>
                <c:pt idx="110">
                  <c:v>45446</c:v>
                </c:pt>
                <c:pt idx="111">
                  <c:v>45447</c:v>
                </c:pt>
                <c:pt idx="112">
                  <c:v>45448</c:v>
                </c:pt>
                <c:pt idx="113">
                  <c:v>45449</c:v>
                </c:pt>
                <c:pt idx="114">
                  <c:v>45450</c:v>
                </c:pt>
                <c:pt idx="115">
                  <c:v>45453</c:v>
                </c:pt>
                <c:pt idx="116">
                  <c:v>45454</c:v>
                </c:pt>
                <c:pt idx="117">
                  <c:v>45455</c:v>
                </c:pt>
                <c:pt idx="118">
                  <c:v>45456</c:v>
                </c:pt>
                <c:pt idx="119">
                  <c:v>45457</c:v>
                </c:pt>
                <c:pt idx="120">
                  <c:v>45460</c:v>
                </c:pt>
                <c:pt idx="121">
                  <c:v>45461</c:v>
                </c:pt>
                <c:pt idx="122">
                  <c:v>45462</c:v>
                </c:pt>
                <c:pt idx="123">
                  <c:v>45463</c:v>
                </c:pt>
                <c:pt idx="124">
                  <c:v>45464</c:v>
                </c:pt>
                <c:pt idx="125">
                  <c:v>45467</c:v>
                </c:pt>
                <c:pt idx="126">
                  <c:v>45468</c:v>
                </c:pt>
                <c:pt idx="127">
                  <c:v>45469</c:v>
                </c:pt>
                <c:pt idx="128">
                  <c:v>45470</c:v>
                </c:pt>
                <c:pt idx="129">
                  <c:v>45471</c:v>
                </c:pt>
                <c:pt idx="130">
                  <c:v>45474</c:v>
                </c:pt>
                <c:pt idx="131">
                  <c:v>45475</c:v>
                </c:pt>
                <c:pt idx="132">
                  <c:v>45476</c:v>
                </c:pt>
                <c:pt idx="133">
                  <c:v>45477</c:v>
                </c:pt>
                <c:pt idx="134">
                  <c:v>45478</c:v>
                </c:pt>
                <c:pt idx="135">
                  <c:v>45481</c:v>
                </c:pt>
                <c:pt idx="136">
                  <c:v>45482</c:v>
                </c:pt>
                <c:pt idx="137">
                  <c:v>45483</c:v>
                </c:pt>
                <c:pt idx="138">
                  <c:v>45484</c:v>
                </c:pt>
                <c:pt idx="139">
                  <c:v>45485</c:v>
                </c:pt>
                <c:pt idx="140">
                  <c:v>45488</c:v>
                </c:pt>
                <c:pt idx="141">
                  <c:v>45489</c:v>
                </c:pt>
                <c:pt idx="142">
                  <c:v>45490</c:v>
                </c:pt>
                <c:pt idx="143">
                  <c:v>45491</c:v>
                </c:pt>
                <c:pt idx="144">
                  <c:v>45492</c:v>
                </c:pt>
                <c:pt idx="145">
                  <c:v>45495</c:v>
                </c:pt>
                <c:pt idx="146">
                  <c:v>45496</c:v>
                </c:pt>
                <c:pt idx="147">
                  <c:v>45497</c:v>
                </c:pt>
                <c:pt idx="148">
                  <c:v>45498</c:v>
                </c:pt>
                <c:pt idx="149">
                  <c:v>45499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45509</c:v>
                </c:pt>
                <c:pt idx="156">
                  <c:v>45510</c:v>
                </c:pt>
                <c:pt idx="157">
                  <c:v>45511</c:v>
                </c:pt>
                <c:pt idx="158">
                  <c:v>45512</c:v>
                </c:pt>
                <c:pt idx="159">
                  <c:v>45513</c:v>
                </c:pt>
                <c:pt idx="160">
                  <c:v>45516</c:v>
                </c:pt>
                <c:pt idx="161">
                  <c:v>45517</c:v>
                </c:pt>
                <c:pt idx="162">
                  <c:v>45518</c:v>
                </c:pt>
                <c:pt idx="163">
                  <c:v>45519</c:v>
                </c:pt>
                <c:pt idx="164">
                  <c:v>45520</c:v>
                </c:pt>
                <c:pt idx="165">
                  <c:v>45523</c:v>
                </c:pt>
                <c:pt idx="166">
                  <c:v>45524</c:v>
                </c:pt>
                <c:pt idx="167">
                  <c:v>45525</c:v>
                </c:pt>
                <c:pt idx="168">
                  <c:v>45526</c:v>
                </c:pt>
                <c:pt idx="169">
                  <c:v>45527</c:v>
                </c:pt>
                <c:pt idx="170">
                  <c:v>45530</c:v>
                </c:pt>
                <c:pt idx="171">
                  <c:v>45531</c:v>
                </c:pt>
                <c:pt idx="172">
                  <c:v>45532</c:v>
                </c:pt>
                <c:pt idx="173">
                  <c:v>45533</c:v>
                </c:pt>
                <c:pt idx="174">
                  <c:v>45534</c:v>
                </c:pt>
                <c:pt idx="175">
                  <c:v>45537</c:v>
                </c:pt>
                <c:pt idx="176">
                  <c:v>45538</c:v>
                </c:pt>
                <c:pt idx="177">
                  <c:v>45539</c:v>
                </c:pt>
                <c:pt idx="178">
                  <c:v>45540</c:v>
                </c:pt>
                <c:pt idx="179">
                  <c:v>45541</c:v>
                </c:pt>
                <c:pt idx="180">
                  <c:v>45544</c:v>
                </c:pt>
                <c:pt idx="181">
                  <c:v>45545</c:v>
                </c:pt>
                <c:pt idx="182">
                  <c:v>45546</c:v>
                </c:pt>
                <c:pt idx="183">
                  <c:v>45547</c:v>
                </c:pt>
                <c:pt idx="184">
                  <c:v>45548</c:v>
                </c:pt>
                <c:pt idx="185">
                  <c:v>45551</c:v>
                </c:pt>
                <c:pt idx="186">
                  <c:v>45552</c:v>
                </c:pt>
                <c:pt idx="187">
                  <c:v>45553</c:v>
                </c:pt>
                <c:pt idx="188">
                  <c:v>45554</c:v>
                </c:pt>
                <c:pt idx="189">
                  <c:v>45555</c:v>
                </c:pt>
                <c:pt idx="190">
                  <c:v>45558</c:v>
                </c:pt>
                <c:pt idx="191">
                  <c:v>45559</c:v>
                </c:pt>
                <c:pt idx="192">
                  <c:v>45560</c:v>
                </c:pt>
                <c:pt idx="193">
                  <c:v>45561</c:v>
                </c:pt>
                <c:pt idx="194">
                  <c:v>45562</c:v>
                </c:pt>
                <c:pt idx="195">
                  <c:v>45565</c:v>
                </c:pt>
                <c:pt idx="196">
                  <c:v>45566</c:v>
                </c:pt>
                <c:pt idx="197">
                  <c:v>45567</c:v>
                </c:pt>
                <c:pt idx="198">
                  <c:v>45568</c:v>
                </c:pt>
                <c:pt idx="199">
                  <c:v>45569</c:v>
                </c:pt>
                <c:pt idx="200">
                  <c:v>45572</c:v>
                </c:pt>
                <c:pt idx="201">
                  <c:v>45573</c:v>
                </c:pt>
                <c:pt idx="202">
                  <c:v>45574</c:v>
                </c:pt>
                <c:pt idx="203">
                  <c:v>45575</c:v>
                </c:pt>
                <c:pt idx="204">
                  <c:v>45576</c:v>
                </c:pt>
                <c:pt idx="205">
                  <c:v>45579</c:v>
                </c:pt>
                <c:pt idx="206">
                  <c:v>45580</c:v>
                </c:pt>
                <c:pt idx="207">
                  <c:v>45581</c:v>
                </c:pt>
                <c:pt idx="208">
                  <c:v>45582</c:v>
                </c:pt>
                <c:pt idx="209">
                  <c:v>45583</c:v>
                </c:pt>
                <c:pt idx="210">
                  <c:v>45586</c:v>
                </c:pt>
                <c:pt idx="211">
                  <c:v>45587</c:v>
                </c:pt>
                <c:pt idx="212">
                  <c:v>45588</c:v>
                </c:pt>
                <c:pt idx="213">
                  <c:v>45589</c:v>
                </c:pt>
                <c:pt idx="214">
                  <c:v>45590</c:v>
                </c:pt>
                <c:pt idx="215">
                  <c:v>45593</c:v>
                </c:pt>
                <c:pt idx="216">
                  <c:v>45594</c:v>
                </c:pt>
                <c:pt idx="217">
                  <c:v>45595</c:v>
                </c:pt>
                <c:pt idx="218">
                  <c:v>45596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45658</c:v>
                </c:pt>
                <c:pt idx="263">
                  <c:v>45659</c:v>
                </c:pt>
                <c:pt idx="264">
                  <c:v>45660</c:v>
                </c:pt>
                <c:pt idx="265">
                  <c:v>45663</c:v>
                </c:pt>
                <c:pt idx="266">
                  <c:v>45664</c:v>
                </c:pt>
                <c:pt idx="267">
                  <c:v>45665</c:v>
                </c:pt>
                <c:pt idx="268">
                  <c:v>45666</c:v>
                </c:pt>
                <c:pt idx="269">
                  <c:v>45667</c:v>
                </c:pt>
                <c:pt idx="270">
                  <c:v>45670</c:v>
                </c:pt>
                <c:pt idx="271">
                  <c:v>45671</c:v>
                </c:pt>
                <c:pt idx="272">
                  <c:v>45672</c:v>
                </c:pt>
                <c:pt idx="273">
                  <c:v>45673</c:v>
                </c:pt>
                <c:pt idx="274">
                  <c:v>45674</c:v>
                </c:pt>
                <c:pt idx="275">
                  <c:v>45677</c:v>
                </c:pt>
                <c:pt idx="276">
                  <c:v>45678</c:v>
                </c:pt>
                <c:pt idx="277">
                  <c:v>45679</c:v>
                </c:pt>
                <c:pt idx="278">
                  <c:v>45680</c:v>
                </c:pt>
                <c:pt idx="279">
                  <c:v>45681</c:v>
                </c:pt>
                <c:pt idx="280">
                  <c:v>45684</c:v>
                </c:pt>
                <c:pt idx="281">
                  <c:v>45685</c:v>
                </c:pt>
                <c:pt idx="282">
                  <c:v>45686</c:v>
                </c:pt>
                <c:pt idx="283">
                  <c:v>45687</c:v>
                </c:pt>
                <c:pt idx="284">
                  <c:v>45688</c:v>
                </c:pt>
                <c:pt idx="285">
                  <c:v>45691</c:v>
                </c:pt>
                <c:pt idx="286">
                  <c:v>45692</c:v>
                </c:pt>
                <c:pt idx="287">
                  <c:v>45693</c:v>
                </c:pt>
                <c:pt idx="288">
                  <c:v>45694</c:v>
                </c:pt>
                <c:pt idx="289">
                  <c:v>45695</c:v>
                </c:pt>
                <c:pt idx="290">
                  <c:v>45698</c:v>
                </c:pt>
                <c:pt idx="291">
                  <c:v>45699</c:v>
                </c:pt>
                <c:pt idx="292">
                  <c:v>45700</c:v>
                </c:pt>
                <c:pt idx="293">
                  <c:v>45701</c:v>
                </c:pt>
                <c:pt idx="294">
                  <c:v>45702</c:v>
                </c:pt>
                <c:pt idx="295">
                  <c:v>45705</c:v>
                </c:pt>
                <c:pt idx="296">
                  <c:v>45706</c:v>
                </c:pt>
                <c:pt idx="297">
                  <c:v>45707</c:v>
                </c:pt>
                <c:pt idx="298">
                  <c:v>45708</c:v>
                </c:pt>
                <c:pt idx="299">
                  <c:v>45709</c:v>
                </c:pt>
                <c:pt idx="300">
                  <c:v>45712</c:v>
                </c:pt>
                <c:pt idx="301">
                  <c:v>45713</c:v>
                </c:pt>
                <c:pt idx="302">
                  <c:v>45714</c:v>
                </c:pt>
                <c:pt idx="303">
                  <c:v>45715</c:v>
                </c:pt>
                <c:pt idx="304">
                  <c:v>45716</c:v>
                </c:pt>
                <c:pt idx="305">
                  <c:v>45719</c:v>
                </c:pt>
                <c:pt idx="306">
                  <c:v>45720</c:v>
                </c:pt>
                <c:pt idx="307">
                  <c:v>45721</c:v>
                </c:pt>
                <c:pt idx="308">
                  <c:v>45722</c:v>
                </c:pt>
                <c:pt idx="309">
                  <c:v>45723</c:v>
                </c:pt>
                <c:pt idx="310">
                  <c:v>45726</c:v>
                </c:pt>
                <c:pt idx="311">
                  <c:v>45727</c:v>
                </c:pt>
                <c:pt idx="312">
                  <c:v>45728</c:v>
                </c:pt>
                <c:pt idx="313">
                  <c:v>45729</c:v>
                </c:pt>
                <c:pt idx="314">
                  <c:v>45730</c:v>
                </c:pt>
                <c:pt idx="315">
                  <c:v>45733</c:v>
                </c:pt>
                <c:pt idx="316">
                  <c:v>45734</c:v>
                </c:pt>
                <c:pt idx="317">
                  <c:v>45735</c:v>
                </c:pt>
                <c:pt idx="318">
                  <c:v>45736</c:v>
                </c:pt>
                <c:pt idx="319">
                  <c:v>45737</c:v>
                </c:pt>
                <c:pt idx="320">
                  <c:v>45740</c:v>
                </c:pt>
                <c:pt idx="321">
                  <c:v>45741</c:v>
                </c:pt>
                <c:pt idx="322">
                  <c:v>45742</c:v>
                </c:pt>
                <c:pt idx="323">
                  <c:v>45743</c:v>
                </c:pt>
                <c:pt idx="324">
                  <c:v>45744</c:v>
                </c:pt>
                <c:pt idx="325">
                  <c:v>45747</c:v>
                </c:pt>
              </c:numCache>
            </c:numRef>
          </c:cat>
          <c:val>
            <c:numRef>
              <c:f>'Chart Data'!$M$1046:$M$1371</c:f>
              <c:numCache>
                <c:formatCode>0.00</c:formatCode>
                <c:ptCount val="326"/>
                <c:pt idx="0">
                  <c:v>#N/A</c:v>
                </c:pt>
                <c:pt idx="1">
                  <c:v>60.388118811881185</c:v>
                </c:pt>
                <c:pt idx="2">
                  <c:v>61.118150142540394</c:v>
                </c:pt>
                <c:pt idx="3">
                  <c:v>59.681864713756994</c:v>
                </c:pt>
                <c:pt idx="4">
                  <c:v>61.409974905897123</c:v>
                </c:pt>
                <c:pt idx="5">
                  <c:v>59.192156862745101</c:v>
                </c:pt>
                <c:pt idx="6">
                  <c:v>61.374370277078086</c:v>
                </c:pt>
                <c:pt idx="7">
                  <c:v>61.60489949748743</c:v>
                </c:pt>
                <c:pt idx="8">
                  <c:v>63.087934560327191</c:v>
                </c:pt>
                <c:pt idx="9">
                  <c:v>62.604811535146148</c:v>
                </c:pt>
                <c:pt idx="10">
                  <c:v>62.650223863011554</c:v>
                </c:pt>
                <c:pt idx="11">
                  <c:v>63.28464271614687</c:v>
                </c:pt>
                <c:pt idx="12">
                  <c:v>62.316321693790485</c:v>
                </c:pt>
                <c:pt idx="13">
                  <c:v>63.952020202020201</c:v>
                </c:pt>
                <c:pt idx="14">
                  <c:v>63.651419558359613</c:v>
                </c:pt>
                <c:pt idx="15">
                  <c:v>64.22451065167833</c:v>
                </c:pt>
                <c:pt idx="16">
                  <c:v>64.771830096320869</c:v>
                </c:pt>
                <c:pt idx="17">
                  <c:v>64.416215792362578</c:v>
                </c:pt>
                <c:pt idx="18">
                  <c:v>64.826771653543304</c:v>
                </c:pt>
                <c:pt idx="19">
                  <c:v>65.503419004951667</c:v>
                </c:pt>
                <c:pt idx="20">
                  <c:v>66.248619656097176</c:v>
                </c:pt>
                <c:pt idx="21">
                  <c:v>66.42981209537345</c:v>
                </c:pt>
                <c:pt idx="22">
                  <c:v>65.16924526820074</c:v>
                </c:pt>
                <c:pt idx="23">
                  <c:v>64.816275035483372</c:v>
                </c:pt>
                <c:pt idx="24">
                  <c:v>62.842695741486928</c:v>
                </c:pt>
                <c:pt idx="25">
                  <c:v>63.333599552751373</c:v>
                </c:pt>
                <c:pt idx="26">
                  <c:v>63.973920648803364</c:v>
                </c:pt>
                <c:pt idx="27">
                  <c:v>64.265357821405956</c:v>
                </c:pt>
                <c:pt idx="28">
                  <c:v>65.854819516065064</c:v>
                </c:pt>
                <c:pt idx="29">
                  <c:v>66.165294490183655</c:v>
                </c:pt>
                <c:pt idx="30">
                  <c:v>66.49227110582639</c:v>
                </c:pt>
                <c:pt idx="31">
                  <c:v>67.23275930481708</c:v>
                </c:pt>
                <c:pt idx="32">
                  <c:v>67.264323850506017</c:v>
                </c:pt>
                <c:pt idx="33">
                  <c:v>67.008343265792618</c:v>
                </c:pt>
                <c:pt idx="34">
                  <c:v>67.450731087094724</c:v>
                </c:pt>
                <c:pt idx="35">
                  <c:v>67.94311591324383</c:v>
                </c:pt>
                <c:pt idx="36">
                  <c:v>66.956247038382557</c:v>
                </c:pt>
                <c:pt idx="37">
                  <c:v>67.21376466856961</c:v>
                </c:pt>
                <c:pt idx="38">
                  <c:v>68.013628080183821</c:v>
                </c:pt>
                <c:pt idx="39">
                  <c:v>66.403723278378166</c:v>
                </c:pt>
                <c:pt idx="40">
                  <c:v>66.233049511195219</c:v>
                </c:pt>
                <c:pt idx="41">
                  <c:v>66.072695734447692</c:v>
                </c:pt>
                <c:pt idx="42">
                  <c:v>66.450644116019916</c:v>
                </c:pt>
                <c:pt idx="43">
                  <c:v>66.853754940711468</c:v>
                </c:pt>
                <c:pt idx="44">
                  <c:v>67.040784065760349</c:v>
                </c:pt>
                <c:pt idx="45">
                  <c:v>68.183965978894307</c:v>
                </c:pt>
                <c:pt idx="46">
                  <c:v>67.404963870562355</c:v>
                </c:pt>
                <c:pt idx="47">
                  <c:v>67.951031939103828</c:v>
                </c:pt>
                <c:pt idx="48">
                  <c:v>66.36953632027523</c:v>
                </c:pt>
                <c:pt idx="49">
                  <c:v>65.43746603524572</c:v>
                </c:pt>
                <c:pt idx="50">
                  <c:v>65.162046075751661</c:v>
                </c:pt>
                <c:pt idx="51">
                  <c:v>65.441176470588232</c:v>
                </c:pt>
                <c:pt idx="52">
                  <c:v>65.601312807689297</c:v>
                </c:pt>
                <c:pt idx="53">
                  <c:v>67.592374676394442</c:v>
                </c:pt>
                <c:pt idx="54">
                  <c:v>67.025117739403456</c:v>
                </c:pt>
                <c:pt idx="55">
                  <c:v>67.910154716092038</c:v>
                </c:pt>
                <c:pt idx="56">
                  <c:v>68.727873495397688</c:v>
                </c:pt>
                <c:pt idx="57">
                  <c:v>67.476988435213599</c:v>
                </c:pt>
                <c:pt idx="58">
                  <c:v>67.035048942216619</c:v>
                </c:pt>
                <c:pt idx="59">
                  <c:v>67.351797476390772</c:v>
                </c:pt>
                <c:pt idx="60">
                  <c:v>68.153420324238837</c:v>
                </c:pt>
                <c:pt idx="61">
                  <c:v>68.031358885017426</c:v>
                </c:pt>
                <c:pt idx="62">
                  <c:v>67.257898487607889</c:v>
                </c:pt>
                <c:pt idx="63">
                  <c:v>68.215642811906264</c:v>
                </c:pt>
                <c:pt idx="64">
                  <c:v>#N/A</c:v>
                </c:pt>
                <c:pt idx="65">
                  <c:v>#N/A</c:v>
                </c:pt>
                <c:pt idx="66">
                  <c:v>69.730245882072097</c:v>
                </c:pt>
                <c:pt idx="67">
                  <c:v>71.796497345272996</c:v>
                </c:pt>
                <c:pt idx="68">
                  <c:v>71.297758130723082</c:v>
                </c:pt>
                <c:pt idx="69">
                  <c:v>73.571145461751883</c:v>
                </c:pt>
                <c:pt idx="70">
                  <c:v>72.531035028069908</c:v>
                </c:pt>
                <c:pt idx="71">
                  <c:v>72.686390532544365</c:v>
                </c:pt>
                <c:pt idx="72">
                  <c:v>72.87123985357313</c:v>
                </c:pt>
                <c:pt idx="73">
                  <c:v>73.075079872204469</c:v>
                </c:pt>
                <c:pt idx="74">
                  <c:v>74.885404101326898</c:v>
                </c:pt>
                <c:pt idx="75">
                  <c:v>72.957995341739618</c:v>
                </c:pt>
                <c:pt idx="76">
                  <c:v>73.372448159459907</c:v>
                </c:pt>
                <c:pt idx="77">
                  <c:v>71.91967871485943</c:v>
                </c:pt>
                <c:pt idx="78">
                  <c:v>70.990035358405663</c:v>
                </c:pt>
                <c:pt idx="79">
                  <c:v>70.741515200257354</c:v>
                </c:pt>
                <c:pt idx="80">
                  <c:v>70.797177844457053</c:v>
                </c:pt>
                <c:pt idx="81">
                  <c:v>71.01262768438832</c:v>
                </c:pt>
                <c:pt idx="82">
                  <c:v>71.599774792889889</c:v>
                </c:pt>
                <c:pt idx="83">
                  <c:v>70.542077027784458</c:v>
                </c:pt>
                <c:pt idx="84">
                  <c:v>72.179425453378272</c:v>
                </c:pt>
                <c:pt idx="85">
                  <c:v>70.481351609818304</c:v>
                </c:pt>
                <c:pt idx="86">
                  <c:v>70.471246006389777</c:v>
                </c:pt>
                <c:pt idx="87">
                  <c:v>66.882804995196921</c:v>
                </c:pt>
                <c:pt idx="88">
                  <c:v>67.929515418502206</c:v>
                </c:pt>
                <c:pt idx="89">
                  <c:v>66.634783994898768</c:v>
                </c:pt>
                <c:pt idx="90">
                  <c:v>#N/A</c:v>
                </c:pt>
                <c:pt idx="91">
                  <c:v>65.867452604747484</c:v>
                </c:pt>
                <c:pt idx="92">
                  <c:v>65.988953814135911</c:v>
                </c:pt>
                <c:pt idx="93">
                  <c:v>66.552109974424539</c:v>
                </c:pt>
                <c:pt idx="94">
                  <c:v>66.66933162775824</c:v>
                </c:pt>
                <c:pt idx="95">
                  <c:v>66.210300087558707</c:v>
                </c:pt>
                <c:pt idx="96">
                  <c:v>64.341885773294152</c:v>
                </c:pt>
                <c:pt idx="97">
                  <c:v>63.230294884971151</c:v>
                </c:pt>
                <c:pt idx="98">
                  <c:v>64.453741711398806</c:v>
                </c:pt>
                <c:pt idx="99">
                  <c:v>64.766104898409196</c:v>
                </c:pt>
                <c:pt idx="100">
                  <c:v>64.455461126849229</c:v>
                </c:pt>
                <c:pt idx="101">
                  <c:v>63.837145327359899</c:v>
                </c:pt>
                <c:pt idx="102">
                  <c:v>62.794718641936505</c:v>
                </c:pt>
                <c:pt idx="103">
                  <c:v>62.34266834487098</c:v>
                </c:pt>
                <c:pt idx="104">
                  <c:v>61.956351075522058</c:v>
                </c:pt>
                <c:pt idx="105">
                  <c:v>#N/A</c:v>
                </c:pt>
                <c:pt idx="106">
                  <c:v>63.661266337951005</c:v>
                </c:pt>
                <c:pt idx="107">
                  <c:v>64.097522611089261</c:v>
                </c:pt>
                <c:pt idx="108">
                  <c:v>63.913964989402622</c:v>
                </c:pt>
                <c:pt idx="109">
                  <c:v>62.37530437514728</c:v>
                </c:pt>
                <c:pt idx="110">
                  <c:v>59.857500782962738</c:v>
                </c:pt>
                <c:pt idx="111">
                  <c:v>58.943661971830984</c:v>
                </c:pt>
                <c:pt idx="112">
                  <c:v>59.0987460815047</c:v>
                </c:pt>
                <c:pt idx="113">
                  <c:v>60.768809206920849</c:v>
                </c:pt>
                <c:pt idx="114">
                  <c:v>61.395787488211262</c:v>
                </c:pt>
                <c:pt idx="115">
                  <c:v>62.585515451757487</c:v>
                </c:pt>
                <c:pt idx="116">
                  <c:v>63.05066079295154</c:v>
                </c:pt>
                <c:pt idx="117">
                  <c:v>62.695631861714553</c:v>
                </c:pt>
                <c:pt idx="118">
                  <c:v>63.789457194329131</c:v>
                </c:pt>
                <c:pt idx="119">
                  <c:v>64.332517565327223</c:v>
                </c:pt>
                <c:pt idx="120">
                  <c:v>65.023659305993689</c:v>
                </c:pt>
                <c:pt idx="121">
                  <c:v>66.816390858944061</c:v>
                </c:pt>
                <c:pt idx="122">
                  <c:v>67.263587810241901</c:v>
                </c:pt>
                <c:pt idx="123">
                  <c:v>67.728204319722536</c:v>
                </c:pt>
                <c:pt idx="124">
                  <c:v>68.446063678124503</c:v>
                </c:pt>
                <c:pt idx="125">
                  <c:v>68.371689785624213</c:v>
                </c:pt>
                <c:pt idx="126">
                  <c:v>68.505366161616152</c:v>
                </c:pt>
                <c:pt idx="127">
                  <c:v>67.939475560484837</c:v>
                </c:pt>
                <c:pt idx="128">
                  <c:v>68.769267251600667</c:v>
                </c:pt>
                <c:pt idx="129">
                  <c:v>69.023888625217538</c:v>
                </c:pt>
                <c:pt idx="130">
                  <c:v>68.451016051237445</c:v>
                </c:pt>
                <c:pt idx="131">
                  <c:v>69.643420637425052</c:v>
                </c:pt>
                <c:pt idx="132">
                  <c:v>69.150603353706316</c:v>
                </c:pt>
                <c:pt idx="133">
                  <c:v>69.221125215483468</c:v>
                </c:pt>
                <c:pt idx="134">
                  <c:v>69.276449445225808</c:v>
                </c:pt>
                <c:pt idx="135">
                  <c:v>67.910854827398111</c:v>
                </c:pt>
                <c:pt idx="136">
                  <c:v>67.57833867312651</c:v>
                </c:pt>
                <c:pt idx="137">
                  <c:v>67.45908028059236</c:v>
                </c:pt>
                <c:pt idx="138">
                  <c:v>66.922005571030638</c:v>
                </c:pt>
                <c:pt idx="139">
                  <c:v>67.249210870736775</c:v>
                </c:pt>
                <c:pt idx="140">
                  <c:v>66.558841651263094</c:v>
                </c:pt>
                <c:pt idx="141">
                  <c:v>66.882916280506635</c:v>
                </c:pt>
                <c:pt idx="142">
                  <c:v>65.898263408636865</c:v>
                </c:pt>
                <c:pt idx="143">
                  <c:v>66.466327631376174</c:v>
                </c:pt>
                <c:pt idx="144">
                  <c:v>65.951846403963756</c:v>
                </c:pt>
                <c:pt idx="145">
                  <c:v>64.617052582668634</c:v>
                </c:pt>
                <c:pt idx="146">
                  <c:v>63.681437867988848</c:v>
                </c:pt>
                <c:pt idx="147">
                  <c:v>64.259173246632614</c:v>
                </c:pt>
                <c:pt idx="148">
                  <c:v>64.129843907742483</c:v>
                </c:pt>
                <c:pt idx="149">
                  <c:v>63.292616509764251</c:v>
                </c:pt>
                <c:pt idx="150">
                  <c:v>63.003035728185566</c:v>
                </c:pt>
                <c:pt idx="151">
                  <c:v>61.786716557530411</c:v>
                </c:pt>
                <c:pt idx="152">
                  <c:v>63.368109623170355</c:v>
                </c:pt>
                <c:pt idx="153">
                  <c:v>63.605096537168762</c:v>
                </c:pt>
                <c:pt idx="154">
                  <c:v>61.177481065042549</c:v>
                </c:pt>
                <c:pt idx="155">
                  <c:v>60.749275021553416</c:v>
                </c:pt>
                <c:pt idx="156">
                  <c:v>60.302219423894229</c:v>
                </c:pt>
                <c:pt idx="157">
                  <c:v>61.520320729502401</c:v>
                </c:pt>
                <c:pt idx="158">
                  <c:v>63.515532835233977</c:v>
                </c:pt>
                <c:pt idx="159">
                  <c:v>63.514572234409272</c:v>
                </c:pt>
                <c:pt idx="160">
                  <c:v>64.966757919436844</c:v>
                </c:pt>
                <c:pt idx="161">
                  <c:v>64.340299438552719</c:v>
                </c:pt>
                <c:pt idx="162">
                  <c:v>63.900124455507154</c:v>
                </c:pt>
                <c:pt idx="163">
                  <c:v>64.646386057729714</c:v>
                </c:pt>
                <c:pt idx="164">
                  <c:v>63.27385570209465</c:v>
                </c:pt>
                <c:pt idx="165">
                  <c:v>62.444170645310336</c:v>
                </c:pt>
                <c:pt idx="166">
                  <c:v>60.509554140127385</c:v>
                </c:pt>
                <c:pt idx="167">
                  <c:v>60.309317816399961</c:v>
                </c:pt>
                <c:pt idx="168">
                  <c:v>60.138899488666716</c:v>
                </c:pt>
                <c:pt idx="169">
                  <c:v>60.914398362271598</c:v>
                </c:pt>
                <c:pt idx="170">
                  <c:v>#N/A</c:v>
                </c:pt>
                <c:pt idx="171">
                  <c:v>61.586701926709488</c:v>
                </c:pt>
                <c:pt idx="172">
                  <c:v>60.576704760463187</c:v>
                </c:pt>
                <c:pt idx="173">
                  <c:v>61.99163816039529</c:v>
                </c:pt>
                <c:pt idx="174">
                  <c:v>61.016433353621423</c:v>
                </c:pt>
                <c:pt idx="175">
                  <c:v>59.169708029197075</c:v>
                </c:pt>
                <c:pt idx="176">
                  <c:v>58.388697976326831</c:v>
                </c:pt>
                <c:pt idx="177">
                  <c:v>56.735810348757695</c:v>
                </c:pt>
                <c:pt idx="178">
                  <c:v>56.596747226022188</c:v>
                </c:pt>
                <c:pt idx="179">
                  <c:v>55.334346504559264</c:v>
                </c:pt>
                <c:pt idx="180">
                  <c:v>55.332976527257436</c:v>
                </c:pt>
                <c:pt idx="181">
                  <c:v>53.871486558933903</c:v>
                </c:pt>
                <c:pt idx="182">
                  <c:v>54.022281982328082</c:v>
                </c:pt>
                <c:pt idx="183">
                  <c:v>56.433978132884775</c:v>
                </c:pt>
                <c:pt idx="184">
                  <c:v>56.009122006841515</c:v>
                </c:pt>
                <c:pt idx="185">
                  <c:v>56.030303030303024</c:v>
                </c:pt>
                <c:pt idx="186">
                  <c:v>56.528662420382162</c:v>
                </c:pt>
                <c:pt idx="187">
                  <c:v>56.403269754768395</c:v>
                </c:pt>
                <c:pt idx="188">
                  <c:v>57.3056603773585</c:v>
                </c:pt>
                <c:pt idx="189">
                  <c:v>57.194488366839842</c:v>
                </c:pt>
                <c:pt idx="190">
                  <c:v>56.142322097378283</c:v>
                </c:pt>
                <c:pt idx="191">
                  <c:v>56.228528752800607</c:v>
                </c:pt>
                <c:pt idx="192">
                  <c:v>56.373831775700943</c:v>
                </c:pt>
                <c:pt idx="193">
                  <c:v>54.538668259181854</c:v>
                </c:pt>
                <c:pt idx="194">
                  <c:v>53.423329355608587</c:v>
                </c:pt>
                <c:pt idx="195">
                  <c:v>53.940207261611867</c:v>
                </c:pt>
                <c:pt idx="196">
                  <c:v>56.663405824366016</c:v>
                </c:pt>
                <c:pt idx="197">
                  <c:v>56.493849520790889</c:v>
                </c:pt>
                <c:pt idx="198">
                  <c:v>59.177601464754346</c:v>
                </c:pt>
                <c:pt idx="199">
                  <c:v>60.489590482727067</c:v>
                </c:pt>
                <c:pt idx="200">
                  <c:v>62.497132808318675</c:v>
                </c:pt>
                <c:pt idx="201">
                  <c:v>59.718933781409916</c:v>
                </c:pt>
                <c:pt idx="202">
                  <c:v>58.950428396572832</c:v>
                </c:pt>
                <c:pt idx="203">
                  <c:v>60.885891639206072</c:v>
                </c:pt>
                <c:pt idx="204">
                  <c:v>61.391969407265769</c:v>
                </c:pt>
                <c:pt idx="205">
                  <c:v>60.098031707130268</c:v>
                </c:pt>
                <c:pt idx="206">
                  <c:v>56.270047349931275</c:v>
                </c:pt>
                <c:pt idx="207">
                  <c:v>56.614651395187956</c:v>
                </c:pt>
                <c:pt idx="208">
                  <c:v>57.220897130106948</c:v>
                </c:pt>
                <c:pt idx="209">
                  <c:v>55.80699601104633</c:v>
                </c:pt>
                <c:pt idx="210">
                  <c:v>56.368251038301807</c:v>
                </c:pt>
                <c:pt idx="211">
                  <c:v>58.25818882466281</c:v>
                </c:pt>
                <c:pt idx="212">
                  <c:v>57.676861291319128</c:v>
                </c:pt>
                <c:pt idx="213">
                  <c:v>57.302677262556898</c:v>
                </c:pt>
                <c:pt idx="214">
                  <c:v>58.20952967438997</c:v>
                </c:pt>
                <c:pt idx="215">
                  <c:v>55.301631271160353</c:v>
                </c:pt>
                <c:pt idx="216">
                  <c:v>54.701446598953524</c:v>
                </c:pt>
                <c:pt idx="217">
                  <c:v>56.332717759310547</c:v>
                </c:pt>
                <c:pt idx="218">
                  <c:v>56.977286869943988</c:v>
                </c:pt>
                <c:pt idx="219">
                  <c:v>56.813271604938265</c:v>
                </c:pt>
                <c:pt idx="220">
                  <c:v>57.692011401278791</c:v>
                </c:pt>
                <c:pt idx="221">
                  <c:v>59.206275957544996</c:v>
                </c:pt>
                <c:pt idx="222">
                  <c:v>59.363847944142748</c:v>
                </c:pt>
                <c:pt idx="223">
                  <c:v>58.271775931055707</c:v>
                </c:pt>
                <c:pt idx="224">
                  <c:v>57.222351031764433</c:v>
                </c:pt>
                <c:pt idx="225">
                  <c:v>56.091686091686093</c:v>
                </c:pt>
                <c:pt idx="226">
                  <c:v>56.847383265434033</c:v>
                </c:pt>
                <c:pt idx="227">
                  <c:v>57.261867337315309</c:v>
                </c:pt>
                <c:pt idx="228">
                  <c:v>57.751022977651878</c:v>
                </c:pt>
                <c:pt idx="229">
                  <c:v>58.15979095732046</c:v>
                </c:pt>
                <c:pt idx="230">
                  <c:v>58.821202531645568</c:v>
                </c:pt>
                <c:pt idx="231">
                  <c:v>58.681405448085272</c:v>
                </c:pt>
                <c:pt idx="232">
                  <c:v>58.744961669169363</c:v>
                </c:pt>
                <c:pt idx="233">
                  <c:v>59.510223490252024</c:v>
                </c:pt>
                <c:pt idx="234">
                  <c:v>60.748782629520235</c:v>
                </c:pt>
                <c:pt idx="235">
                  <c:v>59.174567763524813</c:v>
                </c:pt>
                <c:pt idx="236">
                  <c:v>59.348881636551781</c:v>
                </c:pt>
                <c:pt idx="237">
                  <c:v>58.302437485209431</c:v>
                </c:pt>
                <c:pt idx="238">
                  <c:v>58.287336382274091</c:v>
                </c:pt>
                <c:pt idx="239">
                  <c:v>58.356940509915013</c:v>
                </c:pt>
                <c:pt idx="240">
                  <c:v>57.653020825085129</c:v>
                </c:pt>
                <c:pt idx="241">
                  <c:v>59.074395830042647</c:v>
                </c:pt>
                <c:pt idx="242">
                  <c:v>58.766131570664157</c:v>
                </c:pt>
                <c:pt idx="243">
                  <c:v>57.834914164772279</c:v>
                </c:pt>
                <c:pt idx="244">
                  <c:v>57.898454053205683</c:v>
                </c:pt>
                <c:pt idx="245">
                  <c:v>57.61956861519225</c:v>
                </c:pt>
                <c:pt idx="246">
                  <c:v>57.811273355314803</c:v>
                </c:pt>
                <c:pt idx="247">
                  <c:v>58.364720652856242</c:v>
                </c:pt>
                <c:pt idx="248">
                  <c:v>57.93538219070134</c:v>
                </c:pt>
                <c:pt idx="249">
                  <c:v>59.370540669097828</c:v>
                </c:pt>
                <c:pt idx="250">
                  <c:v>58.545425892364669</c:v>
                </c:pt>
                <c:pt idx="251">
                  <c:v>57.556447171741013</c:v>
                </c:pt>
                <c:pt idx="252">
                  <c:v>58.748916725754341</c:v>
                </c:pt>
                <c:pt idx="253">
                  <c:v>58.76025814676121</c:v>
                </c:pt>
                <c:pt idx="254">
                  <c:v>58.360577306434891</c:v>
                </c:pt>
                <c:pt idx="255">
                  <c:v>57.608435178528637</c:v>
                </c:pt>
                <c:pt idx="256">
                  <c:v>58.617114602440388</c:v>
                </c:pt>
                <c:pt idx="257">
                  <c:v>#N/A</c:v>
                </c:pt>
                <c:pt idx="258">
                  <c:v>#N/A</c:v>
                </c:pt>
                <c:pt idx="259">
                  <c:v>58.654687127295851</c:v>
                </c:pt>
                <c:pt idx="260">
                  <c:v>59.339780992726389</c:v>
                </c:pt>
                <c:pt idx="261">
                  <c:v>59.525899912203691</c:v>
                </c:pt>
                <c:pt idx="262">
                  <c:v>#N/A</c:v>
                </c:pt>
                <c:pt idx="263">
                  <c:v>61.527272727272724</c:v>
                </c:pt>
                <c:pt idx="264">
                  <c:v>61.8510158013544</c:v>
                </c:pt>
                <c:pt idx="265">
                  <c:v>61.77646306363927</c:v>
                </c:pt>
                <c:pt idx="266">
                  <c:v>62.281965114418306</c:v>
                </c:pt>
                <c:pt idx="267">
                  <c:v>62.688381137579007</c:v>
                </c:pt>
                <c:pt idx="268">
                  <c:v>63.756807282776556</c:v>
                </c:pt>
                <c:pt idx="269">
                  <c:v>65.216680294358142</c:v>
                </c:pt>
                <c:pt idx="270">
                  <c:v>68.046412113232378</c:v>
                </c:pt>
                <c:pt idx="271">
                  <c:v>67.527251864601268</c:v>
                </c:pt>
                <c:pt idx="272">
                  <c:v>68.102463697177356</c:v>
                </c:pt>
                <c:pt idx="273">
                  <c:v>67.339599509603602</c:v>
                </c:pt>
                <c:pt idx="274">
                  <c:v>68.060337760288576</c:v>
                </c:pt>
                <c:pt idx="275">
                  <c:v>66.444317904498504</c:v>
                </c:pt>
                <c:pt idx="276">
                  <c:v>65.509391007398975</c:v>
                </c:pt>
                <c:pt idx="277">
                  <c:v>64.945608053255398</c:v>
                </c:pt>
                <c:pt idx="278">
                  <c:v>63.794222654982157</c:v>
                </c:pt>
                <c:pt idx="279">
                  <c:v>63.048702338993913</c:v>
                </c:pt>
                <c:pt idx="280">
                  <c:v>61.97386354525775</c:v>
                </c:pt>
                <c:pt idx="281">
                  <c:v>62.749356499356502</c:v>
                </c:pt>
                <c:pt idx="282">
                  <c:v>61.94305935338587</c:v>
                </c:pt>
                <c:pt idx="283">
                  <c:v>62.099943851768671</c:v>
                </c:pt>
                <c:pt idx="284">
                  <c:v>62.055367777241273</c:v>
                </c:pt>
                <c:pt idx="285">
                  <c:v>61.625845955526898</c:v>
                </c:pt>
                <c:pt idx="286">
                  <c:v>61.376933557746248</c:v>
                </c:pt>
                <c:pt idx="287">
                  <c:v>59.682057836715124</c:v>
                </c:pt>
                <c:pt idx="288">
                  <c:v>60.045110359271796</c:v>
                </c:pt>
                <c:pt idx="289">
                  <c:v>60.109465550547334</c:v>
                </c:pt>
                <c:pt idx="290">
                  <c:v>61.525423728813557</c:v>
                </c:pt>
                <c:pt idx="291">
                  <c:v>62.590681928099315</c:v>
                </c:pt>
                <c:pt idx="292">
                  <c:v>60.624095222776255</c:v>
                </c:pt>
                <c:pt idx="293">
                  <c:v>60.376906492054623</c:v>
                </c:pt>
                <c:pt idx="294">
                  <c:v>59.589475352670782</c:v>
                </c:pt>
                <c:pt idx="295">
                  <c:v>60.13325930038868</c:v>
                </c:pt>
                <c:pt idx="296">
                  <c:v>60.610384462940935</c:v>
                </c:pt>
                <c:pt idx="297">
                  <c:v>60.635424940428919</c:v>
                </c:pt>
                <c:pt idx="298">
                  <c:v>60.873348627482002</c:v>
                </c:pt>
                <c:pt idx="299">
                  <c:v>59.249881310333912</c:v>
                </c:pt>
                <c:pt idx="300">
                  <c:v>59.337611916646857</c:v>
                </c:pt>
                <c:pt idx="301">
                  <c:v>57.771631766100349</c:v>
                </c:pt>
                <c:pt idx="302">
                  <c:v>57.888932650649856</c:v>
                </c:pt>
                <c:pt idx="303">
                  <c:v>59.399746594868553</c:v>
                </c:pt>
                <c:pt idx="304">
                  <c:v>59.371029224904703</c:v>
                </c:pt>
                <c:pt idx="305">
                  <c:v>57.36672178911725</c:v>
                </c:pt>
                <c:pt idx="306">
                  <c:v>56.865366467442591</c:v>
                </c:pt>
                <c:pt idx="307">
                  <c:v>55.113459745104137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4F-461F-8C16-37095EE68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dateAx>
        <c:axId val="263607040"/>
        <c:scaling>
          <c:orientation val="minMax"/>
          <c:min val="45292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months"/>
      </c:dateAx>
      <c:valAx>
        <c:axId val="263608576"/>
        <c:scaling>
          <c:orientation val="minMax"/>
          <c:min val="13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1510040240"/>
        <c:scaling>
          <c:orientation val="minMax"/>
          <c:min val="50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dateAx>
        <c:axId val="1510036496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510040240"/>
        <c:crosses val="max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2595551121720643"/>
          <c:y val="0.13950245134452535"/>
          <c:w val="0.46712765988997135"/>
          <c:h val="0.1826355274995724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277081021760261E-2"/>
          <c:y val="0.14743139850134515"/>
          <c:w val="0.86944583795647945"/>
          <c:h val="0.71785727792695486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Data'!$Q$2</c:f>
              <c:strCache>
                <c:ptCount val="1"/>
                <c:pt idx="0">
                  <c:v>Passthrough to annual inflation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Data'!$P$3:$P$22</c:f>
              <c:strCache>
                <c:ptCount val="17"/>
                <c:pt idx="0">
                  <c:v>t</c:v>
                </c:pt>
                <c:pt idx="4">
                  <c:v>t+1</c:v>
                </c:pt>
                <c:pt idx="8">
                  <c:v>t+2</c:v>
                </c:pt>
                <c:pt idx="12">
                  <c:v>t+3</c:v>
                </c:pt>
                <c:pt idx="16">
                  <c:v>t+4</c:v>
                </c:pt>
              </c:strCache>
            </c:strRef>
          </c:cat>
          <c:val>
            <c:numRef>
              <c:f>'Chart Data'!$Q$3:$Q$22</c:f>
              <c:numCache>
                <c:formatCode>0.0</c:formatCode>
                <c:ptCount val="20"/>
                <c:pt idx="0">
                  <c:v>0.26727527997872441</c:v>
                </c:pt>
                <c:pt idx="1">
                  <c:v>0.42339588240242299</c:v>
                </c:pt>
                <c:pt idx="2">
                  <c:v>0.57439710888892659</c:v>
                </c:pt>
                <c:pt idx="3">
                  <c:v>0.60063748234885406</c:v>
                </c:pt>
                <c:pt idx="4">
                  <c:v>0.58307828530608519</c:v>
                </c:pt>
                <c:pt idx="5">
                  <c:v>0.55128786583636147</c:v>
                </c:pt>
                <c:pt idx="6">
                  <c:v>0.51601219896545292</c:v>
                </c:pt>
                <c:pt idx="7">
                  <c:v>0.48109182101842851</c:v>
                </c:pt>
                <c:pt idx="8">
                  <c:v>0.44783231388484795</c:v>
                </c:pt>
                <c:pt idx="9">
                  <c:v>0.41661096065555175</c:v>
                </c:pt>
                <c:pt idx="10">
                  <c:v>0.38746865197270108</c:v>
                </c:pt>
                <c:pt idx="11">
                  <c:v>0.3603282577757782</c:v>
                </c:pt>
                <c:pt idx="12">
                  <c:v>0.33507513716177034</c:v>
                </c:pt>
                <c:pt idx="13">
                  <c:v>0.31158663908380901</c:v>
                </c:pt>
                <c:pt idx="14">
                  <c:v>0.28974269143115777</c:v>
                </c:pt>
                <c:pt idx="15">
                  <c:v>0.26942937441216736</c:v>
                </c:pt>
                <c:pt idx="16">
                  <c:v>0.25053989940408256</c:v>
                </c:pt>
                <c:pt idx="17">
                  <c:v>0.23297464046924038</c:v>
                </c:pt>
                <c:pt idx="18">
                  <c:v>0.21664083316082205</c:v>
                </c:pt>
                <c:pt idx="19">
                  <c:v>0.20145216971988561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2"/>
          <c:order val="1"/>
          <c:tx>
            <c:strRef>
              <c:f>'Chart Data'!$R$2</c:f>
              <c:strCache>
                <c:ptCount val="1"/>
                <c:pt idx="0">
                  <c:v>Passthrough to price level (LHS)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Data'!$P$3:$P$22</c:f>
              <c:strCache>
                <c:ptCount val="17"/>
                <c:pt idx="0">
                  <c:v>t</c:v>
                </c:pt>
                <c:pt idx="4">
                  <c:v>t+1</c:v>
                </c:pt>
                <c:pt idx="8">
                  <c:v>t+2</c:v>
                </c:pt>
                <c:pt idx="12">
                  <c:v>t+3</c:v>
                </c:pt>
                <c:pt idx="16">
                  <c:v>t+4</c:v>
                </c:pt>
              </c:strCache>
            </c:strRef>
          </c:cat>
          <c:val>
            <c:numRef>
              <c:f>'Chart Data'!$R$3:$R$22</c:f>
              <c:numCache>
                <c:formatCode>0.0</c:formatCode>
                <c:ptCount val="20"/>
                <c:pt idx="0">
                  <c:v>9.5902362320226767E-2</c:v>
                </c:pt>
                <c:pt idx="1">
                  <c:v>0.20175133292083253</c:v>
                </c:pt>
                <c:pt idx="2">
                  <c:v>0.34535061014306417</c:v>
                </c:pt>
                <c:pt idx="3">
                  <c:v>0.49550998073027769</c:v>
                </c:pt>
                <c:pt idx="4">
                  <c:v>0.64127955205679898</c:v>
                </c:pt>
                <c:pt idx="5">
                  <c:v>0.77910151851588938</c:v>
                </c:pt>
                <c:pt idx="6">
                  <c:v>0.90810456825725261</c:v>
                </c:pt>
                <c:pt idx="7">
                  <c:v>1.0283775235118597</c:v>
                </c:pt>
                <c:pt idx="8">
                  <c:v>1.1403356019830717</c:v>
                </c:pt>
                <c:pt idx="9">
                  <c:v>1.2444883421469597</c:v>
                </c:pt>
                <c:pt idx="10">
                  <c:v>1.3413555051401349</c:v>
                </c:pt>
                <c:pt idx="11">
                  <c:v>1.4314375695840795</c:v>
                </c:pt>
                <c:pt idx="12">
                  <c:v>1.5152063538745222</c:v>
                </c:pt>
                <c:pt idx="13">
                  <c:v>1.5931030136454745</c:v>
                </c:pt>
                <c:pt idx="14">
                  <c:v>1.665538686503264</c:v>
                </c:pt>
                <c:pt idx="15">
                  <c:v>1.7328960301063059</c:v>
                </c:pt>
                <c:pt idx="16">
                  <c:v>1.7955310049573265</c:v>
                </c:pt>
                <c:pt idx="17">
                  <c:v>1.8537746650746367</c:v>
                </c:pt>
                <c:pt idx="18">
                  <c:v>1.9079348733648422</c:v>
                </c:pt>
                <c:pt idx="19">
                  <c:v>1.9582979157948137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677295"/>
        <c:axId val="507089167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507089167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30677295"/>
        <c:crosses val="max"/>
        <c:crossBetween val="between"/>
      </c:valAx>
      <c:catAx>
        <c:axId val="53067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7089167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1032382896074207"/>
          <c:y val="0.16531907829600592"/>
          <c:w val="0.50431215070937618"/>
          <c:h val="0.1246253735098686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4431472884662439E-2"/>
          <c:y val="0.16624067746248702"/>
          <c:w val="0.89122361967197539"/>
          <c:h val="0.6687404551746721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Data'!$AL$2</c:f>
              <c:strCache>
                <c:ptCount val="1"/>
                <c:pt idx="0">
                  <c:v>Pence per therm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Data'!$AK$1046:$AK$1371</c:f>
              <c:strCache>
                <c:ptCount val="326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Jan</c:v>
                </c:pt>
                <c:pt idx="5">
                  <c:v>Jan</c:v>
                </c:pt>
                <c:pt idx="6">
                  <c:v>Jan</c:v>
                </c:pt>
                <c:pt idx="7">
                  <c:v>Jan</c:v>
                </c:pt>
                <c:pt idx="8">
                  <c:v>Jan</c:v>
                </c:pt>
                <c:pt idx="9">
                  <c:v>Jan</c:v>
                </c:pt>
                <c:pt idx="10">
                  <c:v>Jan</c:v>
                </c:pt>
                <c:pt idx="11">
                  <c:v>Jan</c:v>
                </c:pt>
                <c:pt idx="12">
                  <c:v>Jan</c:v>
                </c:pt>
                <c:pt idx="13">
                  <c:v>Jan</c:v>
                </c:pt>
                <c:pt idx="14">
                  <c:v>Jan</c:v>
                </c:pt>
                <c:pt idx="15">
                  <c:v>Jan</c:v>
                </c:pt>
                <c:pt idx="16">
                  <c:v>Jan</c:v>
                </c:pt>
                <c:pt idx="17">
                  <c:v>Jan</c:v>
                </c:pt>
                <c:pt idx="18">
                  <c:v>Jan</c:v>
                </c:pt>
                <c:pt idx="19">
                  <c:v>Jan</c:v>
                </c:pt>
                <c:pt idx="20">
                  <c:v>Jan</c:v>
                </c:pt>
                <c:pt idx="21">
                  <c:v>Jan</c:v>
                </c:pt>
                <c:pt idx="22">
                  <c:v>Jan</c:v>
                </c:pt>
                <c:pt idx="23">
                  <c:v>Feb</c:v>
                </c:pt>
                <c:pt idx="24">
                  <c:v>Feb</c:v>
                </c:pt>
                <c:pt idx="25">
                  <c:v>Feb</c:v>
                </c:pt>
                <c:pt idx="26">
                  <c:v>Feb</c:v>
                </c:pt>
                <c:pt idx="27">
                  <c:v>Feb</c:v>
                </c:pt>
                <c:pt idx="28">
                  <c:v>Feb</c:v>
                </c:pt>
                <c:pt idx="29">
                  <c:v>Feb</c:v>
                </c:pt>
                <c:pt idx="30">
                  <c:v>Feb</c:v>
                </c:pt>
                <c:pt idx="31">
                  <c:v>Feb</c:v>
                </c:pt>
                <c:pt idx="32">
                  <c:v>Feb</c:v>
                </c:pt>
                <c:pt idx="33">
                  <c:v>Feb</c:v>
                </c:pt>
                <c:pt idx="34">
                  <c:v>Feb</c:v>
                </c:pt>
                <c:pt idx="35">
                  <c:v>Feb</c:v>
                </c:pt>
                <c:pt idx="36">
                  <c:v>Feb</c:v>
                </c:pt>
                <c:pt idx="37">
                  <c:v>Feb</c:v>
                </c:pt>
                <c:pt idx="38">
                  <c:v>Feb</c:v>
                </c:pt>
                <c:pt idx="39">
                  <c:v>Feb</c:v>
                </c:pt>
                <c:pt idx="40">
                  <c:v>Feb</c:v>
                </c:pt>
                <c:pt idx="41">
                  <c:v>Feb</c:v>
                </c:pt>
                <c:pt idx="42">
                  <c:v>Feb</c:v>
                </c:pt>
                <c:pt idx="43">
                  <c:v>Feb</c:v>
                </c:pt>
                <c:pt idx="44">
                  <c:v>Mar</c:v>
                </c:pt>
                <c:pt idx="45">
                  <c:v>Mar</c:v>
                </c:pt>
                <c:pt idx="46">
                  <c:v>Mar</c:v>
                </c:pt>
                <c:pt idx="47">
                  <c:v>Mar</c:v>
                </c:pt>
                <c:pt idx="48">
                  <c:v>Mar</c:v>
                </c:pt>
                <c:pt idx="49">
                  <c:v>Mar</c:v>
                </c:pt>
                <c:pt idx="50">
                  <c:v>Mar</c:v>
                </c:pt>
                <c:pt idx="51">
                  <c:v>Mar</c:v>
                </c:pt>
                <c:pt idx="52">
                  <c:v>Mar</c:v>
                </c:pt>
                <c:pt idx="53">
                  <c:v>Mar</c:v>
                </c:pt>
                <c:pt idx="54">
                  <c:v>Mar</c:v>
                </c:pt>
                <c:pt idx="55">
                  <c:v>Mar</c:v>
                </c:pt>
                <c:pt idx="56">
                  <c:v>Mar</c:v>
                </c:pt>
                <c:pt idx="57">
                  <c:v>Mar</c:v>
                </c:pt>
                <c:pt idx="58">
                  <c:v>Mar</c:v>
                </c:pt>
                <c:pt idx="59">
                  <c:v>Mar</c:v>
                </c:pt>
                <c:pt idx="60">
                  <c:v>Mar</c:v>
                </c:pt>
                <c:pt idx="61">
                  <c:v>Mar</c:v>
                </c:pt>
                <c:pt idx="62">
                  <c:v>Mar</c:v>
                </c:pt>
                <c:pt idx="63">
                  <c:v>Mar</c:v>
                </c:pt>
                <c:pt idx="64">
                  <c:v>Mar</c:v>
                </c:pt>
                <c:pt idx="65">
                  <c:v>Apr</c:v>
                </c:pt>
                <c:pt idx="66">
                  <c:v>Apr</c:v>
                </c:pt>
                <c:pt idx="67">
                  <c:v>Apr</c:v>
                </c:pt>
                <c:pt idx="68">
                  <c:v>Apr</c:v>
                </c:pt>
                <c:pt idx="69">
                  <c:v>Apr</c:v>
                </c:pt>
                <c:pt idx="70">
                  <c:v>Apr</c:v>
                </c:pt>
                <c:pt idx="71">
                  <c:v>Apr</c:v>
                </c:pt>
                <c:pt idx="72">
                  <c:v>Apr</c:v>
                </c:pt>
                <c:pt idx="73">
                  <c:v>Apr</c:v>
                </c:pt>
                <c:pt idx="74">
                  <c:v>Apr</c:v>
                </c:pt>
                <c:pt idx="75">
                  <c:v>Apr</c:v>
                </c:pt>
                <c:pt idx="76">
                  <c:v>Apr</c:v>
                </c:pt>
                <c:pt idx="77">
                  <c:v>Apr</c:v>
                </c:pt>
                <c:pt idx="78">
                  <c:v>Apr</c:v>
                </c:pt>
                <c:pt idx="79">
                  <c:v>Apr</c:v>
                </c:pt>
                <c:pt idx="80">
                  <c:v>Apr</c:v>
                </c:pt>
                <c:pt idx="81">
                  <c:v>Apr</c:v>
                </c:pt>
                <c:pt idx="82">
                  <c:v>Apr</c:v>
                </c:pt>
                <c:pt idx="83">
                  <c:v>Apr</c:v>
                </c:pt>
                <c:pt idx="84">
                  <c:v>Apr</c:v>
                </c:pt>
                <c:pt idx="85">
                  <c:v>Apr</c:v>
                </c:pt>
                <c:pt idx="86">
                  <c:v>Apr</c:v>
                </c:pt>
                <c:pt idx="87">
                  <c:v>May</c:v>
                </c:pt>
                <c:pt idx="88">
                  <c:v>May</c:v>
                </c:pt>
                <c:pt idx="89">
                  <c:v>May</c:v>
                </c:pt>
                <c:pt idx="90">
                  <c:v>May</c:v>
                </c:pt>
                <c:pt idx="91">
                  <c:v>May</c:v>
                </c:pt>
                <c:pt idx="92">
                  <c:v>May</c:v>
                </c:pt>
                <c:pt idx="93">
                  <c:v>May</c:v>
                </c:pt>
                <c:pt idx="94">
                  <c:v>May</c:v>
                </c:pt>
                <c:pt idx="95">
                  <c:v>May</c:v>
                </c:pt>
                <c:pt idx="96">
                  <c:v>May</c:v>
                </c:pt>
                <c:pt idx="97">
                  <c:v>May</c:v>
                </c:pt>
                <c:pt idx="98">
                  <c:v>May</c:v>
                </c:pt>
                <c:pt idx="99">
                  <c:v>May</c:v>
                </c:pt>
                <c:pt idx="100">
                  <c:v>May</c:v>
                </c:pt>
                <c:pt idx="101">
                  <c:v>May</c:v>
                </c:pt>
                <c:pt idx="102">
                  <c:v>May</c:v>
                </c:pt>
                <c:pt idx="103">
                  <c:v>May</c:v>
                </c:pt>
                <c:pt idx="104">
                  <c:v>May</c:v>
                </c:pt>
                <c:pt idx="105">
                  <c:v>May</c:v>
                </c:pt>
                <c:pt idx="106">
                  <c:v>May</c:v>
                </c:pt>
                <c:pt idx="107">
                  <c:v>May</c:v>
                </c:pt>
                <c:pt idx="108">
                  <c:v>May</c:v>
                </c:pt>
                <c:pt idx="109">
                  <c:v>May</c:v>
                </c:pt>
                <c:pt idx="110">
                  <c:v>Jun</c:v>
                </c:pt>
                <c:pt idx="111">
                  <c:v>Jun</c:v>
                </c:pt>
                <c:pt idx="112">
                  <c:v>Jun</c:v>
                </c:pt>
                <c:pt idx="113">
                  <c:v>Jun</c:v>
                </c:pt>
                <c:pt idx="114">
                  <c:v>Jun</c:v>
                </c:pt>
                <c:pt idx="115">
                  <c:v>Jun</c:v>
                </c:pt>
                <c:pt idx="116">
                  <c:v>Jun</c:v>
                </c:pt>
                <c:pt idx="117">
                  <c:v>Jun</c:v>
                </c:pt>
                <c:pt idx="118">
                  <c:v>Jun</c:v>
                </c:pt>
                <c:pt idx="119">
                  <c:v>Jun</c:v>
                </c:pt>
                <c:pt idx="120">
                  <c:v>Jun</c:v>
                </c:pt>
                <c:pt idx="121">
                  <c:v>Jun</c:v>
                </c:pt>
                <c:pt idx="122">
                  <c:v>Jun</c:v>
                </c:pt>
                <c:pt idx="123">
                  <c:v>Jun</c:v>
                </c:pt>
                <c:pt idx="124">
                  <c:v>Jun</c:v>
                </c:pt>
                <c:pt idx="125">
                  <c:v>Jun</c:v>
                </c:pt>
                <c:pt idx="126">
                  <c:v>Jun</c:v>
                </c:pt>
                <c:pt idx="127">
                  <c:v>Jun</c:v>
                </c:pt>
                <c:pt idx="128">
                  <c:v>Jun</c:v>
                </c:pt>
                <c:pt idx="129">
                  <c:v>Jun</c:v>
                </c:pt>
                <c:pt idx="130">
                  <c:v>Jul</c:v>
                </c:pt>
                <c:pt idx="131">
                  <c:v>Jul</c:v>
                </c:pt>
                <c:pt idx="132">
                  <c:v>Jul</c:v>
                </c:pt>
                <c:pt idx="133">
                  <c:v>Jul</c:v>
                </c:pt>
                <c:pt idx="134">
                  <c:v>Jul</c:v>
                </c:pt>
                <c:pt idx="135">
                  <c:v>Jul</c:v>
                </c:pt>
                <c:pt idx="136">
                  <c:v>Jul</c:v>
                </c:pt>
                <c:pt idx="137">
                  <c:v>Jul</c:v>
                </c:pt>
                <c:pt idx="138">
                  <c:v>Jul</c:v>
                </c:pt>
                <c:pt idx="139">
                  <c:v>Jul</c:v>
                </c:pt>
                <c:pt idx="140">
                  <c:v>Jul</c:v>
                </c:pt>
                <c:pt idx="141">
                  <c:v>Jul</c:v>
                </c:pt>
                <c:pt idx="142">
                  <c:v>Jul</c:v>
                </c:pt>
                <c:pt idx="143">
                  <c:v>Jul</c:v>
                </c:pt>
                <c:pt idx="144">
                  <c:v>Jul</c:v>
                </c:pt>
                <c:pt idx="145">
                  <c:v>Jul</c:v>
                </c:pt>
                <c:pt idx="146">
                  <c:v>Jul</c:v>
                </c:pt>
                <c:pt idx="147">
                  <c:v>Jul</c:v>
                </c:pt>
                <c:pt idx="148">
                  <c:v>Jul</c:v>
                </c:pt>
                <c:pt idx="149">
                  <c:v>Jul</c:v>
                </c:pt>
                <c:pt idx="150">
                  <c:v>Jul</c:v>
                </c:pt>
                <c:pt idx="151">
                  <c:v>Jul</c:v>
                </c:pt>
                <c:pt idx="152">
                  <c:v>Jul</c:v>
                </c:pt>
                <c:pt idx="153">
                  <c:v>Aug</c:v>
                </c:pt>
                <c:pt idx="154">
                  <c:v>Aug</c:v>
                </c:pt>
                <c:pt idx="155">
                  <c:v>Aug</c:v>
                </c:pt>
                <c:pt idx="156">
                  <c:v>Aug</c:v>
                </c:pt>
                <c:pt idx="157">
                  <c:v>Aug</c:v>
                </c:pt>
                <c:pt idx="158">
                  <c:v>Aug</c:v>
                </c:pt>
                <c:pt idx="159">
                  <c:v>Aug</c:v>
                </c:pt>
                <c:pt idx="160">
                  <c:v>Aug</c:v>
                </c:pt>
                <c:pt idx="161">
                  <c:v>Aug</c:v>
                </c:pt>
                <c:pt idx="162">
                  <c:v>Aug</c:v>
                </c:pt>
                <c:pt idx="163">
                  <c:v>Aug</c:v>
                </c:pt>
                <c:pt idx="164">
                  <c:v>Aug</c:v>
                </c:pt>
                <c:pt idx="165">
                  <c:v>Aug</c:v>
                </c:pt>
                <c:pt idx="166">
                  <c:v>Aug</c:v>
                </c:pt>
                <c:pt idx="167">
                  <c:v>Aug</c:v>
                </c:pt>
                <c:pt idx="168">
                  <c:v>Aug</c:v>
                </c:pt>
                <c:pt idx="169">
                  <c:v>Aug</c:v>
                </c:pt>
                <c:pt idx="170">
                  <c:v>Aug</c:v>
                </c:pt>
                <c:pt idx="171">
                  <c:v>Aug</c:v>
                </c:pt>
                <c:pt idx="172">
                  <c:v>Aug</c:v>
                </c:pt>
                <c:pt idx="173">
                  <c:v>Aug</c:v>
                </c:pt>
                <c:pt idx="174">
                  <c:v>Aug</c:v>
                </c:pt>
                <c:pt idx="175">
                  <c:v>Sep</c:v>
                </c:pt>
                <c:pt idx="176">
                  <c:v>Sep</c:v>
                </c:pt>
                <c:pt idx="177">
                  <c:v>Sep</c:v>
                </c:pt>
                <c:pt idx="178">
                  <c:v>Sep</c:v>
                </c:pt>
                <c:pt idx="179">
                  <c:v>Sep</c:v>
                </c:pt>
                <c:pt idx="180">
                  <c:v>Sep</c:v>
                </c:pt>
                <c:pt idx="181">
                  <c:v>Sep</c:v>
                </c:pt>
                <c:pt idx="182">
                  <c:v>Sep</c:v>
                </c:pt>
                <c:pt idx="183">
                  <c:v>Sep</c:v>
                </c:pt>
                <c:pt idx="184">
                  <c:v>Sep</c:v>
                </c:pt>
                <c:pt idx="185">
                  <c:v>Sep</c:v>
                </c:pt>
                <c:pt idx="186">
                  <c:v>Sep</c:v>
                </c:pt>
                <c:pt idx="187">
                  <c:v>Sep</c:v>
                </c:pt>
                <c:pt idx="188">
                  <c:v>Sep</c:v>
                </c:pt>
                <c:pt idx="189">
                  <c:v>Sep</c:v>
                </c:pt>
                <c:pt idx="190">
                  <c:v>Sep</c:v>
                </c:pt>
                <c:pt idx="191">
                  <c:v>Sep</c:v>
                </c:pt>
                <c:pt idx="192">
                  <c:v>Sep</c:v>
                </c:pt>
                <c:pt idx="193">
                  <c:v>Sep</c:v>
                </c:pt>
                <c:pt idx="194">
                  <c:v>Sep</c:v>
                </c:pt>
                <c:pt idx="195">
                  <c:v>Sep</c:v>
                </c:pt>
                <c:pt idx="196">
                  <c:v>Oct</c:v>
                </c:pt>
                <c:pt idx="197">
                  <c:v>Oct</c:v>
                </c:pt>
                <c:pt idx="198">
                  <c:v>Oct</c:v>
                </c:pt>
                <c:pt idx="199">
                  <c:v>Oct</c:v>
                </c:pt>
                <c:pt idx="200">
                  <c:v>Oct</c:v>
                </c:pt>
                <c:pt idx="201">
                  <c:v>Oct</c:v>
                </c:pt>
                <c:pt idx="202">
                  <c:v>Oct</c:v>
                </c:pt>
                <c:pt idx="203">
                  <c:v>Oct</c:v>
                </c:pt>
                <c:pt idx="204">
                  <c:v>Oct</c:v>
                </c:pt>
                <c:pt idx="205">
                  <c:v>Oct</c:v>
                </c:pt>
                <c:pt idx="206">
                  <c:v>Oct</c:v>
                </c:pt>
                <c:pt idx="207">
                  <c:v>Oct</c:v>
                </c:pt>
                <c:pt idx="208">
                  <c:v>Oct</c:v>
                </c:pt>
                <c:pt idx="209">
                  <c:v>Oct</c:v>
                </c:pt>
                <c:pt idx="210">
                  <c:v>Oct</c:v>
                </c:pt>
                <c:pt idx="211">
                  <c:v>Oct</c:v>
                </c:pt>
                <c:pt idx="212">
                  <c:v>Oct</c:v>
                </c:pt>
                <c:pt idx="213">
                  <c:v>Oct</c:v>
                </c:pt>
                <c:pt idx="214">
                  <c:v>Oct</c:v>
                </c:pt>
                <c:pt idx="215">
                  <c:v>Oct</c:v>
                </c:pt>
                <c:pt idx="216">
                  <c:v>Oct</c:v>
                </c:pt>
                <c:pt idx="217">
                  <c:v>Oct</c:v>
                </c:pt>
                <c:pt idx="218">
                  <c:v>Oct</c:v>
                </c:pt>
                <c:pt idx="219">
                  <c:v>Nov</c:v>
                </c:pt>
                <c:pt idx="220">
                  <c:v>Nov</c:v>
                </c:pt>
                <c:pt idx="221">
                  <c:v>Nov</c:v>
                </c:pt>
                <c:pt idx="222">
                  <c:v>Nov</c:v>
                </c:pt>
                <c:pt idx="223">
                  <c:v>Nov</c:v>
                </c:pt>
                <c:pt idx="224">
                  <c:v>Nov</c:v>
                </c:pt>
                <c:pt idx="225">
                  <c:v>Nov</c:v>
                </c:pt>
                <c:pt idx="226">
                  <c:v>Nov</c:v>
                </c:pt>
                <c:pt idx="227">
                  <c:v>Nov</c:v>
                </c:pt>
                <c:pt idx="228">
                  <c:v>Nov</c:v>
                </c:pt>
                <c:pt idx="229">
                  <c:v>Nov</c:v>
                </c:pt>
                <c:pt idx="230">
                  <c:v>Nov</c:v>
                </c:pt>
                <c:pt idx="231">
                  <c:v>Nov</c:v>
                </c:pt>
                <c:pt idx="232">
                  <c:v>Nov</c:v>
                </c:pt>
                <c:pt idx="233">
                  <c:v>Nov</c:v>
                </c:pt>
                <c:pt idx="234">
                  <c:v>Nov</c:v>
                </c:pt>
                <c:pt idx="235">
                  <c:v>Nov</c:v>
                </c:pt>
                <c:pt idx="236">
                  <c:v>Nov</c:v>
                </c:pt>
                <c:pt idx="237">
                  <c:v>Nov</c:v>
                </c:pt>
                <c:pt idx="238">
                  <c:v>Nov</c:v>
                </c:pt>
                <c:pt idx="239">
                  <c:v>Nov</c:v>
                </c:pt>
                <c:pt idx="240">
                  <c:v>Dec</c:v>
                </c:pt>
                <c:pt idx="241">
                  <c:v>Dec</c:v>
                </c:pt>
                <c:pt idx="242">
                  <c:v>Dec</c:v>
                </c:pt>
                <c:pt idx="243">
                  <c:v>Dec</c:v>
                </c:pt>
                <c:pt idx="244">
                  <c:v>Dec</c:v>
                </c:pt>
                <c:pt idx="245">
                  <c:v>Dec</c:v>
                </c:pt>
                <c:pt idx="246">
                  <c:v>Dec</c:v>
                </c:pt>
                <c:pt idx="247">
                  <c:v>Dec</c:v>
                </c:pt>
                <c:pt idx="248">
                  <c:v>Dec</c:v>
                </c:pt>
                <c:pt idx="249">
                  <c:v>Dec</c:v>
                </c:pt>
                <c:pt idx="250">
                  <c:v>Dec</c:v>
                </c:pt>
                <c:pt idx="251">
                  <c:v>Dec</c:v>
                </c:pt>
                <c:pt idx="252">
                  <c:v>Dec</c:v>
                </c:pt>
                <c:pt idx="253">
                  <c:v>Dec</c:v>
                </c:pt>
                <c:pt idx="254">
                  <c:v>Dec</c:v>
                </c:pt>
                <c:pt idx="255">
                  <c:v>Dec</c:v>
                </c:pt>
                <c:pt idx="256">
                  <c:v>Dec</c:v>
                </c:pt>
                <c:pt idx="257">
                  <c:v>Dec</c:v>
                </c:pt>
                <c:pt idx="258">
                  <c:v>Dec</c:v>
                </c:pt>
                <c:pt idx="259">
                  <c:v>Dec</c:v>
                </c:pt>
                <c:pt idx="260">
                  <c:v>Dec</c:v>
                </c:pt>
                <c:pt idx="261">
                  <c:v>Dec</c:v>
                </c:pt>
                <c:pt idx="262">
                  <c:v>Jan</c:v>
                </c:pt>
                <c:pt idx="263">
                  <c:v>Jan</c:v>
                </c:pt>
                <c:pt idx="264">
                  <c:v>Jan</c:v>
                </c:pt>
                <c:pt idx="265">
                  <c:v>Jan</c:v>
                </c:pt>
                <c:pt idx="266">
                  <c:v>Jan</c:v>
                </c:pt>
                <c:pt idx="267">
                  <c:v>Jan</c:v>
                </c:pt>
                <c:pt idx="268">
                  <c:v>Jan</c:v>
                </c:pt>
                <c:pt idx="269">
                  <c:v>Jan</c:v>
                </c:pt>
                <c:pt idx="270">
                  <c:v>Jan</c:v>
                </c:pt>
                <c:pt idx="271">
                  <c:v>Jan</c:v>
                </c:pt>
                <c:pt idx="272">
                  <c:v>Jan</c:v>
                </c:pt>
                <c:pt idx="273">
                  <c:v>Jan</c:v>
                </c:pt>
                <c:pt idx="274">
                  <c:v>Jan</c:v>
                </c:pt>
                <c:pt idx="275">
                  <c:v>Jan</c:v>
                </c:pt>
                <c:pt idx="276">
                  <c:v>Jan</c:v>
                </c:pt>
                <c:pt idx="277">
                  <c:v>Jan</c:v>
                </c:pt>
                <c:pt idx="278">
                  <c:v>Jan</c:v>
                </c:pt>
                <c:pt idx="279">
                  <c:v>Jan</c:v>
                </c:pt>
                <c:pt idx="280">
                  <c:v>Jan</c:v>
                </c:pt>
                <c:pt idx="281">
                  <c:v>Jan</c:v>
                </c:pt>
                <c:pt idx="282">
                  <c:v>Jan</c:v>
                </c:pt>
                <c:pt idx="283">
                  <c:v>Jan</c:v>
                </c:pt>
                <c:pt idx="284">
                  <c:v>Jan</c:v>
                </c:pt>
                <c:pt idx="285">
                  <c:v>Feb</c:v>
                </c:pt>
                <c:pt idx="286">
                  <c:v>Feb</c:v>
                </c:pt>
                <c:pt idx="287">
                  <c:v>Feb</c:v>
                </c:pt>
                <c:pt idx="288">
                  <c:v>Feb</c:v>
                </c:pt>
                <c:pt idx="289">
                  <c:v>Feb</c:v>
                </c:pt>
                <c:pt idx="290">
                  <c:v>Feb</c:v>
                </c:pt>
                <c:pt idx="291">
                  <c:v>Feb</c:v>
                </c:pt>
                <c:pt idx="292">
                  <c:v>Feb</c:v>
                </c:pt>
                <c:pt idx="293">
                  <c:v>Feb</c:v>
                </c:pt>
                <c:pt idx="294">
                  <c:v>Feb</c:v>
                </c:pt>
                <c:pt idx="295">
                  <c:v>Feb</c:v>
                </c:pt>
                <c:pt idx="296">
                  <c:v>Feb</c:v>
                </c:pt>
                <c:pt idx="297">
                  <c:v>Feb</c:v>
                </c:pt>
                <c:pt idx="298">
                  <c:v>Feb</c:v>
                </c:pt>
                <c:pt idx="299">
                  <c:v>Feb</c:v>
                </c:pt>
                <c:pt idx="300">
                  <c:v>Feb</c:v>
                </c:pt>
                <c:pt idx="301">
                  <c:v>Feb</c:v>
                </c:pt>
                <c:pt idx="302">
                  <c:v>Feb</c:v>
                </c:pt>
                <c:pt idx="303">
                  <c:v>Feb</c:v>
                </c:pt>
                <c:pt idx="304">
                  <c:v>Feb</c:v>
                </c:pt>
                <c:pt idx="305">
                  <c:v>Mar</c:v>
                </c:pt>
                <c:pt idx="306">
                  <c:v>Mar</c:v>
                </c:pt>
                <c:pt idx="307">
                  <c:v>Mar</c:v>
                </c:pt>
                <c:pt idx="308">
                  <c:v>Mar</c:v>
                </c:pt>
                <c:pt idx="309">
                  <c:v>Mar</c:v>
                </c:pt>
                <c:pt idx="310">
                  <c:v>Mar</c:v>
                </c:pt>
                <c:pt idx="311">
                  <c:v>Mar</c:v>
                </c:pt>
                <c:pt idx="312">
                  <c:v>Mar</c:v>
                </c:pt>
                <c:pt idx="313">
                  <c:v>Mar</c:v>
                </c:pt>
                <c:pt idx="314">
                  <c:v>Mar</c:v>
                </c:pt>
                <c:pt idx="315">
                  <c:v>Mar</c:v>
                </c:pt>
                <c:pt idx="316">
                  <c:v>Mar</c:v>
                </c:pt>
                <c:pt idx="317">
                  <c:v>Mar</c:v>
                </c:pt>
                <c:pt idx="318">
                  <c:v>Mar</c:v>
                </c:pt>
                <c:pt idx="319">
                  <c:v>Mar</c:v>
                </c:pt>
                <c:pt idx="320">
                  <c:v>Mar</c:v>
                </c:pt>
                <c:pt idx="321">
                  <c:v>Mar</c:v>
                </c:pt>
                <c:pt idx="322">
                  <c:v>Mar</c:v>
                </c:pt>
                <c:pt idx="323">
                  <c:v>Mar</c:v>
                </c:pt>
                <c:pt idx="324">
                  <c:v>Mar</c:v>
                </c:pt>
                <c:pt idx="325">
                  <c:v>Mar</c:v>
                </c:pt>
              </c:strCache>
            </c:strRef>
          </c:cat>
          <c:val>
            <c:numRef>
              <c:f>'Chart Data'!$AL$1046:$AL$1371</c:f>
              <c:numCache>
                <c:formatCode>0.0</c:formatCode>
                <c:ptCount val="326"/>
                <c:pt idx="0">
                  <c:v>#N/A</c:v>
                </c:pt>
                <c:pt idx="1">
                  <c:v>86.957000000000022</c:v>
                </c:pt>
                <c:pt idx="2">
                  <c:v>90.122</c:v>
                </c:pt>
                <c:pt idx="3">
                  <c:v>92.115000000000009</c:v>
                </c:pt>
                <c:pt idx="4">
                  <c:v>94.22399999999999</c:v>
                </c:pt>
                <c:pt idx="5">
                  <c:v>87.926999999999992</c:v>
                </c:pt>
                <c:pt idx="6">
                  <c:v>85.876999999999995</c:v>
                </c:pt>
                <c:pt idx="7">
                  <c:v>86.495999999999995</c:v>
                </c:pt>
                <c:pt idx="8">
                  <c:v>86.209000000000017</c:v>
                </c:pt>
                <c:pt idx="9">
                  <c:v>88.323000000000008</c:v>
                </c:pt>
                <c:pt idx="10">
                  <c:v>83.870999999999995</c:v>
                </c:pt>
                <c:pt idx="11">
                  <c:v>83.224999999999994</c:v>
                </c:pt>
                <c:pt idx="12">
                  <c:v>78.671999999999997</c:v>
                </c:pt>
                <c:pt idx="13">
                  <c:v>79.47999999999999</c:v>
                </c:pt>
                <c:pt idx="14">
                  <c:v>81.239000000000004</c:v>
                </c:pt>
                <c:pt idx="15">
                  <c:v>79.027000000000001</c:v>
                </c:pt>
                <c:pt idx="16">
                  <c:v>79.623000000000005</c:v>
                </c:pt>
                <c:pt idx="17">
                  <c:v>82.992000000000004</c:v>
                </c:pt>
                <c:pt idx="18">
                  <c:v>80.782999999999987</c:v>
                </c:pt>
                <c:pt idx="19">
                  <c:v>81.174000000000007</c:v>
                </c:pt>
                <c:pt idx="20">
                  <c:v>81.131</c:v>
                </c:pt>
                <c:pt idx="21">
                  <c:v>83.281000000000006</c:v>
                </c:pt>
                <c:pt idx="22">
                  <c:v>85.459000000000003</c:v>
                </c:pt>
                <c:pt idx="23">
                  <c:v>83.840999999999994</c:v>
                </c:pt>
                <c:pt idx="24">
                  <c:v>83.843000000000004</c:v>
                </c:pt>
                <c:pt idx="25">
                  <c:v>81.703999999999994</c:v>
                </c:pt>
                <c:pt idx="26">
                  <c:v>81.48</c:v>
                </c:pt>
                <c:pt idx="27">
                  <c:v>79.951999999999998</c:v>
                </c:pt>
                <c:pt idx="28">
                  <c:v>78.363</c:v>
                </c:pt>
                <c:pt idx="29">
                  <c:v>76.201999999999984</c:v>
                </c:pt>
                <c:pt idx="30">
                  <c:v>74.190000000000012</c:v>
                </c:pt>
                <c:pt idx="31">
                  <c:v>73</c:v>
                </c:pt>
                <c:pt idx="32">
                  <c:v>71.641999999999996</c:v>
                </c:pt>
                <c:pt idx="33">
                  <c:v>72.096000000000004</c:v>
                </c:pt>
                <c:pt idx="34">
                  <c:v>72.027000000000001</c:v>
                </c:pt>
                <c:pt idx="35">
                  <c:v>69.853999999999985</c:v>
                </c:pt>
                <c:pt idx="36">
                  <c:v>71.338999999999999</c:v>
                </c:pt>
                <c:pt idx="37">
                  <c:v>71.042999999999992</c:v>
                </c:pt>
                <c:pt idx="38">
                  <c:v>69.286000000000016</c:v>
                </c:pt>
                <c:pt idx="39">
                  <c:v>67.635999999999996</c:v>
                </c:pt>
                <c:pt idx="40">
                  <c:v>69.75</c:v>
                </c:pt>
                <c:pt idx="41">
                  <c:v>71.080000000000013</c:v>
                </c:pt>
                <c:pt idx="42">
                  <c:v>74.072999999999993</c:v>
                </c:pt>
                <c:pt idx="43">
                  <c:v>73.602000000000004</c:v>
                </c:pt>
                <c:pt idx="44">
                  <c:v>75.474999999999994</c:v>
                </c:pt>
                <c:pt idx="45">
                  <c:v>77.259999999999991</c:v>
                </c:pt>
                <c:pt idx="46">
                  <c:v>78.34</c:v>
                </c:pt>
                <c:pt idx="47">
                  <c:v>77.013999999999996</c:v>
                </c:pt>
                <c:pt idx="48">
                  <c:v>75.41</c:v>
                </c:pt>
                <c:pt idx="49">
                  <c:v>75.772000000000006</c:v>
                </c:pt>
                <c:pt idx="50">
                  <c:v>73.105000000000004</c:v>
                </c:pt>
                <c:pt idx="51">
                  <c:v>72.304000000000002</c:v>
                </c:pt>
                <c:pt idx="52">
                  <c:v>72.376000000000005</c:v>
                </c:pt>
                <c:pt idx="53">
                  <c:v>74.725999999999999</c:v>
                </c:pt>
                <c:pt idx="54">
                  <c:v>76.739999999999995</c:v>
                </c:pt>
                <c:pt idx="55">
                  <c:v>80.349000000000018</c:v>
                </c:pt>
                <c:pt idx="56">
                  <c:v>80.463999999999999</c:v>
                </c:pt>
                <c:pt idx="57">
                  <c:v>78.214999999999989</c:v>
                </c:pt>
                <c:pt idx="58">
                  <c:v>76.177999999999997</c:v>
                </c:pt>
                <c:pt idx="59">
                  <c:v>79.319000000000003</c:v>
                </c:pt>
                <c:pt idx="60">
                  <c:v>81.40100000000001</c:v>
                </c:pt>
                <c:pt idx="61">
                  <c:v>78.719000000000008</c:v>
                </c:pt>
                <c:pt idx="62">
                  <c:v>80.01700000000001</c:v>
                </c:pt>
                <c:pt idx="63">
                  <c:v>79.832999999999998</c:v>
                </c:pt>
                <c:pt idx="64">
                  <c:v>#N/A</c:v>
                </c:pt>
                <c:pt idx="65">
                  <c:v>79.832999999999998</c:v>
                </c:pt>
                <c:pt idx="66">
                  <c:v>77.749999999999986</c:v>
                </c:pt>
                <c:pt idx="67">
                  <c:v>76.869</c:v>
                </c:pt>
                <c:pt idx="68">
                  <c:v>78.063999999999993</c:v>
                </c:pt>
                <c:pt idx="69">
                  <c:v>79.638999999999996</c:v>
                </c:pt>
                <c:pt idx="70">
                  <c:v>83.333000000000013</c:v>
                </c:pt>
                <c:pt idx="71">
                  <c:v>82.622</c:v>
                </c:pt>
                <c:pt idx="72">
                  <c:v>82.421999999999997</c:v>
                </c:pt>
                <c:pt idx="73">
                  <c:v>88.166000000000011</c:v>
                </c:pt>
                <c:pt idx="74">
                  <c:v>91.170999999999992</c:v>
                </c:pt>
                <c:pt idx="75">
                  <c:v>91.075999999999993</c:v>
                </c:pt>
                <c:pt idx="76">
                  <c:v>94.820000000000007</c:v>
                </c:pt>
                <c:pt idx="77">
                  <c:v>90.589000000000013</c:v>
                </c:pt>
                <c:pt idx="78">
                  <c:v>93.186000000000007</c:v>
                </c:pt>
                <c:pt idx="79">
                  <c:v>90.126000000000005</c:v>
                </c:pt>
                <c:pt idx="80">
                  <c:v>87.224999999999994</c:v>
                </c:pt>
                <c:pt idx="81">
                  <c:v>85.106999999999999</c:v>
                </c:pt>
                <c:pt idx="82">
                  <c:v>85.969000000000023</c:v>
                </c:pt>
                <c:pt idx="83">
                  <c:v>87.585999999999984</c:v>
                </c:pt>
                <c:pt idx="84">
                  <c:v>85.992999999999995</c:v>
                </c:pt>
                <c:pt idx="85">
                  <c:v>83.339999999999989</c:v>
                </c:pt>
                <c:pt idx="86">
                  <c:v>86.612999999999971</c:v>
                </c:pt>
                <c:pt idx="87">
                  <c:v>85.984000000000009</c:v>
                </c:pt>
                <c:pt idx="88">
                  <c:v>90.929000000000002</c:v>
                </c:pt>
                <c:pt idx="89">
                  <c:v>90.201999999999998</c:v>
                </c:pt>
                <c:pt idx="90">
                  <c:v>90.201999999999998</c:v>
                </c:pt>
                <c:pt idx="91">
                  <c:v>91.635999999999996</c:v>
                </c:pt>
                <c:pt idx="92">
                  <c:v>90.885999999999996</c:v>
                </c:pt>
                <c:pt idx="93">
                  <c:v>92.035999999999987</c:v>
                </c:pt>
                <c:pt idx="94">
                  <c:v>90.436000000000007</c:v>
                </c:pt>
                <c:pt idx="95">
                  <c:v>89.507999999999996</c:v>
                </c:pt>
                <c:pt idx="96">
                  <c:v>90.626999999999995</c:v>
                </c:pt>
                <c:pt idx="97">
                  <c:v>90.290999999999983</c:v>
                </c:pt>
                <c:pt idx="98">
                  <c:v>91.446999999999989</c:v>
                </c:pt>
                <c:pt idx="99">
                  <c:v>92.003</c:v>
                </c:pt>
                <c:pt idx="100">
                  <c:v>94.126999999999995</c:v>
                </c:pt>
                <c:pt idx="101">
                  <c:v>97.021000000000001</c:v>
                </c:pt>
                <c:pt idx="102">
                  <c:v>99.528000000000006</c:v>
                </c:pt>
                <c:pt idx="103">
                  <c:v>100.967</c:v>
                </c:pt>
                <c:pt idx="104">
                  <c:v>98.262000000000015</c:v>
                </c:pt>
                <c:pt idx="105">
                  <c:v>98.262000000000015</c:v>
                </c:pt>
                <c:pt idx="106">
                  <c:v>97.069000000000003</c:v>
                </c:pt>
                <c:pt idx="107">
                  <c:v>97.972000000000008</c:v>
                </c:pt>
                <c:pt idx="108">
                  <c:v>99.941000000000003</c:v>
                </c:pt>
                <c:pt idx="109">
                  <c:v>97.003999999999991</c:v>
                </c:pt>
                <c:pt idx="110">
                  <c:v>99.364999999999981</c:v>
                </c:pt>
                <c:pt idx="111">
                  <c:v>95.001999999999995</c:v>
                </c:pt>
                <c:pt idx="112">
                  <c:v>93.339999999999989</c:v>
                </c:pt>
                <c:pt idx="113">
                  <c:v>93.638999999999996</c:v>
                </c:pt>
                <c:pt idx="114">
                  <c:v>92.594999999999999</c:v>
                </c:pt>
                <c:pt idx="115">
                  <c:v>94.742999999999995</c:v>
                </c:pt>
                <c:pt idx="116">
                  <c:v>93.969000000000008</c:v>
                </c:pt>
                <c:pt idx="117">
                  <c:v>95.681999999999988</c:v>
                </c:pt>
                <c:pt idx="118">
                  <c:v>96.365999999999985</c:v>
                </c:pt>
                <c:pt idx="119">
                  <c:v>95.697000000000003</c:v>
                </c:pt>
                <c:pt idx="120">
                  <c:v>94.121999999999986</c:v>
                </c:pt>
                <c:pt idx="121">
                  <c:v>95.658000000000001</c:v>
                </c:pt>
                <c:pt idx="122">
                  <c:v>97.437999999999988</c:v>
                </c:pt>
                <c:pt idx="123">
                  <c:v>96.978999999999999</c:v>
                </c:pt>
                <c:pt idx="124">
                  <c:v>95.832999999999998</c:v>
                </c:pt>
                <c:pt idx="125">
                  <c:v>95.849000000000018</c:v>
                </c:pt>
                <c:pt idx="126">
                  <c:v>97.025000000000006</c:v>
                </c:pt>
                <c:pt idx="127">
                  <c:v>95.275000000000006</c:v>
                </c:pt>
                <c:pt idx="128">
                  <c:v>96.902999999999992</c:v>
                </c:pt>
                <c:pt idx="129">
                  <c:v>96.378999999999991</c:v>
                </c:pt>
                <c:pt idx="130">
                  <c:v>95.337999999999994</c:v>
                </c:pt>
                <c:pt idx="131">
                  <c:v>96.631999999999991</c:v>
                </c:pt>
                <c:pt idx="132">
                  <c:v>95.214999999999989</c:v>
                </c:pt>
                <c:pt idx="133">
                  <c:v>96.171000000000006</c:v>
                </c:pt>
                <c:pt idx="134">
                  <c:v>95.147000000000006</c:v>
                </c:pt>
                <c:pt idx="135">
                  <c:v>93.981999999999999</c:v>
                </c:pt>
                <c:pt idx="136">
                  <c:v>91.847999999999985</c:v>
                </c:pt>
                <c:pt idx="137">
                  <c:v>90.587000000000003</c:v>
                </c:pt>
                <c:pt idx="138">
                  <c:v>91.142999999999986</c:v>
                </c:pt>
                <c:pt idx="139">
                  <c:v>92.085000000000008</c:v>
                </c:pt>
                <c:pt idx="140">
                  <c:v>91.383999999999986</c:v>
                </c:pt>
                <c:pt idx="141">
                  <c:v>93.617999999999995</c:v>
                </c:pt>
                <c:pt idx="142">
                  <c:v>91.831000000000003</c:v>
                </c:pt>
                <c:pt idx="143">
                  <c:v>93.136999999999986</c:v>
                </c:pt>
                <c:pt idx="144">
                  <c:v>92.425000000000011</c:v>
                </c:pt>
                <c:pt idx="145">
                  <c:v>91.832999999999998</c:v>
                </c:pt>
                <c:pt idx="146">
                  <c:v>91.254999999999995</c:v>
                </c:pt>
                <c:pt idx="147">
                  <c:v>93.580000000000013</c:v>
                </c:pt>
                <c:pt idx="148">
                  <c:v>92.694000000000003</c:v>
                </c:pt>
                <c:pt idx="149">
                  <c:v>93.986000000000004</c:v>
                </c:pt>
                <c:pt idx="150">
                  <c:v>96.122</c:v>
                </c:pt>
                <c:pt idx="151">
                  <c:v>96.835999999999999</c:v>
                </c:pt>
                <c:pt idx="152">
                  <c:v>97.67</c:v>
                </c:pt>
                <c:pt idx="153">
                  <c:v>99.844999999999999</c:v>
                </c:pt>
                <c:pt idx="154">
                  <c:v>100.274</c:v>
                </c:pt>
                <c:pt idx="155">
                  <c:v>98.527999999999992</c:v>
                </c:pt>
                <c:pt idx="156">
                  <c:v>99.83</c:v>
                </c:pt>
                <c:pt idx="157">
                  <c:v>103.008</c:v>
                </c:pt>
                <c:pt idx="158">
                  <c:v>105.843</c:v>
                </c:pt>
                <c:pt idx="159">
                  <c:v>106.551</c:v>
                </c:pt>
                <c:pt idx="160">
                  <c:v>105.61299999999999</c:v>
                </c:pt>
                <c:pt idx="161">
                  <c:v>105.649</c:v>
                </c:pt>
                <c:pt idx="162">
                  <c:v>106.20199999999997</c:v>
                </c:pt>
                <c:pt idx="163">
                  <c:v>107.21700000000001</c:v>
                </c:pt>
                <c:pt idx="164">
                  <c:v>107.27800000000002</c:v>
                </c:pt>
                <c:pt idx="165">
                  <c:v>106.81099999999999</c:v>
                </c:pt>
                <c:pt idx="166">
                  <c:v>102.71100000000001</c:v>
                </c:pt>
                <c:pt idx="167">
                  <c:v>100.87899999999999</c:v>
                </c:pt>
                <c:pt idx="168">
                  <c:v>99.646000000000015</c:v>
                </c:pt>
                <c:pt idx="169">
                  <c:v>100.62500000000001</c:v>
                </c:pt>
                <c:pt idx="170">
                  <c:v>100.62500000000001</c:v>
                </c:pt>
                <c:pt idx="171">
                  <c:v>102.78700000000001</c:v>
                </c:pt>
                <c:pt idx="172">
                  <c:v>101.72899999999998</c:v>
                </c:pt>
                <c:pt idx="173">
                  <c:v>101.25100000000002</c:v>
                </c:pt>
                <c:pt idx="174">
                  <c:v>102.06100000000001</c:v>
                </c:pt>
                <c:pt idx="175">
                  <c:v>100.15499999999999</c:v>
                </c:pt>
                <c:pt idx="176">
                  <c:v>97.86</c:v>
                </c:pt>
                <c:pt idx="177">
                  <c:v>95.013000000000005</c:v>
                </c:pt>
                <c:pt idx="178">
                  <c:v>95.407000000000011</c:v>
                </c:pt>
                <c:pt idx="179">
                  <c:v>95.510000000000019</c:v>
                </c:pt>
                <c:pt idx="180">
                  <c:v>96.65</c:v>
                </c:pt>
                <c:pt idx="181">
                  <c:v>92.775000000000006</c:v>
                </c:pt>
                <c:pt idx="182">
                  <c:v>93.754000000000005</c:v>
                </c:pt>
                <c:pt idx="183">
                  <c:v>91.297999999999988</c:v>
                </c:pt>
                <c:pt idx="184">
                  <c:v>91.996000000000009</c:v>
                </c:pt>
                <c:pt idx="185">
                  <c:v>88.628</c:v>
                </c:pt>
                <c:pt idx="186">
                  <c:v>92.319000000000003</c:v>
                </c:pt>
                <c:pt idx="187">
                  <c:v>92.152999999999992</c:v>
                </c:pt>
                <c:pt idx="188">
                  <c:v>86.198000000000008</c:v>
                </c:pt>
                <c:pt idx="189">
                  <c:v>88.193999999999988</c:v>
                </c:pt>
                <c:pt idx="190">
                  <c:v>90.282000000000011</c:v>
                </c:pt>
                <c:pt idx="191">
                  <c:v>88.953000000000003</c:v>
                </c:pt>
                <c:pt idx="192">
                  <c:v>92.051999999999992</c:v>
                </c:pt>
                <c:pt idx="193">
                  <c:v>92.825999999999993</c:v>
                </c:pt>
                <c:pt idx="194">
                  <c:v>93.576999999999998</c:v>
                </c:pt>
                <c:pt idx="195">
                  <c:v>94.160999999999987</c:v>
                </c:pt>
                <c:pt idx="196">
                  <c:v>95.064999999999984</c:v>
                </c:pt>
                <c:pt idx="197">
                  <c:v>94.528999999999996</c:v>
                </c:pt>
                <c:pt idx="198">
                  <c:v>97.179000000000002</c:v>
                </c:pt>
                <c:pt idx="199">
                  <c:v>98.713999999999984</c:v>
                </c:pt>
                <c:pt idx="200">
                  <c:v>98.429000000000002</c:v>
                </c:pt>
                <c:pt idx="201">
                  <c:v>95.683999999999997</c:v>
                </c:pt>
                <c:pt idx="202">
                  <c:v>94.102000000000004</c:v>
                </c:pt>
                <c:pt idx="203">
                  <c:v>97.867000000000004</c:v>
                </c:pt>
                <c:pt idx="204">
                  <c:v>97.164999999999992</c:v>
                </c:pt>
                <c:pt idx="205">
                  <c:v>98.582999999999998</c:v>
                </c:pt>
                <c:pt idx="206">
                  <c:v>97.044999999999987</c:v>
                </c:pt>
                <c:pt idx="207">
                  <c:v>95.789000000000001</c:v>
                </c:pt>
                <c:pt idx="208">
                  <c:v>95.820999999999998</c:v>
                </c:pt>
                <c:pt idx="209">
                  <c:v>95.016999999999996</c:v>
                </c:pt>
                <c:pt idx="210">
                  <c:v>96.381999999999991</c:v>
                </c:pt>
                <c:pt idx="211">
                  <c:v>97.953999999999994</c:v>
                </c:pt>
                <c:pt idx="212">
                  <c:v>99.447000000000003</c:v>
                </c:pt>
                <c:pt idx="213">
                  <c:v>101.06999999999998</c:v>
                </c:pt>
                <c:pt idx="214">
                  <c:v>103.26100000000001</c:v>
                </c:pt>
                <c:pt idx="215">
                  <c:v>101.45699999999999</c:v>
                </c:pt>
                <c:pt idx="216">
                  <c:v>101.63700000000001</c:v>
                </c:pt>
                <c:pt idx="217">
                  <c:v>98.790999999999997</c:v>
                </c:pt>
                <c:pt idx="218">
                  <c:v>98.971999999999994</c:v>
                </c:pt>
                <c:pt idx="219">
                  <c:v>94.987000000000009</c:v>
                </c:pt>
                <c:pt idx="220">
                  <c:v>96.967000000000013</c:v>
                </c:pt>
                <c:pt idx="221">
                  <c:v>97.265000000000001</c:v>
                </c:pt>
                <c:pt idx="222">
                  <c:v>96.508999999999986</c:v>
                </c:pt>
                <c:pt idx="223">
                  <c:v>98.430999999999997</c:v>
                </c:pt>
                <c:pt idx="224">
                  <c:v>99.545000000000002</c:v>
                </c:pt>
                <c:pt idx="225">
                  <c:v>101.749</c:v>
                </c:pt>
                <c:pt idx="226">
                  <c:v>103.354</c:v>
                </c:pt>
                <c:pt idx="227">
                  <c:v>102.52799999999999</c:v>
                </c:pt>
                <c:pt idx="228">
                  <c:v>106.75999999999999</c:v>
                </c:pt>
                <c:pt idx="229">
                  <c:v>107.907</c:v>
                </c:pt>
                <c:pt idx="230">
                  <c:v>109.05600000000001</c:v>
                </c:pt>
                <c:pt idx="231">
                  <c:v>106.72500000000002</c:v>
                </c:pt>
                <c:pt idx="232">
                  <c:v>108.047</c:v>
                </c:pt>
                <c:pt idx="233">
                  <c:v>111.93600000000001</c:v>
                </c:pt>
                <c:pt idx="234">
                  <c:v>109.06700000000001</c:v>
                </c:pt>
                <c:pt idx="235">
                  <c:v>110.85400000000001</c:v>
                </c:pt>
                <c:pt idx="236">
                  <c:v>110.369</c:v>
                </c:pt>
                <c:pt idx="237">
                  <c:v>109.274</c:v>
                </c:pt>
                <c:pt idx="238">
                  <c:v>108.548</c:v>
                </c:pt>
                <c:pt idx="239">
                  <c:v>110.001</c:v>
                </c:pt>
                <c:pt idx="240">
                  <c:v>111.208</c:v>
                </c:pt>
                <c:pt idx="241">
                  <c:v>110.37100000000001</c:v>
                </c:pt>
                <c:pt idx="242">
                  <c:v>107.83</c:v>
                </c:pt>
                <c:pt idx="243">
                  <c:v>106.81399999999999</c:v>
                </c:pt>
                <c:pt idx="244">
                  <c:v>106.748</c:v>
                </c:pt>
                <c:pt idx="245">
                  <c:v>103.994</c:v>
                </c:pt>
                <c:pt idx="246">
                  <c:v>105.21300000000001</c:v>
                </c:pt>
                <c:pt idx="247">
                  <c:v>104.08199999999999</c:v>
                </c:pt>
                <c:pt idx="248">
                  <c:v>100.97200000000001</c:v>
                </c:pt>
                <c:pt idx="249">
                  <c:v>99.002999999999986</c:v>
                </c:pt>
                <c:pt idx="250">
                  <c:v>97.048000000000002</c:v>
                </c:pt>
                <c:pt idx="251">
                  <c:v>100.71700000000001</c:v>
                </c:pt>
                <c:pt idx="252">
                  <c:v>99.12299999999999</c:v>
                </c:pt>
                <c:pt idx="253">
                  <c:v>103.51499999999999</c:v>
                </c:pt>
                <c:pt idx="254">
                  <c:v>105.45599999999999</c:v>
                </c:pt>
                <c:pt idx="255">
                  <c:v>108.45099999999998</c:v>
                </c:pt>
                <c:pt idx="256">
                  <c:v>109.099</c:v>
                </c:pt>
                <c:pt idx="257">
                  <c:v>#N/A</c:v>
                </c:pt>
                <c:pt idx="258">
                  <c:v>109.099</c:v>
                </c:pt>
                <c:pt idx="259">
                  <c:v>113.05</c:v>
                </c:pt>
                <c:pt idx="260">
                  <c:v>112.99100000000001</c:v>
                </c:pt>
                <c:pt idx="261">
                  <c:v>114.68999999999998</c:v>
                </c:pt>
                <c:pt idx="262">
                  <c:v>#N/A</c:v>
                </c:pt>
                <c:pt idx="263">
                  <c:v>117.38199999999999</c:v>
                </c:pt>
                <c:pt idx="264">
                  <c:v>116.54</c:v>
                </c:pt>
                <c:pt idx="265">
                  <c:v>113.029</c:v>
                </c:pt>
                <c:pt idx="266">
                  <c:v>113.93299999999999</c:v>
                </c:pt>
                <c:pt idx="267">
                  <c:v>110.55799999999999</c:v>
                </c:pt>
                <c:pt idx="268">
                  <c:v>110.196</c:v>
                </c:pt>
                <c:pt idx="269">
                  <c:v>110.96599999999998</c:v>
                </c:pt>
                <c:pt idx="270">
                  <c:v>117.85799999999999</c:v>
                </c:pt>
                <c:pt idx="271">
                  <c:v>115.41599999999998</c:v>
                </c:pt>
                <c:pt idx="272">
                  <c:v>115.104</c:v>
                </c:pt>
                <c:pt idx="273">
                  <c:v>114.26500000000001</c:v>
                </c:pt>
                <c:pt idx="274">
                  <c:v>116.31599999999999</c:v>
                </c:pt>
                <c:pt idx="275">
                  <c:v>117.58400000000002</c:v>
                </c:pt>
                <c:pt idx="276">
                  <c:v>120.17699999999998</c:v>
                </c:pt>
                <c:pt idx="277">
                  <c:v>116.68999999999998</c:v>
                </c:pt>
                <c:pt idx="278">
                  <c:v>117.252</c:v>
                </c:pt>
                <c:pt idx="279">
                  <c:v>117.977</c:v>
                </c:pt>
                <c:pt idx="280">
                  <c:v>114.548</c:v>
                </c:pt>
                <c:pt idx="281">
                  <c:v>114.61199999999999</c:v>
                </c:pt>
                <c:pt idx="282">
                  <c:v>119.574</c:v>
                </c:pt>
                <c:pt idx="283">
                  <c:v>118.646</c:v>
                </c:pt>
                <c:pt idx="284">
                  <c:v>120.364</c:v>
                </c:pt>
                <c:pt idx="285">
                  <c:v>120.22799999999999</c:v>
                </c:pt>
                <c:pt idx="286">
                  <c:v>118.54099999999998</c:v>
                </c:pt>
                <c:pt idx="287">
                  <c:v>121.91199999999999</c:v>
                </c:pt>
                <c:pt idx="288">
                  <c:v>124.45599999999997</c:v>
                </c:pt>
                <c:pt idx="289">
                  <c:v>126.99600000000002</c:v>
                </c:pt>
                <c:pt idx="290">
                  <c:v>130.74599999999998</c:v>
                </c:pt>
                <c:pt idx="291">
                  <c:v>131.59399999999999</c:v>
                </c:pt>
                <c:pt idx="292">
                  <c:v>130.911</c:v>
                </c:pt>
                <c:pt idx="293">
                  <c:v>121.55600000000001</c:v>
                </c:pt>
                <c:pt idx="294">
                  <c:v>119.61800000000001</c:v>
                </c:pt>
                <c:pt idx="295">
                  <c:v>113.17</c:v>
                </c:pt>
                <c:pt idx="296">
                  <c:v>115.41000000000001</c:v>
                </c:pt>
                <c:pt idx="297">
                  <c:v>113.4</c:v>
                </c:pt>
                <c:pt idx="298">
                  <c:v>112.23200000000001</c:v>
                </c:pt>
                <c:pt idx="299">
                  <c:v>112.17</c:v>
                </c:pt>
                <c:pt idx="300">
                  <c:v>111.947</c:v>
                </c:pt>
                <c:pt idx="301">
                  <c:v>106.21299999999999</c:v>
                </c:pt>
                <c:pt idx="302">
                  <c:v>101.059</c:v>
                </c:pt>
                <c:pt idx="303">
                  <c:v>107.69500000000001</c:v>
                </c:pt>
                <c:pt idx="304">
                  <c:v>104.13800000000001</c:v>
                </c:pt>
                <c:pt idx="305">
                  <c:v>105.68499999999999</c:v>
                </c:pt>
                <c:pt idx="306">
                  <c:v>101.79300000000001</c:v>
                </c:pt>
                <c:pt idx="307">
                  <c:v>98.227000000000004</c:v>
                </c:pt>
                <c:pt idx="308">
                  <c:v>92.131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0A1-4B22-B2A2-1A456C814B5C}"/>
            </c:ext>
          </c:extLst>
        </c:ser>
        <c:ser>
          <c:idx val="1"/>
          <c:order val="1"/>
          <c:tx>
            <c:strRef>
              <c:f>'Chart Data'!$AR$2</c:f>
              <c:strCache>
                <c:ptCount val="1"/>
                <c:pt idx="0">
                  <c:v>Apr-24 cap</c:v>
                </c:pt>
              </c:strCache>
            </c:strRef>
          </c:tx>
          <c:spPr>
            <a:ln w="38100">
              <a:solidFill>
                <a:srgbClr val="003469"/>
              </a:solidFill>
              <a:prstDash val="solid"/>
            </a:ln>
          </c:spPr>
          <c:marker>
            <c:symbol val="none"/>
          </c:marker>
          <c:val>
            <c:numRef>
              <c:f>'Chart Data'!$AR$1046:$AR$1371</c:f>
              <c:numCache>
                <c:formatCode>0.0</c:formatCode>
                <c:ptCount val="326"/>
                <c:pt idx="0">
                  <c:v>92.593193548387077</c:v>
                </c:pt>
                <c:pt idx="1">
                  <c:v>92.593193548387077</c:v>
                </c:pt>
                <c:pt idx="2">
                  <c:v>92.593193548387077</c:v>
                </c:pt>
                <c:pt idx="3">
                  <c:v>92.593193548387077</c:v>
                </c:pt>
                <c:pt idx="4">
                  <c:v>92.593193548387077</c:v>
                </c:pt>
                <c:pt idx="5">
                  <c:v>92.593193548387077</c:v>
                </c:pt>
                <c:pt idx="6">
                  <c:v>92.593193548387077</c:v>
                </c:pt>
                <c:pt idx="7">
                  <c:v>92.593193548387077</c:v>
                </c:pt>
                <c:pt idx="8">
                  <c:v>92.593193548387077</c:v>
                </c:pt>
                <c:pt idx="9">
                  <c:v>92.593193548387077</c:v>
                </c:pt>
                <c:pt idx="10">
                  <c:v>92.593193548387077</c:v>
                </c:pt>
                <c:pt idx="11">
                  <c:v>92.593193548387077</c:v>
                </c:pt>
                <c:pt idx="12">
                  <c:v>92.593193548387077</c:v>
                </c:pt>
                <c:pt idx="13">
                  <c:v>92.593193548387077</c:v>
                </c:pt>
                <c:pt idx="14">
                  <c:v>92.593193548387077</c:v>
                </c:pt>
                <c:pt idx="15">
                  <c:v>92.593193548387077</c:v>
                </c:pt>
                <c:pt idx="16">
                  <c:v>92.593193548387077</c:v>
                </c:pt>
                <c:pt idx="17">
                  <c:v>92.593193548387077</c:v>
                </c:pt>
                <c:pt idx="18">
                  <c:v>92.593193548387077</c:v>
                </c:pt>
                <c:pt idx="19">
                  <c:v>92.593193548387077</c:v>
                </c:pt>
                <c:pt idx="20">
                  <c:v>92.593193548387077</c:v>
                </c:pt>
                <c:pt idx="21">
                  <c:v>92.593193548387077</c:v>
                </c:pt>
                <c:pt idx="22">
                  <c:v>92.593193548387077</c:v>
                </c:pt>
                <c:pt idx="23">
                  <c:v>92.593193548387077</c:v>
                </c:pt>
                <c:pt idx="24">
                  <c:v>92.593193548387077</c:v>
                </c:pt>
                <c:pt idx="25">
                  <c:v>92.593193548387077</c:v>
                </c:pt>
                <c:pt idx="26">
                  <c:v>92.593193548387077</c:v>
                </c:pt>
                <c:pt idx="27">
                  <c:v>92.593193548387077</c:v>
                </c:pt>
                <c:pt idx="28">
                  <c:v>92.593193548387077</c:v>
                </c:pt>
                <c:pt idx="29">
                  <c:v>92.593193548387077</c:v>
                </c:pt>
                <c:pt idx="30">
                  <c:v>92.593193548387077</c:v>
                </c:pt>
                <c:pt idx="31">
                  <c:v>92.593193548387077</c:v>
                </c:pt>
                <c:pt idx="32">
                  <c:v>92.593193548387077</c:v>
                </c:pt>
                <c:pt idx="33">
                  <c:v>92.593193548387077</c:v>
                </c:pt>
                <c:pt idx="34">
                  <c:v>92.593193548387077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0A1-4B22-B2A2-1A456C814B5C}"/>
            </c:ext>
          </c:extLst>
        </c:ser>
        <c:ser>
          <c:idx val="2"/>
          <c:order val="2"/>
          <c:tx>
            <c:strRef>
              <c:f>'Chart Data'!$AS$2</c:f>
              <c:strCache>
                <c:ptCount val="1"/>
                <c:pt idx="0">
                  <c:v>Jul-24 cap</c:v>
                </c:pt>
              </c:strCache>
            </c:strRef>
          </c:tx>
          <c:spPr>
            <a:ln w="38100">
              <a:solidFill>
                <a:srgbClr val="D1A21E"/>
              </a:solidFill>
              <a:prstDash val="solid"/>
            </a:ln>
          </c:spPr>
          <c:marker>
            <c:symbol val="none"/>
          </c:marker>
          <c:val>
            <c:numRef>
              <c:f>'Chart Data'!$AS$1046:$AS$1371</c:f>
              <c:numCache>
                <c:formatCode>General</c:formatCode>
                <c:ptCount val="326"/>
                <c:pt idx="35" formatCode="0.0">
                  <c:v>81.688301587301623</c:v>
                </c:pt>
                <c:pt idx="36" formatCode="0.0">
                  <c:v>81.688301587301623</c:v>
                </c:pt>
                <c:pt idx="37" formatCode="0.0">
                  <c:v>81.688301587301623</c:v>
                </c:pt>
                <c:pt idx="38" formatCode="0.0">
                  <c:v>81.688301587301623</c:v>
                </c:pt>
                <c:pt idx="39" formatCode="0.0">
                  <c:v>81.688301587301623</c:v>
                </c:pt>
                <c:pt idx="40" formatCode="0.0">
                  <c:v>81.688301587301623</c:v>
                </c:pt>
                <c:pt idx="41" formatCode="0.0">
                  <c:v>81.688301587301623</c:v>
                </c:pt>
                <c:pt idx="42" formatCode="0.0">
                  <c:v>81.688301587301623</c:v>
                </c:pt>
                <c:pt idx="43" formatCode="0.0">
                  <c:v>81.688301587301623</c:v>
                </c:pt>
                <c:pt idx="44" formatCode="0.0">
                  <c:v>81.688301587301623</c:v>
                </c:pt>
                <c:pt idx="45" formatCode="0.0">
                  <c:v>81.688301587301623</c:v>
                </c:pt>
                <c:pt idx="46" formatCode="0.0">
                  <c:v>81.688301587301623</c:v>
                </c:pt>
                <c:pt idx="47" formatCode="0.0">
                  <c:v>81.688301587301623</c:v>
                </c:pt>
                <c:pt idx="48" formatCode="0.0">
                  <c:v>81.688301587301623</c:v>
                </c:pt>
                <c:pt idx="49" formatCode="0.0">
                  <c:v>81.688301587301623</c:v>
                </c:pt>
                <c:pt idx="50" formatCode="0.0">
                  <c:v>81.688301587301623</c:v>
                </c:pt>
                <c:pt idx="51" formatCode="0.0">
                  <c:v>81.688301587301623</c:v>
                </c:pt>
                <c:pt idx="52" formatCode="0.0">
                  <c:v>81.688301587301623</c:v>
                </c:pt>
                <c:pt idx="53" formatCode="0.0">
                  <c:v>81.688301587301623</c:v>
                </c:pt>
                <c:pt idx="54" formatCode="0.0">
                  <c:v>81.688301587301623</c:v>
                </c:pt>
                <c:pt idx="55" formatCode="0.0">
                  <c:v>81.688301587301623</c:v>
                </c:pt>
                <c:pt idx="56" formatCode="0.0">
                  <c:v>81.688301587301623</c:v>
                </c:pt>
                <c:pt idx="57" formatCode="0.0">
                  <c:v>81.688301587301623</c:v>
                </c:pt>
                <c:pt idx="58" formatCode="0.0">
                  <c:v>81.688301587301623</c:v>
                </c:pt>
                <c:pt idx="59" formatCode="0.0">
                  <c:v>81.688301587301623</c:v>
                </c:pt>
                <c:pt idx="60" formatCode="0.0">
                  <c:v>81.688301587301623</c:v>
                </c:pt>
                <c:pt idx="61" formatCode="0.0">
                  <c:v>81.688301587301623</c:v>
                </c:pt>
                <c:pt idx="62" formatCode="0.0">
                  <c:v>81.688301587301623</c:v>
                </c:pt>
                <c:pt idx="63" formatCode="0.0">
                  <c:v>81.688301587301623</c:v>
                </c:pt>
                <c:pt idx="64" formatCode="0.0">
                  <c:v>81.688301587301623</c:v>
                </c:pt>
                <c:pt idx="65" formatCode="0.0">
                  <c:v>81.688301587301623</c:v>
                </c:pt>
                <c:pt idx="66" formatCode="0.0">
                  <c:v>81.688301587301623</c:v>
                </c:pt>
                <c:pt idx="67" formatCode="0.0">
                  <c:v>81.688301587301623</c:v>
                </c:pt>
                <c:pt idx="68" formatCode="0.0">
                  <c:v>81.688301587301623</c:v>
                </c:pt>
                <c:pt idx="69" formatCode="0.0">
                  <c:v>81.688301587301623</c:v>
                </c:pt>
                <c:pt idx="70" formatCode="0.0">
                  <c:v>81.688301587301623</c:v>
                </c:pt>
                <c:pt idx="71" formatCode="0.0">
                  <c:v>81.688301587301623</c:v>
                </c:pt>
                <c:pt idx="72" formatCode="0.0">
                  <c:v>81.688301587301623</c:v>
                </c:pt>
                <c:pt idx="73" formatCode="0.0">
                  <c:v>81.688301587301623</c:v>
                </c:pt>
                <c:pt idx="74" formatCode="0.0">
                  <c:v>81.688301587301623</c:v>
                </c:pt>
                <c:pt idx="75" formatCode="0.0">
                  <c:v>81.688301587301623</c:v>
                </c:pt>
                <c:pt idx="76" formatCode="0.0">
                  <c:v>81.688301587301623</c:v>
                </c:pt>
                <c:pt idx="77" formatCode="0.0">
                  <c:v>81.688301587301623</c:v>
                </c:pt>
                <c:pt idx="78" formatCode="0.0">
                  <c:v>81.688301587301623</c:v>
                </c:pt>
                <c:pt idx="79" formatCode="0.0">
                  <c:v>81.688301587301623</c:v>
                </c:pt>
                <c:pt idx="80" formatCode="0.0">
                  <c:v>81.688301587301623</c:v>
                </c:pt>
                <c:pt idx="81" formatCode="0.0">
                  <c:v>81.688301587301623</c:v>
                </c:pt>
                <c:pt idx="82" formatCode="0.0">
                  <c:v>81.688301587301623</c:v>
                </c:pt>
                <c:pt idx="83" formatCode="0.0">
                  <c:v>81.688301587301623</c:v>
                </c:pt>
                <c:pt idx="84" formatCode="0.0">
                  <c:v>81.688301587301623</c:v>
                </c:pt>
                <c:pt idx="85" formatCode="0.0">
                  <c:v>81.688301587301623</c:v>
                </c:pt>
                <c:pt idx="86" formatCode="0.0">
                  <c:v>81.688301587301623</c:v>
                </c:pt>
                <c:pt idx="87" formatCode="0.0">
                  <c:v>81.688301587301623</c:v>
                </c:pt>
                <c:pt idx="88" formatCode="0.0">
                  <c:v>81.688301587301623</c:v>
                </c:pt>
                <c:pt idx="89" formatCode="0.0">
                  <c:v>81.688301587301623</c:v>
                </c:pt>
                <c:pt idx="90" formatCode="0.0">
                  <c:v>81.688301587301623</c:v>
                </c:pt>
                <c:pt idx="91" formatCode="0.0">
                  <c:v>81.688301587301623</c:v>
                </c:pt>
                <c:pt idx="92" formatCode="0.0">
                  <c:v>81.688301587301623</c:v>
                </c:pt>
                <c:pt idx="93" formatCode="0.0">
                  <c:v>81.688301587301623</c:v>
                </c:pt>
                <c:pt idx="94" formatCode="0.0">
                  <c:v>81.688301587301623</c:v>
                </c:pt>
                <c:pt idx="95" formatCode="0.0">
                  <c:v>81.688301587301623</c:v>
                </c:pt>
                <c:pt idx="96" formatCode="0.0">
                  <c:v>81.688301587301623</c:v>
                </c:pt>
                <c:pt idx="97" formatCode="0.0">
                  <c:v>81.688301587301623</c:v>
                </c:pt>
                <c:pt idx="98" formatCode="0.0">
                  <c:v>81.688301587301623</c:v>
                </c:pt>
                <c:pt idx="99" formatCode="0.0">
                  <c:v>81.688301587301623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A1-4B22-B2A2-1A456C814B5C}"/>
            </c:ext>
          </c:extLst>
        </c:ser>
        <c:ser>
          <c:idx val="3"/>
          <c:order val="3"/>
          <c:tx>
            <c:strRef>
              <c:f>'Chart Data'!$AT$2</c:f>
              <c:strCache>
                <c:ptCount val="1"/>
                <c:pt idx="0">
                  <c:v>Oct-24 cap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val>
            <c:numRef>
              <c:f>'Chart Data'!$AT$1046:$AT$1371</c:f>
              <c:numCache>
                <c:formatCode>General</c:formatCode>
                <c:ptCount val="326"/>
                <c:pt idx="100" formatCode="0.0">
                  <c:v>96.642046875000034</c:v>
                </c:pt>
                <c:pt idx="101" formatCode="0.0">
                  <c:v>96.642046875000034</c:v>
                </c:pt>
                <c:pt idx="102" formatCode="0.0">
                  <c:v>96.642046875000034</c:v>
                </c:pt>
                <c:pt idx="103" formatCode="0.0">
                  <c:v>96.642046875000034</c:v>
                </c:pt>
                <c:pt idx="104" formatCode="0.0">
                  <c:v>96.642046875000034</c:v>
                </c:pt>
                <c:pt idx="105" formatCode="0.0">
                  <c:v>96.642046875000034</c:v>
                </c:pt>
                <c:pt idx="106" formatCode="0.0">
                  <c:v>96.642046875000034</c:v>
                </c:pt>
                <c:pt idx="107" formatCode="0.0">
                  <c:v>96.642046875000034</c:v>
                </c:pt>
                <c:pt idx="108" formatCode="0.0">
                  <c:v>96.642046875000034</c:v>
                </c:pt>
                <c:pt idx="109" formatCode="0.0">
                  <c:v>96.642046875000034</c:v>
                </c:pt>
                <c:pt idx="110" formatCode="0.0">
                  <c:v>96.642046875000034</c:v>
                </c:pt>
                <c:pt idx="111" formatCode="0.0">
                  <c:v>96.642046875000034</c:v>
                </c:pt>
                <c:pt idx="112" formatCode="0.0">
                  <c:v>96.642046875000034</c:v>
                </c:pt>
                <c:pt idx="113" formatCode="0.0">
                  <c:v>96.642046875000034</c:v>
                </c:pt>
                <c:pt idx="114" formatCode="0.0">
                  <c:v>96.642046875000034</c:v>
                </c:pt>
                <c:pt idx="115" formatCode="0.0">
                  <c:v>96.642046875000034</c:v>
                </c:pt>
                <c:pt idx="116" formatCode="0.0">
                  <c:v>96.642046875000034</c:v>
                </c:pt>
                <c:pt idx="117" formatCode="0.0">
                  <c:v>96.642046875000034</c:v>
                </c:pt>
                <c:pt idx="118" formatCode="0.0">
                  <c:v>96.642046875000034</c:v>
                </c:pt>
                <c:pt idx="119" formatCode="0.0">
                  <c:v>96.642046875000034</c:v>
                </c:pt>
                <c:pt idx="120" formatCode="0.0">
                  <c:v>96.642046875000034</c:v>
                </c:pt>
                <c:pt idx="121" formatCode="0.0">
                  <c:v>96.642046875000034</c:v>
                </c:pt>
                <c:pt idx="122" formatCode="0.0">
                  <c:v>96.642046875000034</c:v>
                </c:pt>
                <c:pt idx="123" formatCode="0.0">
                  <c:v>96.642046875000034</c:v>
                </c:pt>
                <c:pt idx="124" formatCode="0.0">
                  <c:v>96.642046875000034</c:v>
                </c:pt>
                <c:pt idx="125" formatCode="0.0">
                  <c:v>96.642046875000034</c:v>
                </c:pt>
                <c:pt idx="126" formatCode="0.0">
                  <c:v>96.642046875000034</c:v>
                </c:pt>
                <c:pt idx="127" formatCode="0.0">
                  <c:v>96.642046875000034</c:v>
                </c:pt>
                <c:pt idx="128" formatCode="0.0">
                  <c:v>96.642046875000034</c:v>
                </c:pt>
                <c:pt idx="129" formatCode="0.0">
                  <c:v>96.642046875000034</c:v>
                </c:pt>
                <c:pt idx="130" formatCode="0.0">
                  <c:v>96.642046875000034</c:v>
                </c:pt>
                <c:pt idx="131" formatCode="0.0">
                  <c:v>96.642046875000034</c:v>
                </c:pt>
                <c:pt idx="132" formatCode="0.0">
                  <c:v>96.642046875000034</c:v>
                </c:pt>
                <c:pt idx="133" formatCode="0.0">
                  <c:v>96.642046875000034</c:v>
                </c:pt>
                <c:pt idx="134" formatCode="0.0">
                  <c:v>96.642046875000034</c:v>
                </c:pt>
                <c:pt idx="135" formatCode="0.0">
                  <c:v>96.642046875000034</c:v>
                </c:pt>
                <c:pt idx="136" formatCode="0.0">
                  <c:v>96.642046875000034</c:v>
                </c:pt>
                <c:pt idx="137" formatCode="0.0">
                  <c:v>96.642046875000034</c:v>
                </c:pt>
                <c:pt idx="138" formatCode="0.0">
                  <c:v>96.642046875000034</c:v>
                </c:pt>
                <c:pt idx="139" formatCode="0.0">
                  <c:v>96.642046875000034</c:v>
                </c:pt>
                <c:pt idx="140" formatCode="0.0">
                  <c:v>96.642046875000034</c:v>
                </c:pt>
                <c:pt idx="141" formatCode="0.0">
                  <c:v>96.642046875000034</c:v>
                </c:pt>
                <c:pt idx="142" formatCode="0.0">
                  <c:v>96.642046875000034</c:v>
                </c:pt>
                <c:pt idx="143" formatCode="0.0">
                  <c:v>96.642046875000034</c:v>
                </c:pt>
                <c:pt idx="144" formatCode="0.0">
                  <c:v>96.642046875000034</c:v>
                </c:pt>
                <c:pt idx="145" formatCode="0.0">
                  <c:v>96.642046875000034</c:v>
                </c:pt>
                <c:pt idx="146" formatCode="0.0">
                  <c:v>96.642046875000034</c:v>
                </c:pt>
                <c:pt idx="147" formatCode="0.0">
                  <c:v>96.642046875000034</c:v>
                </c:pt>
                <c:pt idx="148" formatCode="0.0">
                  <c:v>96.642046875000034</c:v>
                </c:pt>
                <c:pt idx="149" formatCode="0.0">
                  <c:v>96.642046875000034</c:v>
                </c:pt>
                <c:pt idx="150" formatCode="0.0">
                  <c:v>96.642046875000034</c:v>
                </c:pt>
                <c:pt idx="151" formatCode="0.0">
                  <c:v>96.642046875000034</c:v>
                </c:pt>
                <c:pt idx="152" formatCode="0.0">
                  <c:v>96.642046875000034</c:v>
                </c:pt>
                <c:pt idx="153" formatCode="0.0">
                  <c:v>96.642046875000034</c:v>
                </c:pt>
                <c:pt idx="154" formatCode="0.0">
                  <c:v>96.642046875000034</c:v>
                </c:pt>
                <c:pt idx="155" formatCode="0.0">
                  <c:v>96.642046875000034</c:v>
                </c:pt>
                <c:pt idx="156" formatCode="0.0">
                  <c:v>96.642046875000034</c:v>
                </c:pt>
                <c:pt idx="157" formatCode="0.0">
                  <c:v>96.642046875000034</c:v>
                </c:pt>
                <c:pt idx="158" formatCode="0.0">
                  <c:v>96.642046875000034</c:v>
                </c:pt>
                <c:pt idx="159" formatCode="0.0">
                  <c:v>96.642046875000034</c:v>
                </c:pt>
                <c:pt idx="160" formatCode="0.0">
                  <c:v>96.642046875000034</c:v>
                </c:pt>
                <c:pt idx="161" formatCode="0.0">
                  <c:v>96.642046875000034</c:v>
                </c:pt>
                <c:pt idx="162" formatCode="0.0">
                  <c:v>96.642046875000034</c:v>
                </c:pt>
                <c:pt idx="163" formatCode="0.0">
                  <c:v>96.642046875000034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A1-4B22-B2A2-1A456C814B5C}"/>
            </c:ext>
          </c:extLst>
        </c:ser>
        <c:ser>
          <c:idx val="4"/>
          <c:order val="4"/>
          <c:tx>
            <c:strRef>
              <c:f>'Chart Data'!$AU$2</c:f>
              <c:strCache>
                <c:ptCount val="1"/>
                <c:pt idx="0">
                  <c:v>Jan-25 cap</c:v>
                </c:pt>
              </c:strCache>
            </c:strRef>
          </c:tx>
          <c:spPr>
            <a:ln w="38100">
              <a:solidFill>
                <a:srgbClr val="965793"/>
              </a:solidFill>
            </a:ln>
          </c:spPr>
          <c:marker>
            <c:symbol val="none"/>
          </c:marker>
          <c:val>
            <c:numRef>
              <c:f>'Chart Data'!$AU$1046:$AU$1371</c:f>
              <c:numCache>
                <c:formatCode>General</c:formatCode>
                <c:ptCount val="326"/>
                <c:pt idx="165" formatCode="0.0">
                  <c:v>97.139703125000011</c:v>
                </c:pt>
                <c:pt idx="166" formatCode="0.0">
                  <c:v>97.139703125000011</c:v>
                </c:pt>
                <c:pt idx="167" formatCode="0.0">
                  <c:v>97.139703125000011</c:v>
                </c:pt>
                <c:pt idx="168" formatCode="0.0">
                  <c:v>97.139703125000011</c:v>
                </c:pt>
                <c:pt idx="169" formatCode="0.0">
                  <c:v>97.139703125000011</c:v>
                </c:pt>
                <c:pt idx="170" formatCode="0.0">
                  <c:v>97.139703125000011</c:v>
                </c:pt>
                <c:pt idx="171" formatCode="0.0">
                  <c:v>97.139703125000011</c:v>
                </c:pt>
                <c:pt idx="172" formatCode="0.0">
                  <c:v>97.139703125000011</c:v>
                </c:pt>
                <c:pt idx="173" formatCode="0.0">
                  <c:v>97.139703125000011</c:v>
                </c:pt>
                <c:pt idx="174" formatCode="0.0">
                  <c:v>97.139703125000011</c:v>
                </c:pt>
                <c:pt idx="175" formatCode="0.0">
                  <c:v>97.139703125000011</c:v>
                </c:pt>
                <c:pt idx="176" formatCode="0.0">
                  <c:v>97.139703125000011</c:v>
                </c:pt>
                <c:pt idx="177" formatCode="0.0">
                  <c:v>97.139703125000011</c:v>
                </c:pt>
                <c:pt idx="178" formatCode="0.0">
                  <c:v>97.139703125000011</c:v>
                </c:pt>
                <c:pt idx="179" formatCode="0.0">
                  <c:v>97.139703125000011</c:v>
                </c:pt>
                <c:pt idx="180" formatCode="0.0">
                  <c:v>97.139703125000011</c:v>
                </c:pt>
                <c:pt idx="181" formatCode="0.0">
                  <c:v>97.139703125000011</c:v>
                </c:pt>
                <c:pt idx="182" formatCode="0.0">
                  <c:v>97.139703125000011</c:v>
                </c:pt>
                <c:pt idx="183" formatCode="0.0">
                  <c:v>97.139703125000011</c:v>
                </c:pt>
                <c:pt idx="184" formatCode="0.0">
                  <c:v>97.139703125000011</c:v>
                </c:pt>
                <c:pt idx="185" formatCode="0.0">
                  <c:v>97.139703125000011</c:v>
                </c:pt>
                <c:pt idx="186" formatCode="0.0">
                  <c:v>97.139703125000011</c:v>
                </c:pt>
                <c:pt idx="187" formatCode="0.0">
                  <c:v>97.139703125000011</c:v>
                </c:pt>
                <c:pt idx="188" formatCode="0.0">
                  <c:v>97.139703125000011</c:v>
                </c:pt>
                <c:pt idx="189" formatCode="0.0">
                  <c:v>97.139703125000011</c:v>
                </c:pt>
                <c:pt idx="190" formatCode="0.0">
                  <c:v>97.139703125000011</c:v>
                </c:pt>
                <c:pt idx="191" formatCode="0.0">
                  <c:v>97.139703125000011</c:v>
                </c:pt>
                <c:pt idx="192" formatCode="0.0">
                  <c:v>97.139703125000011</c:v>
                </c:pt>
                <c:pt idx="193" formatCode="0.0">
                  <c:v>97.139703125000011</c:v>
                </c:pt>
                <c:pt idx="194" formatCode="0.0">
                  <c:v>97.139703125000011</c:v>
                </c:pt>
                <c:pt idx="195" formatCode="0.0">
                  <c:v>97.139703125000011</c:v>
                </c:pt>
                <c:pt idx="196" formatCode="0.0">
                  <c:v>97.139703125000011</c:v>
                </c:pt>
                <c:pt idx="197" formatCode="0.0">
                  <c:v>97.139703125000011</c:v>
                </c:pt>
                <c:pt idx="198" formatCode="0.0">
                  <c:v>97.139703125000011</c:v>
                </c:pt>
                <c:pt idx="199" formatCode="0.0">
                  <c:v>97.139703125000011</c:v>
                </c:pt>
                <c:pt idx="200" formatCode="0.0">
                  <c:v>97.139703125000011</c:v>
                </c:pt>
                <c:pt idx="201" formatCode="0.0">
                  <c:v>97.139703125000011</c:v>
                </c:pt>
                <c:pt idx="202" formatCode="0.0">
                  <c:v>97.139703125000011</c:v>
                </c:pt>
                <c:pt idx="203" formatCode="0.0">
                  <c:v>97.139703125000011</c:v>
                </c:pt>
                <c:pt idx="204" formatCode="0.0">
                  <c:v>97.139703125000011</c:v>
                </c:pt>
                <c:pt idx="205" formatCode="0.0">
                  <c:v>97.139703125000011</c:v>
                </c:pt>
                <c:pt idx="206" formatCode="0.0">
                  <c:v>97.139703125000011</c:v>
                </c:pt>
                <c:pt idx="207" formatCode="0.0">
                  <c:v>97.139703125000011</c:v>
                </c:pt>
                <c:pt idx="208" formatCode="0.0">
                  <c:v>97.139703125000011</c:v>
                </c:pt>
                <c:pt idx="209" formatCode="0.0">
                  <c:v>97.139703125000011</c:v>
                </c:pt>
                <c:pt idx="210" formatCode="0.0">
                  <c:v>97.139703125000011</c:v>
                </c:pt>
                <c:pt idx="211" formatCode="0.0">
                  <c:v>97.139703125000011</c:v>
                </c:pt>
                <c:pt idx="212" formatCode="0.0">
                  <c:v>97.139703125000011</c:v>
                </c:pt>
                <c:pt idx="213" formatCode="0.0">
                  <c:v>97.139703125000011</c:v>
                </c:pt>
                <c:pt idx="214" formatCode="0.0">
                  <c:v>97.139703125000011</c:v>
                </c:pt>
                <c:pt idx="215" formatCode="0.0">
                  <c:v>97.139703125000011</c:v>
                </c:pt>
                <c:pt idx="216" formatCode="0.0">
                  <c:v>97.139703125000011</c:v>
                </c:pt>
                <c:pt idx="217" formatCode="0.0">
                  <c:v>97.139703125000011</c:v>
                </c:pt>
                <c:pt idx="218" formatCode="0.0">
                  <c:v>97.139703125000011</c:v>
                </c:pt>
                <c:pt idx="219" formatCode="0.0">
                  <c:v>97.139703125000011</c:v>
                </c:pt>
                <c:pt idx="220" formatCode="0.0">
                  <c:v>97.139703125000011</c:v>
                </c:pt>
                <c:pt idx="221" formatCode="0.0">
                  <c:v>97.139703125000011</c:v>
                </c:pt>
                <c:pt idx="222" formatCode="0.0">
                  <c:v>97.139703125000011</c:v>
                </c:pt>
                <c:pt idx="223" formatCode="0.0">
                  <c:v>97.139703125000011</c:v>
                </c:pt>
                <c:pt idx="224" formatCode="0.0">
                  <c:v>97.139703125000011</c:v>
                </c:pt>
                <c:pt idx="225" formatCode="0.0">
                  <c:v>97.139703125000011</c:v>
                </c:pt>
                <c:pt idx="226" formatCode="0.0">
                  <c:v>97.139703125000011</c:v>
                </c:pt>
                <c:pt idx="227" formatCode="0.0">
                  <c:v>97.139703125000011</c:v>
                </c:pt>
                <c:pt idx="228" formatCode="0.0">
                  <c:v>97.139703125000011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A1-4B22-B2A2-1A456C814B5C}"/>
            </c:ext>
          </c:extLst>
        </c:ser>
        <c:ser>
          <c:idx val="5"/>
          <c:order val="5"/>
          <c:tx>
            <c:strRef>
              <c:f>'Chart Data'!$AV$2</c:f>
              <c:strCache>
                <c:ptCount val="1"/>
                <c:pt idx="0">
                  <c:v>Apr-25 cap</c:v>
                </c:pt>
              </c:strCache>
            </c:strRef>
          </c:tx>
          <c:spPr>
            <a:ln w="38100">
              <a:solidFill>
                <a:srgbClr val="00793F"/>
              </a:solidFill>
            </a:ln>
          </c:spPr>
          <c:marker>
            <c:symbol val="none"/>
          </c:marker>
          <c:val>
            <c:numRef>
              <c:f>'Chart Data'!$AV$1046:$AV$1371</c:f>
              <c:numCache>
                <c:formatCode>General</c:formatCode>
                <c:ptCount val="326"/>
                <c:pt idx="230" formatCode="0.0">
                  <c:v>112.89158064516131</c:v>
                </c:pt>
                <c:pt idx="231" formatCode="0.0">
                  <c:v>112.89158064516131</c:v>
                </c:pt>
                <c:pt idx="232" formatCode="0.0">
                  <c:v>112.89158064516131</c:v>
                </c:pt>
                <c:pt idx="233" formatCode="0.0">
                  <c:v>112.89158064516131</c:v>
                </c:pt>
                <c:pt idx="234" formatCode="0.0">
                  <c:v>112.89158064516131</c:v>
                </c:pt>
                <c:pt idx="235" formatCode="0.0">
                  <c:v>112.89158064516131</c:v>
                </c:pt>
                <c:pt idx="236" formatCode="0.0">
                  <c:v>112.89158064516131</c:v>
                </c:pt>
                <c:pt idx="237" formatCode="0.0">
                  <c:v>112.89158064516131</c:v>
                </c:pt>
                <c:pt idx="238" formatCode="0.0">
                  <c:v>112.89158064516131</c:v>
                </c:pt>
                <c:pt idx="239" formatCode="0.0">
                  <c:v>112.89158064516131</c:v>
                </c:pt>
                <c:pt idx="240" formatCode="0.0">
                  <c:v>112.89158064516131</c:v>
                </c:pt>
                <c:pt idx="241" formatCode="0.0">
                  <c:v>112.89158064516131</c:v>
                </c:pt>
                <c:pt idx="242" formatCode="0.0">
                  <c:v>112.89158064516131</c:v>
                </c:pt>
                <c:pt idx="243" formatCode="0.0">
                  <c:v>112.89158064516131</c:v>
                </c:pt>
                <c:pt idx="244" formatCode="0.0">
                  <c:v>112.89158064516131</c:v>
                </c:pt>
                <c:pt idx="245" formatCode="0.0">
                  <c:v>112.89158064516131</c:v>
                </c:pt>
                <c:pt idx="246" formatCode="0.0">
                  <c:v>112.89158064516131</c:v>
                </c:pt>
                <c:pt idx="247" formatCode="0.0">
                  <c:v>112.89158064516131</c:v>
                </c:pt>
                <c:pt idx="248" formatCode="0.0">
                  <c:v>112.89158064516131</c:v>
                </c:pt>
                <c:pt idx="249" formatCode="0.0">
                  <c:v>112.89158064516131</c:v>
                </c:pt>
                <c:pt idx="250" formatCode="0.0">
                  <c:v>112.89158064516131</c:v>
                </c:pt>
                <c:pt idx="251" formatCode="0.0">
                  <c:v>112.89158064516131</c:v>
                </c:pt>
                <c:pt idx="252" formatCode="0.0">
                  <c:v>112.89158064516131</c:v>
                </c:pt>
                <c:pt idx="253" formatCode="0.0">
                  <c:v>112.89158064516131</c:v>
                </c:pt>
                <c:pt idx="254" formatCode="0.0">
                  <c:v>112.89158064516131</c:v>
                </c:pt>
                <c:pt idx="255" formatCode="0.0">
                  <c:v>112.89158064516131</c:v>
                </c:pt>
                <c:pt idx="256" formatCode="0.0">
                  <c:v>112.89158064516131</c:v>
                </c:pt>
                <c:pt idx="257" formatCode="0.0">
                  <c:v>112.89158064516131</c:v>
                </c:pt>
                <c:pt idx="258" formatCode="0.0">
                  <c:v>112.89158064516131</c:v>
                </c:pt>
                <c:pt idx="259" formatCode="0.0">
                  <c:v>112.89158064516131</c:v>
                </c:pt>
                <c:pt idx="260" formatCode="0.0">
                  <c:v>112.89158064516131</c:v>
                </c:pt>
                <c:pt idx="261" formatCode="0.0">
                  <c:v>112.89158064516131</c:v>
                </c:pt>
                <c:pt idx="262" formatCode="0.0">
                  <c:v>112.89158064516131</c:v>
                </c:pt>
                <c:pt idx="263" formatCode="0.0">
                  <c:v>112.89158064516131</c:v>
                </c:pt>
                <c:pt idx="264" formatCode="0.0">
                  <c:v>112.89158064516131</c:v>
                </c:pt>
                <c:pt idx="265" formatCode="0.0">
                  <c:v>112.89158064516131</c:v>
                </c:pt>
                <c:pt idx="266" formatCode="0.0">
                  <c:v>112.89158064516131</c:v>
                </c:pt>
                <c:pt idx="267" formatCode="0.0">
                  <c:v>112.89158064516131</c:v>
                </c:pt>
                <c:pt idx="268" formatCode="0.0">
                  <c:v>112.89158064516131</c:v>
                </c:pt>
                <c:pt idx="269" formatCode="0.0">
                  <c:v>112.89158064516131</c:v>
                </c:pt>
                <c:pt idx="270" formatCode="0.0">
                  <c:v>112.89158064516131</c:v>
                </c:pt>
                <c:pt idx="271" formatCode="0.0">
                  <c:v>112.89158064516131</c:v>
                </c:pt>
                <c:pt idx="272" formatCode="0.0">
                  <c:v>112.89158064516131</c:v>
                </c:pt>
                <c:pt idx="273" formatCode="0.0">
                  <c:v>112.89158064516131</c:v>
                </c:pt>
                <c:pt idx="274" formatCode="0.0">
                  <c:v>112.89158064516131</c:v>
                </c:pt>
                <c:pt idx="275" formatCode="0.0">
                  <c:v>112.89158064516131</c:v>
                </c:pt>
                <c:pt idx="276" formatCode="0.0">
                  <c:v>112.89158064516131</c:v>
                </c:pt>
                <c:pt idx="277" formatCode="0.0">
                  <c:v>112.89158064516131</c:v>
                </c:pt>
                <c:pt idx="278" formatCode="0.0">
                  <c:v>112.89158064516131</c:v>
                </c:pt>
                <c:pt idx="279" formatCode="0.0">
                  <c:v>112.89158064516131</c:v>
                </c:pt>
                <c:pt idx="280" formatCode="0.0">
                  <c:v>112.89158064516131</c:v>
                </c:pt>
                <c:pt idx="281" formatCode="0.0">
                  <c:v>112.89158064516131</c:v>
                </c:pt>
                <c:pt idx="282" formatCode="0.0">
                  <c:v>112.89158064516131</c:v>
                </c:pt>
                <c:pt idx="283" formatCode="0.0">
                  <c:v>112.89158064516131</c:v>
                </c:pt>
                <c:pt idx="284" formatCode="0.0">
                  <c:v>112.89158064516131</c:v>
                </c:pt>
                <c:pt idx="285" formatCode="0.0">
                  <c:v>112.89158064516131</c:v>
                </c:pt>
                <c:pt idx="286" formatCode="0.0">
                  <c:v>112.89158064516131</c:v>
                </c:pt>
                <c:pt idx="287" formatCode="0.0">
                  <c:v>112.89158064516131</c:v>
                </c:pt>
                <c:pt idx="288" formatCode="0.0">
                  <c:v>112.89158064516131</c:v>
                </c:pt>
                <c:pt idx="289" formatCode="0.0">
                  <c:v>112.89158064516131</c:v>
                </c:pt>
                <c:pt idx="290" formatCode="0.0">
                  <c:v>112.89158064516131</c:v>
                </c:pt>
                <c:pt idx="291" formatCode="0.0">
                  <c:v>112.89158064516131</c:v>
                </c:pt>
                <c:pt idx="292" formatCode="0.0">
                  <c:v>112.89158064516131</c:v>
                </c:pt>
                <c:pt idx="293" formatCode="0.0">
                  <c:v>112.89158064516131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A1-4B22-B2A2-1A456C81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6"/>
        <c:tickMarkSkip val="23"/>
        <c:noMultiLvlLbl val="0"/>
      </c:catAx>
      <c:valAx>
        <c:axId val="263608576"/>
        <c:scaling>
          <c:orientation val="minMax"/>
          <c:min val="6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396016674386284E-2"/>
          <c:y val="0.16062858163523513"/>
          <c:w val="0.89618828755002911"/>
          <c:h val="0.70062858163523511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Data'!$BJ$2</c:f>
              <c:strCache>
                <c:ptCount val="1"/>
                <c:pt idx="0">
                  <c:v>OE (latest)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Data'!$BI$3:$BI$86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Data'!$BJ$3:$BJ$86</c:f>
              <c:numCache>
                <c:formatCode>0.00</c:formatCode>
                <c:ptCount val="84"/>
                <c:pt idx="0">
                  <c:v>1.769270563890335</c:v>
                </c:pt>
                <c:pt idx="1">
                  <c:v>1.7095297388894481</c:v>
                </c:pt>
                <c:pt idx="2">
                  <c:v>1.5233075399050389</c:v>
                </c:pt>
                <c:pt idx="3">
                  <c:v>0.76742263060585181</c:v>
                </c:pt>
                <c:pt idx="4">
                  <c:v>0.47986067365768381</c:v>
                </c:pt>
                <c:pt idx="5">
                  <c:v>0.60315195537972155</c:v>
                </c:pt>
                <c:pt idx="6">
                  <c:v>1.040306070459196</c:v>
                </c:pt>
                <c:pt idx="7">
                  <c:v>0.21960784313725945</c:v>
                </c:pt>
                <c:pt idx="8">
                  <c:v>0.53190018344564383</c:v>
                </c:pt>
                <c:pt idx="9">
                  <c:v>0.69715045522538155</c:v>
                </c:pt>
                <c:pt idx="10">
                  <c:v>0.31506508581378156</c:v>
                </c:pt>
                <c:pt idx="11">
                  <c:v>0.58876644676224554</c:v>
                </c:pt>
                <c:pt idx="12">
                  <c:v>0.70058042811194099</c:v>
                </c:pt>
                <c:pt idx="13">
                  <c:v>0.41421588932151199</c:v>
                </c:pt>
                <c:pt idx="14">
                  <c:v>0.71432516523370904</c:v>
                </c:pt>
                <c:pt idx="15">
                  <c:v>1.5259222378963599</c:v>
                </c:pt>
                <c:pt idx="16">
                  <c:v>2.1149484631128646</c:v>
                </c:pt>
                <c:pt idx="17">
                  <c:v>2.5141825683341779</c:v>
                </c:pt>
                <c:pt idx="18">
                  <c:v>2.0399369223998765</c:v>
                </c:pt>
                <c:pt idx="19">
                  <c:v>3.1966707484371026</c:v>
                </c:pt>
                <c:pt idx="20">
                  <c:v>3.0800689553990734</c:v>
                </c:pt>
                <c:pt idx="21">
                  <c:v>4.2062116585513509</c:v>
                </c:pt>
                <c:pt idx="22">
                  <c:v>5.129900542744581</c:v>
                </c:pt>
                <c:pt idx="23">
                  <c:v>5.3860457447490573</c:v>
                </c:pt>
                <c:pt idx="24">
                  <c:v>5.4555133359032171</c:v>
                </c:pt>
                <c:pt idx="25">
                  <c:v>6.1766080906415777</c:v>
                </c:pt>
                <c:pt idx="26">
                  <c:v>7.0231240288821883</c:v>
                </c:pt>
                <c:pt idx="27">
                  <c:v>9.010661677897458</c:v>
                </c:pt>
                <c:pt idx="28">
                  <c:v>9.082701336222442</c:v>
                </c:pt>
                <c:pt idx="29">
                  <c:v>9.4121134807841003</c:v>
                </c:pt>
                <c:pt idx="30">
                  <c:v>10.100901192305267</c:v>
                </c:pt>
                <c:pt idx="31">
                  <c:v>9.8701878038988333</c:v>
                </c:pt>
                <c:pt idx="32">
                  <c:v>10.095627807676898</c:v>
                </c:pt>
                <c:pt idx="33">
                  <c:v>11.051566349876808</c:v>
                </c:pt>
                <c:pt idx="34">
                  <c:v>10.672012718712054</c:v>
                </c:pt>
                <c:pt idx="35">
                  <c:v>10.5283743731041</c:v>
                </c:pt>
                <c:pt idx="36">
                  <c:v>10.051523960382269</c:v>
                </c:pt>
                <c:pt idx="37">
                  <c:v>10.416396867742407</c:v>
                </c:pt>
                <c:pt idx="38">
                  <c:v>10.056877380566043</c:v>
                </c:pt>
                <c:pt idx="39">
                  <c:v>8.6582358625745712</c:v>
                </c:pt>
                <c:pt idx="40">
                  <c:v>8.6806820062903522</c:v>
                </c:pt>
                <c:pt idx="41">
                  <c:v>7.9496842952270885</c:v>
                </c:pt>
                <c:pt idx="42">
                  <c:v>6.827214193032427</c:v>
                </c:pt>
                <c:pt idx="43">
                  <c:v>6.6570305648488093</c:v>
                </c:pt>
                <c:pt idx="44">
                  <c:v>6.6521767234414053</c:v>
                </c:pt>
                <c:pt idx="45">
                  <c:v>4.5998779705068937</c:v>
                </c:pt>
                <c:pt idx="46">
                  <c:v>3.9409916807425782</c:v>
                </c:pt>
                <c:pt idx="47">
                  <c:v>3.993268535119987</c:v>
                </c:pt>
                <c:pt idx="48">
                  <c:v>3.9811146171913947</c:v>
                </c:pt>
                <c:pt idx="49">
                  <c:v>3.4114721796515868</c:v>
                </c:pt>
                <c:pt idx="50">
                  <c:v>3.228059284550322</c:v>
                </c:pt>
                <c:pt idx="51">
                  <c:v>2.3330700994410813</c:v>
                </c:pt>
                <c:pt idx="52">
                  <c:v>1.9899777622079284</c:v>
                </c:pt>
                <c:pt idx="53">
                  <c:v>1.9753105200307042</c:v>
                </c:pt>
                <c:pt idx="54">
                  <c:v>2.2344448264008276</c:v>
                </c:pt>
                <c:pt idx="55">
                  <c:v>2.2162837086778353</c:v>
                </c:pt>
                <c:pt idx="56">
                  <c:v>1.6803412198761913</c:v>
                </c:pt>
                <c:pt idx="57">
                  <c:v>2.2809914851064983</c:v>
                </c:pt>
                <c:pt idx="58">
                  <c:v>2.622126709546091</c:v>
                </c:pt>
                <c:pt idx="59">
                  <c:v>2.5029869481707712</c:v>
                </c:pt>
                <c:pt idx="60">
                  <c:v>2.9829405009088816</c:v>
                </c:pt>
                <c:pt idx="61">
                  <c:v>2.8572398414519862</c:v>
                </c:pt>
                <c:pt idx="62">
                  <c:v>2.5714709759117271</c:v>
                </c:pt>
                <c:pt idx="63">
                  <c:v>3.1595639127070418</c:v>
                </c:pt>
                <c:pt idx="64">
                  <c:v>3.1485108401824391</c:v>
                </c:pt>
                <c:pt idx="65">
                  <c:v>3.226793731093891</c:v>
                </c:pt>
                <c:pt idx="66">
                  <c:v>3.3248184867905151</c:v>
                </c:pt>
                <c:pt idx="67">
                  <c:v>3.4238930916763222</c:v>
                </c:pt>
                <c:pt idx="68">
                  <c:v>3.6342978116985059</c:v>
                </c:pt>
                <c:pt idx="69">
                  <c:v>3.0912884460094547</c:v>
                </c:pt>
                <c:pt idx="70">
                  <c:v>3.1509898001800707</c:v>
                </c:pt>
                <c:pt idx="71">
                  <c:v>3.2925633947319843</c:v>
                </c:pt>
                <c:pt idx="72">
                  <c:v>3.1821506128603572</c:v>
                </c:pt>
                <c:pt idx="73">
                  <c:v>3.1074818612745636</c:v>
                </c:pt>
                <c:pt idx="74">
                  <c:v>3.0666555697266507</c:v>
                </c:pt>
                <c:pt idx="75">
                  <c:v>2.5570556960941682</c:v>
                </c:pt>
                <c:pt idx="76">
                  <c:v>2.5027802117380205</c:v>
                </c:pt>
                <c:pt idx="77">
                  <c:v>2.4591563099128244</c:v>
                </c:pt>
                <c:pt idx="78">
                  <c:v>2.4907619767681854</c:v>
                </c:pt>
                <c:pt idx="79">
                  <c:v>2.4624706839588839</c:v>
                </c:pt>
                <c:pt idx="80">
                  <c:v>2.3816083077648376</c:v>
                </c:pt>
                <c:pt idx="81">
                  <c:v>2.3972490787038003</c:v>
                </c:pt>
                <c:pt idx="82">
                  <c:v>2.3674135973869248</c:v>
                </c:pt>
                <c:pt idx="83">
                  <c:v>2.3588975039439353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2"/>
          <c:order val="2"/>
          <c:tx>
            <c:strRef>
              <c:f>'Chart Data'!$BL$2</c:f>
              <c:strCache>
                <c:ptCount val="1"/>
                <c:pt idx="0">
                  <c:v>BoE* (Feb)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Data'!$BI$3:$BI$86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Data'!$BL$3:$BL$86</c:f>
              <c:numCache>
                <c:formatCode>General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 formatCode="0.00">
                  <c:v>2.8159999999999998</c:v>
                </c:pt>
                <c:pt idx="61" formatCode="0.00">
                  <c:v>2.8479999999999999</c:v>
                </c:pt>
                <c:pt idx="62" formatCode="0.00">
                  <c:v>2.7090000000000001</c:v>
                </c:pt>
                <c:pt idx="63" formatCode="0.00">
                  <c:v>3.5539999999999998</c:v>
                </c:pt>
                <c:pt idx="64" formatCode="0.00">
                  <c:v>3.53</c:v>
                </c:pt>
                <c:pt idx="65" formatCode="0.00">
                  <c:v>3.5489999999999999</c:v>
                </c:pt>
                <c:pt idx="66" formatCode="0.00">
                  <c:v>3.5993333333333335</c:v>
                </c:pt>
                <c:pt idx="67" formatCode="0.00">
                  <c:v>3.6496666666666666</c:v>
                </c:pt>
                <c:pt idx="68" formatCode="0.00">
                  <c:v>3.7</c:v>
                </c:pt>
                <c:pt idx="69" formatCode="0.00">
                  <c:v>3.6333333333333333</c:v>
                </c:pt>
                <c:pt idx="70" formatCode="0.00">
                  <c:v>3.5666666666666669</c:v>
                </c:pt>
                <c:pt idx="71" formatCode="0.00">
                  <c:v>3.5</c:v>
                </c:pt>
                <c:pt idx="72" formatCode="0.00">
                  <c:v>3.3333333333333335</c:v>
                </c:pt>
                <c:pt idx="73" formatCode="0.00">
                  <c:v>3.1666666666666665</c:v>
                </c:pt>
                <c:pt idx="74" formatCode="0.00">
                  <c:v>3</c:v>
                </c:pt>
                <c:pt idx="75" formatCode="0.00">
                  <c:v>2.8666666666666667</c:v>
                </c:pt>
                <c:pt idx="76" formatCode="0.00">
                  <c:v>2.7333333333333334</c:v>
                </c:pt>
                <c:pt idx="77" formatCode="0.00">
                  <c:v>2.6</c:v>
                </c:pt>
                <c:pt idx="78" formatCode="0.00">
                  <c:v>2.6</c:v>
                </c:pt>
                <c:pt idx="79" formatCode="0.00">
                  <c:v>2.6</c:v>
                </c:pt>
                <c:pt idx="80" formatCode="0.00">
                  <c:v>2.6</c:v>
                </c:pt>
                <c:pt idx="81" formatCode="0.00">
                  <c:v>2.5333333333333332</c:v>
                </c:pt>
                <c:pt idx="82" formatCode="0.00">
                  <c:v>2.4666666666666668</c:v>
                </c:pt>
                <c:pt idx="83" formatCode="0.00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'Chart Data'!$BI$3:$BI$86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Data'!$BM$2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Data'!$BI$3:$BI$86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Data'!$BM$3:$BM$86</c:f>
              <c:numCache>
                <c:formatCode>0.00</c:formatCode>
                <c:ptCount val="8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Data'!$BK$2</c15:sqref>
                        </c15:formulaRef>
                      </c:ext>
                    </c:extLst>
                    <c:strCache>
                      <c:ptCount val="1"/>
                      <c:pt idx="0">
                        <c:v>OE (Nov)</c:v>
                      </c:pt>
                    </c:strCache>
                  </c:strRef>
                </c:tx>
                <c:spPr>
                  <a:ln w="38100">
                    <a:solidFill>
                      <a:srgbClr val="003469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Data'!$BI$3:$BI$86</c15:sqref>
                        </c15:formulaRef>
                      </c:ext>
                    </c:extLst>
                    <c:numCache>
                      <c:formatCode>m/d/yyyy</c:formatCode>
                      <c:ptCount val="84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  <c:pt idx="63">
                        <c:v>45748</c:v>
                      </c:pt>
                      <c:pt idx="64">
                        <c:v>45778</c:v>
                      </c:pt>
                      <c:pt idx="65">
                        <c:v>45809</c:v>
                      </c:pt>
                      <c:pt idx="66">
                        <c:v>45839</c:v>
                      </c:pt>
                      <c:pt idx="67">
                        <c:v>45870</c:v>
                      </c:pt>
                      <c:pt idx="68">
                        <c:v>45901</c:v>
                      </c:pt>
                      <c:pt idx="69">
                        <c:v>45931</c:v>
                      </c:pt>
                      <c:pt idx="70">
                        <c:v>45962</c:v>
                      </c:pt>
                      <c:pt idx="71">
                        <c:v>45992</c:v>
                      </c:pt>
                      <c:pt idx="72">
                        <c:v>46023</c:v>
                      </c:pt>
                      <c:pt idx="73">
                        <c:v>46054</c:v>
                      </c:pt>
                      <c:pt idx="74">
                        <c:v>46082</c:v>
                      </c:pt>
                      <c:pt idx="75">
                        <c:v>46113</c:v>
                      </c:pt>
                      <c:pt idx="76">
                        <c:v>46143</c:v>
                      </c:pt>
                      <c:pt idx="77">
                        <c:v>46174</c:v>
                      </c:pt>
                      <c:pt idx="78">
                        <c:v>46204</c:v>
                      </c:pt>
                      <c:pt idx="79">
                        <c:v>46235</c:v>
                      </c:pt>
                      <c:pt idx="80">
                        <c:v>46266</c:v>
                      </c:pt>
                      <c:pt idx="81">
                        <c:v>46296</c:v>
                      </c:pt>
                      <c:pt idx="82">
                        <c:v>46327</c:v>
                      </c:pt>
                      <c:pt idx="8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Data'!$BK$3:$BK$86</c15:sqref>
                        </c15:formulaRef>
                      </c:ext>
                    </c:extLst>
                    <c:numCache>
                      <c:formatCode>General</c:formatCode>
                      <c:ptCount val="8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 formatCode="0.00">
                        <c:v>2.1724579239602804</c:v>
                      </c:pt>
                      <c:pt idx="58" formatCode="0.00">
                        <c:v>2.5270521455582173</c:v>
                      </c:pt>
                      <c:pt idx="59" formatCode="0.00">
                        <c:v>2.5354945530872808</c:v>
                      </c:pt>
                      <c:pt idx="60" formatCode="0.00">
                        <c:v>2.7277893340098558</c:v>
                      </c:pt>
                      <c:pt idx="61" formatCode="0.00">
                        <c:v>2.5098802148313837</c:v>
                      </c:pt>
                      <c:pt idx="62" formatCode="0.00">
                        <c:v>2.1565432092167214</c:v>
                      </c:pt>
                      <c:pt idx="63" formatCode="0.00">
                        <c:v>2.3019737374184723</c:v>
                      </c:pt>
                      <c:pt idx="64" formatCode="0.00">
                        <c:v>2.2437680718698338</c:v>
                      </c:pt>
                      <c:pt idx="65" formatCode="0.00">
                        <c:v>2.2458627932359976</c:v>
                      </c:pt>
                      <c:pt idx="66" formatCode="0.00">
                        <c:v>2.5231967832544777</c:v>
                      </c:pt>
                      <c:pt idx="67" formatCode="0.00">
                        <c:v>2.586722575263134</c:v>
                      </c:pt>
                      <c:pt idx="68" formatCode="0.00">
                        <c:v>2.7292135530858852</c:v>
                      </c:pt>
                      <c:pt idx="69" formatCode="0.00">
                        <c:v>2.4715661560503976</c:v>
                      </c:pt>
                      <c:pt idx="70" formatCode="0.00">
                        <c:v>2.4910902110380606</c:v>
                      </c:pt>
                      <c:pt idx="71" formatCode="0.00">
                        <c:v>2.529148023676786</c:v>
                      </c:pt>
                      <c:pt idx="72" formatCode="0.00">
                        <c:v>2.4333861986809646</c:v>
                      </c:pt>
                      <c:pt idx="73" formatCode="0.00">
                        <c:v>2.4335495662943574</c:v>
                      </c:pt>
                      <c:pt idx="74" formatCode="0.00">
                        <c:v>2.4283662678560303</c:v>
                      </c:pt>
                      <c:pt idx="75" formatCode="0.00">
                        <c:v>2.3493849432622449</c:v>
                      </c:pt>
                      <c:pt idx="76" formatCode="0.00">
                        <c:v>2.354891785330282</c:v>
                      </c:pt>
                      <c:pt idx="77" formatCode="0.00">
                        <c:v>2.3739626863510388</c:v>
                      </c:pt>
                      <c:pt idx="78" formatCode="0.00">
                        <c:v>2.3063833668641953</c:v>
                      </c:pt>
                      <c:pt idx="79" formatCode="0.00">
                        <c:v>2.3137370862963857</c:v>
                      </c:pt>
                      <c:pt idx="80" formatCode="0.00">
                        <c:v>2.2596957201219681</c:v>
                      </c:pt>
                      <c:pt idx="81" formatCode="0.00">
                        <c:v>2.1786505520917432</c:v>
                      </c:pt>
                      <c:pt idx="82" formatCode="0.00">
                        <c:v>2.1644149771334664</c:v>
                      </c:pt>
                      <c:pt idx="83" formatCode="0.00">
                        <c:v>2.17601622228627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7.9148623036379609E-2"/>
          <c:y val="0.15755875563307326"/>
          <c:w val="0.27168516294498629"/>
          <c:h val="0.189886904722178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401124003770916E-2"/>
          <c:y val="0.14743139850134515"/>
          <c:w val="0.93859887599622904"/>
          <c:h val="0.63482593360717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Data'!$BW$3</c:f>
              <c:strCache>
                <c:ptCount val="1"/>
                <c:pt idx="0">
                  <c:v>Nov-24</c:v>
                </c:pt>
              </c:strCache>
            </c:strRef>
          </c:tx>
          <c:spPr>
            <a:solidFill>
              <a:srgbClr val="BD1B21"/>
            </a:solidFill>
            <a:ln w="9525">
              <a:solidFill>
                <a:srgbClr val="495057"/>
              </a:solidFill>
            </a:ln>
          </c:spPr>
          <c:invertIfNegative val="0"/>
          <c:cat>
            <c:strRef>
              <c:f>'Chart Data'!$BX$2:$CC$2</c:f>
              <c:strCache>
                <c:ptCount val="6"/>
                <c:pt idx="0">
                  <c:v>Lower profit margins</c:v>
                </c:pt>
                <c:pt idx="1">
                  <c:v>Higher prices</c:v>
                </c:pt>
                <c:pt idx="2">
                  <c:v>Lower number of employees</c:v>
                </c:pt>
                <c:pt idx="3">
                  <c:v>Lower employee wages</c:v>
                </c:pt>
                <c:pt idx="4">
                  <c:v>Other</c:v>
                </c:pt>
                <c:pt idx="5">
                  <c:v>None of the above</c:v>
                </c:pt>
              </c:strCache>
            </c:strRef>
          </c:cat>
          <c:val>
            <c:numRef>
              <c:f>'Chart Data'!$BX$3:$CC$3</c:f>
              <c:numCache>
                <c:formatCode>0</c:formatCode>
                <c:ptCount val="6"/>
                <c:pt idx="0">
                  <c:v>59</c:v>
                </c:pt>
                <c:pt idx="1">
                  <c:v>54</c:v>
                </c:pt>
                <c:pt idx="2">
                  <c:v>54</c:v>
                </c:pt>
                <c:pt idx="3">
                  <c:v>38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Data'!$BW$4</c:f>
              <c:strCache>
                <c:ptCount val="1"/>
                <c:pt idx="0">
                  <c:v>Dec-24</c:v>
                </c:pt>
              </c:strCache>
            </c:strRef>
          </c:tx>
          <c:spPr>
            <a:solidFill>
              <a:srgbClr val="003469"/>
            </a:solidFill>
            <a:ln w="9525">
              <a:solidFill>
                <a:srgbClr val="495057"/>
              </a:solidFill>
            </a:ln>
          </c:spPr>
          <c:invertIfNegative val="0"/>
          <c:cat>
            <c:strRef>
              <c:f>'Chart Data'!$BX$2:$CC$2</c:f>
              <c:strCache>
                <c:ptCount val="6"/>
                <c:pt idx="0">
                  <c:v>Lower profit margins</c:v>
                </c:pt>
                <c:pt idx="1">
                  <c:v>Higher prices</c:v>
                </c:pt>
                <c:pt idx="2">
                  <c:v>Lower number of employees</c:v>
                </c:pt>
                <c:pt idx="3">
                  <c:v>Lower employee wages</c:v>
                </c:pt>
                <c:pt idx="4">
                  <c:v>Other</c:v>
                </c:pt>
                <c:pt idx="5">
                  <c:v>None of the above</c:v>
                </c:pt>
              </c:strCache>
            </c:strRef>
          </c:cat>
          <c:val>
            <c:numRef>
              <c:f>'Chart Data'!$BX$4:$CC$4</c:f>
              <c:numCache>
                <c:formatCode>0</c:formatCode>
                <c:ptCount val="6"/>
                <c:pt idx="0">
                  <c:v>64</c:v>
                </c:pt>
                <c:pt idx="1">
                  <c:v>54</c:v>
                </c:pt>
                <c:pt idx="2">
                  <c:v>53</c:v>
                </c:pt>
                <c:pt idx="3">
                  <c:v>41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ser>
          <c:idx val="2"/>
          <c:order val="2"/>
          <c:tx>
            <c:strRef>
              <c:f>'Chart Data'!$BW$5</c:f>
              <c:strCache>
                <c:ptCount val="1"/>
                <c:pt idx="0">
                  <c:v>Jan-25</c:v>
                </c:pt>
              </c:strCache>
            </c:strRef>
          </c:tx>
          <c:spPr>
            <a:solidFill>
              <a:srgbClr val="D1A21E"/>
            </a:solidFill>
            <a:ln w="9525">
              <a:solidFill>
                <a:srgbClr val="495057"/>
              </a:solidFill>
            </a:ln>
          </c:spPr>
          <c:invertIfNegative val="0"/>
          <c:cat>
            <c:strRef>
              <c:f>'Chart Data'!$BX$2:$CC$2</c:f>
              <c:strCache>
                <c:ptCount val="6"/>
                <c:pt idx="0">
                  <c:v>Lower profit margins</c:v>
                </c:pt>
                <c:pt idx="1">
                  <c:v>Higher prices</c:v>
                </c:pt>
                <c:pt idx="2">
                  <c:v>Lower number of employees</c:v>
                </c:pt>
                <c:pt idx="3">
                  <c:v>Lower employee wages</c:v>
                </c:pt>
                <c:pt idx="4">
                  <c:v>Other</c:v>
                </c:pt>
                <c:pt idx="5">
                  <c:v>None of the above</c:v>
                </c:pt>
              </c:strCache>
            </c:strRef>
          </c:cat>
          <c:val>
            <c:numRef>
              <c:f>'Chart Data'!$BX$5:$CC$5</c:f>
              <c:numCache>
                <c:formatCode>0</c:formatCode>
                <c:ptCount val="6"/>
                <c:pt idx="0">
                  <c:v>63</c:v>
                </c:pt>
                <c:pt idx="1">
                  <c:v>61</c:v>
                </c:pt>
                <c:pt idx="2">
                  <c:v>54</c:v>
                </c:pt>
                <c:pt idx="3">
                  <c:v>37</c:v>
                </c:pt>
                <c:pt idx="4">
                  <c:v>12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mmm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7993440103156059"/>
          <c:y val="0.12561202020638143"/>
          <c:w val="0.52495976110226417"/>
          <c:h val="5.616754681249246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89396603605296"/>
          <c:w val="1"/>
          <c:h val="0.80991844641561617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OE (February)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Data'!$B$3:$B$86</c:f>
              <c:numCache>
                <c:formatCode>0.0</c:formatCode>
                <c:ptCount val="84"/>
                <c:pt idx="0">
                  <c:v>1.769270563890335</c:v>
                </c:pt>
                <c:pt idx="1">
                  <c:v>1.7095297388894481</c:v>
                </c:pt>
                <c:pt idx="2">
                  <c:v>1.5233075399050389</c:v>
                </c:pt>
                <c:pt idx="3">
                  <c:v>0.76742263060585181</c:v>
                </c:pt>
                <c:pt idx="4">
                  <c:v>0.47986067365768381</c:v>
                </c:pt>
                <c:pt idx="5">
                  <c:v>0.60315195537972155</c:v>
                </c:pt>
                <c:pt idx="6">
                  <c:v>1.040306070459196</c:v>
                </c:pt>
                <c:pt idx="7">
                  <c:v>0.21960784313725945</c:v>
                </c:pt>
                <c:pt idx="8">
                  <c:v>0.53190018344564383</c:v>
                </c:pt>
                <c:pt idx="9">
                  <c:v>0.69715045522538155</c:v>
                </c:pt>
                <c:pt idx="10">
                  <c:v>0.31506508581378156</c:v>
                </c:pt>
                <c:pt idx="11">
                  <c:v>0.58876644676224554</c:v>
                </c:pt>
                <c:pt idx="12">
                  <c:v>0.70058042811194099</c:v>
                </c:pt>
                <c:pt idx="13">
                  <c:v>0.41421588932151199</c:v>
                </c:pt>
                <c:pt idx="14">
                  <c:v>0.71432516523370904</c:v>
                </c:pt>
                <c:pt idx="15">
                  <c:v>1.5259222378963599</c:v>
                </c:pt>
                <c:pt idx="16">
                  <c:v>2.1149484631128646</c:v>
                </c:pt>
                <c:pt idx="17">
                  <c:v>2.5141825683341779</c:v>
                </c:pt>
                <c:pt idx="18">
                  <c:v>2.0399369223998765</c:v>
                </c:pt>
                <c:pt idx="19">
                  <c:v>3.1966707484371026</c:v>
                </c:pt>
                <c:pt idx="20">
                  <c:v>3.0800689553990734</c:v>
                </c:pt>
                <c:pt idx="21">
                  <c:v>4.2062116585513509</c:v>
                </c:pt>
                <c:pt idx="22">
                  <c:v>5.129900542744581</c:v>
                </c:pt>
                <c:pt idx="23">
                  <c:v>5.3860457447490573</c:v>
                </c:pt>
                <c:pt idx="24">
                  <c:v>5.4555133359032171</c:v>
                </c:pt>
                <c:pt idx="25">
                  <c:v>6.1766080906415777</c:v>
                </c:pt>
                <c:pt idx="26">
                  <c:v>7.0231240288821883</c:v>
                </c:pt>
                <c:pt idx="27">
                  <c:v>9.010661677897458</c:v>
                </c:pt>
                <c:pt idx="28">
                  <c:v>9.082701336222442</c:v>
                </c:pt>
                <c:pt idx="29">
                  <c:v>9.4121134807841003</c:v>
                </c:pt>
                <c:pt idx="30">
                  <c:v>10.100901192305267</c:v>
                </c:pt>
                <c:pt idx="31">
                  <c:v>9.8701878038988333</c:v>
                </c:pt>
                <c:pt idx="32">
                  <c:v>10.095627807676898</c:v>
                </c:pt>
                <c:pt idx="33">
                  <c:v>11.051566349876808</c:v>
                </c:pt>
                <c:pt idx="34">
                  <c:v>10.672012718712054</c:v>
                </c:pt>
                <c:pt idx="35">
                  <c:v>10.5283743731041</c:v>
                </c:pt>
                <c:pt idx="36">
                  <c:v>10.051523960382269</c:v>
                </c:pt>
                <c:pt idx="37">
                  <c:v>10.416396867742407</c:v>
                </c:pt>
                <c:pt idx="38">
                  <c:v>10.056877380566043</c:v>
                </c:pt>
                <c:pt idx="39">
                  <c:v>8.6582358625745712</c:v>
                </c:pt>
                <c:pt idx="40">
                  <c:v>8.6806820062903522</c:v>
                </c:pt>
                <c:pt idx="41">
                  <c:v>7.9496842952270885</c:v>
                </c:pt>
                <c:pt idx="42">
                  <c:v>6.827214193032427</c:v>
                </c:pt>
                <c:pt idx="43">
                  <c:v>6.6570305648488093</c:v>
                </c:pt>
                <c:pt idx="44">
                  <c:v>6.6521767234414053</c:v>
                </c:pt>
                <c:pt idx="45">
                  <c:v>4.5998779705068937</c:v>
                </c:pt>
                <c:pt idx="46">
                  <c:v>3.9409916807425782</c:v>
                </c:pt>
                <c:pt idx="47">
                  <c:v>3.993268535119987</c:v>
                </c:pt>
                <c:pt idx="48">
                  <c:v>3.9811146171913947</c:v>
                </c:pt>
                <c:pt idx="49" formatCode="0.00">
                  <c:v>3.4114721796515868</c:v>
                </c:pt>
                <c:pt idx="50" formatCode="0.00">
                  <c:v>3.228059284550322</c:v>
                </c:pt>
                <c:pt idx="51" formatCode="0.00">
                  <c:v>2.3330700994410813</c:v>
                </c:pt>
                <c:pt idx="52" formatCode="0.00">
                  <c:v>1.9899777622079284</c:v>
                </c:pt>
                <c:pt idx="53" formatCode="0.00">
                  <c:v>1.9753105200307042</c:v>
                </c:pt>
                <c:pt idx="54" formatCode="0.00">
                  <c:v>2.2344448264008276</c:v>
                </c:pt>
                <c:pt idx="55" formatCode="0.00">
                  <c:v>2.2162837086778353</c:v>
                </c:pt>
                <c:pt idx="56" formatCode="0.00">
                  <c:v>1.6803412198761913</c:v>
                </c:pt>
                <c:pt idx="57" formatCode="0.00">
                  <c:v>2.2809914851064983</c:v>
                </c:pt>
                <c:pt idx="58" formatCode="0.00">
                  <c:v>2.622126709546091</c:v>
                </c:pt>
                <c:pt idx="59" formatCode="0.00">
                  <c:v>2.5029869481707712</c:v>
                </c:pt>
                <c:pt idx="60" formatCode="0.00">
                  <c:v>2.9299358991263791</c:v>
                </c:pt>
                <c:pt idx="61" formatCode="0.00">
                  <c:v>2.7893520771343105</c:v>
                </c:pt>
                <c:pt idx="62" formatCode="0.00">
                  <c:v>2.4927347958146662</c:v>
                </c:pt>
                <c:pt idx="63" formatCode="0.00">
                  <c:v>2.9477402103418759</c:v>
                </c:pt>
                <c:pt idx="64" formatCode="0.00">
                  <c:v>2.9369169340834222</c:v>
                </c:pt>
                <c:pt idx="65" formatCode="0.00">
                  <c:v>3.0157487094142787</c:v>
                </c:pt>
                <c:pt idx="66" formatCode="0.00">
                  <c:v>3.331850169768269</c:v>
                </c:pt>
                <c:pt idx="67" formatCode="0.00">
                  <c:v>3.4275243791342058</c:v>
                </c:pt>
                <c:pt idx="68" formatCode="0.00">
                  <c:v>3.6316394299771515</c:v>
                </c:pt>
                <c:pt idx="69" formatCode="0.00">
                  <c:v>3.2787191856370246</c:v>
                </c:pt>
                <c:pt idx="70" formatCode="0.00">
                  <c:v>3.3443887095299107</c:v>
                </c:pt>
                <c:pt idx="71" formatCode="0.00">
                  <c:v>3.4876174781230951</c:v>
                </c:pt>
                <c:pt idx="72" formatCode="0.00">
                  <c:v>3.1644425195658243</c:v>
                </c:pt>
                <c:pt idx="73" formatCode="0.00">
                  <c:v>3.0952067369270031</c:v>
                </c:pt>
                <c:pt idx="74" formatCode="0.00">
                  <c:v>3.0577653734418009</c:v>
                </c:pt>
                <c:pt idx="75" formatCode="0.00">
                  <c:v>2.6569960581116936</c:v>
                </c:pt>
                <c:pt idx="76" formatCode="0.00">
                  <c:v>2.596173311298311</c:v>
                </c:pt>
                <c:pt idx="77" formatCode="0.00">
                  <c:v>2.5446070008659172</c:v>
                </c:pt>
                <c:pt idx="78" formatCode="0.00">
                  <c:v>2.3487160702371668</c:v>
                </c:pt>
                <c:pt idx="79" formatCode="0.00">
                  <c:v>2.3112168417464218</c:v>
                </c:pt>
                <c:pt idx="80" formatCode="0.00">
                  <c:v>2.2308695905112863</c:v>
                </c:pt>
                <c:pt idx="81" formatCode="0.00">
                  <c:v>2.0481070811291024</c:v>
                </c:pt>
                <c:pt idx="82" formatCode="0.00">
                  <c:v>2.0124743938161771</c:v>
                </c:pt>
                <c:pt idx="83" formatCode="0.00">
                  <c:v>1.9993262621935237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OE (February)</c:v>
                </c:pt>
              </c:strCache>
            </c:strRef>
          </c:tx>
          <c:spPr>
            <a:ln w="25400">
              <a:solidFill>
                <a:srgbClr val="BD1B21"/>
              </a:solidFill>
              <a:prstDash val="dash"/>
            </a:ln>
          </c:spPr>
          <c:marker>
            <c:symbol val="none"/>
          </c:marker>
          <c:cat>
            <c:numRef>
              <c:f>'Chart Data'!$A$3:$A$86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Data'!$C$3:$C$86</c:f>
              <c:numCache>
                <c:formatCode>0.0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 formatCode="0.00">
                  <c:v>2.1724579239602804</c:v>
                </c:pt>
                <c:pt idx="58" formatCode="0.00">
                  <c:v>2.5270521455582173</c:v>
                </c:pt>
                <c:pt idx="59" formatCode="0.00">
                  <c:v>2.5354945530872808</c:v>
                </c:pt>
                <c:pt idx="60" formatCode="0.00">
                  <c:v>2.7277893340098558</c:v>
                </c:pt>
                <c:pt idx="61" formatCode="0.00">
                  <c:v>2.5098802148313837</c:v>
                </c:pt>
                <c:pt idx="62" formatCode="0.00">
                  <c:v>2.1565432092167214</c:v>
                </c:pt>
                <c:pt idx="63" formatCode="0.00">
                  <c:v>2.3019737374184723</c:v>
                </c:pt>
                <c:pt idx="64" formatCode="0.00">
                  <c:v>2.2437680718698338</c:v>
                </c:pt>
                <c:pt idx="65" formatCode="0.00">
                  <c:v>2.2458627932359976</c:v>
                </c:pt>
                <c:pt idx="66" formatCode="0.00">
                  <c:v>2.5231967832544777</c:v>
                </c:pt>
                <c:pt idx="67" formatCode="0.00">
                  <c:v>2.586722575263134</c:v>
                </c:pt>
                <c:pt idx="68" formatCode="0.00">
                  <c:v>2.7292135530858852</c:v>
                </c:pt>
                <c:pt idx="69" formatCode="0.00">
                  <c:v>2.4715661560503976</c:v>
                </c:pt>
                <c:pt idx="70" formatCode="0.00">
                  <c:v>2.4910902110380606</c:v>
                </c:pt>
                <c:pt idx="71" formatCode="0.00">
                  <c:v>2.529148023676786</c:v>
                </c:pt>
                <c:pt idx="72" formatCode="0.00">
                  <c:v>2.4333861986809646</c:v>
                </c:pt>
                <c:pt idx="73" formatCode="0.00">
                  <c:v>2.4335495662943574</c:v>
                </c:pt>
                <c:pt idx="74" formatCode="0.00">
                  <c:v>2.4283662678560303</c:v>
                </c:pt>
                <c:pt idx="75" formatCode="0.00">
                  <c:v>2.3493849432622449</c:v>
                </c:pt>
                <c:pt idx="76" formatCode="0.00">
                  <c:v>2.354891785330282</c:v>
                </c:pt>
                <c:pt idx="77" formatCode="0.00">
                  <c:v>2.3739626863510388</c:v>
                </c:pt>
                <c:pt idx="78" formatCode="0.00">
                  <c:v>2.3063833668641953</c:v>
                </c:pt>
                <c:pt idx="79" formatCode="0.00">
                  <c:v>2.3137370862963857</c:v>
                </c:pt>
                <c:pt idx="80" formatCode="0.00">
                  <c:v>2.2596957201219681</c:v>
                </c:pt>
                <c:pt idx="81" formatCode="0.00">
                  <c:v>2.1786505520917432</c:v>
                </c:pt>
                <c:pt idx="82" formatCode="0.00">
                  <c:v>2.1644149771334664</c:v>
                </c:pt>
                <c:pt idx="83" formatCode="0.00">
                  <c:v>2.17601622228627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(February)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Data'!$D$3:$D$86</c:f>
              <c:numCache>
                <c:formatCode>0.0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 formatCode="0.00">
                  <c:v>2.8159999999999998</c:v>
                </c:pt>
                <c:pt idx="61" formatCode="0.00">
                  <c:v>2.8479999999999999</c:v>
                </c:pt>
                <c:pt idx="62" formatCode="0.00">
                  <c:v>2.7090000000000001</c:v>
                </c:pt>
                <c:pt idx="63" formatCode="0.00">
                  <c:v>3.5539999999999998</c:v>
                </c:pt>
                <c:pt idx="64" formatCode="0.00">
                  <c:v>3.53</c:v>
                </c:pt>
                <c:pt idx="65" formatCode="0.00">
                  <c:v>3.5489999999999999</c:v>
                </c:pt>
                <c:pt idx="66">
                  <c:v>#N/A</c:v>
                </c:pt>
                <c:pt idx="67">
                  <c:v>#N/A</c:v>
                </c:pt>
                <c:pt idx="68" formatCode="0.00">
                  <c:v>3.7</c:v>
                </c:pt>
                <c:pt idx="69">
                  <c:v>#N/A</c:v>
                </c:pt>
                <c:pt idx="70">
                  <c:v>#N/A</c:v>
                </c:pt>
                <c:pt idx="71" formatCode="0.00">
                  <c:v>3.5</c:v>
                </c:pt>
                <c:pt idx="72">
                  <c:v>#N/A</c:v>
                </c:pt>
                <c:pt idx="73">
                  <c:v>#N/A</c:v>
                </c:pt>
                <c:pt idx="74" formatCode="0.00">
                  <c:v>3</c:v>
                </c:pt>
                <c:pt idx="75">
                  <c:v>#N/A</c:v>
                </c:pt>
                <c:pt idx="76">
                  <c:v>#N/A</c:v>
                </c:pt>
                <c:pt idx="77" formatCode="0.00">
                  <c:v>2.6</c:v>
                </c:pt>
                <c:pt idx="78">
                  <c:v>#N/A</c:v>
                </c:pt>
                <c:pt idx="79">
                  <c:v>#N/A</c:v>
                </c:pt>
                <c:pt idx="80" formatCode="0.00">
                  <c:v>2.6</c:v>
                </c:pt>
                <c:pt idx="81">
                  <c:v>#N/A</c:v>
                </c:pt>
                <c:pt idx="82">
                  <c:v>#N/A</c:v>
                </c:pt>
                <c:pt idx="83" formatCode="0.00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BoE (Nov)</c:v>
                </c:pt>
              </c:strCache>
            </c:strRef>
          </c:tx>
          <c:spPr>
            <a:ln w="25400">
              <a:solidFill>
                <a:srgbClr val="003469"/>
              </a:solidFill>
              <a:prstDash val="dash"/>
            </a:ln>
          </c:spPr>
          <c:marker>
            <c:symbol val="none"/>
          </c:marker>
          <c:cat>
            <c:numRef>
              <c:f>'Chart Data'!$A$3:$A$86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Data'!$E$3:$E$86</c:f>
              <c:numCache>
                <c:formatCode>0.0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 formatCode="0.00">
                  <c:v>2.1819999999999999</c:v>
                </c:pt>
                <c:pt idx="58" formatCode="0.00">
                  <c:v>2.423</c:v>
                </c:pt>
                <c:pt idx="59" formatCode="0.00">
                  <c:v>2.4630000000000001</c:v>
                </c:pt>
                <c:pt idx="60" formatCode="0.00">
                  <c:v>2.4980000000000002</c:v>
                </c:pt>
                <c:pt idx="61" formatCode="0.00">
                  <c:v>2.4430000000000001</c:v>
                </c:pt>
                <c:pt idx="62" formatCode="0.00">
                  <c:v>2.3730000000000002</c:v>
                </c:pt>
                <c:pt idx="63">
                  <c:v>#N/A</c:v>
                </c:pt>
                <c:pt idx="64">
                  <c:v>#N/A</c:v>
                </c:pt>
                <c:pt idx="65" formatCode="0.00">
                  <c:v>2.6</c:v>
                </c:pt>
                <c:pt idx="66">
                  <c:v>#N/A</c:v>
                </c:pt>
                <c:pt idx="67">
                  <c:v>#N/A</c:v>
                </c:pt>
                <c:pt idx="68" formatCode="0.00">
                  <c:v>2.8</c:v>
                </c:pt>
                <c:pt idx="69">
                  <c:v>#N/A</c:v>
                </c:pt>
                <c:pt idx="70">
                  <c:v>#N/A</c:v>
                </c:pt>
                <c:pt idx="71" formatCode="0.00">
                  <c:v>2.7</c:v>
                </c:pt>
                <c:pt idx="72">
                  <c:v>#N/A</c:v>
                </c:pt>
                <c:pt idx="73">
                  <c:v>#N/A</c:v>
                </c:pt>
                <c:pt idx="74" formatCode="0.00">
                  <c:v>2.6</c:v>
                </c:pt>
                <c:pt idx="75">
                  <c:v>#N/A</c:v>
                </c:pt>
                <c:pt idx="76">
                  <c:v>#N/A</c:v>
                </c:pt>
                <c:pt idx="77" formatCode="0.00">
                  <c:v>2.4</c:v>
                </c:pt>
                <c:pt idx="78">
                  <c:v>#N/A</c:v>
                </c:pt>
                <c:pt idx="79">
                  <c:v>#N/A</c:v>
                </c:pt>
                <c:pt idx="80" formatCode="0.00">
                  <c:v>2.2999999999999998</c:v>
                </c:pt>
                <c:pt idx="81">
                  <c:v>#N/A</c:v>
                </c:pt>
                <c:pt idx="82">
                  <c:v>#N/A</c:v>
                </c:pt>
                <c:pt idx="83" formatCode="0.00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Data'!$F$2</c:f>
              <c:strCache>
                <c:ptCount val="1"/>
                <c:pt idx="0">
                  <c:v>2% LINE</c:v>
                </c:pt>
              </c:strCache>
            </c:strRef>
          </c:tx>
          <c:spPr>
            <a:ln w="15875">
              <a:solidFill>
                <a:srgbClr val="495057">
                  <a:lumMod val="5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'Chart Data'!$A$3:$A$86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Data'!$F$3:$F$86</c:f>
              <c:numCache>
                <c:formatCode>General</c:formatCode>
                <c:ptCount val="8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 formatCode="0.00">
                  <c:v>2</c:v>
                </c:pt>
                <c:pt idx="50" formatCode="0.00">
                  <c:v>2</c:v>
                </c:pt>
                <c:pt idx="51" formatCode="0.00">
                  <c:v>2</c:v>
                </c:pt>
                <c:pt idx="52" formatCode="0.00">
                  <c:v>2</c:v>
                </c:pt>
                <c:pt idx="53" formatCode="0.00">
                  <c:v>2</c:v>
                </c:pt>
                <c:pt idx="54" formatCode="0.00">
                  <c:v>2</c:v>
                </c:pt>
                <c:pt idx="55" formatCode="0.00">
                  <c:v>2</c:v>
                </c:pt>
                <c:pt idx="56" formatCode="0.00">
                  <c:v>2</c:v>
                </c:pt>
                <c:pt idx="57" formatCode="0.00">
                  <c:v>2</c:v>
                </c:pt>
                <c:pt idx="58" formatCode="0.00">
                  <c:v>2</c:v>
                </c:pt>
                <c:pt idx="59" formatCode="0.00">
                  <c:v>2</c:v>
                </c:pt>
                <c:pt idx="60" formatCode="0.00">
                  <c:v>2</c:v>
                </c:pt>
                <c:pt idx="61" formatCode="0.00">
                  <c:v>2</c:v>
                </c:pt>
                <c:pt idx="62" formatCode="0.00">
                  <c:v>2</c:v>
                </c:pt>
                <c:pt idx="63" formatCode="0.00">
                  <c:v>2</c:v>
                </c:pt>
                <c:pt idx="64" formatCode="0.00">
                  <c:v>2</c:v>
                </c:pt>
                <c:pt idx="65" formatCode="0.00">
                  <c:v>2</c:v>
                </c:pt>
                <c:pt idx="66" formatCode="0.00">
                  <c:v>2</c:v>
                </c:pt>
                <c:pt idx="67" formatCode="0.00">
                  <c:v>2</c:v>
                </c:pt>
                <c:pt idx="68" formatCode="0.00">
                  <c:v>2</c:v>
                </c:pt>
                <c:pt idx="69" formatCode="0.00">
                  <c:v>2</c:v>
                </c:pt>
                <c:pt idx="70" formatCode="0.00">
                  <c:v>2</c:v>
                </c:pt>
                <c:pt idx="71" formatCode="0.00">
                  <c:v>2</c:v>
                </c:pt>
                <c:pt idx="72" formatCode="0.00">
                  <c:v>2</c:v>
                </c:pt>
                <c:pt idx="73" formatCode="0.00">
                  <c:v>2</c:v>
                </c:pt>
                <c:pt idx="74" formatCode="0.00">
                  <c:v>2</c:v>
                </c:pt>
                <c:pt idx="75" formatCode="0.00">
                  <c:v>2</c:v>
                </c:pt>
                <c:pt idx="76" formatCode="0.00">
                  <c:v>2</c:v>
                </c:pt>
                <c:pt idx="77" formatCode="0.00">
                  <c:v>2</c:v>
                </c:pt>
                <c:pt idx="78" formatCode="0.00">
                  <c:v>2</c:v>
                </c:pt>
                <c:pt idx="79" formatCode="0.00">
                  <c:v>2</c:v>
                </c:pt>
                <c:pt idx="80" formatCode="0.00">
                  <c:v>2</c:v>
                </c:pt>
                <c:pt idx="81" formatCode="0.00">
                  <c:v>2</c:v>
                </c:pt>
                <c:pt idx="82" formatCode="0.00">
                  <c:v>2</c:v>
                </c:pt>
                <c:pt idx="83" formatCode="0.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v>OE &amp; BoE (Nov)</c:v>
          </c:tx>
          <c:spPr>
            <a:ln w="19050">
              <a:solidFill>
                <a:srgbClr val="EEECE1">
                  <a:lumMod val="1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'Chart Data'!$A$3:$A$86</c:f>
              <c:numCache>
                <c:formatCode>m/d/yyyy</c:formatCode>
                <c:ptCount val="8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</c:numCache>
            </c:numRef>
          </c:cat>
          <c:val>
            <c:numRef>
              <c:f>'Chart Data'!$G$3:$G$86</c:f>
              <c:numCache>
                <c:formatCode>General</c:formatCode>
                <c:ptCount val="8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A7E-4872-89D8-275FBB735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2609620827820528"/>
          <c:y val="9.5417942017832325E-2"/>
          <c:w val="0.76407759393446295"/>
          <c:h val="7.70104293894537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6142118107135628E-2"/>
          <c:y val="0.16066708453122003"/>
          <c:w val="0.90314206796446672"/>
          <c:h val="0.644410555362902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Data'!$BA$2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BD1B21"/>
            </a:solidFill>
            <a:ln w="12700">
              <a:noFill/>
              <a:prstDash val="solid"/>
            </a:ln>
          </c:spPr>
          <c:invertIfNegative val="0"/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Data'!$BA$3:$BA$38</c:f>
              <c:numCache>
                <c:formatCode>0.00</c:formatCode>
                <c:ptCount val="36"/>
                <c:pt idx="0">
                  <c:v>1.9632647677277459</c:v>
                </c:pt>
                <c:pt idx="1">
                  <c:v>1.271887225055468</c:v>
                </c:pt>
                <c:pt idx="2">
                  <c:v>0.80433786347497982</c:v>
                </c:pt>
                <c:pt idx="3">
                  <c:v>-0.11452748733939977</c:v>
                </c:pt>
                <c:pt idx="4">
                  <c:v>-0.81732485131323918</c:v>
                </c:pt>
                <c:pt idx="5">
                  <c:v>-0.9077721777819292</c:v>
                </c:pt>
                <c:pt idx="6">
                  <c:v>-0.69584435557327184</c:v>
                </c:pt>
                <c:pt idx="7">
                  <c:v>-0.52653144333976165</c:v>
                </c:pt>
                <c:pt idx="8">
                  <c:v>-0.56232676160662409</c:v>
                </c:pt>
                <c:pt idx="9">
                  <c:v>-0.29943167429894446</c:v>
                </c:pt>
                <c:pt idx="10">
                  <c:v>0.32758672329495919</c:v>
                </c:pt>
                <c:pt idx="11">
                  <c:v>0.53109472927570511</c:v>
                </c:pt>
                <c:pt idx="12">
                  <c:v>0.67591702026135181</c:v>
                </c:pt>
                <c:pt idx="13">
                  <c:v>0.73139249863038991</c:v>
                </c:pt>
                <c:pt idx="14">
                  <c:v>0.74696703672778586</c:v>
                </c:pt>
                <c:pt idx="15">
                  <c:v>0.94314358415223953</c:v>
                </c:pt>
                <c:pt idx="16">
                  <c:v>1.1539395915018291</c:v>
                </c:pt>
                <c:pt idx="17">
                  <c:v>1.5126527860043426</c:v>
                </c:pt>
                <c:pt idx="18">
                  <c:v>1.1535604598230664</c:v>
                </c:pt>
                <c:pt idx="19">
                  <c:v>1.2150544769566451</c:v>
                </c:pt>
                <c:pt idx="20">
                  <c:v>1.3320920932939018</c:v>
                </c:pt>
                <c:pt idx="21">
                  <c:v>0.96235043851911062</c:v>
                </c:pt>
                <c:pt idx="22">
                  <c:v>1.1550219597647571</c:v>
                </c:pt>
                <c:pt idx="23">
                  <c:v>1.1539155038117865</c:v>
                </c:pt>
                <c:pt idx="24">
                  <c:v>1.1718622952506363</c:v>
                </c:pt>
                <c:pt idx="25">
                  <c:v>1.1652859349128741</c:v>
                </c:pt>
                <c:pt idx="26">
                  <c:v>1.1586351202957257</c:v>
                </c:pt>
                <c:pt idx="27">
                  <c:v>1.1595053904738695</c:v>
                </c:pt>
                <c:pt idx="28">
                  <c:v>1.1537379098287115</c:v>
                </c:pt>
                <c:pt idx="29">
                  <c:v>1.1555318794797209</c:v>
                </c:pt>
                <c:pt idx="30">
                  <c:v>1.1825362909688275</c:v>
                </c:pt>
                <c:pt idx="31">
                  <c:v>1.1625584294112645</c:v>
                </c:pt>
                <c:pt idx="32">
                  <c:v>1.1374183761287515</c:v>
                </c:pt>
                <c:pt idx="33">
                  <c:v>1.1367631086425467</c:v>
                </c:pt>
                <c:pt idx="34">
                  <c:v>1.1225308175947246</c:v>
                </c:pt>
                <c:pt idx="35">
                  <c:v>1.1124769295390413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Data'!$BB$2</c:f>
              <c:strCache>
                <c:ptCount val="1"/>
                <c:pt idx="0">
                  <c:v>Core goods</c:v>
                </c:pt>
              </c:strCache>
            </c:strRef>
          </c:tx>
          <c:spPr>
            <a:solidFill>
              <a:srgbClr val="003469"/>
            </a:solidFill>
            <a:ln w="12700">
              <a:noFill/>
              <a:prstDash val="solid"/>
            </a:ln>
          </c:spPr>
          <c:invertIfNegative val="0"/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Data'!$BB$3:$BB$38</c:f>
              <c:numCache>
                <c:formatCode>0.00</c:formatCode>
                <c:ptCount val="36"/>
                <c:pt idx="0">
                  <c:v>8.3186845237626095</c:v>
                </c:pt>
                <c:pt idx="1">
                  <c:v>6.7134167602959982</c:v>
                </c:pt>
                <c:pt idx="2">
                  <c:v>6.0383119423709886</c:v>
                </c:pt>
                <c:pt idx="3">
                  <c:v>4.2109142324238125</c:v>
                </c:pt>
                <c:pt idx="4">
                  <c:v>3.2502554997724697</c:v>
                </c:pt>
                <c:pt idx="5">
                  <c:v>2.9929786980840145</c:v>
                </c:pt>
                <c:pt idx="6">
                  <c:v>2.9391016358870425</c:v>
                </c:pt>
                <c:pt idx="7">
                  <c:v>2.4618948548832176</c:v>
                </c:pt>
                <c:pt idx="8">
                  <c:v>2.6235909526265422</c:v>
                </c:pt>
                <c:pt idx="9">
                  <c:v>2.7310614985862403</c:v>
                </c:pt>
                <c:pt idx="10">
                  <c:v>3.2433226790109737</c:v>
                </c:pt>
                <c:pt idx="11">
                  <c:v>2.8256460391344218</c:v>
                </c:pt>
                <c:pt idx="12">
                  <c:v>3.1140093642812117</c:v>
                </c:pt>
                <c:pt idx="13">
                  <c:v>3.3016893437099348</c:v>
                </c:pt>
                <c:pt idx="14">
                  <c:v>2.8692497084723989</c:v>
                </c:pt>
                <c:pt idx="15">
                  <c:v>3.0382418532550082</c:v>
                </c:pt>
                <c:pt idx="16">
                  <c:v>3.4199924478184318</c:v>
                </c:pt>
                <c:pt idx="17">
                  <c:v>3.4488504135548048</c:v>
                </c:pt>
                <c:pt idx="18">
                  <c:v>3.4288316008338926</c:v>
                </c:pt>
                <c:pt idx="19">
                  <c:v>3.5305889071625796</c:v>
                </c:pt>
                <c:pt idx="20">
                  <c:v>3.3390454003529468</c:v>
                </c:pt>
                <c:pt idx="21">
                  <c:v>3.3689461362311324</c:v>
                </c:pt>
                <c:pt idx="22">
                  <c:v>3.0784852269003071</c:v>
                </c:pt>
                <c:pt idx="23">
                  <c:v>3.1671162710710687</c:v>
                </c:pt>
                <c:pt idx="24">
                  <c:v>3.2384129234523051</c:v>
                </c:pt>
                <c:pt idx="25">
                  <c:v>3.2468110186335553</c:v>
                </c:pt>
                <c:pt idx="26">
                  <c:v>3.2706631348779824</c:v>
                </c:pt>
                <c:pt idx="27">
                  <c:v>3.1441456277731428</c:v>
                </c:pt>
                <c:pt idx="28">
                  <c:v>2.9827403649468565</c:v>
                </c:pt>
                <c:pt idx="29">
                  <c:v>2.829020418132</c:v>
                </c:pt>
                <c:pt idx="30">
                  <c:v>2.645987463030286</c:v>
                </c:pt>
                <c:pt idx="31">
                  <c:v>2.5042718775820649</c:v>
                </c:pt>
                <c:pt idx="32">
                  <c:v>2.3710296815577125</c:v>
                </c:pt>
                <c:pt idx="33">
                  <c:v>2.2152761969882473</c:v>
                </c:pt>
                <c:pt idx="34">
                  <c:v>2.0715835847658237</c:v>
                </c:pt>
                <c:pt idx="35">
                  <c:v>1.9244644445529202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dateAx>
        <c:axId val="275934208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1"/>
        <c:lblOffset val="100"/>
        <c:baseTimeUnit val="months"/>
        <c:majorUnit val="3"/>
        <c:majorTimeUnit val="months"/>
      </c:dateAx>
      <c:valAx>
        <c:axId val="275936000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3453855127782533"/>
          <c:y val="7.2669324532906476E-2"/>
          <c:w val="0.3183567558215995"/>
          <c:h val="5.616754681249246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757948242894979E-2"/>
          <c:y val="0.15684786329875117"/>
          <c:w val="0.88978943242954356"/>
          <c:h val="0.7044092999717190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Data'!$AE$2</c:f>
              <c:strCache>
                <c:ptCount val="1"/>
                <c:pt idx="0">
                  <c:v>MPC's measure of underlying CPI services inflation*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Data'!$AD$3:$AD$62</c:f>
              <c:numCache>
                <c:formatCode>m/d/yyyy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'Chart Data'!$AE$3:$AE$62</c:f>
              <c:numCache>
                <c:formatCode>0.0</c:formatCode>
                <c:ptCount val="60"/>
                <c:pt idx="0">
                  <c:v>1.4</c:v>
                </c:pt>
                <c:pt idx="1">
                  <c:v>1.2</c:v>
                </c:pt>
                <c:pt idx="2">
                  <c:v>1.2</c:v>
                </c:pt>
                <c:pt idx="3">
                  <c:v>1.3</c:v>
                </c:pt>
                <c:pt idx="4">
                  <c:v>1.8</c:v>
                </c:pt>
                <c:pt idx="5">
                  <c:v>2.2999999999999998</c:v>
                </c:pt>
                <c:pt idx="6">
                  <c:v>1.9</c:v>
                </c:pt>
                <c:pt idx="7">
                  <c:v>4.5</c:v>
                </c:pt>
                <c:pt idx="8">
                  <c:v>3</c:v>
                </c:pt>
                <c:pt idx="9">
                  <c:v>3.3</c:v>
                </c:pt>
                <c:pt idx="10">
                  <c:v>3.7</c:v>
                </c:pt>
                <c:pt idx="11">
                  <c:v>3.4</c:v>
                </c:pt>
                <c:pt idx="12">
                  <c:v>3.5</c:v>
                </c:pt>
                <c:pt idx="13">
                  <c:v>3.7</c:v>
                </c:pt>
                <c:pt idx="14">
                  <c:v>4.4000000000000004</c:v>
                </c:pt>
                <c:pt idx="15">
                  <c:v>5.3</c:v>
                </c:pt>
                <c:pt idx="16">
                  <c:v>5.4</c:v>
                </c:pt>
                <c:pt idx="17">
                  <c:v>5.5</c:v>
                </c:pt>
                <c:pt idx="18">
                  <c:v>5.7</c:v>
                </c:pt>
                <c:pt idx="19">
                  <c:v>6</c:v>
                </c:pt>
                <c:pt idx="20">
                  <c:v>5.9</c:v>
                </c:pt>
                <c:pt idx="21">
                  <c:v>6.2</c:v>
                </c:pt>
                <c:pt idx="22">
                  <c:v>6.7</c:v>
                </c:pt>
                <c:pt idx="23">
                  <c:v>6.8</c:v>
                </c:pt>
                <c:pt idx="24">
                  <c:v>6.4</c:v>
                </c:pt>
                <c:pt idx="25">
                  <c:v>7.5</c:v>
                </c:pt>
                <c:pt idx="26">
                  <c:v>7.2</c:v>
                </c:pt>
                <c:pt idx="27">
                  <c:v>7.1</c:v>
                </c:pt>
                <c:pt idx="28">
                  <c:v>7.2</c:v>
                </c:pt>
                <c:pt idx="29">
                  <c:v>7.1</c:v>
                </c:pt>
                <c:pt idx="30">
                  <c:v>6.7</c:v>
                </c:pt>
                <c:pt idx="31">
                  <c:v>6.5</c:v>
                </c:pt>
                <c:pt idx="32">
                  <c:v>6.6</c:v>
                </c:pt>
                <c:pt idx="33">
                  <c:v>6.4</c:v>
                </c:pt>
                <c:pt idx="34">
                  <c:v>5.7</c:v>
                </c:pt>
                <c:pt idx="35">
                  <c:v>5.8</c:v>
                </c:pt>
                <c:pt idx="36">
                  <c:v>6.3</c:v>
                </c:pt>
                <c:pt idx="37">
                  <c:v>5.2</c:v>
                </c:pt>
                <c:pt idx="38">
                  <c:v>5.0999999999999996</c:v>
                </c:pt>
                <c:pt idx="39">
                  <c:v>5.0999999999999996</c:v>
                </c:pt>
                <c:pt idx="40">
                  <c:v>4.8</c:v>
                </c:pt>
                <c:pt idx="41">
                  <c:v>4.5999999999999996</c:v>
                </c:pt>
                <c:pt idx="42">
                  <c:v>4.8</c:v>
                </c:pt>
                <c:pt idx="43">
                  <c:v>4.8</c:v>
                </c:pt>
                <c:pt idx="44">
                  <c:v>4.5999999999999996</c:v>
                </c:pt>
                <c:pt idx="45">
                  <c:v>4.2</c:v>
                </c:pt>
                <c:pt idx="46">
                  <c:v>4.5999999999999996</c:v>
                </c:pt>
                <c:pt idx="47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Data'!$AF$2</c:f>
              <c:strCache>
                <c:ptCount val="1"/>
                <c:pt idx="0">
                  <c:v>BoE DMP measure of one-year inflation expectations (adv. 6m, 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Data'!$AD$3:$AD$62</c:f>
              <c:numCache>
                <c:formatCode>m/d/yyyy</c:formatCode>
                <c:ptCount val="60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</c:numCache>
            </c:numRef>
          </c:cat>
          <c:val>
            <c:numRef>
              <c:f>'Chart Data'!$AF$3:$AF$62</c:f>
              <c:numCache>
                <c:formatCode>0.0</c:formatCode>
                <c:ptCount val="60"/>
                <c:pt idx="0">
                  <c:v>1.494</c:v>
                </c:pt>
                <c:pt idx="1">
                  <c:v>1.7509999999999999</c:v>
                </c:pt>
                <c:pt idx="2">
                  <c:v>1.891</c:v>
                </c:pt>
                <c:pt idx="3">
                  <c:v>2.1219999999999999</c:v>
                </c:pt>
                <c:pt idx="4">
                  <c:v>2.0990000000000002</c:v>
                </c:pt>
                <c:pt idx="5">
                  <c:v>2.383</c:v>
                </c:pt>
                <c:pt idx="6">
                  <c:v>2.4380000000000002</c:v>
                </c:pt>
                <c:pt idx="7">
                  <c:v>2.6469999999999998</c:v>
                </c:pt>
                <c:pt idx="8">
                  <c:v>2.7360000000000002</c:v>
                </c:pt>
                <c:pt idx="9">
                  <c:v>2.944</c:v>
                </c:pt>
                <c:pt idx="10">
                  <c:v>3.1850000000000001</c:v>
                </c:pt>
                <c:pt idx="11">
                  <c:v>3.28</c:v>
                </c:pt>
                <c:pt idx="12">
                  <c:v>3.21</c:v>
                </c:pt>
                <c:pt idx="13">
                  <c:v>3.14</c:v>
                </c:pt>
                <c:pt idx="14">
                  <c:v>3.42</c:v>
                </c:pt>
                <c:pt idx="15">
                  <c:v>4.0170000000000003</c:v>
                </c:pt>
                <c:pt idx="16">
                  <c:v>4.4109999999999996</c:v>
                </c:pt>
                <c:pt idx="17">
                  <c:v>4.7430000000000003</c:v>
                </c:pt>
                <c:pt idx="18">
                  <c:v>4.6820000000000004</c:v>
                </c:pt>
                <c:pt idx="19">
                  <c:v>4.8330000000000002</c:v>
                </c:pt>
                <c:pt idx="20">
                  <c:v>5.0869999999999997</c:v>
                </c:pt>
                <c:pt idx="21">
                  <c:v>5.5730000000000004</c:v>
                </c:pt>
                <c:pt idx="22">
                  <c:v>5.899</c:v>
                </c:pt>
                <c:pt idx="23">
                  <c:v>6.0460000000000003</c:v>
                </c:pt>
                <c:pt idx="24">
                  <c:v>6.2720000000000002</c:v>
                </c:pt>
                <c:pt idx="25">
                  <c:v>6.4640000000000004</c:v>
                </c:pt>
                <c:pt idx="26">
                  <c:v>6.5739999999999998</c:v>
                </c:pt>
                <c:pt idx="27">
                  <c:v>6.4219999999999997</c:v>
                </c:pt>
                <c:pt idx="28">
                  <c:v>6.1859999999999999</c:v>
                </c:pt>
                <c:pt idx="29">
                  <c:v>5.9039999999999999</c:v>
                </c:pt>
                <c:pt idx="30">
                  <c:v>5.7640000000000002</c:v>
                </c:pt>
                <c:pt idx="31">
                  <c:v>5.65</c:v>
                </c:pt>
                <c:pt idx="32">
                  <c:v>5.492</c:v>
                </c:pt>
                <c:pt idx="33">
                  <c:v>5.5449999999999999</c:v>
                </c:pt>
                <c:pt idx="34">
                  <c:v>5.444</c:v>
                </c:pt>
                <c:pt idx="35">
                  <c:v>5.2969999999999997</c:v>
                </c:pt>
                <c:pt idx="36">
                  <c:v>5.1749999999999998</c:v>
                </c:pt>
                <c:pt idx="37">
                  <c:v>4.9770000000000003</c:v>
                </c:pt>
                <c:pt idx="38">
                  <c:v>4.8170000000000002</c:v>
                </c:pt>
                <c:pt idx="39">
                  <c:v>4.5199999999999996</c:v>
                </c:pt>
                <c:pt idx="40">
                  <c:v>4.444</c:v>
                </c:pt>
                <c:pt idx="41">
                  <c:v>4.3639999999999999</c:v>
                </c:pt>
                <c:pt idx="42">
                  <c:v>4.3070000000000004</c:v>
                </c:pt>
                <c:pt idx="43">
                  <c:v>4.2640000000000002</c:v>
                </c:pt>
                <c:pt idx="44">
                  <c:v>4.1029999999999998</c:v>
                </c:pt>
                <c:pt idx="45">
                  <c:v>4</c:v>
                </c:pt>
                <c:pt idx="46">
                  <c:v>3.9020000000000001</c:v>
                </c:pt>
                <c:pt idx="47">
                  <c:v>3.867</c:v>
                </c:pt>
                <c:pt idx="48">
                  <c:v>3.69</c:v>
                </c:pt>
                <c:pt idx="49">
                  <c:v>3.5249999999999999</c:v>
                </c:pt>
                <c:pt idx="50">
                  <c:v>3.5430000000000001</c:v>
                </c:pt>
                <c:pt idx="51">
                  <c:v>3.5110000000000001</c:v>
                </c:pt>
                <c:pt idx="52">
                  <c:v>3.6659999999999999</c:v>
                </c:pt>
                <c:pt idx="53">
                  <c:v>3.7930000000000001</c:v>
                </c:pt>
                <c:pt idx="54">
                  <c:v>3.9020000000000001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808927"/>
        <c:axId val="556011039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556011039"/>
        <c:scaling>
          <c:orientation val="minMax"/>
          <c:max val="8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459808927"/>
        <c:crosses val="max"/>
        <c:crossBetween val="between"/>
      </c:valAx>
      <c:dateAx>
        <c:axId val="4598089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56011039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6.4025008758250179E-2"/>
          <c:y val="0.11805019065211787"/>
          <c:w val="0.87511960095200347"/>
          <c:h val="0.132144656690066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79361113881987"/>
          <c:w val="1"/>
          <c:h val="0.8092676601123469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Data'!$V$2</c:f>
              <c:strCache>
                <c:ptCount val="1"/>
                <c:pt idx="0">
                  <c:v>UN global food price inflation in £ terms (adv. 12m, 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Data'!$U$51:$U$194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Data'!$V$51:$V$194</c:f>
              <c:numCache>
                <c:formatCode>0.0</c:formatCode>
                <c:ptCount val="144"/>
                <c:pt idx="0">
                  <c:v>-1.8467901716632595</c:v>
                </c:pt>
                <c:pt idx="1">
                  <c:v>0.46371200396988499</c:v>
                </c:pt>
                <c:pt idx="2">
                  <c:v>2.6169977708277559</c:v>
                </c:pt>
                <c:pt idx="3">
                  <c:v>3.2965862150334813</c:v>
                </c:pt>
                <c:pt idx="4">
                  <c:v>6.8544159567654139</c:v>
                </c:pt>
                <c:pt idx="5">
                  <c:v>5.0314603311268247</c:v>
                </c:pt>
                <c:pt idx="6">
                  <c:v>-0.62031870615848472</c:v>
                </c:pt>
                <c:pt idx="7">
                  <c:v>-4.3923711872057574</c:v>
                </c:pt>
                <c:pt idx="8">
                  <c:v>-5.48236355762538</c:v>
                </c:pt>
                <c:pt idx="9">
                  <c:v>-4.3634123315841933</c:v>
                </c:pt>
                <c:pt idx="10">
                  <c:v>-4.820357956682364</c:v>
                </c:pt>
                <c:pt idx="11">
                  <c:v>-5.1037720367008816</c:v>
                </c:pt>
                <c:pt idx="12">
                  <c:v>-8.767701995376898</c:v>
                </c:pt>
                <c:pt idx="13">
                  <c:v>-10.134585355706927</c:v>
                </c:pt>
                <c:pt idx="14">
                  <c:v>-9.8913191502942972</c:v>
                </c:pt>
                <c:pt idx="15">
                  <c:v>-9.5650140420340932</c:v>
                </c:pt>
                <c:pt idx="16">
                  <c:v>-9.998111096298711</c:v>
                </c:pt>
                <c:pt idx="17">
                  <c:v>-9.7340551956779144</c:v>
                </c:pt>
                <c:pt idx="18">
                  <c:v>-12.394280045796169</c:v>
                </c:pt>
                <c:pt idx="19">
                  <c:v>-9.9092298676679782</c:v>
                </c:pt>
                <c:pt idx="20">
                  <c:v>-8.7172045764217447</c:v>
                </c:pt>
                <c:pt idx="21">
                  <c:v>-7.7701256601314661</c:v>
                </c:pt>
                <c:pt idx="22">
                  <c:v>-6.9818349694470978</c:v>
                </c:pt>
                <c:pt idx="23">
                  <c:v>-6.8156836780176588</c:v>
                </c:pt>
                <c:pt idx="24">
                  <c:v>-5.4640652969516257</c:v>
                </c:pt>
                <c:pt idx="25">
                  <c:v>-10.087333617652671</c:v>
                </c:pt>
                <c:pt idx="26">
                  <c:v>-12.896609921414349</c:v>
                </c:pt>
                <c:pt idx="27">
                  <c:v>-12.900958239814841</c:v>
                </c:pt>
                <c:pt idx="28">
                  <c:v>-14.655428050885256</c:v>
                </c:pt>
                <c:pt idx="29">
                  <c:v>-13.81673903446754</c:v>
                </c:pt>
                <c:pt idx="30">
                  <c:v>-11.524788520071528</c:v>
                </c:pt>
                <c:pt idx="31">
                  <c:v>-14.92277340782805</c:v>
                </c:pt>
                <c:pt idx="32">
                  <c:v>-13.38938857045342</c:v>
                </c:pt>
                <c:pt idx="33">
                  <c:v>-13.456916683859699</c:v>
                </c:pt>
                <c:pt idx="34">
                  <c:v>-15.720272173803417</c:v>
                </c:pt>
                <c:pt idx="35">
                  <c:v>-13.674027015154566</c:v>
                </c:pt>
                <c:pt idx="36">
                  <c:v>-11.474262176895744</c:v>
                </c:pt>
                <c:pt idx="37">
                  <c:v>-6.4320922978008959</c:v>
                </c:pt>
                <c:pt idx="38">
                  <c:v>-4.1418321142459247</c:v>
                </c:pt>
                <c:pt idx="39">
                  <c:v>-1.5034545738167204</c:v>
                </c:pt>
                <c:pt idx="40">
                  <c:v>1.6220880069025112</c:v>
                </c:pt>
                <c:pt idx="41">
                  <c:v>8.6378121123541263</c:v>
                </c:pt>
                <c:pt idx="42">
                  <c:v>17.398159279158353</c:v>
                </c:pt>
                <c:pt idx="43">
                  <c:v>26.66296217322699</c:v>
                </c:pt>
                <c:pt idx="44">
                  <c:v>26.063390988012024</c:v>
                </c:pt>
                <c:pt idx="45">
                  <c:v>32.129579154460927</c:v>
                </c:pt>
                <c:pt idx="46">
                  <c:v>33.759102813092667</c:v>
                </c:pt>
                <c:pt idx="47">
                  <c:v>31.425469600241527</c:v>
                </c:pt>
                <c:pt idx="48">
                  <c:v>34.108938976629631</c:v>
                </c:pt>
                <c:pt idx="49">
                  <c:v>30.412120637276384</c:v>
                </c:pt>
                <c:pt idx="50">
                  <c:v>27.022858832974194</c:v>
                </c:pt>
                <c:pt idx="51">
                  <c:v>20.611035354422434</c:v>
                </c:pt>
                <c:pt idx="52">
                  <c:v>20.556923618397338</c:v>
                </c:pt>
                <c:pt idx="53">
                  <c:v>15.62419031710367</c:v>
                </c:pt>
                <c:pt idx="54">
                  <c:v>8.743324048651079</c:v>
                </c:pt>
                <c:pt idx="55">
                  <c:v>5.2574028348189028</c:v>
                </c:pt>
                <c:pt idx="56">
                  <c:v>2.3289715912480968</c:v>
                </c:pt>
                <c:pt idx="57">
                  <c:v>-3.7521641052967847</c:v>
                </c:pt>
                <c:pt idx="58">
                  <c:v>-3.218315808054073</c:v>
                </c:pt>
                <c:pt idx="59">
                  <c:v>-5.7443463121900296</c:v>
                </c:pt>
                <c:pt idx="60">
                  <c:v>-11.711373466701192</c:v>
                </c:pt>
                <c:pt idx="61">
                  <c:v>-10.810083222222143</c:v>
                </c:pt>
                <c:pt idx="62">
                  <c:v>-9.2216912689353734</c:v>
                </c:pt>
                <c:pt idx="63">
                  <c:v>-6.9459034221924902</c:v>
                </c:pt>
                <c:pt idx="64">
                  <c:v>-2.7230658342144998</c:v>
                </c:pt>
                <c:pt idx="65">
                  <c:v>-4.5605980579368595</c:v>
                </c:pt>
                <c:pt idx="66">
                  <c:v>-6.2624345052775254</c:v>
                </c:pt>
                <c:pt idx="67">
                  <c:v>-2.8650790172310092</c:v>
                </c:pt>
                <c:pt idx="68">
                  <c:v>-3.8260087259174513</c:v>
                </c:pt>
                <c:pt idx="69">
                  <c:v>-4.3268375128035164</c:v>
                </c:pt>
                <c:pt idx="70">
                  <c:v>-4.691026054221048</c:v>
                </c:pt>
                <c:pt idx="71">
                  <c:v>1.0131926743921715</c:v>
                </c:pt>
                <c:pt idx="72">
                  <c:v>3.2249810765573317</c:v>
                </c:pt>
                <c:pt idx="73">
                  <c:v>2.8654678882248152</c:v>
                </c:pt>
                <c:pt idx="74">
                  <c:v>-0.11470728883326009</c:v>
                </c:pt>
                <c:pt idx="75">
                  <c:v>2.6519821906565211</c:v>
                </c:pt>
                <c:pt idx="76">
                  <c:v>0.23712908802193677</c:v>
                </c:pt>
                <c:pt idx="77">
                  <c:v>3.2874688998989043</c:v>
                </c:pt>
                <c:pt idx="78">
                  <c:v>5.7250950778984455</c:v>
                </c:pt>
                <c:pt idx="79">
                  <c:v>3.7524185258435372</c:v>
                </c:pt>
                <c:pt idx="80">
                  <c:v>4.8310995835615378</c:v>
                </c:pt>
                <c:pt idx="81">
                  <c:v>4.8731297622364611</c:v>
                </c:pt>
                <c:pt idx="82">
                  <c:v>7.0045746108548634</c:v>
                </c:pt>
                <c:pt idx="83">
                  <c:v>5.8372583619694662</c:v>
                </c:pt>
                <c:pt idx="84">
                  <c:v>8.6647649649715284</c:v>
                </c:pt>
                <c:pt idx="85">
                  <c:v>6.6750723608827167</c:v>
                </c:pt>
                <c:pt idx="86">
                  <c:v>8.9973318305312411</c:v>
                </c:pt>
                <c:pt idx="87">
                  <c:v>3.8085035787078558</c:v>
                </c:pt>
                <c:pt idx="88">
                  <c:v>1.0735850033659622</c:v>
                </c:pt>
                <c:pt idx="89">
                  <c:v>-1.2188902847276806</c:v>
                </c:pt>
                <c:pt idx="90">
                  <c:v>-3.0923410373613125</c:v>
                </c:pt>
                <c:pt idx="91">
                  <c:v>-5.5217886536495282</c:v>
                </c:pt>
                <c:pt idx="92">
                  <c:v>0.16210362706658987</c:v>
                </c:pt>
                <c:pt idx="93">
                  <c:v>3.8559552520114115</c:v>
                </c:pt>
                <c:pt idx="94">
                  <c:v>4.7981945635507284</c:v>
                </c:pt>
                <c:pt idx="95">
                  <c:v>5.0424773343921592</c:v>
                </c:pt>
                <c:pt idx="96">
                  <c:v>6.1669585814907668</c:v>
                </c:pt>
                <c:pt idx="97">
                  <c:v>9.2684002050017043</c:v>
                </c:pt>
                <c:pt idx="98">
                  <c:v>11.609693303687019</c:v>
                </c:pt>
                <c:pt idx="99">
                  <c:v>18.472248023613446</c:v>
                </c:pt>
                <c:pt idx="100">
                  <c:v>22.894792868908475</c:v>
                </c:pt>
                <c:pt idx="101">
                  <c:v>20.280566778647003</c:v>
                </c:pt>
                <c:pt idx="102">
                  <c:v>21.902906702094647</c:v>
                </c:pt>
                <c:pt idx="103">
                  <c:v>27.228034257779044</c:v>
                </c:pt>
                <c:pt idx="104">
                  <c:v>24.408218105594305</c:v>
                </c:pt>
                <c:pt idx="105">
                  <c:v>24.758145567897728</c:v>
                </c:pt>
                <c:pt idx="106">
                  <c:v>26.041244350716553</c:v>
                </c:pt>
                <c:pt idx="107">
                  <c:v>24.439443068796642</c:v>
                </c:pt>
                <c:pt idx="108">
                  <c:v>20.194253604288235</c:v>
                </c:pt>
                <c:pt idx="109">
                  <c:v>24.613724394915714</c:v>
                </c:pt>
                <c:pt idx="110">
                  <c:v>41.513526350842426</c:v>
                </c:pt>
                <c:pt idx="111">
                  <c:v>39.370872699044867</c:v>
                </c:pt>
                <c:pt idx="112">
                  <c:v>39.967954808506256</c:v>
                </c:pt>
                <c:pt idx="113">
                  <c:v>41.711139487894201</c:v>
                </c:pt>
                <c:pt idx="114">
                  <c:v>31.086883233532102</c:v>
                </c:pt>
                <c:pt idx="115">
                  <c:v>24.614635855071242</c:v>
                </c:pt>
                <c:pt idx="116">
                  <c:v>28.953507028446303</c:v>
                </c:pt>
                <c:pt idx="117">
                  <c:v>24.21805371746224</c:v>
                </c:pt>
                <c:pt idx="118">
                  <c:v>15.016964569607039</c:v>
                </c:pt>
                <c:pt idx="119">
                  <c:v>8.677853319654627</c:v>
                </c:pt>
                <c:pt idx="120">
                  <c:v>7.3431307767066079</c:v>
                </c:pt>
                <c:pt idx="121">
                  <c:v>3.3183964696200663</c:v>
                </c:pt>
                <c:pt idx="122">
                  <c:v>-13.265402178056164</c:v>
                </c:pt>
                <c:pt idx="123">
                  <c:v>-16.124123182137794</c:v>
                </c:pt>
                <c:pt idx="124">
                  <c:v>-21.738781855764977</c:v>
                </c:pt>
                <c:pt idx="125">
                  <c:v>-23.134643350023133</c:v>
                </c:pt>
                <c:pt idx="126">
                  <c:v>-18.230657250617011</c:v>
                </c:pt>
                <c:pt idx="127">
                  <c:v>-17.077411476192172</c:v>
                </c:pt>
                <c:pt idx="128">
                  <c:v>-18.967293366992543</c:v>
                </c:pt>
                <c:pt idx="129">
                  <c:v>-17.952198843116619</c:v>
                </c:pt>
                <c:pt idx="130">
                  <c:v>-16.217500354928781</c:v>
                </c:pt>
                <c:pt idx="131">
                  <c:v>-13.835159525692543</c:v>
                </c:pt>
                <c:pt idx="132">
                  <c:v>-13.800049541275838</c:v>
                </c:pt>
                <c:pt idx="133">
                  <c:v>-13.99040089461363</c:v>
                </c:pt>
                <c:pt idx="134">
                  <c:v>-11.353591194164835</c:v>
                </c:pt>
                <c:pt idx="135">
                  <c:v>-7.6102891380038233</c:v>
                </c:pt>
                <c:pt idx="136">
                  <c:v>-4.4462478694261005</c:v>
                </c:pt>
                <c:pt idx="137">
                  <c:v>-2.2374674572867126</c:v>
                </c:pt>
                <c:pt idx="138">
                  <c:v>-2.677505685066417</c:v>
                </c:pt>
                <c:pt idx="139">
                  <c:v>-1.8281348219197691</c:v>
                </c:pt>
                <c:pt idx="140">
                  <c:v>-4.0382919484436064</c:v>
                </c:pt>
                <c:pt idx="141">
                  <c:v>-1.9315142313761191</c:v>
                </c:pt>
                <c:pt idx="142">
                  <c:v>3.2296686502130134</c:v>
                </c:pt>
                <c:pt idx="143">
                  <c:v>6.6836703971704381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3"/>
          <c:order val="3"/>
          <c:tx>
            <c:strRef>
              <c:f>'Chart Data'!$Y$2</c:f>
              <c:strCache>
                <c:ptCount val="1"/>
                <c:pt idx="0">
                  <c:v>Zeroline</c:v>
                </c:pt>
              </c:strCache>
            </c:strRef>
          </c:tx>
          <c:spPr>
            <a:ln w="9525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Data'!$U$51:$U$194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Data'!$Y$51:$Y$194</c:f>
              <c:numCache>
                <c:formatCode>0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Data'!$W$2</c:f>
              <c:strCache>
                <c:ptCount val="1"/>
                <c:pt idx="0">
                  <c:v>ONS UK food price inflation (RHS)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Data'!$U$51:$U$194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Data'!$W$51:$W$194</c:f>
              <c:numCache>
                <c:formatCode>0.0</c:formatCode>
                <c:ptCount val="144"/>
                <c:pt idx="0">
                  <c:v>1.9627085377821318</c:v>
                </c:pt>
                <c:pt idx="1">
                  <c:v>1.8518518518518601</c:v>
                </c:pt>
                <c:pt idx="2">
                  <c:v>1.6634050880626194</c:v>
                </c:pt>
                <c:pt idx="3">
                  <c:v>0.48590864917394949</c:v>
                </c:pt>
                <c:pt idx="4">
                  <c:v>-0.58309037900875493</c:v>
                </c:pt>
                <c:pt idx="5">
                  <c:v>0</c:v>
                </c:pt>
                <c:pt idx="6">
                  <c:v>-0.38986354775827348</c:v>
                </c:pt>
                <c:pt idx="7">
                  <c:v>-1.066925315227929</c:v>
                </c:pt>
                <c:pt idx="8">
                  <c:v>-1.3565891472868241</c:v>
                </c:pt>
                <c:pt idx="9">
                  <c:v>-1.4506769825918808</c:v>
                </c:pt>
                <c:pt idx="10">
                  <c:v>-1.6441005802707909</c:v>
                </c:pt>
                <c:pt idx="11">
                  <c:v>-1.7341040462427681</c:v>
                </c:pt>
                <c:pt idx="12">
                  <c:v>-2.5024061597690217</c:v>
                </c:pt>
                <c:pt idx="13">
                  <c:v>-3.349282296650713</c:v>
                </c:pt>
                <c:pt idx="14">
                  <c:v>-2.8873917228103951</c:v>
                </c:pt>
                <c:pt idx="15">
                  <c:v>-2.8046421663442955</c:v>
                </c:pt>
                <c:pt idx="16">
                  <c:v>-1.85728250244378</c:v>
                </c:pt>
                <c:pt idx="17">
                  <c:v>-2.1484375</c:v>
                </c:pt>
                <c:pt idx="18">
                  <c:v>-2.6418786692759322</c:v>
                </c:pt>
                <c:pt idx="19">
                  <c:v>-2.4509803921568651</c:v>
                </c:pt>
                <c:pt idx="20">
                  <c:v>-2.2593320235756331</c:v>
                </c:pt>
                <c:pt idx="21">
                  <c:v>-2.7477919528950068</c:v>
                </c:pt>
                <c:pt idx="22">
                  <c:v>-2.4582104228121904</c:v>
                </c:pt>
                <c:pt idx="23">
                  <c:v>-2.9411764705882359</c:v>
                </c:pt>
                <c:pt idx="24">
                  <c:v>-2.6653504442250786</c:v>
                </c:pt>
                <c:pt idx="25">
                  <c:v>-2.1782178217821802</c:v>
                </c:pt>
                <c:pt idx="26">
                  <c:v>-2.7750247770069514</c:v>
                </c:pt>
                <c:pt idx="27">
                  <c:v>-2.4875621890547261</c:v>
                </c:pt>
                <c:pt idx="28">
                  <c:v>-2.7888446215139528</c:v>
                </c:pt>
                <c:pt idx="29">
                  <c:v>-2.9940119760479056</c:v>
                </c:pt>
                <c:pt idx="30">
                  <c:v>-2.6130653266331572</c:v>
                </c:pt>
                <c:pt idx="31">
                  <c:v>-2.2110552763819125</c:v>
                </c:pt>
                <c:pt idx="32">
                  <c:v>-2.2110552763819125</c:v>
                </c:pt>
                <c:pt idx="33">
                  <c:v>-2.3208879919273451</c:v>
                </c:pt>
                <c:pt idx="34">
                  <c:v>-2.0161290322580627</c:v>
                </c:pt>
                <c:pt idx="35">
                  <c:v>-1.1111111111111072</c:v>
                </c:pt>
                <c:pt idx="36">
                  <c:v>-0.50709939148072536</c:v>
                </c:pt>
                <c:pt idx="37">
                  <c:v>0.10121457489880026</c:v>
                </c:pt>
                <c:pt idx="38">
                  <c:v>1.2232415902140747</c:v>
                </c:pt>
                <c:pt idx="39">
                  <c:v>1.5306122448979664</c:v>
                </c:pt>
                <c:pt idx="40">
                  <c:v>2.0491803278688492</c:v>
                </c:pt>
                <c:pt idx="41">
                  <c:v>2.2633744855967031</c:v>
                </c:pt>
                <c:pt idx="42">
                  <c:v>2.5799793601651189</c:v>
                </c:pt>
                <c:pt idx="43">
                  <c:v>2.1582733812949728</c:v>
                </c:pt>
                <c:pt idx="44">
                  <c:v>2.9804727646454365</c:v>
                </c:pt>
                <c:pt idx="45">
                  <c:v>3.9256198347107363</c:v>
                </c:pt>
                <c:pt idx="46">
                  <c:v>4.0123456790123413</c:v>
                </c:pt>
                <c:pt idx="47">
                  <c:v>3.9836567926455402</c:v>
                </c:pt>
                <c:pt idx="48">
                  <c:v>3.669724770642202</c:v>
                </c:pt>
                <c:pt idx="49">
                  <c:v>3.0333670374115274</c:v>
                </c:pt>
                <c:pt idx="50">
                  <c:v>3.0211480362537735</c:v>
                </c:pt>
                <c:pt idx="51">
                  <c:v>2.6130653266331683</c:v>
                </c:pt>
                <c:pt idx="52">
                  <c:v>2.3092369477911712</c:v>
                </c:pt>
                <c:pt idx="53">
                  <c:v>2.0120724346076369</c:v>
                </c:pt>
                <c:pt idx="54">
                  <c:v>2.3138832997987802</c:v>
                </c:pt>
                <c:pt idx="55">
                  <c:v>2.5150905432595572</c:v>
                </c:pt>
                <c:pt idx="56">
                  <c:v>1.4970059880239583</c:v>
                </c:pt>
                <c:pt idx="57">
                  <c:v>0.89463220675944921</c:v>
                </c:pt>
                <c:pt idx="58">
                  <c:v>0.49455984174084922</c:v>
                </c:pt>
                <c:pt idx="59">
                  <c:v>0.68762278978389269</c:v>
                </c:pt>
                <c:pt idx="60">
                  <c:v>0.88495575221239076</c:v>
                </c:pt>
                <c:pt idx="61">
                  <c:v>1.0794896957801781</c:v>
                </c:pt>
                <c:pt idx="62">
                  <c:v>0.782013685239491</c:v>
                </c:pt>
                <c:pt idx="63">
                  <c:v>0.68560235063663821</c:v>
                </c:pt>
                <c:pt idx="64">
                  <c:v>0.98135426889107702</c:v>
                </c:pt>
                <c:pt idx="65">
                  <c:v>1.6765285996055201</c:v>
                </c:pt>
                <c:pt idx="66">
                  <c:v>1.3765978367748177</c:v>
                </c:pt>
                <c:pt idx="67">
                  <c:v>1.7664376840039298</c:v>
                </c:pt>
                <c:pt idx="68">
                  <c:v>1.7699115044247815</c:v>
                </c:pt>
                <c:pt idx="69">
                  <c:v>1.2807881773398977</c:v>
                </c:pt>
                <c:pt idx="70">
                  <c:v>2.0669291338582862</c:v>
                </c:pt>
                <c:pt idx="71">
                  <c:v>1.7560975609756113</c:v>
                </c:pt>
                <c:pt idx="72">
                  <c:v>1.4619883040935644</c:v>
                </c:pt>
                <c:pt idx="73">
                  <c:v>1.2621359223300876</c:v>
                </c:pt>
                <c:pt idx="74">
                  <c:v>1.3579049466537318</c:v>
                </c:pt>
                <c:pt idx="75">
                  <c:v>1.3618677042801508</c:v>
                </c:pt>
                <c:pt idx="76">
                  <c:v>1.8464528668610258</c:v>
                </c:pt>
                <c:pt idx="77">
                  <c:v>1.0669253152279401</c:v>
                </c:pt>
                <c:pt idx="78">
                  <c:v>0.77594568380214834</c:v>
                </c:pt>
                <c:pt idx="79">
                  <c:v>0.38572806171648377</c:v>
                </c:pt>
                <c:pt idx="80">
                  <c:v>-9.6618357487920914E-2</c:v>
                </c:pt>
                <c:pt idx="81">
                  <c:v>0.58365758754863606</c:v>
                </c:pt>
                <c:pt idx="82">
                  <c:v>-0.57859209257474786</c:v>
                </c:pt>
                <c:pt idx="83">
                  <c:v>-1.4381591562799612</c:v>
                </c:pt>
                <c:pt idx="84">
                  <c:v>-0.67243035542746687</c:v>
                </c:pt>
                <c:pt idx="85">
                  <c:v>-0.67114093959731447</c:v>
                </c:pt>
                <c:pt idx="86">
                  <c:v>-1.4354066985645897</c:v>
                </c:pt>
                <c:pt idx="87">
                  <c:v>-0.38387715930903177</c:v>
                </c:pt>
                <c:pt idx="88">
                  <c:v>-1.2404580152671763</c:v>
                </c:pt>
                <c:pt idx="89">
                  <c:v>-0.57581573896353655</c:v>
                </c:pt>
                <c:pt idx="90">
                  <c:v>-0.57747834456208791</c:v>
                </c:pt>
                <c:pt idx="91">
                  <c:v>0.28818443804035088</c:v>
                </c:pt>
                <c:pt idx="92">
                  <c:v>0.77369439071566237</c:v>
                </c:pt>
                <c:pt idx="93">
                  <c:v>1.2572533849129597</c:v>
                </c:pt>
                <c:pt idx="94">
                  <c:v>2.5218234723569433</c:v>
                </c:pt>
                <c:pt idx="95">
                  <c:v>4.182879377431914</c:v>
                </c:pt>
                <c:pt idx="96">
                  <c:v>4.2553191489361541</c:v>
                </c:pt>
                <c:pt idx="97">
                  <c:v>5.1158301158301223</c:v>
                </c:pt>
                <c:pt idx="98">
                  <c:v>5.8252427184465994</c:v>
                </c:pt>
                <c:pt idx="99">
                  <c:v>6.6473988439306408</c:v>
                </c:pt>
                <c:pt idx="100">
                  <c:v>8.599033816425127</c:v>
                </c:pt>
                <c:pt idx="101">
                  <c:v>9.7490347490347684</c:v>
                </c:pt>
                <c:pt idx="102">
                  <c:v>12.584704743465625</c:v>
                </c:pt>
                <c:pt idx="103">
                  <c:v>13.026819923371647</c:v>
                </c:pt>
                <c:pt idx="104">
                  <c:v>14.491362763915539</c:v>
                </c:pt>
                <c:pt idx="105">
                  <c:v>16.236867239732568</c:v>
                </c:pt>
                <c:pt idx="106">
                  <c:v>16.461684011352883</c:v>
                </c:pt>
                <c:pt idx="107">
                  <c:v>16.806722689075638</c:v>
                </c:pt>
                <c:pt idx="108">
                  <c:v>16.697588126159559</c:v>
                </c:pt>
                <c:pt idx="109">
                  <c:v>17.998163452708905</c:v>
                </c:pt>
                <c:pt idx="110">
                  <c:v>19.174311926605505</c:v>
                </c:pt>
                <c:pt idx="111">
                  <c:v>18.970189701897013</c:v>
                </c:pt>
                <c:pt idx="112">
                  <c:v>18.238434163701058</c:v>
                </c:pt>
                <c:pt idx="113">
                  <c:v>17.326297273526837</c:v>
                </c:pt>
                <c:pt idx="114">
                  <c:v>14.78933791917456</c:v>
                </c:pt>
                <c:pt idx="115">
                  <c:v>13.559322033898313</c:v>
                </c:pt>
                <c:pt idx="116">
                  <c:v>12.154233025984929</c:v>
                </c:pt>
                <c:pt idx="117">
                  <c:v>10.106820049301568</c:v>
                </c:pt>
                <c:pt idx="118">
                  <c:v>9.1795288383428097</c:v>
                </c:pt>
                <c:pt idx="119">
                  <c:v>7.9936051159072763</c:v>
                </c:pt>
                <c:pt idx="120">
                  <c:v>6.9952305246422819</c:v>
                </c:pt>
                <c:pt idx="121">
                  <c:v>4.9805447470817166</c:v>
                </c:pt>
                <c:pt idx="122">
                  <c:v>4.0030792917628899</c:v>
                </c:pt>
                <c:pt idx="123">
                  <c:v>2.9612756264236983</c:v>
                </c:pt>
                <c:pt idx="124">
                  <c:v>1.7306245297215916</c:v>
                </c:pt>
                <c:pt idx="125">
                  <c:v>1.5742128935532174</c:v>
                </c:pt>
                <c:pt idx="126">
                  <c:v>1.4981273408239737</c:v>
                </c:pt>
                <c:pt idx="127">
                  <c:v>1.3432835820895717</c:v>
                </c:pt>
                <c:pt idx="128">
                  <c:v>1.8684603886397699</c:v>
                </c:pt>
                <c:pt idx="129">
                  <c:v>1.8656716417910557</c:v>
                </c:pt>
                <c:pt idx="130">
                  <c:v>2.0089285714285587</c:v>
                </c:pt>
                <c:pt idx="131">
                  <c:v>1.9985196150999363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Data'!$X$2</c:f>
              <c:strCache>
                <c:ptCount val="1"/>
                <c:pt idx="0">
                  <c:v>PPI food output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Data'!$U$51:$U$194</c:f>
              <c:numCache>
                <c:formatCode>m/d/yyyy</c:formatCode>
                <c:ptCount val="14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  <c:pt idx="109">
                  <c:v>44958</c:v>
                </c:pt>
                <c:pt idx="110">
                  <c:v>44986</c:v>
                </c:pt>
                <c:pt idx="111">
                  <c:v>45017</c:v>
                </c:pt>
                <c:pt idx="112">
                  <c:v>45047</c:v>
                </c:pt>
                <c:pt idx="113">
                  <c:v>45078</c:v>
                </c:pt>
                <c:pt idx="114">
                  <c:v>45108</c:v>
                </c:pt>
                <c:pt idx="115">
                  <c:v>45139</c:v>
                </c:pt>
                <c:pt idx="116">
                  <c:v>45170</c:v>
                </c:pt>
                <c:pt idx="117">
                  <c:v>45200</c:v>
                </c:pt>
                <c:pt idx="118">
                  <c:v>45231</c:v>
                </c:pt>
                <c:pt idx="119">
                  <c:v>45261</c:v>
                </c:pt>
                <c:pt idx="120">
                  <c:v>45292</c:v>
                </c:pt>
                <c:pt idx="121">
                  <c:v>45323</c:v>
                </c:pt>
                <c:pt idx="122">
                  <c:v>45352</c:v>
                </c:pt>
                <c:pt idx="123">
                  <c:v>45383</c:v>
                </c:pt>
                <c:pt idx="124">
                  <c:v>45413</c:v>
                </c:pt>
                <c:pt idx="125">
                  <c:v>45444</c:v>
                </c:pt>
                <c:pt idx="126">
                  <c:v>45474</c:v>
                </c:pt>
                <c:pt idx="127">
                  <c:v>45505</c:v>
                </c:pt>
                <c:pt idx="128">
                  <c:v>45536</c:v>
                </c:pt>
                <c:pt idx="129">
                  <c:v>45566</c:v>
                </c:pt>
                <c:pt idx="130">
                  <c:v>45597</c:v>
                </c:pt>
                <c:pt idx="131">
                  <c:v>45627</c:v>
                </c:pt>
                <c:pt idx="132">
                  <c:v>45658</c:v>
                </c:pt>
                <c:pt idx="133">
                  <c:v>45689</c:v>
                </c:pt>
                <c:pt idx="134">
                  <c:v>45717</c:v>
                </c:pt>
                <c:pt idx="135">
                  <c:v>45748</c:v>
                </c:pt>
                <c:pt idx="136">
                  <c:v>45778</c:v>
                </c:pt>
                <c:pt idx="137">
                  <c:v>45809</c:v>
                </c:pt>
                <c:pt idx="138">
                  <c:v>45839</c:v>
                </c:pt>
                <c:pt idx="139">
                  <c:v>45870</c:v>
                </c:pt>
                <c:pt idx="140">
                  <c:v>45901</c:v>
                </c:pt>
                <c:pt idx="141">
                  <c:v>45931</c:v>
                </c:pt>
                <c:pt idx="142">
                  <c:v>45962</c:v>
                </c:pt>
                <c:pt idx="143">
                  <c:v>45992</c:v>
                </c:pt>
              </c:numCache>
            </c:numRef>
          </c:cat>
          <c:val>
            <c:numRef>
              <c:f>'Chart Data'!$X$51:$X$194</c:f>
              <c:numCache>
                <c:formatCode>0.0</c:formatCode>
                <c:ptCount val="144"/>
                <c:pt idx="0">
                  <c:v>3.0876494023904355</c:v>
                </c:pt>
                <c:pt idx="1">
                  <c:v>2.7777777777777679</c:v>
                </c:pt>
                <c:pt idx="2">
                  <c:v>2.1782178217821802</c:v>
                </c:pt>
                <c:pt idx="3">
                  <c:v>1.4763779527559029</c:v>
                </c:pt>
                <c:pt idx="4">
                  <c:v>1.3752455795677854</c:v>
                </c:pt>
                <c:pt idx="5">
                  <c:v>1.1730205278592365</c:v>
                </c:pt>
                <c:pt idx="6">
                  <c:v>0.58309037900874383</c:v>
                </c:pt>
                <c:pt idx="7">
                  <c:v>-0.19379844961240345</c:v>
                </c:pt>
                <c:pt idx="8">
                  <c:v>-1.1594202898550732</c:v>
                </c:pt>
                <c:pt idx="9">
                  <c:v>-1.3500482160077154</c:v>
                </c:pt>
                <c:pt idx="10">
                  <c:v>-1.5458937198067568</c:v>
                </c:pt>
                <c:pt idx="11">
                  <c:v>-1.9305019305019266</c:v>
                </c:pt>
                <c:pt idx="12">
                  <c:v>-2.6086956521739202</c:v>
                </c:pt>
                <c:pt idx="13">
                  <c:v>-2.9922779922779918</c:v>
                </c:pt>
                <c:pt idx="14">
                  <c:v>-2.5193798449612448</c:v>
                </c:pt>
                <c:pt idx="15">
                  <c:v>-2.3278370514063895</c:v>
                </c:pt>
                <c:pt idx="16">
                  <c:v>-2.4224806201550431</c:v>
                </c:pt>
                <c:pt idx="17">
                  <c:v>-2.4154589371980673</c:v>
                </c:pt>
                <c:pt idx="18">
                  <c:v>-2.5120772946859882</c:v>
                </c:pt>
                <c:pt idx="19">
                  <c:v>-2.0388349514563031</c:v>
                </c:pt>
                <c:pt idx="20">
                  <c:v>-1.6617790811339184</c:v>
                </c:pt>
                <c:pt idx="21">
                  <c:v>-2.1505376344086002</c:v>
                </c:pt>
                <c:pt idx="22">
                  <c:v>-2.2571148184494683</c:v>
                </c:pt>
                <c:pt idx="23">
                  <c:v>-2.3622047244094446</c:v>
                </c:pt>
                <c:pt idx="24">
                  <c:v>-1.7857142857142794</c:v>
                </c:pt>
                <c:pt idx="25">
                  <c:v>-1.6915422885572129</c:v>
                </c:pt>
                <c:pt idx="26">
                  <c:v>-1.9880715705765439</c:v>
                </c:pt>
                <c:pt idx="27">
                  <c:v>-1.9860973187686204</c:v>
                </c:pt>
                <c:pt idx="28">
                  <c:v>-1.8867924528301994</c:v>
                </c:pt>
                <c:pt idx="29">
                  <c:v>-1.8811881188118829</c:v>
                </c:pt>
                <c:pt idx="30">
                  <c:v>-1.9821605550049526</c:v>
                </c:pt>
                <c:pt idx="31">
                  <c:v>-2.5768087215064517</c:v>
                </c:pt>
                <c:pt idx="32">
                  <c:v>-2.4850894632206799</c:v>
                </c:pt>
                <c:pt idx="33">
                  <c:v>-1.998001998001997</c:v>
                </c:pt>
                <c:pt idx="34">
                  <c:v>-1.3052208835341306</c:v>
                </c:pt>
                <c:pt idx="35">
                  <c:v>-0.40322580645162365</c:v>
                </c:pt>
                <c:pt idx="36">
                  <c:v>0.30303030303029388</c:v>
                </c:pt>
                <c:pt idx="37">
                  <c:v>0.70850202429149078</c:v>
                </c:pt>
                <c:pt idx="38">
                  <c:v>1.1156186612576224</c:v>
                </c:pt>
                <c:pt idx="39">
                  <c:v>1.2158054711246313</c:v>
                </c:pt>
                <c:pt idx="40">
                  <c:v>1.5182186234817818</c:v>
                </c:pt>
                <c:pt idx="41">
                  <c:v>2.1190716448032276</c:v>
                </c:pt>
                <c:pt idx="42">
                  <c:v>2.5278058645096024</c:v>
                </c:pt>
                <c:pt idx="43">
                  <c:v>4.069175991861651</c:v>
                </c:pt>
                <c:pt idx="44">
                  <c:v>4.3832823649337493</c:v>
                </c:pt>
                <c:pt idx="45">
                  <c:v>4.7910295616717669</c:v>
                </c:pt>
                <c:pt idx="46">
                  <c:v>5.0864699898270693</c:v>
                </c:pt>
                <c:pt idx="47">
                  <c:v>5.1619433198380582</c:v>
                </c:pt>
                <c:pt idx="48">
                  <c:v>4.9345417925478419</c:v>
                </c:pt>
                <c:pt idx="49">
                  <c:v>4.9246231155778863</c:v>
                </c:pt>
                <c:pt idx="50">
                  <c:v>5.4162487462387165</c:v>
                </c:pt>
                <c:pt idx="51">
                  <c:v>4.3043043043043072</c:v>
                </c:pt>
                <c:pt idx="52">
                  <c:v>3.7886340977068667</c:v>
                </c:pt>
                <c:pt idx="53">
                  <c:v>3.063241106719361</c:v>
                </c:pt>
                <c:pt idx="54">
                  <c:v>3.0571992110453694</c:v>
                </c:pt>
                <c:pt idx="55">
                  <c:v>2.0527859237536639</c:v>
                </c:pt>
                <c:pt idx="56">
                  <c:v>2.05078125</c:v>
                </c:pt>
                <c:pt idx="57">
                  <c:v>1.3618677042801508</c:v>
                </c:pt>
                <c:pt idx="58">
                  <c:v>1.0648596321394033</c:v>
                </c:pt>
                <c:pt idx="59">
                  <c:v>1.1549566891241536</c:v>
                </c:pt>
                <c:pt idx="60">
                  <c:v>0.67178502879079449</c:v>
                </c:pt>
                <c:pt idx="61">
                  <c:v>0.47892720306512704</c:v>
                </c:pt>
                <c:pt idx="62">
                  <c:v>0</c:v>
                </c:pt>
                <c:pt idx="63">
                  <c:v>0.95969289827255722</c:v>
                </c:pt>
                <c:pt idx="64">
                  <c:v>0.96061479346782885</c:v>
                </c:pt>
                <c:pt idx="65">
                  <c:v>1.1505273250239645</c:v>
                </c:pt>
                <c:pt idx="66">
                  <c:v>1.2440191387559807</c:v>
                </c:pt>
                <c:pt idx="67">
                  <c:v>1.8199233716474916</c:v>
                </c:pt>
                <c:pt idx="68">
                  <c:v>1.9138755980861344</c:v>
                </c:pt>
                <c:pt idx="69">
                  <c:v>2.1113243761996081</c:v>
                </c:pt>
                <c:pt idx="70">
                  <c:v>1.5325670498084198</c:v>
                </c:pt>
                <c:pt idx="71">
                  <c:v>0.57088487155090295</c:v>
                </c:pt>
                <c:pt idx="72">
                  <c:v>0.76263107721639134</c:v>
                </c:pt>
                <c:pt idx="73">
                  <c:v>0.47664442326025291</c:v>
                </c:pt>
                <c:pt idx="74">
                  <c:v>0.66603235014273121</c:v>
                </c:pt>
                <c:pt idx="75">
                  <c:v>0.95057034220531467</c:v>
                </c:pt>
                <c:pt idx="76">
                  <c:v>1.2369172216936342</c:v>
                </c:pt>
                <c:pt idx="77">
                  <c:v>1.3270142180094924</c:v>
                </c:pt>
                <c:pt idx="78">
                  <c:v>0.85066162570888171</c:v>
                </c:pt>
                <c:pt idx="79">
                  <c:v>0.28222013170271509</c:v>
                </c:pt>
                <c:pt idx="80">
                  <c:v>0.1877934272300541</c:v>
                </c:pt>
                <c:pt idx="81">
                  <c:v>0.28195488721804995</c:v>
                </c:pt>
                <c:pt idx="82">
                  <c:v>0.7547169811320753</c:v>
                </c:pt>
                <c:pt idx="83">
                  <c:v>1.2298959318826741</c:v>
                </c:pt>
                <c:pt idx="84">
                  <c:v>0.94607379375590828</c:v>
                </c:pt>
                <c:pt idx="85">
                  <c:v>1.802656546489545</c:v>
                </c:pt>
                <c:pt idx="86">
                  <c:v>1.4177693761814769</c:v>
                </c:pt>
                <c:pt idx="87">
                  <c:v>1.5065913370998052</c:v>
                </c:pt>
                <c:pt idx="88">
                  <c:v>1.8796992481203034</c:v>
                </c:pt>
                <c:pt idx="89">
                  <c:v>1.7773620205799645</c:v>
                </c:pt>
                <c:pt idx="90">
                  <c:v>2.0618556701030855</c:v>
                </c:pt>
                <c:pt idx="91">
                  <c:v>2.5328330206378924</c:v>
                </c:pt>
                <c:pt idx="92">
                  <c:v>2.8116213683224034</c:v>
                </c:pt>
                <c:pt idx="93">
                  <c:v>2.9053420805998043</c:v>
                </c:pt>
                <c:pt idx="94">
                  <c:v>2.9026217228464546</c:v>
                </c:pt>
                <c:pt idx="95">
                  <c:v>3.0841121495327029</c:v>
                </c:pt>
                <c:pt idx="96">
                  <c:v>3.9362699156513692</c:v>
                </c:pt>
                <c:pt idx="97">
                  <c:v>4.0074557315936676</c:v>
                </c:pt>
                <c:pt idx="98">
                  <c:v>4.5666356011183629</c:v>
                </c:pt>
                <c:pt idx="99">
                  <c:v>5.3803339517625171</c:v>
                </c:pt>
                <c:pt idx="100">
                  <c:v>5.8118081180811743</c:v>
                </c:pt>
                <c:pt idx="101">
                  <c:v>6.3419117647058876</c:v>
                </c:pt>
                <c:pt idx="102">
                  <c:v>8.2644628099173509</c:v>
                </c:pt>
                <c:pt idx="103">
                  <c:v>9.7895699908508771</c:v>
                </c:pt>
                <c:pt idx="104">
                  <c:v>11.759343664539657</c:v>
                </c:pt>
                <c:pt idx="105">
                  <c:v>13.570127504553732</c:v>
                </c:pt>
                <c:pt idx="106">
                  <c:v>14.467697907188338</c:v>
                </c:pt>
                <c:pt idx="107">
                  <c:v>15.049864007252944</c:v>
                </c:pt>
                <c:pt idx="108">
                  <c:v>15.509467989179427</c:v>
                </c:pt>
                <c:pt idx="109">
                  <c:v>15.681003584229391</c:v>
                </c:pt>
                <c:pt idx="110">
                  <c:v>15.953654188948295</c:v>
                </c:pt>
                <c:pt idx="111">
                  <c:v>15.669014084507049</c:v>
                </c:pt>
                <c:pt idx="112">
                  <c:v>15.518744551002616</c:v>
                </c:pt>
                <c:pt idx="113">
                  <c:v>15.038893690579069</c:v>
                </c:pt>
                <c:pt idx="114">
                  <c:v>13.570822731128086</c:v>
                </c:pt>
                <c:pt idx="115">
                  <c:v>11.749999999999993</c:v>
                </c:pt>
                <c:pt idx="116">
                  <c:v>9.4616639477977049</c:v>
                </c:pt>
                <c:pt idx="117">
                  <c:v>7.5380914194065785</c:v>
                </c:pt>
                <c:pt idx="118">
                  <c:v>6.0413354531001717</c:v>
                </c:pt>
                <c:pt idx="119">
                  <c:v>4.8069345941686326</c:v>
                </c:pt>
                <c:pt idx="120">
                  <c:v>3.7470725995316201</c:v>
                </c:pt>
                <c:pt idx="121">
                  <c:v>3.2532920216886252</c:v>
                </c:pt>
                <c:pt idx="122">
                  <c:v>2.5365103766333608</c:v>
                </c:pt>
                <c:pt idx="123">
                  <c:v>1.5981735159817267</c:v>
                </c:pt>
                <c:pt idx="124">
                  <c:v>0.60377358490566468</c:v>
                </c:pt>
                <c:pt idx="125">
                  <c:v>0.15026296018032514</c:v>
                </c:pt>
                <c:pt idx="126">
                  <c:v>0.14936519790886837</c:v>
                </c:pt>
                <c:pt idx="127">
                  <c:v>0.37285607755406236</c:v>
                </c:pt>
                <c:pt idx="128">
                  <c:v>0.22354694485842153</c:v>
                </c:pt>
                <c:pt idx="129">
                  <c:v>0.44742729306488371</c:v>
                </c:pt>
                <c:pt idx="130">
                  <c:v>0.9745127436281642</c:v>
                </c:pt>
                <c:pt idx="131">
                  <c:v>1.5037593984962516</c:v>
                </c:pt>
                <c:pt idx="132">
                  <c:v>1.4296463506395796</c:v>
                </c:pt>
                <c:pt idx="133">
                  <c:v>1.6504126031507749</c:v>
                </c:pt>
                <c:pt idx="134">
                  <c:v>1.4992503748125996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927359"/>
        <c:axId val="957275999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24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957275999"/>
        <c:scaling>
          <c:orientation val="minMax"/>
          <c:max val="20"/>
          <c:min val="-10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991927359"/>
        <c:crosses val="max"/>
        <c:crossBetween val="between"/>
      </c:valAx>
      <c:dateAx>
        <c:axId val="9919273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57275999"/>
        <c:crosses val="autoZero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15236513186606979"/>
          <c:y val="7.2669356728439174E-2"/>
          <c:w val="0.47398027237665252"/>
          <c:h val="0.1102094785321646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70016459806939E-2"/>
          <c:y val="0.14725688325786473"/>
          <c:w val="0.84011269777718478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Data'!$I$2</c:f>
              <c:strCache>
                <c:ptCount val="1"/>
                <c:pt idx="0">
                  <c:v>Unleaded pump price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Data'!$H$3:$H$271</c:f>
              <c:numCache>
                <c:formatCode>m/d/yyyy</c:formatCode>
                <c:ptCount val="269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  <c:pt idx="18">
                  <c:v>43962</c:v>
                </c:pt>
                <c:pt idx="19">
                  <c:v>43969</c:v>
                </c:pt>
                <c:pt idx="20">
                  <c:v>43976</c:v>
                </c:pt>
                <c:pt idx="21">
                  <c:v>43983</c:v>
                </c:pt>
                <c:pt idx="22">
                  <c:v>43990</c:v>
                </c:pt>
                <c:pt idx="23">
                  <c:v>43997</c:v>
                </c:pt>
                <c:pt idx="24">
                  <c:v>44004</c:v>
                </c:pt>
                <c:pt idx="25">
                  <c:v>44011</c:v>
                </c:pt>
                <c:pt idx="26">
                  <c:v>44018</c:v>
                </c:pt>
                <c:pt idx="27">
                  <c:v>44025</c:v>
                </c:pt>
                <c:pt idx="28">
                  <c:v>44032</c:v>
                </c:pt>
                <c:pt idx="29">
                  <c:v>44039</c:v>
                </c:pt>
                <c:pt idx="30">
                  <c:v>44046</c:v>
                </c:pt>
                <c:pt idx="31">
                  <c:v>44053</c:v>
                </c:pt>
                <c:pt idx="32">
                  <c:v>44060</c:v>
                </c:pt>
                <c:pt idx="33">
                  <c:v>44067</c:v>
                </c:pt>
                <c:pt idx="34">
                  <c:v>44074</c:v>
                </c:pt>
                <c:pt idx="35">
                  <c:v>44081</c:v>
                </c:pt>
                <c:pt idx="36">
                  <c:v>44088</c:v>
                </c:pt>
                <c:pt idx="37">
                  <c:v>44095</c:v>
                </c:pt>
                <c:pt idx="38">
                  <c:v>44102</c:v>
                </c:pt>
                <c:pt idx="39">
                  <c:v>44109</c:v>
                </c:pt>
                <c:pt idx="40">
                  <c:v>44116</c:v>
                </c:pt>
                <c:pt idx="41">
                  <c:v>44123</c:v>
                </c:pt>
                <c:pt idx="42">
                  <c:v>44130</c:v>
                </c:pt>
                <c:pt idx="43">
                  <c:v>44137</c:v>
                </c:pt>
                <c:pt idx="44">
                  <c:v>44144</c:v>
                </c:pt>
                <c:pt idx="45">
                  <c:v>44151</c:v>
                </c:pt>
                <c:pt idx="46">
                  <c:v>44158</c:v>
                </c:pt>
                <c:pt idx="47">
                  <c:v>44165</c:v>
                </c:pt>
                <c:pt idx="48">
                  <c:v>44172</c:v>
                </c:pt>
                <c:pt idx="49">
                  <c:v>44179</c:v>
                </c:pt>
                <c:pt idx="50">
                  <c:v>44186</c:v>
                </c:pt>
                <c:pt idx="51">
                  <c:v>44193</c:v>
                </c:pt>
                <c:pt idx="52">
                  <c:v>44200</c:v>
                </c:pt>
                <c:pt idx="53">
                  <c:v>44207</c:v>
                </c:pt>
                <c:pt idx="54">
                  <c:v>44214</c:v>
                </c:pt>
                <c:pt idx="55">
                  <c:v>44221</c:v>
                </c:pt>
                <c:pt idx="56">
                  <c:v>44228</c:v>
                </c:pt>
                <c:pt idx="57">
                  <c:v>44235</c:v>
                </c:pt>
                <c:pt idx="58">
                  <c:v>44242</c:v>
                </c:pt>
                <c:pt idx="59">
                  <c:v>44249</c:v>
                </c:pt>
                <c:pt idx="60">
                  <c:v>44256</c:v>
                </c:pt>
                <c:pt idx="61">
                  <c:v>44263</c:v>
                </c:pt>
                <c:pt idx="62">
                  <c:v>44270</c:v>
                </c:pt>
                <c:pt idx="63">
                  <c:v>44277</c:v>
                </c:pt>
                <c:pt idx="64">
                  <c:v>44284</c:v>
                </c:pt>
                <c:pt idx="65">
                  <c:v>44291</c:v>
                </c:pt>
                <c:pt idx="66">
                  <c:v>44298</c:v>
                </c:pt>
                <c:pt idx="67">
                  <c:v>44305</c:v>
                </c:pt>
                <c:pt idx="68">
                  <c:v>44312</c:v>
                </c:pt>
                <c:pt idx="69">
                  <c:v>44319</c:v>
                </c:pt>
                <c:pt idx="70">
                  <c:v>44326</c:v>
                </c:pt>
                <c:pt idx="71">
                  <c:v>44333</c:v>
                </c:pt>
                <c:pt idx="72">
                  <c:v>44340</c:v>
                </c:pt>
                <c:pt idx="73">
                  <c:v>44347</c:v>
                </c:pt>
                <c:pt idx="74">
                  <c:v>44354</c:v>
                </c:pt>
                <c:pt idx="75">
                  <c:v>44361</c:v>
                </c:pt>
                <c:pt idx="76">
                  <c:v>44368</c:v>
                </c:pt>
                <c:pt idx="77">
                  <c:v>44375</c:v>
                </c:pt>
                <c:pt idx="78">
                  <c:v>44382</c:v>
                </c:pt>
                <c:pt idx="79">
                  <c:v>44389</c:v>
                </c:pt>
                <c:pt idx="80">
                  <c:v>44396</c:v>
                </c:pt>
                <c:pt idx="81">
                  <c:v>44403</c:v>
                </c:pt>
                <c:pt idx="82">
                  <c:v>44410</c:v>
                </c:pt>
                <c:pt idx="83">
                  <c:v>44417</c:v>
                </c:pt>
                <c:pt idx="84">
                  <c:v>44424</c:v>
                </c:pt>
                <c:pt idx="85">
                  <c:v>44431</c:v>
                </c:pt>
                <c:pt idx="86">
                  <c:v>44438</c:v>
                </c:pt>
                <c:pt idx="87">
                  <c:v>44445</c:v>
                </c:pt>
                <c:pt idx="88">
                  <c:v>44452</c:v>
                </c:pt>
                <c:pt idx="89">
                  <c:v>44459</c:v>
                </c:pt>
                <c:pt idx="90">
                  <c:v>44466</c:v>
                </c:pt>
                <c:pt idx="91">
                  <c:v>44473</c:v>
                </c:pt>
                <c:pt idx="92">
                  <c:v>44480</c:v>
                </c:pt>
                <c:pt idx="93">
                  <c:v>44487</c:v>
                </c:pt>
                <c:pt idx="94">
                  <c:v>44494</c:v>
                </c:pt>
                <c:pt idx="95">
                  <c:v>44501</c:v>
                </c:pt>
                <c:pt idx="96">
                  <c:v>44508</c:v>
                </c:pt>
                <c:pt idx="97">
                  <c:v>44515</c:v>
                </c:pt>
                <c:pt idx="98">
                  <c:v>44522</c:v>
                </c:pt>
                <c:pt idx="99">
                  <c:v>44529</c:v>
                </c:pt>
                <c:pt idx="100">
                  <c:v>44536</c:v>
                </c:pt>
                <c:pt idx="101">
                  <c:v>44543</c:v>
                </c:pt>
                <c:pt idx="102">
                  <c:v>44550</c:v>
                </c:pt>
                <c:pt idx="103">
                  <c:v>44557</c:v>
                </c:pt>
                <c:pt idx="104">
                  <c:v>44564</c:v>
                </c:pt>
                <c:pt idx="105">
                  <c:v>44571</c:v>
                </c:pt>
                <c:pt idx="106">
                  <c:v>44578</c:v>
                </c:pt>
                <c:pt idx="107">
                  <c:v>44585</c:v>
                </c:pt>
                <c:pt idx="108">
                  <c:v>44592</c:v>
                </c:pt>
                <c:pt idx="109">
                  <c:v>44599</c:v>
                </c:pt>
                <c:pt idx="110">
                  <c:v>44606</c:v>
                </c:pt>
                <c:pt idx="111">
                  <c:v>44613</c:v>
                </c:pt>
                <c:pt idx="112">
                  <c:v>44620</c:v>
                </c:pt>
                <c:pt idx="113">
                  <c:v>44627</c:v>
                </c:pt>
                <c:pt idx="114">
                  <c:v>44634</c:v>
                </c:pt>
                <c:pt idx="115">
                  <c:v>44641</c:v>
                </c:pt>
                <c:pt idx="116">
                  <c:v>44648</c:v>
                </c:pt>
                <c:pt idx="117">
                  <c:v>44655</c:v>
                </c:pt>
                <c:pt idx="118">
                  <c:v>44662</c:v>
                </c:pt>
                <c:pt idx="119">
                  <c:v>44669</c:v>
                </c:pt>
                <c:pt idx="120">
                  <c:v>44676</c:v>
                </c:pt>
                <c:pt idx="121">
                  <c:v>44683</c:v>
                </c:pt>
                <c:pt idx="122">
                  <c:v>44690</c:v>
                </c:pt>
                <c:pt idx="123">
                  <c:v>44697</c:v>
                </c:pt>
                <c:pt idx="124">
                  <c:v>44704</c:v>
                </c:pt>
                <c:pt idx="125">
                  <c:v>44711</c:v>
                </c:pt>
                <c:pt idx="126">
                  <c:v>44718</c:v>
                </c:pt>
                <c:pt idx="127">
                  <c:v>44725</c:v>
                </c:pt>
                <c:pt idx="128">
                  <c:v>44732</c:v>
                </c:pt>
                <c:pt idx="129">
                  <c:v>44739</c:v>
                </c:pt>
                <c:pt idx="130">
                  <c:v>44746</c:v>
                </c:pt>
                <c:pt idx="131">
                  <c:v>44753</c:v>
                </c:pt>
                <c:pt idx="132">
                  <c:v>44760</c:v>
                </c:pt>
                <c:pt idx="133">
                  <c:v>44767</c:v>
                </c:pt>
                <c:pt idx="134">
                  <c:v>44774</c:v>
                </c:pt>
                <c:pt idx="135">
                  <c:v>44781</c:v>
                </c:pt>
                <c:pt idx="136">
                  <c:v>44788</c:v>
                </c:pt>
                <c:pt idx="137">
                  <c:v>44795</c:v>
                </c:pt>
                <c:pt idx="138">
                  <c:v>44802</c:v>
                </c:pt>
                <c:pt idx="139">
                  <c:v>44809</c:v>
                </c:pt>
                <c:pt idx="140">
                  <c:v>44816</c:v>
                </c:pt>
                <c:pt idx="141">
                  <c:v>44823</c:v>
                </c:pt>
                <c:pt idx="142">
                  <c:v>44830</c:v>
                </c:pt>
                <c:pt idx="143">
                  <c:v>44837</c:v>
                </c:pt>
                <c:pt idx="144">
                  <c:v>44844</c:v>
                </c:pt>
                <c:pt idx="145">
                  <c:v>44851</c:v>
                </c:pt>
                <c:pt idx="146">
                  <c:v>44858</c:v>
                </c:pt>
                <c:pt idx="147">
                  <c:v>44865</c:v>
                </c:pt>
                <c:pt idx="148">
                  <c:v>44872</c:v>
                </c:pt>
                <c:pt idx="149">
                  <c:v>44879</c:v>
                </c:pt>
                <c:pt idx="150">
                  <c:v>44886</c:v>
                </c:pt>
                <c:pt idx="151">
                  <c:v>44893</c:v>
                </c:pt>
                <c:pt idx="152">
                  <c:v>44900</c:v>
                </c:pt>
                <c:pt idx="153">
                  <c:v>44907</c:v>
                </c:pt>
                <c:pt idx="154">
                  <c:v>44914</c:v>
                </c:pt>
                <c:pt idx="155">
                  <c:v>44921</c:v>
                </c:pt>
                <c:pt idx="156">
                  <c:v>44928</c:v>
                </c:pt>
                <c:pt idx="157">
                  <c:v>44935</c:v>
                </c:pt>
                <c:pt idx="158">
                  <c:v>44942</c:v>
                </c:pt>
                <c:pt idx="159">
                  <c:v>44949</c:v>
                </c:pt>
                <c:pt idx="160">
                  <c:v>44956</c:v>
                </c:pt>
                <c:pt idx="161">
                  <c:v>44963</c:v>
                </c:pt>
                <c:pt idx="162">
                  <c:v>44970</c:v>
                </c:pt>
                <c:pt idx="163">
                  <c:v>44977</c:v>
                </c:pt>
                <c:pt idx="164">
                  <c:v>44984</c:v>
                </c:pt>
                <c:pt idx="165">
                  <c:v>44991</c:v>
                </c:pt>
                <c:pt idx="166">
                  <c:v>44998</c:v>
                </c:pt>
                <c:pt idx="167">
                  <c:v>45005</c:v>
                </c:pt>
                <c:pt idx="168">
                  <c:v>45012</c:v>
                </c:pt>
                <c:pt idx="169">
                  <c:v>45019</c:v>
                </c:pt>
                <c:pt idx="170">
                  <c:v>45026</c:v>
                </c:pt>
                <c:pt idx="171">
                  <c:v>45033</c:v>
                </c:pt>
                <c:pt idx="172">
                  <c:v>45040</c:v>
                </c:pt>
                <c:pt idx="173">
                  <c:v>45047</c:v>
                </c:pt>
                <c:pt idx="174">
                  <c:v>45054</c:v>
                </c:pt>
                <c:pt idx="175">
                  <c:v>45061</c:v>
                </c:pt>
                <c:pt idx="176">
                  <c:v>45068</c:v>
                </c:pt>
                <c:pt idx="177">
                  <c:v>45075</c:v>
                </c:pt>
                <c:pt idx="178">
                  <c:v>45082</c:v>
                </c:pt>
                <c:pt idx="179">
                  <c:v>45089</c:v>
                </c:pt>
                <c:pt idx="180">
                  <c:v>45096</c:v>
                </c:pt>
                <c:pt idx="181">
                  <c:v>45103</c:v>
                </c:pt>
                <c:pt idx="182">
                  <c:v>45110</c:v>
                </c:pt>
                <c:pt idx="183">
                  <c:v>45117</c:v>
                </c:pt>
                <c:pt idx="184">
                  <c:v>45124</c:v>
                </c:pt>
                <c:pt idx="185">
                  <c:v>45131</c:v>
                </c:pt>
                <c:pt idx="186">
                  <c:v>45138</c:v>
                </c:pt>
                <c:pt idx="187">
                  <c:v>45145</c:v>
                </c:pt>
                <c:pt idx="188">
                  <c:v>45152</c:v>
                </c:pt>
                <c:pt idx="189">
                  <c:v>45159</c:v>
                </c:pt>
                <c:pt idx="190">
                  <c:v>45166</c:v>
                </c:pt>
                <c:pt idx="191">
                  <c:v>45173</c:v>
                </c:pt>
                <c:pt idx="192">
                  <c:v>45180</c:v>
                </c:pt>
                <c:pt idx="193">
                  <c:v>45187</c:v>
                </c:pt>
                <c:pt idx="194">
                  <c:v>45194</c:v>
                </c:pt>
                <c:pt idx="195">
                  <c:v>45201</c:v>
                </c:pt>
                <c:pt idx="196">
                  <c:v>45208</c:v>
                </c:pt>
                <c:pt idx="197">
                  <c:v>45215</c:v>
                </c:pt>
                <c:pt idx="198">
                  <c:v>45222</c:v>
                </c:pt>
                <c:pt idx="199">
                  <c:v>45229</c:v>
                </c:pt>
                <c:pt idx="200">
                  <c:v>45236</c:v>
                </c:pt>
                <c:pt idx="201">
                  <c:v>45243</c:v>
                </c:pt>
                <c:pt idx="202">
                  <c:v>45250</c:v>
                </c:pt>
                <c:pt idx="203">
                  <c:v>45257</c:v>
                </c:pt>
                <c:pt idx="204">
                  <c:v>45264</c:v>
                </c:pt>
                <c:pt idx="205">
                  <c:v>45271</c:v>
                </c:pt>
                <c:pt idx="206">
                  <c:v>45278</c:v>
                </c:pt>
                <c:pt idx="207">
                  <c:v>45285</c:v>
                </c:pt>
                <c:pt idx="208">
                  <c:v>45292</c:v>
                </c:pt>
                <c:pt idx="209">
                  <c:v>45299</c:v>
                </c:pt>
                <c:pt idx="210">
                  <c:v>45306</c:v>
                </c:pt>
                <c:pt idx="211">
                  <c:v>45313</c:v>
                </c:pt>
                <c:pt idx="212">
                  <c:v>45320</c:v>
                </c:pt>
                <c:pt idx="213">
                  <c:v>45327</c:v>
                </c:pt>
                <c:pt idx="214">
                  <c:v>45334</c:v>
                </c:pt>
                <c:pt idx="215">
                  <c:v>45341</c:v>
                </c:pt>
                <c:pt idx="216">
                  <c:v>45348</c:v>
                </c:pt>
                <c:pt idx="217">
                  <c:v>45355</c:v>
                </c:pt>
                <c:pt idx="218">
                  <c:v>45362</c:v>
                </c:pt>
                <c:pt idx="219">
                  <c:v>45369</c:v>
                </c:pt>
                <c:pt idx="220">
                  <c:v>45376</c:v>
                </c:pt>
                <c:pt idx="221">
                  <c:v>45383</c:v>
                </c:pt>
                <c:pt idx="222">
                  <c:v>45390</c:v>
                </c:pt>
                <c:pt idx="223">
                  <c:v>45397</c:v>
                </c:pt>
                <c:pt idx="224">
                  <c:v>45404</c:v>
                </c:pt>
                <c:pt idx="225">
                  <c:v>45411</c:v>
                </c:pt>
                <c:pt idx="226">
                  <c:v>45418</c:v>
                </c:pt>
                <c:pt idx="227">
                  <c:v>45425</c:v>
                </c:pt>
                <c:pt idx="228">
                  <c:v>45432</c:v>
                </c:pt>
                <c:pt idx="229">
                  <c:v>45439</c:v>
                </c:pt>
                <c:pt idx="230">
                  <c:v>45446</c:v>
                </c:pt>
                <c:pt idx="231">
                  <c:v>45453</c:v>
                </c:pt>
                <c:pt idx="232">
                  <c:v>45460</c:v>
                </c:pt>
                <c:pt idx="233">
                  <c:v>45467</c:v>
                </c:pt>
                <c:pt idx="234">
                  <c:v>45474</c:v>
                </c:pt>
                <c:pt idx="235">
                  <c:v>45481</c:v>
                </c:pt>
                <c:pt idx="236">
                  <c:v>45488</c:v>
                </c:pt>
                <c:pt idx="237">
                  <c:v>45495</c:v>
                </c:pt>
                <c:pt idx="238">
                  <c:v>45502</c:v>
                </c:pt>
                <c:pt idx="239">
                  <c:v>45509</c:v>
                </c:pt>
                <c:pt idx="240">
                  <c:v>45516</c:v>
                </c:pt>
                <c:pt idx="241">
                  <c:v>45523</c:v>
                </c:pt>
                <c:pt idx="242">
                  <c:v>45530</c:v>
                </c:pt>
                <c:pt idx="243">
                  <c:v>45537</c:v>
                </c:pt>
                <c:pt idx="244">
                  <c:v>45544</c:v>
                </c:pt>
                <c:pt idx="245">
                  <c:v>45551</c:v>
                </c:pt>
                <c:pt idx="246">
                  <c:v>45558</c:v>
                </c:pt>
                <c:pt idx="247">
                  <c:v>45565</c:v>
                </c:pt>
                <c:pt idx="248">
                  <c:v>45572</c:v>
                </c:pt>
                <c:pt idx="249">
                  <c:v>45579</c:v>
                </c:pt>
                <c:pt idx="250">
                  <c:v>45586</c:v>
                </c:pt>
                <c:pt idx="251">
                  <c:v>45593</c:v>
                </c:pt>
                <c:pt idx="252">
                  <c:v>45600</c:v>
                </c:pt>
                <c:pt idx="253">
                  <c:v>45607</c:v>
                </c:pt>
                <c:pt idx="254">
                  <c:v>45614</c:v>
                </c:pt>
                <c:pt idx="255">
                  <c:v>45621</c:v>
                </c:pt>
                <c:pt idx="256">
                  <c:v>45628</c:v>
                </c:pt>
                <c:pt idx="257">
                  <c:v>45635</c:v>
                </c:pt>
                <c:pt idx="258">
                  <c:v>45642</c:v>
                </c:pt>
                <c:pt idx="259">
                  <c:v>45649</c:v>
                </c:pt>
                <c:pt idx="260">
                  <c:v>45656</c:v>
                </c:pt>
                <c:pt idx="261">
                  <c:v>45663</c:v>
                </c:pt>
                <c:pt idx="262">
                  <c:v>45670</c:v>
                </c:pt>
                <c:pt idx="263">
                  <c:v>45677</c:v>
                </c:pt>
                <c:pt idx="264">
                  <c:v>45684</c:v>
                </c:pt>
                <c:pt idx="265">
                  <c:v>45691</c:v>
                </c:pt>
                <c:pt idx="266">
                  <c:v>45698</c:v>
                </c:pt>
                <c:pt idx="267">
                  <c:v>45705</c:v>
                </c:pt>
                <c:pt idx="268">
                  <c:v>45712</c:v>
                </c:pt>
              </c:numCache>
            </c:numRef>
          </c:cat>
          <c:val>
            <c:numRef>
              <c:f>'Chart Data'!$I$3:$I$271</c:f>
              <c:numCache>
                <c:formatCode>0.00</c:formatCode>
                <c:ptCount val="269"/>
                <c:pt idx="0">
                  <c:v>126.09</c:v>
                </c:pt>
                <c:pt idx="1">
                  <c:v>127.17</c:v>
                </c:pt>
                <c:pt idx="2">
                  <c:v>127.18</c:v>
                </c:pt>
                <c:pt idx="3">
                  <c:v>127.33</c:v>
                </c:pt>
                <c:pt idx="4">
                  <c:v>125.85</c:v>
                </c:pt>
                <c:pt idx="5">
                  <c:v>124.73</c:v>
                </c:pt>
                <c:pt idx="6">
                  <c:v>123.8</c:v>
                </c:pt>
                <c:pt idx="7">
                  <c:v>123.45</c:v>
                </c:pt>
                <c:pt idx="8">
                  <c:v>122.43</c:v>
                </c:pt>
                <c:pt idx="9">
                  <c:v>122.24</c:v>
                </c:pt>
                <c:pt idx="10">
                  <c:v>120.33</c:v>
                </c:pt>
                <c:pt idx="11">
                  <c:v>119.64</c:v>
                </c:pt>
                <c:pt idx="12">
                  <c:v>112.45</c:v>
                </c:pt>
                <c:pt idx="13">
                  <c:v>110.23</c:v>
                </c:pt>
                <c:pt idx="14">
                  <c:v>109.27</c:v>
                </c:pt>
                <c:pt idx="15">
                  <c:v>108.63</c:v>
                </c:pt>
                <c:pt idx="16">
                  <c:v>107.88</c:v>
                </c:pt>
                <c:pt idx="17">
                  <c:v>107.56</c:v>
                </c:pt>
                <c:pt idx="18">
                  <c:v>107.45</c:v>
                </c:pt>
                <c:pt idx="19">
                  <c:v>105.09</c:v>
                </c:pt>
                <c:pt idx="20">
                  <c:v>104.87</c:v>
                </c:pt>
                <c:pt idx="21">
                  <c:v>105.17</c:v>
                </c:pt>
                <c:pt idx="22">
                  <c:v>105.74</c:v>
                </c:pt>
                <c:pt idx="23">
                  <c:v>106.37</c:v>
                </c:pt>
                <c:pt idx="24">
                  <c:v>107.13</c:v>
                </c:pt>
                <c:pt idx="25">
                  <c:v>108.31</c:v>
                </c:pt>
                <c:pt idx="26">
                  <c:v>109.43</c:v>
                </c:pt>
                <c:pt idx="27">
                  <c:v>111.24</c:v>
                </c:pt>
                <c:pt idx="28">
                  <c:v>112.23</c:v>
                </c:pt>
                <c:pt idx="29">
                  <c:v>112.66</c:v>
                </c:pt>
                <c:pt idx="30">
                  <c:v>112.91</c:v>
                </c:pt>
                <c:pt idx="31">
                  <c:v>113.02</c:v>
                </c:pt>
                <c:pt idx="32">
                  <c:v>113.04</c:v>
                </c:pt>
                <c:pt idx="33">
                  <c:v>113.22</c:v>
                </c:pt>
                <c:pt idx="34">
                  <c:v>113.29</c:v>
                </c:pt>
                <c:pt idx="35">
                  <c:v>113.37</c:v>
                </c:pt>
                <c:pt idx="36">
                  <c:v>113.32</c:v>
                </c:pt>
                <c:pt idx="37">
                  <c:v>113.31</c:v>
                </c:pt>
                <c:pt idx="38">
                  <c:v>113.3</c:v>
                </c:pt>
                <c:pt idx="39">
                  <c:v>113.26</c:v>
                </c:pt>
                <c:pt idx="40">
                  <c:v>113.19</c:v>
                </c:pt>
                <c:pt idx="41">
                  <c:v>113.18</c:v>
                </c:pt>
                <c:pt idx="42">
                  <c:v>113.14</c:v>
                </c:pt>
                <c:pt idx="43">
                  <c:v>113.11</c:v>
                </c:pt>
                <c:pt idx="44">
                  <c:v>112.5</c:v>
                </c:pt>
                <c:pt idx="45">
                  <c:v>112.35</c:v>
                </c:pt>
                <c:pt idx="46">
                  <c:v>112.42</c:v>
                </c:pt>
                <c:pt idx="47">
                  <c:v>112.61</c:v>
                </c:pt>
                <c:pt idx="48">
                  <c:v>113.17</c:v>
                </c:pt>
                <c:pt idx="49">
                  <c:v>113.82</c:v>
                </c:pt>
                <c:pt idx="50">
                  <c:v>114.43</c:v>
                </c:pt>
                <c:pt idx="51">
                  <c:v>114.91</c:v>
                </c:pt>
                <c:pt idx="52">
                  <c:v>115.39</c:v>
                </c:pt>
                <c:pt idx="53">
                  <c:v>116.14</c:v>
                </c:pt>
                <c:pt idx="54">
                  <c:v>116.93</c:v>
                </c:pt>
                <c:pt idx="55">
                  <c:v>118.1</c:v>
                </c:pt>
                <c:pt idx="56">
                  <c:v>119.14</c:v>
                </c:pt>
                <c:pt idx="57">
                  <c:v>119.67</c:v>
                </c:pt>
                <c:pt idx="58">
                  <c:v>120.53</c:v>
                </c:pt>
                <c:pt idx="59">
                  <c:v>121.27</c:v>
                </c:pt>
                <c:pt idx="60">
                  <c:v>122.17</c:v>
                </c:pt>
                <c:pt idx="61">
                  <c:v>122.94</c:v>
                </c:pt>
                <c:pt idx="62">
                  <c:v>123.9</c:v>
                </c:pt>
                <c:pt idx="63">
                  <c:v>124.57</c:v>
                </c:pt>
                <c:pt idx="64">
                  <c:v>125.13</c:v>
                </c:pt>
                <c:pt idx="65">
                  <c:v>125.24</c:v>
                </c:pt>
                <c:pt idx="66">
                  <c:v>125.4</c:v>
                </c:pt>
                <c:pt idx="67">
                  <c:v>125.48</c:v>
                </c:pt>
                <c:pt idx="68">
                  <c:v>125.8</c:v>
                </c:pt>
                <c:pt idx="69">
                  <c:v>126.09</c:v>
                </c:pt>
                <c:pt idx="70">
                  <c:v>126.53</c:v>
                </c:pt>
                <c:pt idx="71">
                  <c:v>127.19</c:v>
                </c:pt>
                <c:pt idx="72">
                  <c:v>127.89</c:v>
                </c:pt>
                <c:pt idx="73">
                  <c:v>128.15</c:v>
                </c:pt>
                <c:pt idx="74">
                  <c:v>128.69</c:v>
                </c:pt>
                <c:pt idx="75">
                  <c:v>129.47</c:v>
                </c:pt>
                <c:pt idx="76">
                  <c:v>130.1</c:v>
                </c:pt>
                <c:pt idx="77">
                  <c:v>130.72999999999999</c:v>
                </c:pt>
                <c:pt idx="78">
                  <c:v>131.69999999999999</c:v>
                </c:pt>
                <c:pt idx="79">
                  <c:v>132.47</c:v>
                </c:pt>
                <c:pt idx="80">
                  <c:v>133.19999999999999</c:v>
                </c:pt>
                <c:pt idx="81">
                  <c:v>133.47999999999999</c:v>
                </c:pt>
                <c:pt idx="82">
                  <c:v>134.21</c:v>
                </c:pt>
                <c:pt idx="83">
                  <c:v>134.69999999999999</c:v>
                </c:pt>
                <c:pt idx="84">
                  <c:v>134.69999999999999</c:v>
                </c:pt>
                <c:pt idx="85">
                  <c:v>134.68</c:v>
                </c:pt>
                <c:pt idx="86">
                  <c:v>134.66</c:v>
                </c:pt>
                <c:pt idx="87">
                  <c:v>134.76</c:v>
                </c:pt>
                <c:pt idx="88">
                  <c:v>134.75</c:v>
                </c:pt>
                <c:pt idx="89">
                  <c:v>134.86000000000001</c:v>
                </c:pt>
                <c:pt idx="90">
                  <c:v>135.19</c:v>
                </c:pt>
                <c:pt idx="91">
                  <c:v>136.1</c:v>
                </c:pt>
                <c:pt idx="92">
                  <c:v>137.16999999999999</c:v>
                </c:pt>
                <c:pt idx="93">
                  <c:v>139.46</c:v>
                </c:pt>
                <c:pt idx="94">
                  <c:v>141.81</c:v>
                </c:pt>
                <c:pt idx="95">
                  <c:v>143.69999999999999</c:v>
                </c:pt>
                <c:pt idx="96">
                  <c:v>144.9</c:v>
                </c:pt>
                <c:pt idx="97">
                  <c:v>145.87</c:v>
                </c:pt>
                <c:pt idx="98">
                  <c:v>146.88999999999999</c:v>
                </c:pt>
                <c:pt idx="99">
                  <c:v>147.53</c:v>
                </c:pt>
                <c:pt idx="100">
                  <c:v>146.88999999999999</c:v>
                </c:pt>
                <c:pt idx="101">
                  <c:v>146.22</c:v>
                </c:pt>
                <c:pt idx="102">
                  <c:v>145.16</c:v>
                </c:pt>
                <c:pt idx="103">
                  <c:v>144.91999999999999</c:v>
                </c:pt>
                <c:pt idx="104">
                  <c:v>145.04</c:v>
                </c:pt>
                <c:pt idx="105">
                  <c:v>144.82</c:v>
                </c:pt>
                <c:pt idx="106">
                  <c:v>144.80000000000001</c:v>
                </c:pt>
                <c:pt idx="107">
                  <c:v>144.87</c:v>
                </c:pt>
                <c:pt idx="108">
                  <c:v>145.74</c:v>
                </c:pt>
                <c:pt idx="109">
                  <c:v>146.33000000000001</c:v>
                </c:pt>
                <c:pt idx="110">
                  <c:v>146.94999999999999</c:v>
                </c:pt>
                <c:pt idx="111">
                  <c:v>147.77000000000001</c:v>
                </c:pt>
                <c:pt idx="112">
                  <c:v>149.22</c:v>
                </c:pt>
                <c:pt idx="113">
                  <c:v>152.94999999999999</c:v>
                </c:pt>
                <c:pt idx="114">
                  <c:v>159.96</c:v>
                </c:pt>
                <c:pt idx="115">
                  <c:v>165.37</c:v>
                </c:pt>
                <c:pt idx="116">
                  <c:v>162.65</c:v>
                </c:pt>
                <c:pt idx="117">
                  <c:v>161.91</c:v>
                </c:pt>
                <c:pt idx="118">
                  <c:v>161.78</c:v>
                </c:pt>
                <c:pt idx="119">
                  <c:v>161.66999999999999</c:v>
                </c:pt>
                <c:pt idx="120">
                  <c:v>161.84</c:v>
                </c:pt>
                <c:pt idx="121">
                  <c:v>162.47999999999999</c:v>
                </c:pt>
                <c:pt idx="122">
                  <c:v>163.68</c:v>
                </c:pt>
                <c:pt idx="123">
                  <c:v>165.09</c:v>
                </c:pt>
                <c:pt idx="124">
                  <c:v>167.59</c:v>
                </c:pt>
                <c:pt idx="125">
                  <c:v>170.36</c:v>
                </c:pt>
                <c:pt idx="126">
                  <c:v>174.99</c:v>
                </c:pt>
                <c:pt idx="127">
                  <c:v>182.53</c:v>
                </c:pt>
                <c:pt idx="128">
                  <c:v>186.85</c:v>
                </c:pt>
                <c:pt idx="129">
                  <c:v>190.93</c:v>
                </c:pt>
                <c:pt idx="130">
                  <c:v>191.55</c:v>
                </c:pt>
                <c:pt idx="131">
                  <c:v>190.63</c:v>
                </c:pt>
                <c:pt idx="132">
                  <c:v>188.92</c:v>
                </c:pt>
                <c:pt idx="133">
                  <c:v>186.6</c:v>
                </c:pt>
                <c:pt idx="134">
                  <c:v>182.77</c:v>
                </c:pt>
                <c:pt idx="135">
                  <c:v>177.64</c:v>
                </c:pt>
                <c:pt idx="136">
                  <c:v>174.19</c:v>
                </c:pt>
                <c:pt idx="137">
                  <c:v>171.14</c:v>
                </c:pt>
                <c:pt idx="138">
                  <c:v>170.12</c:v>
                </c:pt>
                <c:pt idx="139">
                  <c:v>168.93</c:v>
                </c:pt>
                <c:pt idx="140">
                  <c:v>167.61</c:v>
                </c:pt>
                <c:pt idx="141">
                  <c:v>165.47</c:v>
                </c:pt>
                <c:pt idx="142">
                  <c:v>164</c:v>
                </c:pt>
                <c:pt idx="143">
                  <c:v>162.66999999999999</c:v>
                </c:pt>
                <c:pt idx="144">
                  <c:v>162.09</c:v>
                </c:pt>
                <c:pt idx="145">
                  <c:v>162.81</c:v>
                </c:pt>
                <c:pt idx="146">
                  <c:v>164.62</c:v>
                </c:pt>
                <c:pt idx="147">
                  <c:v>165.87</c:v>
                </c:pt>
                <c:pt idx="148">
                  <c:v>165.62</c:v>
                </c:pt>
                <c:pt idx="149">
                  <c:v>164.4</c:v>
                </c:pt>
                <c:pt idx="150">
                  <c:v>163.28</c:v>
                </c:pt>
                <c:pt idx="151">
                  <c:v>161.13</c:v>
                </c:pt>
                <c:pt idx="152">
                  <c:v>159.19999999999999</c:v>
                </c:pt>
                <c:pt idx="153">
                  <c:v>155.97</c:v>
                </c:pt>
                <c:pt idx="154">
                  <c:v>154.07</c:v>
                </c:pt>
                <c:pt idx="155">
                  <c:v>151.94</c:v>
                </c:pt>
                <c:pt idx="156">
                  <c:v>150.9</c:v>
                </c:pt>
                <c:pt idx="157">
                  <c:v>149.97</c:v>
                </c:pt>
                <c:pt idx="158">
                  <c:v>148.79</c:v>
                </c:pt>
                <c:pt idx="159">
                  <c:v>148.21</c:v>
                </c:pt>
                <c:pt idx="160">
                  <c:v>148.18</c:v>
                </c:pt>
                <c:pt idx="161">
                  <c:v>148.34</c:v>
                </c:pt>
                <c:pt idx="162">
                  <c:v>147.97999999999999</c:v>
                </c:pt>
                <c:pt idx="163">
                  <c:v>147.86000000000001</c:v>
                </c:pt>
                <c:pt idx="164">
                  <c:v>147.55000000000001</c:v>
                </c:pt>
                <c:pt idx="165">
                  <c:v>147.12</c:v>
                </c:pt>
                <c:pt idx="166">
                  <c:v>146.97</c:v>
                </c:pt>
                <c:pt idx="167">
                  <c:v>146.62</c:v>
                </c:pt>
                <c:pt idx="168">
                  <c:v>146.21</c:v>
                </c:pt>
                <c:pt idx="169">
                  <c:v>145.72</c:v>
                </c:pt>
                <c:pt idx="170">
                  <c:v>145.82</c:v>
                </c:pt>
                <c:pt idx="171">
                  <c:v>145.93</c:v>
                </c:pt>
                <c:pt idx="172">
                  <c:v>145.84</c:v>
                </c:pt>
                <c:pt idx="173">
                  <c:v>145.71</c:v>
                </c:pt>
                <c:pt idx="174">
                  <c:v>145.30000000000001</c:v>
                </c:pt>
                <c:pt idx="175">
                  <c:v>144.65</c:v>
                </c:pt>
                <c:pt idx="176">
                  <c:v>143.63999999999999</c:v>
                </c:pt>
                <c:pt idx="177">
                  <c:v>142.94</c:v>
                </c:pt>
                <c:pt idx="178">
                  <c:v>142.9</c:v>
                </c:pt>
                <c:pt idx="179">
                  <c:v>142.71</c:v>
                </c:pt>
                <c:pt idx="180">
                  <c:v>142.94999999999999</c:v>
                </c:pt>
                <c:pt idx="181">
                  <c:v>143.43</c:v>
                </c:pt>
                <c:pt idx="182">
                  <c:v>143.4</c:v>
                </c:pt>
                <c:pt idx="183">
                  <c:v>142.87</c:v>
                </c:pt>
                <c:pt idx="184">
                  <c:v>142.77000000000001</c:v>
                </c:pt>
                <c:pt idx="185">
                  <c:v>142.96</c:v>
                </c:pt>
                <c:pt idx="186">
                  <c:v>144.13</c:v>
                </c:pt>
                <c:pt idx="187">
                  <c:v>146.18</c:v>
                </c:pt>
                <c:pt idx="188">
                  <c:v>147.77000000000001</c:v>
                </c:pt>
                <c:pt idx="189">
                  <c:v>149.4</c:v>
                </c:pt>
                <c:pt idx="190">
                  <c:v>150.72999999999999</c:v>
                </c:pt>
                <c:pt idx="191">
                  <c:v>151.71</c:v>
                </c:pt>
                <c:pt idx="192">
                  <c:v>153.1</c:v>
                </c:pt>
                <c:pt idx="193">
                  <c:v>154.06</c:v>
                </c:pt>
                <c:pt idx="194">
                  <c:v>155.41</c:v>
                </c:pt>
                <c:pt idx="195">
                  <c:v>156.02000000000001</c:v>
                </c:pt>
                <c:pt idx="196">
                  <c:v>155.94</c:v>
                </c:pt>
                <c:pt idx="197">
                  <c:v>155.09</c:v>
                </c:pt>
                <c:pt idx="198">
                  <c:v>154.63</c:v>
                </c:pt>
                <c:pt idx="199">
                  <c:v>153.97</c:v>
                </c:pt>
                <c:pt idx="200">
                  <c:v>153.19999999999999</c:v>
                </c:pt>
                <c:pt idx="201">
                  <c:v>152.38999999999999</c:v>
                </c:pt>
                <c:pt idx="202">
                  <c:v>150.5</c:v>
                </c:pt>
                <c:pt idx="203">
                  <c:v>147.99</c:v>
                </c:pt>
                <c:pt idx="204">
                  <c:v>145.71</c:v>
                </c:pt>
                <c:pt idx="205">
                  <c:v>143.80000000000001</c:v>
                </c:pt>
                <c:pt idx="206">
                  <c:v>141.51</c:v>
                </c:pt>
                <c:pt idx="207">
                  <c:v>140.33000000000001</c:v>
                </c:pt>
                <c:pt idx="208">
                  <c:v>140.78</c:v>
                </c:pt>
                <c:pt idx="209">
                  <c:v>139.72</c:v>
                </c:pt>
                <c:pt idx="210">
                  <c:v>139.49</c:v>
                </c:pt>
                <c:pt idx="211">
                  <c:v>139.38999999999999</c:v>
                </c:pt>
                <c:pt idx="212">
                  <c:v>139.91</c:v>
                </c:pt>
                <c:pt idx="213">
                  <c:v>140.55000000000001</c:v>
                </c:pt>
                <c:pt idx="214">
                  <c:v>141.28</c:v>
                </c:pt>
                <c:pt idx="215">
                  <c:v>142.86000000000001</c:v>
                </c:pt>
                <c:pt idx="216">
                  <c:v>143.96</c:v>
                </c:pt>
                <c:pt idx="217">
                  <c:v>144.72999999999999</c:v>
                </c:pt>
                <c:pt idx="218">
                  <c:v>144.69999999999999</c:v>
                </c:pt>
                <c:pt idx="219">
                  <c:v>144.72999999999999</c:v>
                </c:pt>
                <c:pt idx="220">
                  <c:v>145.06</c:v>
                </c:pt>
                <c:pt idx="221">
                  <c:v>146.25</c:v>
                </c:pt>
                <c:pt idx="222">
                  <c:v>146.91</c:v>
                </c:pt>
                <c:pt idx="223">
                  <c:v>148.49</c:v>
                </c:pt>
                <c:pt idx="224">
                  <c:v>149.21</c:v>
                </c:pt>
                <c:pt idx="225">
                  <c:v>149.49</c:v>
                </c:pt>
                <c:pt idx="226">
                  <c:v>149.54</c:v>
                </c:pt>
                <c:pt idx="227">
                  <c:v>149.22999999999999</c:v>
                </c:pt>
                <c:pt idx="228">
                  <c:v>148.83000000000001</c:v>
                </c:pt>
                <c:pt idx="229">
                  <c:v>147.65</c:v>
                </c:pt>
                <c:pt idx="230">
                  <c:v>147.27000000000001</c:v>
                </c:pt>
                <c:pt idx="231">
                  <c:v>146.25</c:v>
                </c:pt>
                <c:pt idx="232">
                  <c:v>145.09</c:v>
                </c:pt>
                <c:pt idx="233">
                  <c:v>144.43</c:v>
                </c:pt>
                <c:pt idx="234">
                  <c:v>144.28</c:v>
                </c:pt>
                <c:pt idx="235">
                  <c:v>144.44999999999999</c:v>
                </c:pt>
                <c:pt idx="236">
                  <c:v>144.6</c:v>
                </c:pt>
                <c:pt idx="237">
                  <c:v>144.69</c:v>
                </c:pt>
                <c:pt idx="238">
                  <c:v>144.19</c:v>
                </c:pt>
                <c:pt idx="239">
                  <c:v>143.41999999999999</c:v>
                </c:pt>
                <c:pt idx="240">
                  <c:v>142.91</c:v>
                </c:pt>
                <c:pt idx="241">
                  <c:v>141.96</c:v>
                </c:pt>
                <c:pt idx="242">
                  <c:v>141.01</c:v>
                </c:pt>
                <c:pt idx="243">
                  <c:v>139.96</c:v>
                </c:pt>
                <c:pt idx="244">
                  <c:v>138.1</c:v>
                </c:pt>
                <c:pt idx="245">
                  <c:v>136.49</c:v>
                </c:pt>
                <c:pt idx="246">
                  <c:v>135.26</c:v>
                </c:pt>
                <c:pt idx="247">
                  <c:v>134.16999999999999</c:v>
                </c:pt>
                <c:pt idx="248">
                  <c:v>133.59</c:v>
                </c:pt>
                <c:pt idx="249">
                  <c:v>133.86000000000001</c:v>
                </c:pt>
                <c:pt idx="250">
                  <c:v>133.99</c:v>
                </c:pt>
                <c:pt idx="251">
                  <c:v>134.41</c:v>
                </c:pt>
                <c:pt idx="252">
                  <c:v>134.41</c:v>
                </c:pt>
                <c:pt idx="253">
                  <c:v>134.59</c:v>
                </c:pt>
                <c:pt idx="254">
                  <c:v>134.85</c:v>
                </c:pt>
                <c:pt idx="255">
                  <c:v>135.37</c:v>
                </c:pt>
                <c:pt idx="256">
                  <c:v>135.93</c:v>
                </c:pt>
                <c:pt idx="257">
                  <c:v>136.22999999999999</c:v>
                </c:pt>
                <c:pt idx="258">
                  <c:v>136.38999999999999</c:v>
                </c:pt>
                <c:pt idx="259">
                  <c:v>136.38999999999999</c:v>
                </c:pt>
                <c:pt idx="260">
                  <c:v>136.49</c:v>
                </c:pt>
                <c:pt idx="261">
                  <c:v>136.6</c:v>
                </c:pt>
                <c:pt idx="262">
                  <c:v>136.51</c:v>
                </c:pt>
                <c:pt idx="263">
                  <c:v>136.97</c:v>
                </c:pt>
                <c:pt idx="264">
                  <c:v>138.36000000000001</c:v>
                </c:pt>
                <c:pt idx="265">
                  <c:v>138.74</c:v>
                </c:pt>
                <c:pt idx="266">
                  <c:v>139.02000000000001</c:v>
                </c:pt>
                <c:pt idx="267">
                  <c:v>139.22</c:v>
                </c:pt>
                <c:pt idx="268">
                  <c:v>139.62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Data'!$J$2</c:f>
              <c:strCache>
                <c:ptCount val="1"/>
                <c:pt idx="0">
                  <c:v>Diesel pump price (LHS)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Data'!$H$3:$H$271</c:f>
              <c:numCache>
                <c:formatCode>m/d/yyyy</c:formatCode>
                <c:ptCount val="269"/>
                <c:pt idx="0">
                  <c:v>43836</c:v>
                </c:pt>
                <c:pt idx="1">
                  <c:v>43843</c:v>
                </c:pt>
                <c:pt idx="2">
                  <c:v>43850</c:v>
                </c:pt>
                <c:pt idx="3">
                  <c:v>43857</c:v>
                </c:pt>
                <c:pt idx="4">
                  <c:v>43864</c:v>
                </c:pt>
                <c:pt idx="5">
                  <c:v>43871</c:v>
                </c:pt>
                <c:pt idx="6">
                  <c:v>43878</c:v>
                </c:pt>
                <c:pt idx="7">
                  <c:v>43885</c:v>
                </c:pt>
                <c:pt idx="8">
                  <c:v>43892</c:v>
                </c:pt>
                <c:pt idx="9">
                  <c:v>43899</c:v>
                </c:pt>
                <c:pt idx="10">
                  <c:v>43906</c:v>
                </c:pt>
                <c:pt idx="11">
                  <c:v>43913</c:v>
                </c:pt>
                <c:pt idx="12">
                  <c:v>43920</c:v>
                </c:pt>
                <c:pt idx="13">
                  <c:v>43927</c:v>
                </c:pt>
                <c:pt idx="14">
                  <c:v>43934</c:v>
                </c:pt>
                <c:pt idx="15">
                  <c:v>43941</c:v>
                </c:pt>
                <c:pt idx="16">
                  <c:v>43948</c:v>
                </c:pt>
                <c:pt idx="17">
                  <c:v>43955</c:v>
                </c:pt>
                <c:pt idx="18">
                  <c:v>43962</c:v>
                </c:pt>
                <c:pt idx="19">
                  <c:v>43969</c:v>
                </c:pt>
                <c:pt idx="20">
                  <c:v>43976</c:v>
                </c:pt>
                <c:pt idx="21">
                  <c:v>43983</c:v>
                </c:pt>
                <c:pt idx="22">
                  <c:v>43990</c:v>
                </c:pt>
                <c:pt idx="23">
                  <c:v>43997</c:v>
                </c:pt>
                <c:pt idx="24">
                  <c:v>44004</c:v>
                </c:pt>
                <c:pt idx="25">
                  <c:v>44011</c:v>
                </c:pt>
                <c:pt idx="26">
                  <c:v>44018</c:v>
                </c:pt>
                <c:pt idx="27">
                  <c:v>44025</c:v>
                </c:pt>
                <c:pt idx="28">
                  <c:v>44032</c:v>
                </c:pt>
                <c:pt idx="29">
                  <c:v>44039</c:v>
                </c:pt>
                <c:pt idx="30">
                  <c:v>44046</c:v>
                </c:pt>
                <c:pt idx="31">
                  <c:v>44053</c:v>
                </c:pt>
                <c:pt idx="32">
                  <c:v>44060</c:v>
                </c:pt>
                <c:pt idx="33">
                  <c:v>44067</c:v>
                </c:pt>
                <c:pt idx="34">
                  <c:v>44074</c:v>
                </c:pt>
                <c:pt idx="35">
                  <c:v>44081</c:v>
                </c:pt>
                <c:pt idx="36">
                  <c:v>44088</c:v>
                </c:pt>
                <c:pt idx="37">
                  <c:v>44095</c:v>
                </c:pt>
                <c:pt idx="38">
                  <c:v>44102</c:v>
                </c:pt>
                <c:pt idx="39">
                  <c:v>44109</c:v>
                </c:pt>
                <c:pt idx="40">
                  <c:v>44116</c:v>
                </c:pt>
                <c:pt idx="41">
                  <c:v>44123</c:v>
                </c:pt>
                <c:pt idx="42">
                  <c:v>44130</c:v>
                </c:pt>
                <c:pt idx="43">
                  <c:v>44137</c:v>
                </c:pt>
                <c:pt idx="44">
                  <c:v>44144</c:v>
                </c:pt>
                <c:pt idx="45">
                  <c:v>44151</c:v>
                </c:pt>
                <c:pt idx="46">
                  <c:v>44158</c:v>
                </c:pt>
                <c:pt idx="47">
                  <c:v>44165</c:v>
                </c:pt>
                <c:pt idx="48">
                  <c:v>44172</c:v>
                </c:pt>
                <c:pt idx="49">
                  <c:v>44179</c:v>
                </c:pt>
                <c:pt idx="50">
                  <c:v>44186</c:v>
                </c:pt>
                <c:pt idx="51">
                  <c:v>44193</c:v>
                </c:pt>
                <c:pt idx="52">
                  <c:v>44200</c:v>
                </c:pt>
                <c:pt idx="53">
                  <c:v>44207</c:v>
                </c:pt>
                <c:pt idx="54">
                  <c:v>44214</c:v>
                </c:pt>
                <c:pt idx="55">
                  <c:v>44221</c:v>
                </c:pt>
                <c:pt idx="56">
                  <c:v>44228</c:v>
                </c:pt>
                <c:pt idx="57">
                  <c:v>44235</c:v>
                </c:pt>
                <c:pt idx="58">
                  <c:v>44242</c:v>
                </c:pt>
                <c:pt idx="59">
                  <c:v>44249</c:v>
                </c:pt>
                <c:pt idx="60">
                  <c:v>44256</c:v>
                </c:pt>
                <c:pt idx="61">
                  <c:v>44263</c:v>
                </c:pt>
                <c:pt idx="62">
                  <c:v>44270</c:v>
                </c:pt>
                <c:pt idx="63">
                  <c:v>44277</c:v>
                </c:pt>
                <c:pt idx="64">
                  <c:v>44284</c:v>
                </c:pt>
                <c:pt idx="65">
                  <c:v>44291</c:v>
                </c:pt>
                <c:pt idx="66">
                  <c:v>44298</c:v>
                </c:pt>
                <c:pt idx="67">
                  <c:v>44305</c:v>
                </c:pt>
                <c:pt idx="68">
                  <c:v>44312</c:v>
                </c:pt>
                <c:pt idx="69">
                  <c:v>44319</c:v>
                </c:pt>
                <c:pt idx="70">
                  <c:v>44326</c:v>
                </c:pt>
                <c:pt idx="71">
                  <c:v>44333</c:v>
                </c:pt>
                <c:pt idx="72">
                  <c:v>44340</c:v>
                </c:pt>
                <c:pt idx="73">
                  <c:v>44347</c:v>
                </c:pt>
                <c:pt idx="74">
                  <c:v>44354</c:v>
                </c:pt>
                <c:pt idx="75">
                  <c:v>44361</c:v>
                </c:pt>
                <c:pt idx="76">
                  <c:v>44368</c:v>
                </c:pt>
                <c:pt idx="77">
                  <c:v>44375</c:v>
                </c:pt>
                <c:pt idx="78">
                  <c:v>44382</c:v>
                </c:pt>
                <c:pt idx="79">
                  <c:v>44389</c:v>
                </c:pt>
                <c:pt idx="80">
                  <c:v>44396</c:v>
                </c:pt>
                <c:pt idx="81">
                  <c:v>44403</c:v>
                </c:pt>
                <c:pt idx="82">
                  <c:v>44410</c:v>
                </c:pt>
                <c:pt idx="83">
                  <c:v>44417</c:v>
                </c:pt>
                <c:pt idx="84">
                  <c:v>44424</c:v>
                </c:pt>
                <c:pt idx="85">
                  <c:v>44431</c:v>
                </c:pt>
                <c:pt idx="86">
                  <c:v>44438</c:v>
                </c:pt>
                <c:pt idx="87">
                  <c:v>44445</c:v>
                </c:pt>
                <c:pt idx="88">
                  <c:v>44452</c:v>
                </c:pt>
                <c:pt idx="89">
                  <c:v>44459</c:v>
                </c:pt>
                <c:pt idx="90">
                  <c:v>44466</c:v>
                </c:pt>
                <c:pt idx="91">
                  <c:v>44473</c:v>
                </c:pt>
                <c:pt idx="92">
                  <c:v>44480</c:v>
                </c:pt>
                <c:pt idx="93">
                  <c:v>44487</c:v>
                </c:pt>
                <c:pt idx="94">
                  <c:v>44494</c:v>
                </c:pt>
                <c:pt idx="95">
                  <c:v>44501</c:v>
                </c:pt>
                <c:pt idx="96">
                  <c:v>44508</c:v>
                </c:pt>
                <c:pt idx="97">
                  <c:v>44515</c:v>
                </c:pt>
                <c:pt idx="98">
                  <c:v>44522</c:v>
                </c:pt>
                <c:pt idx="99">
                  <c:v>44529</c:v>
                </c:pt>
                <c:pt idx="100">
                  <c:v>44536</c:v>
                </c:pt>
                <c:pt idx="101">
                  <c:v>44543</c:v>
                </c:pt>
                <c:pt idx="102">
                  <c:v>44550</c:v>
                </c:pt>
                <c:pt idx="103">
                  <c:v>44557</c:v>
                </c:pt>
                <c:pt idx="104">
                  <c:v>44564</c:v>
                </c:pt>
                <c:pt idx="105">
                  <c:v>44571</c:v>
                </c:pt>
                <c:pt idx="106">
                  <c:v>44578</c:v>
                </c:pt>
                <c:pt idx="107">
                  <c:v>44585</c:v>
                </c:pt>
                <c:pt idx="108">
                  <c:v>44592</c:v>
                </c:pt>
                <c:pt idx="109">
                  <c:v>44599</c:v>
                </c:pt>
                <c:pt idx="110">
                  <c:v>44606</c:v>
                </c:pt>
                <c:pt idx="111">
                  <c:v>44613</c:v>
                </c:pt>
                <c:pt idx="112">
                  <c:v>44620</c:v>
                </c:pt>
                <c:pt idx="113">
                  <c:v>44627</c:v>
                </c:pt>
                <c:pt idx="114">
                  <c:v>44634</c:v>
                </c:pt>
                <c:pt idx="115">
                  <c:v>44641</c:v>
                </c:pt>
                <c:pt idx="116">
                  <c:v>44648</c:v>
                </c:pt>
                <c:pt idx="117">
                  <c:v>44655</c:v>
                </c:pt>
                <c:pt idx="118">
                  <c:v>44662</c:v>
                </c:pt>
                <c:pt idx="119">
                  <c:v>44669</c:v>
                </c:pt>
                <c:pt idx="120">
                  <c:v>44676</c:v>
                </c:pt>
                <c:pt idx="121">
                  <c:v>44683</c:v>
                </c:pt>
                <c:pt idx="122">
                  <c:v>44690</c:v>
                </c:pt>
                <c:pt idx="123">
                  <c:v>44697</c:v>
                </c:pt>
                <c:pt idx="124">
                  <c:v>44704</c:v>
                </c:pt>
                <c:pt idx="125">
                  <c:v>44711</c:v>
                </c:pt>
                <c:pt idx="126">
                  <c:v>44718</c:v>
                </c:pt>
                <c:pt idx="127">
                  <c:v>44725</c:v>
                </c:pt>
                <c:pt idx="128">
                  <c:v>44732</c:v>
                </c:pt>
                <c:pt idx="129">
                  <c:v>44739</c:v>
                </c:pt>
                <c:pt idx="130">
                  <c:v>44746</c:v>
                </c:pt>
                <c:pt idx="131">
                  <c:v>44753</c:v>
                </c:pt>
                <c:pt idx="132">
                  <c:v>44760</c:v>
                </c:pt>
                <c:pt idx="133">
                  <c:v>44767</c:v>
                </c:pt>
                <c:pt idx="134">
                  <c:v>44774</c:v>
                </c:pt>
                <c:pt idx="135">
                  <c:v>44781</c:v>
                </c:pt>
                <c:pt idx="136">
                  <c:v>44788</c:v>
                </c:pt>
                <c:pt idx="137">
                  <c:v>44795</c:v>
                </c:pt>
                <c:pt idx="138">
                  <c:v>44802</c:v>
                </c:pt>
                <c:pt idx="139">
                  <c:v>44809</c:v>
                </c:pt>
                <c:pt idx="140">
                  <c:v>44816</c:v>
                </c:pt>
                <c:pt idx="141">
                  <c:v>44823</c:v>
                </c:pt>
                <c:pt idx="142">
                  <c:v>44830</c:v>
                </c:pt>
                <c:pt idx="143">
                  <c:v>44837</c:v>
                </c:pt>
                <c:pt idx="144">
                  <c:v>44844</c:v>
                </c:pt>
                <c:pt idx="145">
                  <c:v>44851</c:v>
                </c:pt>
                <c:pt idx="146">
                  <c:v>44858</c:v>
                </c:pt>
                <c:pt idx="147">
                  <c:v>44865</c:v>
                </c:pt>
                <c:pt idx="148">
                  <c:v>44872</c:v>
                </c:pt>
                <c:pt idx="149">
                  <c:v>44879</c:v>
                </c:pt>
                <c:pt idx="150">
                  <c:v>44886</c:v>
                </c:pt>
                <c:pt idx="151">
                  <c:v>44893</c:v>
                </c:pt>
                <c:pt idx="152">
                  <c:v>44900</c:v>
                </c:pt>
                <c:pt idx="153">
                  <c:v>44907</c:v>
                </c:pt>
                <c:pt idx="154">
                  <c:v>44914</c:v>
                </c:pt>
                <c:pt idx="155">
                  <c:v>44921</c:v>
                </c:pt>
                <c:pt idx="156">
                  <c:v>44928</c:v>
                </c:pt>
                <c:pt idx="157">
                  <c:v>44935</c:v>
                </c:pt>
                <c:pt idx="158">
                  <c:v>44942</c:v>
                </c:pt>
                <c:pt idx="159">
                  <c:v>44949</c:v>
                </c:pt>
                <c:pt idx="160">
                  <c:v>44956</c:v>
                </c:pt>
                <c:pt idx="161">
                  <c:v>44963</c:v>
                </c:pt>
                <c:pt idx="162">
                  <c:v>44970</c:v>
                </c:pt>
                <c:pt idx="163">
                  <c:v>44977</c:v>
                </c:pt>
                <c:pt idx="164">
                  <c:v>44984</c:v>
                </c:pt>
                <c:pt idx="165">
                  <c:v>44991</c:v>
                </c:pt>
                <c:pt idx="166">
                  <c:v>44998</c:v>
                </c:pt>
                <c:pt idx="167">
                  <c:v>45005</c:v>
                </c:pt>
                <c:pt idx="168">
                  <c:v>45012</c:v>
                </c:pt>
                <c:pt idx="169">
                  <c:v>45019</c:v>
                </c:pt>
                <c:pt idx="170">
                  <c:v>45026</c:v>
                </c:pt>
                <c:pt idx="171">
                  <c:v>45033</c:v>
                </c:pt>
                <c:pt idx="172">
                  <c:v>45040</c:v>
                </c:pt>
                <c:pt idx="173">
                  <c:v>45047</c:v>
                </c:pt>
                <c:pt idx="174">
                  <c:v>45054</c:v>
                </c:pt>
                <c:pt idx="175">
                  <c:v>45061</c:v>
                </c:pt>
                <c:pt idx="176">
                  <c:v>45068</c:v>
                </c:pt>
                <c:pt idx="177">
                  <c:v>45075</c:v>
                </c:pt>
                <c:pt idx="178">
                  <c:v>45082</c:v>
                </c:pt>
                <c:pt idx="179">
                  <c:v>45089</c:v>
                </c:pt>
                <c:pt idx="180">
                  <c:v>45096</c:v>
                </c:pt>
                <c:pt idx="181">
                  <c:v>45103</c:v>
                </c:pt>
                <c:pt idx="182">
                  <c:v>45110</c:v>
                </c:pt>
                <c:pt idx="183">
                  <c:v>45117</c:v>
                </c:pt>
                <c:pt idx="184">
                  <c:v>45124</c:v>
                </c:pt>
                <c:pt idx="185">
                  <c:v>45131</c:v>
                </c:pt>
                <c:pt idx="186">
                  <c:v>45138</c:v>
                </c:pt>
                <c:pt idx="187">
                  <c:v>45145</c:v>
                </c:pt>
                <c:pt idx="188">
                  <c:v>45152</c:v>
                </c:pt>
                <c:pt idx="189">
                  <c:v>45159</c:v>
                </c:pt>
                <c:pt idx="190">
                  <c:v>45166</c:v>
                </c:pt>
                <c:pt idx="191">
                  <c:v>45173</c:v>
                </c:pt>
                <c:pt idx="192">
                  <c:v>45180</c:v>
                </c:pt>
                <c:pt idx="193">
                  <c:v>45187</c:v>
                </c:pt>
                <c:pt idx="194">
                  <c:v>45194</c:v>
                </c:pt>
                <c:pt idx="195">
                  <c:v>45201</c:v>
                </c:pt>
                <c:pt idx="196">
                  <c:v>45208</c:v>
                </c:pt>
                <c:pt idx="197">
                  <c:v>45215</c:v>
                </c:pt>
                <c:pt idx="198">
                  <c:v>45222</c:v>
                </c:pt>
                <c:pt idx="199">
                  <c:v>45229</c:v>
                </c:pt>
                <c:pt idx="200">
                  <c:v>45236</c:v>
                </c:pt>
                <c:pt idx="201">
                  <c:v>45243</c:v>
                </c:pt>
                <c:pt idx="202">
                  <c:v>45250</c:v>
                </c:pt>
                <c:pt idx="203">
                  <c:v>45257</c:v>
                </c:pt>
                <c:pt idx="204">
                  <c:v>45264</c:v>
                </c:pt>
                <c:pt idx="205">
                  <c:v>45271</c:v>
                </c:pt>
                <c:pt idx="206">
                  <c:v>45278</c:v>
                </c:pt>
                <c:pt idx="207">
                  <c:v>45285</c:v>
                </c:pt>
                <c:pt idx="208">
                  <c:v>45292</c:v>
                </c:pt>
                <c:pt idx="209">
                  <c:v>45299</c:v>
                </c:pt>
                <c:pt idx="210">
                  <c:v>45306</c:v>
                </c:pt>
                <c:pt idx="211">
                  <c:v>45313</c:v>
                </c:pt>
                <c:pt idx="212">
                  <c:v>45320</c:v>
                </c:pt>
                <c:pt idx="213">
                  <c:v>45327</c:v>
                </c:pt>
                <c:pt idx="214">
                  <c:v>45334</c:v>
                </c:pt>
                <c:pt idx="215">
                  <c:v>45341</c:v>
                </c:pt>
                <c:pt idx="216">
                  <c:v>45348</c:v>
                </c:pt>
                <c:pt idx="217">
                  <c:v>45355</c:v>
                </c:pt>
                <c:pt idx="218">
                  <c:v>45362</c:v>
                </c:pt>
                <c:pt idx="219">
                  <c:v>45369</c:v>
                </c:pt>
                <c:pt idx="220">
                  <c:v>45376</c:v>
                </c:pt>
                <c:pt idx="221">
                  <c:v>45383</c:v>
                </c:pt>
                <c:pt idx="222">
                  <c:v>45390</c:v>
                </c:pt>
                <c:pt idx="223">
                  <c:v>45397</c:v>
                </c:pt>
                <c:pt idx="224">
                  <c:v>45404</c:v>
                </c:pt>
                <c:pt idx="225">
                  <c:v>45411</c:v>
                </c:pt>
                <c:pt idx="226">
                  <c:v>45418</c:v>
                </c:pt>
                <c:pt idx="227">
                  <c:v>45425</c:v>
                </c:pt>
                <c:pt idx="228">
                  <c:v>45432</c:v>
                </c:pt>
                <c:pt idx="229">
                  <c:v>45439</c:v>
                </c:pt>
                <c:pt idx="230">
                  <c:v>45446</c:v>
                </c:pt>
                <c:pt idx="231">
                  <c:v>45453</c:v>
                </c:pt>
                <c:pt idx="232">
                  <c:v>45460</c:v>
                </c:pt>
                <c:pt idx="233">
                  <c:v>45467</c:v>
                </c:pt>
                <c:pt idx="234">
                  <c:v>45474</c:v>
                </c:pt>
                <c:pt idx="235">
                  <c:v>45481</c:v>
                </c:pt>
                <c:pt idx="236">
                  <c:v>45488</c:v>
                </c:pt>
                <c:pt idx="237">
                  <c:v>45495</c:v>
                </c:pt>
                <c:pt idx="238">
                  <c:v>45502</c:v>
                </c:pt>
                <c:pt idx="239">
                  <c:v>45509</c:v>
                </c:pt>
                <c:pt idx="240">
                  <c:v>45516</c:v>
                </c:pt>
                <c:pt idx="241">
                  <c:v>45523</c:v>
                </c:pt>
                <c:pt idx="242">
                  <c:v>45530</c:v>
                </c:pt>
                <c:pt idx="243">
                  <c:v>45537</c:v>
                </c:pt>
                <c:pt idx="244">
                  <c:v>45544</c:v>
                </c:pt>
                <c:pt idx="245">
                  <c:v>45551</c:v>
                </c:pt>
                <c:pt idx="246">
                  <c:v>45558</c:v>
                </c:pt>
                <c:pt idx="247">
                  <c:v>45565</c:v>
                </c:pt>
                <c:pt idx="248">
                  <c:v>45572</c:v>
                </c:pt>
                <c:pt idx="249">
                  <c:v>45579</c:v>
                </c:pt>
                <c:pt idx="250">
                  <c:v>45586</c:v>
                </c:pt>
                <c:pt idx="251">
                  <c:v>45593</c:v>
                </c:pt>
                <c:pt idx="252">
                  <c:v>45600</c:v>
                </c:pt>
                <c:pt idx="253">
                  <c:v>45607</c:v>
                </c:pt>
                <c:pt idx="254">
                  <c:v>45614</c:v>
                </c:pt>
                <c:pt idx="255">
                  <c:v>45621</c:v>
                </c:pt>
                <c:pt idx="256">
                  <c:v>45628</c:v>
                </c:pt>
                <c:pt idx="257">
                  <c:v>45635</c:v>
                </c:pt>
                <c:pt idx="258">
                  <c:v>45642</c:v>
                </c:pt>
                <c:pt idx="259">
                  <c:v>45649</c:v>
                </c:pt>
                <c:pt idx="260">
                  <c:v>45656</c:v>
                </c:pt>
                <c:pt idx="261">
                  <c:v>45663</c:v>
                </c:pt>
                <c:pt idx="262">
                  <c:v>45670</c:v>
                </c:pt>
                <c:pt idx="263">
                  <c:v>45677</c:v>
                </c:pt>
                <c:pt idx="264">
                  <c:v>45684</c:v>
                </c:pt>
                <c:pt idx="265">
                  <c:v>45691</c:v>
                </c:pt>
                <c:pt idx="266">
                  <c:v>45698</c:v>
                </c:pt>
                <c:pt idx="267">
                  <c:v>45705</c:v>
                </c:pt>
                <c:pt idx="268">
                  <c:v>45712</c:v>
                </c:pt>
              </c:numCache>
            </c:numRef>
          </c:cat>
          <c:val>
            <c:numRef>
              <c:f>'Chart Data'!$J$3:$J$271</c:f>
              <c:numCache>
                <c:formatCode>0.00</c:formatCode>
                <c:ptCount val="269"/>
                <c:pt idx="0">
                  <c:v>131.56</c:v>
                </c:pt>
                <c:pt idx="1">
                  <c:v>132.69</c:v>
                </c:pt>
                <c:pt idx="2">
                  <c:v>132.74</c:v>
                </c:pt>
                <c:pt idx="3">
                  <c:v>132.88</c:v>
                </c:pt>
                <c:pt idx="4">
                  <c:v>131.47999999999999</c:v>
                </c:pt>
                <c:pt idx="5">
                  <c:v>129.69999999999999</c:v>
                </c:pt>
                <c:pt idx="6">
                  <c:v>128.19999999999999</c:v>
                </c:pt>
                <c:pt idx="7">
                  <c:v>127.67</c:v>
                </c:pt>
                <c:pt idx="8">
                  <c:v>126.62</c:v>
                </c:pt>
                <c:pt idx="9">
                  <c:v>126.25</c:v>
                </c:pt>
                <c:pt idx="10">
                  <c:v>124.36</c:v>
                </c:pt>
                <c:pt idx="11">
                  <c:v>123.41</c:v>
                </c:pt>
                <c:pt idx="12">
                  <c:v>118.6</c:v>
                </c:pt>
                <c:pt idx="13">
                  <c:v>116.83</c:v>
                </c:pt>
                <c:pt idx="14">
                  <c:v>116.15</c:v>
                </c:pt>
                <c:pt idx="15">
                  <c:v>115.73</c:v>
                </c:pt>
                <c:pt idx="16">
                  <c:v>115.22</c:v>
                </c:pt>
                <c:pt idx="17">
                  <c:v>114.94</c:v>
                </c:pt>
                <c:pt idx="18">
                  <c:v>114.83</c:v>
                </c:pt>
                <c:pt idx="19">
                  <c:v>112.22</c:v>
                </c:pt>
                <c:pt idx="20">
                  <c:v>111.7</c:v>
                </c:pt>
                <c:pt idx="21">
                  <c:v>111.76</c:v>
                </c:pt>
                <c:pt idx="22">
                  <c:v>111.98</c:v>
                </c:pt>
                <c:pt idx="23">
                  <c:v>112.53</c:v>
                </c:pt>
                <c:pt idx="24">
                  <c:v>112.98</c:v>
                </c:pt>
                <c:pt idx="25">
                  <c:v>114.1</c:v>
                </c:pt>
                <c:pt idx="26">
                  <c:v>115.05</c:v>
                </c:pt>
                <c:pt idx="27">
                  <c:v>116.75</c:v>
                </c:pt>
                <c:pt idx="28">
                  <c:v>117.35</c:v>
                </c:pt>
                <c:pt idx="29">
                  <c:v>117.76</c:v>
                </c:pt>
                <c:pt idx="30">
                  <c:v>117.97</c:v>
                </c:pt>
                <c:pt idx="31">
                  <c:v>118.01</c:v>
                </c:pt>
                <c:pt idx="32">
                  <c:v>118</c:v>
                </c:pt>
                <c:pt idx="33">
                  <c:v>118.14</c:v>
                </c:pt>
                <c:pt idx="34">
                  <c:v>118.18</c:v>
                </c:pt>
                <c:pt idx="35">
                  <c:v>118.22</c:v>
                </c:pt>
                <c:pt idx="36">
                  <c:v>118.18</c:v>
                </c:pt>
                <c:pt idx="37">
                  <c:v>118.16</c:v>
                </c:pt>
                <c:pt idx="38">
                  <c:v>118.14</c:v>
                </c:pt>
                <c:pt idx="39">
                  <c:v>118.11</c:v>
                </c:pt>
                <c:pt idx="40">
                  <c:v>118.05</c:v>
                </c:pt>
                <c:pt idx="41">
                  <c:v>118.08</c:v>
                </c:pt>
                <c:pt idx="42">
                  <c:v>118.08</c:v>
                </c:pt>
                <c:pt idx="43">
                  <c:v>118.06</c:v>
                </c:pt>
                <c:pt idx="44">
                  <c:v>117.28</c:v>
                </c:pt>
                <c:pt idx="45">
                  <c:v>117.07</c:v>
                </c:pt>
                <c:pt idx="46">
                  <c:v>117.13</c:v>
                </c:pt>
                <c:pt idx="47">
                  <c:v>117.41</c:v>
                </c:pt>
                <c:pt idx="48">
                  <c:v>117.99</c:v>
                </c:pt>
                <c:pt idx="49">
                  <c:v>118.57</c:v>
                </c:pt>
                <c:pt idx="50">
                  <c:v>119.17</c:v>
                </c:pt>
                <c:pt idx="51">
                  <c:v>119.65</c:v>
                </c:pt>
                <c:pt idx="52">
                  <c:v>119.97</c:v>
                </c:pt>
                <c:pt idx="53">
                  <c:v>120.61</c:v>
                </c:pt>
                <c:pt idx="54">
                  <c:v>121.52</c:v>
                </c:pt>
                <c:pt idx="55">
                  <c:v>122.7</c:v>
                </c:pt>
                <c:pt idx="56">
                  <c:v>123.7</c:v>
                </c:pt>
                <c:pt idx="57">
                  <c:v>124.09</c:v>
                </c:pt>
                <c:pt idx="58">
                  <c:v>125.01</c:v>
                </c:pt>
                <c:pt idx="59">
                  <c:v>125.71</c:v>
                </c:pt>
                <c:pt idx="60">
                  <c:v>126.62</c:v>
                </c:pt>
                <c:pt idx="61">
                  <c:v>127.4</c:v>
                </c:pt>
                <c:pt idx="62">
                  <c:v>128.24</c:v>
                </c:pt>
                <c:pt idx="63">
                  <c:v>129.02000000000001</c:v>
                </c:pt>
                <c:pt idx="64">
                  <c:v>129.32</c:v>
                </c:pt>
                <c:pt idx="65">
                  <c:v>129.35</c:v>
                </c:pt>
                <c:pt idx="66">
                  <c:v>129.38999999999999</c:v>
                </c:pt>
                <c:pt idx="67">
                  <c:v>129.49</c:v>
                </c:pt>
                <c:pt idx="68">
                  <c:v>129.77000000000001</c:v>
                </c:pt>
                <c:pt idx="69">
                  <c:v>130</c:v>
                </c:pt>
                <c:pt idx="70">
                  <c:v>130.43</c:v>
                </c:pt>
                <c:pt idx="71">
                  <c:v>131.03</c:v>
                </c:pt>
                <c:pt idx="72">
                  <c:v>131.52000000000001</c:v>
                </c:pt>
                <c:pt idx="73">
                  <c:v>131.82</c:v>
                </c:pt>
                <c:pt idx="74">
                  <c:v>132.38</c:v>
                </c:pt>
                <c:pt idx="75">
                  <c:v>133.16999999999999</c:v>
                </c:pt>
                <c:pt idx="76">
                  <c:v>133.69</c:v>
                </c:pt>
                <c:pt idx="77">
                  <c:v>134.27000000000001</c:v>
                </c:pt>
                <c:pt idx="78">
                  <c:v>134.13</c:v>
                </c:pt>
                <c:pt idx="79">
                  <c:v>135.29</c:v>
                </c:pt>
                <c:pt idx="80">
                  <c:v>135.94999999999999</c:v>
                </c:pt>
                <c:pt idx="81">
                  <c:v>136.19999999999999</c:v>
                </c:pt>
                <c:pt idx="82">
                  <c:v>136.88999999999999</c:v>
                </c:pt>
                <c:pt idx="83">
                  <c:v>137.31</c:v>
                </c:pt>
                <c:pt idx="84">
                  <c:v>136.77000000000001</c:v>
                </c:pt>
                <c:pt idx="85">
                  <c:v>137.15</c:v>
                </c:pt>
                <c:pt idx="86">
                  <c:v>137.11000000000001</c:v>
                </c:pt>
                <c:pt idx="87">
                  <c:v>137.19</c:v>
                </c:pt>
                <c:pt idx="88">
                  <c:v>137.19</c:v>
                </c:pt>
                <c:pt idx="89">
                  <c:v>137.35</c:v>
                </c:pt>
                <c:pt idx="90">
                  <c:v>137.94999999999999</c:v>
                </c:pt>
                <c:pt idx="91">
                  <c:v>139.19999999999999</c:v>
                </c:pt>
                <c:pt idx="92">
                  <c:v>140.66</c:v>
                </c:pt>
                <c:pt idx="93">
                  <c:v>143.19</c:v>
                </c:pt>
                <c:pt idx="94">
                  <c:v>145.9</c:v>
                </c:pt>
                <c:pt idx="95">
                  <c:v>147.47999999999999</c:v>
                </c:pt>
                <c:pt idx="96">
                  <c:v>148.84</c:v>
                </c:pt>
                <c:pt idx="97">
                  <c:v>149.76</c:v>
                </c:pt>
                <c:pt idx="98">
                  <c:v>150.72999999999999</c:v>
                </c:pt>
                <c:pt idx="99">
                  <c:v>151.31</c:v>
                </c:pt>
                <c:pt idx="100">
                  <c:v>150.61000000000001</c:v>
                </c:pt>
                <c:pt idx="101">
                  <c:v>149.88</c:v>
                </c:pt>
                <c:pt idx="102">
                  <c:v>148.88999999999999</c:v>
                </c:pt>
                <c:pt idx="103">
                  <c:v>148.82</c:v>
                </c:pt>
                <c:pt idx="104">
                  <c:v>148.85</c:v>
                </c:pt>
                <c:pt idx="105">
                  <c:v>148.65</c:v>
                </c:pt>
                <c:pt idx="106">
                  <c:v>148.69999999999999</c:v>
                </c:pt>
                <c:pt idx="107">
                  <c:v>148.81</c:v>
                </c:pt>
                <c:pt idx="108">
                  <c:v>149.68</c:v>
                </c:pt>
                <c:pt idx="109">
                  <c:v>150.30000000000001</c:v>
                </c:pt>
                <c:pt idx="110">
                  <c:v>151.1</c:v>
                </c:pt>
                <c:pt idx="111">
                  <c:v>151.94999999999999</c:v>
                </c:pt>
                <c:pt idx="112">
                  <c:v>153.36000000000001</c:v>
                </c:pt>
                <c:pt idx="113">
                  <c:v>158.56</c:v>
                </c:pt>
                <c:pt idx="114">
                  <c:v>169.48</c:v>
                </c:pt>
                <c:pt idx="115">
                  <c:v>177.47</c:v>
                </c:pt>
                <c:pt idx="116">
                  <c:v>176.44</c:v>
                </c:pt>
                <c:pt idx="117">
                  <c:v>176</c:v>
                </c:pt>
                <c:pt idx="118">
                  <c:v>176.22</c:v>
                </c:pt>
                <c:pt idx="119">
                  <c:v>175.93</c:v>
                </c:pt>
                <c:pt idx="120">
                  <c:v>176.33</c:v>
                </c:pt>
                <c:pt idx="121">
                  <c:v>177.06</c:v>
                </c:pt>
                <c:pt idx="122">
                  <c:v>178.39</c:v>
                </c:pt>
                <c:pt idx="123">
                  <c:v>179.67</c:v>
                </c:pt>
                <c:pt idx="124">
                  <c:v>181.16</c:v>
                </c:pt>
                <c:pt idx="125">
                  <c:v>182.25</c:v>
                </c:pt>
                <c:pt idx="126">
                  <c:v>184.94</c:v>
                </c:pt>
                <c:pt idx="127">
                  <c:v>190.43</c:v>
                </c:pt>
                <c:pt idx="128">
                  <c:v>194.87</c:v>
                </c:pt>
                <c:pt idx="129">
                  <c:v>198.93</c:v>
                </c:pt>
                <c:pt idx="130">
                  <c:v>199.22</c:v>
                </c:pt>
                <c:pt idx="131">
                  <c:v>198.74</c:v>
                </c:pt>
                <c:pt idx="132">
                  <c:v>197.53</c:v>
                </c:pt>
                <c:pt idx="133">
                  <c:v>195.88</c:v>
                </c:pt>
                <c:pt idx="134">
                  <c:v>193.04</c:v>
                </c:pt>
                <c:pt idx="135">
                  <c:v>188.49</c:v>
                </c:pt>
                <c:pt idx="136">
                  <c:v>185.16</c:v>
                </c:pt>
                <c:pt idx="137">
                  <c:v>182.92</c:v>
                </c:pt>
                <c:pt idx="138">
                  <c:v>183.2</c:v>
                </c:pt>
                <c:pt idx="139">
                  <c:v>182.82</c:v>
                </c:pt>
                <c:pt idx="140">
                  <c:v>182.22</c:v>
                </c:pt>
                <c:pt idx="141">
                  <c:v>181.13</c:v>
                </c:pt>
                <c:pt idx="142">
                  <c:v>180.46</c:v>
                </c:pt>
                <c:pt idx="143">
                  <c:v>180.04</c:v>
                </c:pt>
                <c:pt idx="144">
                  <c:v>180.76</c:v>
                </c:pt>
                <c:pt idx="145">
                  <c:v>181.86</c:v>
                </c:pt>
                <c:pt idx="146">
                  <c:v>187.3</c:v>
                </c:pt>
                <c:pt idx="147">
                  <c:v>189.77</c:v>
                </c:pt>
                <c:pt idx="148">
                  <c:v>189.79</c:v>
                </c:pt>
                <c:pt idx="149">
                  <c:v>188.85</c:v>
                </c:pt>
                <c:pt idx="150">
                  <c:v>187.57</c:v>
                </c:pt>
                <c:pt idx="151">
                  <c:v>185.57</c:v>
                </c:pt>
                <c:pt idx="152">
                  <c:v>183.56</c:v>
                </c:pt>
                <c:pt idx="153">
                  <c:v>179.91</c:v>
                </c:pt>
                <c:pt idx="154">
                  <c:v>177.62</c:v>
                </c:pt>
                <c:pt idx="155">
                  <c:v>175.52</c:v>
                </c:pt>
                <c:pt idx="156">
                  <c:v>174.16</c:v>
                </c:pt>
                <c:pt idx="157">
                  <c:v>173.16</c:v>
                </c:pt>
                <c:pt idx="158">
                  <c:v>171.64</c:v>
                </c:pt>
                <c:pt idx="159">
                  <c:v>170.86</c:v>
                </c:pt>
                <c:pt idx="160">
                  <c:v>170.56</c:v>
                </c:pt>
                <c:pt idx="161">
                  <c:v>170.36</c:v>
                </c:pt>
                <c:pt idx="162">
                  <c:v>169.66</c:v>
                </c:pt>
                <c:pt idx="163">
                  <c:v>169.3</c:v>
                </c:pt>
                <c:pt idx="164">
                  <c:v>168.56</c:v>
                </c:pt>
                <c:pt idx="165">
                  <c:v>167.33</c:v>
                </c:pt>
                <c:pt idx="166">
                  <c:v>167.04</c:v>
                </c:pt>
                <c:pt idx="167">
                  <c:v>166.26</c:v>
                </c:pt>
                <c:pt idx="168">
                  <c:v>165.18</c:v>
                </c:pt>
                <c:pt idx="169">
                  <c:v>163.71</c:v>
                </c:pt>
                <c:pt idx="170">
                  <c:v>162.71</c:v>
                </c:pt>
                <c:pt idx="171">
                  <c:v>162.11000000000001</c:v>
                </c:pt>
                <c:pt idx="172">
                  <c:v>161.34</c:v>
                </c:pt>
                <c:pt idx="173">
                  <c:v>160.35</c:v>
                </c:pt>
                <c:pt idx="174">
                  <c:v>158.12</c:v>
                </c:pt>
                <c:pt idx="175">
                  <c:v>155.53</c:v>
                </c:pt>
                <c:pt idx="176">
                  <c:v>151.59</c:v>
                </c:pt>
                <c:pt idx="177">
                  <c:v>147.87</c:v>
                </c:pt>
                <c:pt idx="178">
                  <c:v>146.43</c:v>
                </c:pt>
                <c:pt idx="179">
                  <c:v>145.47999999999999</c:v>
                </c:pt>
                <c:pt idx="180">
                  <c:v>145.19999999999999</c:v>
                </c:pt>
                <c:pt idx="181">
                  <c:v>145.65</c:v>
                </c:pt>
                <c:pt idx="182">
                  <c:v>145.52000000000001</c:v>
                </c:pt>
                <c:pt idx="183">
                  <c:v>144.72999999999999</c:v>
                </c:pt>
                <c:pt idx="184">
                  <c:v>144.63999999999999</c:v>
                </c:pt>
                <c:pt idx="185">
                  <c:v>145.13</c:v>
                </c:pt>
                <c:pt idx="186">
                  <c:v>145.94999999999999</c:v>
                </c:pt>
                <c:pt idx="187">
                  <c:v>148.22999999999999</c:v>
                </c:pt>
                <c:pt idx="188">
                  <c:v>150.37</c:v>
                </c:pt>
                <c:pt idx="189">
                  <c:v>152.13999999999999</c:v>
                </c:pt>
                <c:pt idx="190">
                  <c:v>153.52000000000001</c:v>
                </c:pt>
                <c:pt idx="191">
                  <c:v>154.65</c:v>
                </c:pt>
                <c:pt idx="192">
                  <c:v>156.15</c:v>
                </c:pt>
                <c:pt idx="193">
                  <c:v>158.16</c:v>
                </c:pt>
                <c:pt idx="194">
                  <c:v>160.61000000000001</c:v>
                </c:pt>
                <c:pt idx="195">
                  <c:v>162.15</c:v>
                </c:pt>
                <c:pt idx="196">
                  <c:v>162.49</c:v>
                </c:pt>
                <c:pt idx="197">
                  <c:v>162.31</c:v>
                </c:pt>
                <c:pt idx="198">
                  <c:v>162.19</c:v>
                </c:pt>
                <c:pt idx="199">
                  <c:v>161.76</c:v>
                </c:pt>
                <c:pt idx="200">
                  <c:v>160.86000000000001</c:v>
                </c:pt>
                <c:pt idx="201">
                  <c:v>160.38999999999999</c:v>
                </c:pt>
                <c:pt idx="202">
                  <c:v>158.44</c:v>
                </c:pt>
                <c:pt idx="203">
                  <c:v>156.18</c:v>
                </c:pt>
                <c:pt idx="204">
                  <c:v>154.1</c:v>
                </c:pt>
                <c:pt idx="205">
                  <c:v>152.01</c:v>
                </c:pt>
                <c:pt idx="206">
                  <c:v>150.38</c:v>
                </c:pt>
                <c:pt idx="207">
                  <c:v>149.24</c:v>
                </c:pt>
                <c:pt idx="208">
                  <c:v>148.66</c:v>
                </c:pt>
                <c:pt idx="209">
                  <c:v>148.21</c:v>
                </c:pt>
                <c:pt idx="210">
                  <c:v>147.93</c:v>
                </c:pt>
                <c:pt idx="211">
                  <c:v>147.96</c:v>
                </c:pt>
                <c:pt idx="212">
                  <c:v>148.56</c:v>
                </c:pt>
                <c:pt idx="213">
                  <c:v>149.35</c:v>
                </c:pt>
                <c:pt idx="214">
                  <c:v>150.28</c:v>
                </c:pt>
                <c:pt idx="215">
                  <c:v>152.08000000000001</c:v>
                </c:pt>
                <c:pt idx="216">
                  <c:v>153.29</c:v>
                </c:pt>
                <c:pt idx="217">
                  <c:v>154.53</c:v>
                </c:pt>
                <c:pt idx="218">
                  <c:v>154.29</c:v>
                </c:pt>
                <c:pt idx="219">
                  <c:v>153.81</c:v>
                </c:pt>
                <c:pt idx="220">
                  <c:v>153.9</c:v>
                </c:pt>
                <c:pt idx="221">
                  <c:v>156</c:v>
                </c:pt>
                <c:pt idx="222">
                  <c:v>156.29</c:v>
                </c:pt>
                <c:pt idx="223">
                  <c:v>157.46</c:v>
                </c:pt>
                <c:pt idx="224">
                  <c:v>157.97999999999999</c:v>
                </c:pt>
                <c:pt idx="225">
                  <c:v>157.97999999999999</c:v>
                </c:pt>
                <c:pt idx="226">
                  <c:v>157.63999999999999</c:v>
                </c:pt>
                <c:pt idx="227">
                  <c:v>157.08000000000001</c:v>
                </c:pt>
                <c:pt idx="228">
                  <c:v>156.21</c:v>
                </c:pt>
                <c:pt idx="229">
                  <c:v>154.30000000000001</c:v>
                </c:pt>
                <c:pt idx="230">
                  <c:v>153.26</c:v>
                </c:pt>
                <c:pt idx="231">
                  <c:v>151.99</c:v>
                </c:pt>
                <c:pt idx="232">
                  <c:v>150.69999999999999</c:v>
                </c:pt>
                <c:pt idx="233">
                  <c:v>150.12</c:v>
                </c:pt>
                <c:pt idx="234">
                  <c:v>150.06</c:v>
                </c:pt>
                <c:pt idx="235">
                  <c:v>150.38999999999999</c:v>
                </c:pt>
                <c:pt idx="236">
                  <c:v>150.56</c:v>
                </c:pt>
                <c:pt idx="237">
                  <c:v>150.59</c:v>
                </c:pt>
                <c:pt idx="238">
                  <c:v>150.16</c:v>
                </c:pt>
                <c:pt idx="239">
                  <c:v>149.1</c:v>
                </c:pt>
                <c:pt idx="240">
                  <c:v>148.47999999999999</c:v>
                </c:pt>
                <c:pt idx="241">
                  <c:v>147.41999999999999</c:v>
                </c:pt>
                <c:pt idx="242">
                  <c:v>146.15</c:v>
                </c:pt>
                <c:pt idx="243">
                  <c:v>145.19</c:v>
                </c:pt>
                <c:pt idx="244">
                  <c:v>143.4</c:v>
                </c:pt>
                <c:pt idx="245">
                  <c:v>141.61000000000001</c:v>
                </c:pt>
                <c:pt idx="246">
                  <c:v>140.02000000000001</c:v>
                </c:pt>
                <c:pt idx="247">
                  <c:v>138.85</c:v>
                </c:pt>
                <c:pt idx="248">
                  <c:v>138.46</c:v>
                </c:pt>
                <c:pt idx="249">
                  <c:v>139.08000000000001</c:v>
                </c:pt>
                <c:pt idx="250">
                  <c:v>139.26</c:v>
                </c:pt>
                <c:pt idx="251">
                  <c:v>139.71</c:v>
                </c:pt>
                <c:pt idx="252">
                  <c:v>139.84</c:v>
                </c:pt>
                <c:pt idx="253">
                  <c:v>140.13</c:v>
                </c:pt>
                <c:pt idx="254">
                  <c:v>140.49</c:v>
                </c:pt>
                <c:pt idx="255">
                  <c:v>141.4</c:v>
                </c:pt>
                <c:pt idx="256">
                  <c:v>142.04</c:v>
                </c:pt>
                <c:pt idx="257">
                  <c:v>142.49</c:v>
                </c:pt>
                <c:pt idx="258">
                  <c:v>142.71</c:v>
                </c:pt>
                <c:pt idx="259">
                  <c:v>142.85</c:v>
                </c:pt>
                <c:pt idx="260">
                  <c:v>142.97999999999999</c:v>
                </c:pt>
                <c:pt idx="261">
                  <c:v>143.30000000000001</c:v>
                </c:pt>
                <c:pt idx="262">
                  <c:v>143.33000000000001</c:v>
                </c:pt>
                <c:pt idx="263">
                  <c:v>144.27000000000001</c:v>
                </c:pt>
                <c:pt idx="264">
                  <c:v>145.57</c:v>
                </c:pt>
                <c:pt idx="265">
                  <c:v>146.13</c:v>
                </c:pt>
                <c:pt idx="266">
                  <c:v>146.29</c:v>
                </c:pt>
                <c:pt idx="267">
                  <c:v>146.44999999999999</c:v>
                </c:pt>
                <c:pt idx="268">
                  <c:v>146.82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2"/>
          <c:order val="2"/>
          <c:tx>
            <c:strRef>
              <c:f>'Chart Data'!$M$2</c:f>
              <c:strCache>
                <c:ptCount val="1"/>
                <c:pt idx="0">
                  <c:v>Brent crude oil price (RHS)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Data'!$L$3:$L$1346</c:f>
              <c:numCache>
                <c:formatCode>m/d/yyyy</c:formatCode>
                <c:ptCount val="1344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43850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43864</c:v>
                </c:pt>
                <c:pt idx="24">
                  <c:v>43865</c:v>
                </c:pt>
                <c:pt idx="25">
                  <c:v>43866</c:v>
                </c:pt>
                <c:pt idx="26">
                  <c:v>43867</c:v>
                </c:pt>
                <c:pt idx="27">
                  <c:v>43868</c:v>
                </c:pt>
                <c:pt idx="28">
                  <c:v>43871</c:v>
                </c:pt>
                <c:pt idx="29">
                  <c:v>43872</c:v>
                </c:pt>
                <c:pt idx="30">
                  <c:v>43873</c:v>
                </c:pt>
                <c:pt idx="31">
                  <c:v>43874</c:v>
                </c:pt>
                <c:pt idx="32">
                  <c:v>43875</c:v>
                </c:pt>
                <c:pt idx="33">
                  <c:v>43878</c:v>
                </c:pt>
                <c:pt idx="34">
                  <c:v>43879</c:v>
                </c:pt>
                <c:pt idx="35">
                  <c:v>43880</c:v>
                </c:pt>
                <c:pt idx="36">
                  <c:v>43881</c:v>
                </c:pt>
                <c:pt idx="37">
                  <c:v>43882</c:v>
                </c:pt>
                <c:pt idx="38">
                  <c:v>43885</c:v>
                </c:pt>
                <c:pt idx="39">
                  <c:v>43886</c:v>
                </c:pt>
                <c:pt idx="40">
                  <c:v>43887</c:v>
                </c:pt>
                <c:pt idx="41">
                  <c:v>43888</c:v>
                </c:pt>
                <c:pt idx="42">
                  <c:v>43889</c:v>
                </c:pt>
                <c:pt idx="43">
                  <c:v>43892</c:v>
                </c:pt>
                <c:pt idx="44">
                  <c:v>43893</c:v>
                </c:pt>
                <c:pt idx="45">
                  <c:v>43894</c:v>
                </c:pt>
                <c:pt idx="46">
                  <c:v>43895</c:v>
                </c:pt>
                <c:pt idx="47">
                  <c:v>43896</c:v>
                </c:pt>
                <c:pt idx="48">
                  <c:v>43899</c:v>
                </c:pt>
                <c:pt idx="49">
                  <c:v>43900</c:v>
                </c:pt>
                <c:pt idx="50">
                  <c:v>43901</c:v>
                </c:pt>
                <c:pt idx="51">
                  <c:v>43902</c:v>
                </c:pt>
                <c:pt idx="52">
                  <c:v>43903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43913</c:v>
                </c:pt>
                <c:pt idx="59">
                  <c:v>43914</c:v>
                </c:pt>
                <c:pt idx="60">
                  <c:v>43915</c:v>
                </c:pt>
                <c:pt idx="61">
                  <c:v>43916</c:v>
                </c:pt>
                <c:pt idx="62">
                  <c:v>43917</c:v>
                </c:pt>
                <c:pt idx="63">
                  <c:v>43920</c:v>
                </c:pt>
                <c:pt idx="64">
                  <c:v>43921</c:v>
                </c:pt>
                <c:pt idx="65">
                  <c:v>43922</c:v>
                </c:pt>
                <c:pt idx="66">
                  <c:v>43923</c:v>
                </c:pt>
                <c:pt idx="67">
                  <c:v>43924</c:v>
                </c:pt>
                <c:pt idx="68">
                  <c:v>43927</c:v>
                </c:pt>
                <c:pt idx="69">
                  <c:v>43928</c:v>
                </c:pt>
                <c:pt idx="70">
                  <c:v>43929</c:v>
                </c:pt>
                <c:pt idx="71">
                  <c:v>43930</c:v>
                </c:pt>
                <c:pt idx="72">
                  <c:v>43931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43941</c:v>
                </c:pt>
                <c:pt idx="79">
                  <c:v>43942</c:v>
                </c:pt>
                <c:pt idx="80">
                  <c:v>43943</c:v>
                </c:pt>
                <c:pt idx="81">
                  <c:v>43944</c:v>
                </c:pt>
                <c:pt idx="82">
                  <c:v>43945</c:v>
                </c:pt>
                <c:pt idx="83">
                  <c:v>43948</c:v>
                </c:pt>
                <c:pt idx="84">
                  <c:v>43949</c:v>
                </c:pt>
                <c:pt idx="85">
                  <c:v>43950</c:v>
                </c:pt>
                <c:pt idx="86">
                  <c:v>43951</c:v>
                </c:pt>
                <c:pt idx="87">
                  <c:v>43952</c:v>
                </c:pt>
                <c:pt idx="88">
                  <c:v>43955</c:v>
                </c:pt>
                <c:pt idx="89">
                  <c:v>43956</c:v>
                </c:pt>
                <c:pt idx="90">
                  <c:v>43957</c:v>
                </c:pt>
                <c:pt idx="91">
                  <c:v>43958</c:v>
                </c:pt>
                <c:pt idx="92">
                  <c:v>43959</c:v>
                </c:pt>
                <c:pt idx="93">
                  <c:v>43962</c:v>
                </c:pt>
                <c:pt idx="94">
                  <c:v>43963</c:v>
                </c:pt>
                <c:pt idx="95">
                  <c:v>43964</c:v>
                </c:pt>
                <c:pt idx="96">
                  <c:v>43965</c:v>
                </c:pt>
                <c:pt idx="97">
                  <c:v>43966</c:v>
                </c:pt>
                <c:pt idx="98">
                  <c:v>43969</c:v>
                </c:pt>
                <c:pt idx="99">
                  <c:v>43970</c:v>
                </c:pt>
                <c:pt idx="100">
                  <c:v>43971</c:v>
                </c:pt>
                <c:pt idx="101">
                  <c:v>43972</c:v>
                </c:pt>
                <c:pt idx="102">
                  <c:v>43973</c:v>
                </c:pt>
                <c:pt idx="103">
                  <c:v>43976</c:v>
                </c:pt>
                <c:pt idx="104">
                  <c:v>43977</c:v>
                </c:pt>
                <c:pt idx="105">
                  <c:v>43978</c:v>
                </c:pt>
                <c:pt idx="106">
                  <c:v>43979</c:v>
                </c:pt>
                <c:pt idx="107">
                  <c:v>43980</c:v>
                </c:pt>
                <c:pt idx="108">
                  <c:v>43983</c:v>
                </c:pt>
                <c:pt idx="109">
                  <c:v>43984</c:v>
                </c:pt>
                <c:pt idx="110">
                  <c:v>43985</c:v>
                </c:pt>
                <c:pt idx="111">
                  <c:v>43986</c:v>
                </c:pt>
                <c:pt idx="112">
                  <c:v>43987</c:v>
                </c:pt>
                <c:pt idx="113">
                  <c:v>43990</c:v>
                </c:pt>
                <c:pt idx="114">
                  <c:v>43991</c:v>
                </c:pt>
                <c:pt idx="115">
                  <c:v>43992</c:v>
                </c:pt>
                <c:pt idx="116">
                  <c:v>43993</c:v>
                </c:pt>
                <c:pt idx="117">
                  <c:v>43994</c:v>
                </c:pt>
                <c:pt idx="118">
                  <c:v>43997</c:v>
                </c:pt>
                <c:pt idx="119">
                  <c:v>43998</c:v>
                </c:pt>
                <c:pt idx="120">
                  <c:v>43999</c:v>
                </c:pt>
                <c:pt idx="121">
                  <c:v>44000</c:v>
                </c:pt>
                <c:pt idx="122">
                  <c:v>44001</c:v>
                </c:pt>
                <c:pt idx="123">
                  <c:v>44004</c:v>
                </c:pt>
                <c:pt idx="124">
                  <c:v>44005</c:v>
                </c:pt>
                <c:pt idx="125">
                  <c:v>44006</c:v>
                </c:pt>
                <c:pt idx="126">
                  <c:v>44007</c:v>
                </c:pt>
                <c:pt idx="127">
                  <c:v>44008</c:v>
                </c:pt>
                <c:pt idx="128">
                  <c:v>44011</c:v>
                </c:pt>
                <c:pt idx="129">
                  <c:v>44012</c:v>
                </c:pt>
                <c:pt idx="130">
                  <c:v>44013</c:v>
                </c:pt>
                <c:pt idx="131">
                  <c:v>44014</c:v>
                </c:pt>
                <c:pt idx="132">
                  <c:v>44015</c:v>
                </c:pt>
                <c:pt idx="133">
                  <c:v>44018</c:v>
                </c:pt>
                <c:pt idx="134">
                  <c:v>44019</c:v>
                </c:pt>
                <c:pt idx="135">
                  <c:v>44020</c:v>
                </c:pt>
                <c:pt idx="136">
                  <c:v>44021</c:v>
                </c:pt>
                <c:pt idx="137">
                  <c:v>44022</c:v>
                </c:pt>
                <c:pt idx="138">
                  <c:v>44025</c:v>
                </c:pt>
                <c:pt idx="139">
                  <c:v>44026</c:v>
                </c:pt>
                <c:pt idx="140">
                  <c:v>44027</c:v>
                </c:pt>
                <c:pt idx="141">
                  <c:v>44028</c:v>
                </c:pt>
                <c:pt idx="142">
                  <c:v>44029</c:v>
                </c:pt>
                <c:pt idx="143">
                  <c:v>44032</c:v>
                </c:pt>
                <c:pt idx="144">
                  <c:v>44033</c:v>
                </c:pt>
                <c:pt idx="145">
                  <c:v>44034</c:v>
                </c:pt>
                <c:pt idx="146">
                  <c:v>44035</c:v>
                </c:pt>
                <c:pt idx="147">
                  <c:v>44036</c:v>
                </c:pt>
                <c:pt idx="148">
                  <c:v>44039</c:v>
                </c:pt>
                <c:pt idx="149">
                  <c:v>44040</c:v>
                </c:pt>
                <c:pt idx="150">
                  <c:v>44041</c:v>
                </c:pt>
                <c:pt idx="151">
                  <c:v>44042</c:v>
                </c:pt>
                <c:pt idx="152">
                  <c:v>44043</c:v>
                </c:pt>
                <c:pt idx="153">
                  <c:v>44046</c:v>
                </c:pt>
                <c:pt idx="154">
                  <c:v>44047</c:v>
                </c:pt>
                <c:pt idx="155">
                  <c:v>44048</c:v>
                </c:pt>
                <c:pt idx="156">
                  <c:v>44049</c:v>
                </c:pt>
                <c:pt idx="157">
                  <c:v>44050</c:v>
                </c:pt>
                <c:pt idx="158">
                  <c:v>44053</c:v>
                </c:pt>
                <c:pt idx="159">
                  <c:v>44054</c:v>
                </c:pt>
                <c:pt idx="160">
                  <c:v>44055</c:v>
                </c:pt>
                <c:pt idx="161">
                  <c:v>44056</c:v>
                </c:pt>
                <c:pt idx="162">
                  <c:v>44057</c:v>
                </c:pt>
                <c:pt idx="163">
                  <c:v>44060</c:v>
                </c:pt>
                <c:pt idx="164">
                  <c:v>44061</c:v>
                </c:pt>
                <c:pt idx="165">
                  <c:v>44062</c:v>
                </c:pt>
                <c:pt idx="166">
                  <c:v>44063</c:v>
                </c:pt>
                <c:pt idx="167">
                  <c:v>44064</c:v>
                </c:pt>
                <c:pt idx="168">
                  <c:v>44067</c:v>
                </c:pt>
                <c:pt idx="169">
                  <c:v>44068</c:v>
                </c:pt>
                <c:pt idx="170">
                  <c:v>44069</c:v>
                </c:pt>
                <c:pt idx="171">
                  <c:v>44070</c:v>
                </c:pt>
                <c:pt idx="172">
                  <c:v>44071</c:v>
                </c:pt>
                <c:pt idx="173">
                  <c:v>44074</c:v>
                </c:pt>
                <c:pt idx="174">
                  <c:v>44075</c:v>
                </c:pt>
                <c:pt idx="175">
                  <c:v>44076</c:v>
                </c:pt>
                <c:pt idx="176">
                  <c:v>44077</c:v>
                </c:pt>
                <c:pt idx="177">
                  <c:v>44078</c:v>
                </c:pt>
                <c:pt idx="178">
                  <c:v>44081</c:v>
                </c:pt>
                <c:pt idx="179">
                  <c:v>44082</c:v>
                </c:pt>
                <c:pt idx="180">
                  <c:v>44083</c:v>
                </c:pt>
                <c:pt idx="181">
                  <c:v>44084</c:v>
                </c:pt>
                <c:pt idx="182">
                  <c:v>44085</c:v>
                </c:pt>
                <c:pt idx="183">
                  <c:v>44088</c:v>
                </c:pt>
                <c:pt idx="184">
                  <c:v>44089</c:v>
                </c:pt>
                <c:pt idx="185">
                  <c:v>44090</c:v>
                </c:pt>
                <c:pt idx="186">
                  <c:v>44091</c:v>
                </c:pt>
                <c:pt idx="187">
                  <c:v>44092</c:v>
                </c:pt>
                <c:pt idx="188">
                  <c:v>44095</c:v>
                </c:pt>
                <c:pt idx="189">
                  <c:v>44096</c:v>
                </c:pt>
                <c:pt idx="190">
                  <c:v>44097</c:v>
                </c:pt>
                <c:pt idx="191">
                  <c:v>44098</c:v>
                </c:pt>
                <c:pt idx="192">
                  <c:v>44099</c:v>
                </c:pt>
                <c:pt idx="193">
                  <c:v>44102</c:v>
                </c:pt>
                <c:pt idx="194">
                  <c:v>44103</c:v>
                </c:pt>
                <c:pt idx="195">
                  <c:v>44104</c:v>
                </c:pt>
                <c:pt idx="196">
                  <c:v>44105</c:v>
                </c:pt>
                <c:pt idx="197">
                  <c:v>44106</c:v>
                </c:pt>
                <c:pt idx="198">
                  <c:v>44109</c:v>
                </c:pt>
                <c:pt idx="199">
                  <c:v>44110</c:v>
                </c:pt>
                <c:pt idx="200">
                  <c:v>44111</c:v>
                </c:pt>
                <c:pt idx="201">
                  <c:v>44112</c:v>
                </c:pt>
                <c:pt idx="202">
                  <c:v>44113</c:v>
                </c:pt>
                <c:pt idx="203">
                  <c:v>44116</c:v>
                </c:pt>
                <c:pt idx="204">
                  <c:v>44117</c:v>
                </c:pt>
                <c:pt idx="205">
                  <c:v>44118</c:v>
                </c:pt>
                <c:pt idx="206">
                  <c:v>44119</c:v>
                </c:pt>
                <c:pt idx="207">
                  <c:v>44120</c:v>
                </c:pt>
                <c:pt idx="208">
                  <c:v>44123</c:v>
                </c:pt>
                <c:pt idx="209">
                  <c:v>44124</c:v>
                </c:pt>
                <c:pt idx="210">
                  <c:v>44125</c:v>
                </c:pt>
                <c:pt idx="211">
                  <c:v>44126</c:v>
                </c:pt>
                <c:pt idx="212">
                  <c:v>44127</c:v>
                </c:pt>
                <c:pt idx="213">
                  <c:v>44130</c:v>
                </c:pt>
                <c:pt idx="214">
                  <c:v>44131</c:v>
                </c:pt>
                <c:pt idx="215">
                  <c:v>44132</c:v>
                </c:pt>
                <c:pt idx="216">
                  <c:v>44133</c:v>
                </c:pt>
                <c:pt idx="217">
                  <c:v>44134</c:v>
                </c:pt>
                <c:pt idx="218">
                  <c:v>44137</c:v>
                </c:pt>
                <c:pt idx="219">
                  <c:v>44138</c:v>
                </c:pt>
                <c:pt idx="220">
                  <c:v>44139</c:v>
                </c:pt>
                <c:pt idx="221">
                  <c:v>44140</c:v>
                </c:pt>
                <c:pt idx="222">
                  <c:v>44141</c:v>
                </c:pt>
                <c:pt idx="223">
                  <c:v>44144</c:v>
                </c:pt>
                <c:pt idx="224">
                  <c:v>44145</c:v>
                </c:pt>
                <c:pt idx="225">
                  <c:v>44146</c:v>
                </c:pt>
                <c:pt idx="226">
                  <c:v>44147</c:v>
                </c:pt>
                <c:pt idx="227">
                  <c:v>44148</c:v>
                </c:pt>
                <c:pt idx="228">
                  <c:v>44151</c:v>
                </c:pt>
                <c:pt idx="229">
                  <c:v>44152</c:v>
                </c:pt>
                <c:pt idx="230">
                  <c:v>44153</c:v>
                </c:pt>
                <c:pt idx="231">
                  <c:v>44154</c:v>
                </c:pt>
                <c:pt idx="232">
                  <c:v>44155</c:v>
                </c:pt>
                <c:pt idx="233">
                  <c:v>44158</c:v>
                </c:pt>
                <c:pt idx="234">
                  <c:v>44159</c:v>
                </c:pt>
                <c:pt idx="235">
                  <c:v>44160</c:v>
                </c:pt>
                <c:pt idx="236">
                  <c:v>44161</c:v>
                </c:pt>
                <c:pt idx="237">
                  <c:v>44162</c:v>
                </c:pt>
                <c:pt idx="238">
                  <c:v>44165</c:v>
                </c:pt>
                <c:pt idx="239">
                  <c:v>44166</c:v>
                </c:pt>
                <c:pt idx="240">
                  <c:v>44167</c:v>
                </c:pt>
                <c:pt idx="241">
                  <c:v>44168</c:v>
                </c:pt>
                <c:pt idx="242">
                  <c:v>44169</c:v>
                </c:pt>
                <c:pt idx="243">
                  <c:v>44172</c:v>
                </c:pt>
                <c:pt idx="244">
                  <c:v>44173</c:v>
                </c:pt>
                <c:pt idx="245">
                  <c:v>44174</c:v>
                </c:pt>
                <c:pt idx="246">
                  <c:v>44175</c:v>
                </c:pt>
                <c:pt idx="247">
                  <c:v>44176</c:v>
                </c:pt>
                <c:pt idx="248">
                  <c:v>44179</c:v>
                </c:pt>
                <c:pt idx="249">
                  <c:v>44180</c:v>
                </c:pt>
                <c:pt idx="250">
                  <c:v>44181</c:v>
                </c:pt>
                <c:pt idx="251">
                  <c:v>44182</c:v>
                </c:pt>
                <c:pt idx="252">
                  <c:v>44183</c:v>
                </c:pt>
                <c:pt idx="253">
                  <c:v>44186</c:v>
                </c:pt>
                <c:pt idx="254">
                  <c:v>44187</c:v>
                </c:pt>
                <c:pt idx="255">
                  <c:v>44188</c:v>
                </c:pt>
                <c:pt idx="256">
                  <c:v>44189</c:v>
                </c:pt>
                <c:pt idx="257">
                  <c:v>44190</c:v>
                </c:pt>
                <c:pt idx="258">
                  <c:v>44193</c:v>
                </c:pt>
                <c:pt idx="259">
                  <c:v>44194</c:v>
                </c:pt>
                <c:pt idx="260">
                  <c:v>44195</c:v>
                </c:pt>
                <c:pt idx="261">
                  <c:v>44196</c:v>
                </c:pt>
                <c:pt idx="262">
                  <c:v>44197</c:v>
                </c:pt>
                <c:pt idx="263">
                  <c:v>44200</c:v>
                </c:pt>
                <c:pt idx="264">
                  <c:v>44201</c:v>
                </c:pt>
                <c:pt idx="265">
                  <c:v>44202</c:v>
                </c:pt>
                <c:pt idx="266">
                  <c:v>44203</c:v>
                </c:pt>
                <c:pt idx="267">
                  <c:v>44204</c:v>
                </c:pt>
                <c:pt idx="268">
                  <c:v>44207</c:v>
                </c:pt>
                <c:pt idx="269">
                  <c:v>44208</c:v>
                </c:pt>
                <c:pt idx="270">
                  <c:v>44209</c:v>
                </c:pt>
                <c:pt idx="271">
                  <c:v>44210</c:v>
                </c:pt>
                <c:pt idx="272">
                  <c:v>44211</c:v>
                </c:pt>
                <c:pt idx="273">
                  <c:v>44214</c:v>
                </c:pt>
                <c:pt idx="274">
                  <c:v>44215</c:v>
                </c:pt>
                <c:pt idx="275">
                  <c:v>44216</c:v>
                </c:pt>
                <c:pt idx="276">
                  <c:v>44217</c:v>
                </c:pt>
                <c:pt idx="277">
                  <c:v>44218</c:v>
                </c:pt>
                <c:pt idx="278">
                  <c:v>44221</c:v>
                </c:pt>
                <c:pt idx="279">
                  <c:v>44222</c:v>
                </c:pt>
                <c:pt idx="280">
                  <c:v>44223</c:v>
                </c:pt>
                <c:pt idx="281">
                  <c:v>44224</c:v>
                </c:pt>
                <c:pt idx="282">
                  <c:v>44225</c:v>
                </c:pt>
                <c:pt idx="283">
                  <c:v>44228</c:v>
                </c:pt>
                <c:pt idx="284">
                  <c:v>44229</c:v>
                </c:pt>
                <c:pt idx="285">
                  <c:v>44230</c:v>
                </c:pt>
                <c:pt idx="286">
                  <c:v>44231</c:v>
                </c:pt>
                <c:pt idx="287">
                  <c:v>44232</c:v>
                </c:pt>
                <c:pt idx="288">
                  <c:v>44235</c:v>
                </c:pt>
                <c:pt idx="289">
                  <c:v>44236</c:v>
                </c:pt>
                <c:pt idx="290">
                  <c:v>44237</c:v>
                </c:pt>
                <c:pt idx="291">
                  <c:v>44238</c:v>
                </c:pt>
                <c:pt idx="292">
                  <c:v>44239</c:v>
                </c:pt>
                <c:pt idx="293">
                  <c:v>44242</c:v>
                </c:pt>
                <c:pt idx="294">
                  <c:v>44243</c:v>
                </c:pt>
                <c:pt idx="295">
                  <c:v>44244</c:v>
                </c:pt>
                <c:pt idx="296">
                  <c:v>44245</c:v>
                </c:pt>
                <c:pt idx="297">
                  <c:v>44246</c:v>
                </c:pt>
                <c:pt idx="298">
                  <c:v>44249</c:v>
                </c:pt>
                <c:pt idx="299">
                  <c:v>44250</c:v>
                </c:pt>
                <c:pt idx="300">
                  <c:v>44251</c:v>
                </c:pt>
                <c:pt idx="301">
                  <c:v>44252</c:v>
                </c:pt>
                <c:pt idx="302">
                  <c:v>44253</c:v>
                </c:pt>
                <c:pt idx="303">
                  <c:v>44256</c:v>
                </c:pt>
                <c:pt idx="304">
                  <c:v>44257</c:v>
                </c:pt>
                <c:pt idx="305">
                  <c:v>44258</c:v>
                </c:pt>
                <c:pt idx="306">
                  <c:v>44259</c:v>
                </c:pt>
                <c:pt idx="307">
                  <c:v>44260</c:v>
                </c:pt>
                <c:pt idx="308">
                  <c:v>44263</c:v>
                </c:pt>
                <c:pt idx="309">
                  <c:v>44264</c:v>
                </c:pt>
                <c:pt idx="310">
                  <c:v>44265</c:v>
                </c:pt>
                <c:pt idx="311">
                  <c:v>44266</c:v>
                </c:pt>
                <c:pt idx="312">
                  <c:v>44267</c:v>
                </c:pt>
                <c:pt idx="313">
                  <c:v>44270</c:v>
                </c:pt>
                <c:pt idx="314">
                  <c:v>44271</c:v>
                </c:pt>
                <c:pt idx="315">
                  <c:v>44272</c:v>
                </c:pt>
                <c:pt idx="316">
                  <c:v>44273</c:v>
                </c:pt>
                <c:pt idx="317">
                  <c:v>44274</c:v>
                </c:pt>
                <c:pt idx="318">
                  <c:v>44277</c:v>
                </c:pt>
                <c:pt idx="319">
                  <c:v>44278</c:v>
                </c:pt>
                <c:pt idx="320">
                  <c:v>44279</c:v>
                </c:pt>
                <c:pt idx="321">
                  <c:v>44280</c:v>
                </c:pt>
                <c:pt idx="322">
                  <c:v>44281</c:v>
                </c:pt>
                <c:pt idx="323">
                  <c:v>44284</c:v>
                </c:pt>
                <c:pt idx="324">
                  <c:v>44285</c:v>
                </c:pt>
                <c:pt idx="325">
                  <c:v>44286</c:v>
                </c:pt>
                <c:pt idx="326">
                  <c:v>44287</c:v>
                </c:pt>
                <c:pt idx="327">
                  <c:v>44288</c:v>
                </c:pt>
                <c:pt idx="328">
                  <c:v>44291</c:v>
                </c:pt>
                <c:pt idx="329">
                  <c:v>44292</c:v>
                </c:pt>
                <c:pt idx="330">
                  <c:v>44293</c:v>
                </c:pt>
                <c:pt idx="331">
                  <c:v>44294</c:v>
                </c:pt>
                <c:pt idx="332">
                  <c:v>44295</c:v>
                </c:pt>
                <c:pt idx="333">
                  <c:v>44298</c:v>
                </c:pt>
                <c:pt idx="334">
                  <c:v>44299</c:v>
                </c:pt>
                <c:pt idx="335">
                  <c:v>44300</c:v>
                </c:pt>
                <c:pt idx="336">
                  <c:v>44301</c:v>
                </c:pt>
                <c:pt idx="337">
                  <c:v>44302</c:v>
                </c:pt>
                <c:pt idx="338">
                  <c:v>44305</c:v>
                </c:pt>
                <c:pt idx="339">
                  <c:v>44306</c:v>
                </c:pt>
                <c:pt idx="340">
                  <c:v>44307</c:v>
                </c:pt>
                <c:pt idx="341">
                  <c:v>44308</c:v>
                </c:pt>
                <c:pt idx="342">
                  <c:v>44309</c:v>
                </c:pt>
                <c:pt idx="343">
                  <c:v>44312</c:v>
                </c:pt>
                <c:pt idx="344">
                  <c:v>44313</c:v>
                </c:pt>
                <c:pt idx="345">
                  <c:v>44314</c:v>
                </c:pt>
                <c:pt idx="346">
                  <c:v>44315</c:v>
                </c:pt>
                <c:pt idx="347">
                  <c:v>44316</c:v>
                </c:pt>
                <c:pt idx="348">
                  <c:v>44319</c:v>
                </c:pt>
                <c:pt idx="349">
                  <c:v>44320</c:v>
                </c:pt>
                <c:pt idx="350">
                  <c:v>44321</c:v>
                </c:pt>
                <c:pt idx="351">
                  <c:v>44322</c:v>
                </c:pt>
                <c:pt idx="352">
                  <c:v>44323</c:v>
                </c:pt>
                <c:pt idx="353">
                  <c:v>44326</c:v>
                </c:pt>
                <c:pt idx="354">
                  <c:v>44327</c:v>
                </c:pt>
                <c:pt idx="355">
                  <c:v>44328</c:v>
                </c:pt>
                <c:pt idx="356">
                  <c:v>44329</c:v>
                </c:pt>
                <c:pt idx="357">
                  <c:v>44330</c:v>
                </c:pt>
                <c:pt idx="358">
                  <c:v>44333</c:v>
                </c:pt>
                <c:pt idx="359">
                  <c:v>44334</c:v>
                </c:pt>
                <c:pt idx="360">
                  <c:v>44335</c:v>
                </c:pt>
                <c:pt idx="361">
                  <c:v>44336</c:v>
                </c:pt>
                <c:pt idx="362">
                  <c:v>44337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44347</c:v>
                </c:pt>
                <c:pt idx="369">
                  <c:v>44348</c:v>
                </c:pt>
                <c:pt idx="370">
                  <c:v>44349</c:v>
                </c:pt>
                <c:pt idx="371">
                  <c:v>44350</c:v>
                </c:pt>
                <c:pt idx="372">
                  <c:v>44351</c:v>
                </c:pt>
                <c:pt idx="373">
                  <c:v>44354</c:v>
                </c:pt>
                <c:pt idx="374">
                  <c:v>44355</c:v>
                </c:pt>
                <c:pt idx="375">
                  <c:v>44356</c:v>
                </c:pt>
                <c:pt idx="376">
                  <c:v>44357</c:v>
                </c:pt>
                <c:pt idx="377">
                  <c:v>44358</c:v>
                </c:pt>
                <c:pt idx="378">
                  <c:v>44361</c:v>
                </c:pt>
                <c:pt idx="379">
                  <c:v>44362</c:v>
                </c:pt>
                <c:pt idx="380">
                  <c:v>44363</c:v>
                </c:pt>
                <c:pt idx="381">
                  <c:v>44364</c:v>
                </c:pt>
                <c:pt idx="382">
                  <c:v>44365</c:v>
                </c:pt>
                <c:pt idx="383">
                  <c:v>44368</c:v>
                </c:pt>
                <c:pt idx="384">
                  <c:v>44369</c:v>
                </c:pt>
                <c:pt idx="385">
                  <c:v>44370</c:v>
                </c:pt>
                <c:pt idx="386">
                  <c:v>44371</c:v>
                </c:pt>
                <c:pt idx="387">
                  <c:v>44372</c:v>
                </c:pt>
                <c:pt idx="388">
                  <c:v>44375</c:v>
                </c:pt>
                <c:pt idx="389">
                  <c:v>44376</c:v>
                </c:pt>
                <c:pt idx="390">
                  <c:v>44377</c:v>
                </c:pt>
                <c:pt idx="391">
                  <c:v>44378</c:v>
                </c:pt>
                <c:pt idx="392">
                  <c:v>44379</c:v>
                </c:pt>
                <c:pt idx="393">
                  <c:v>44382</c:v>
                </c:pt>
                <c:pt idx="394">
                  <c:v>44383</c:v>
                </c:pt>
                <c:pt idx="395">
                  <c:v>44384</c:v>
                </c:pt>
                <c:pt idx="396">
                  <c:v>44385</c:v>
                </c:pt>
                <c:pt idx="397">
                  <c:v>44386</c:v>
                </c:pt>
                <c:pt idx="398">
                  <c:v>44389</c:v>
                </c:pt>
                <c:pt idx="399">
                  <c:v>44390</c:v>
                </c:pt>
                <c:pt idx="400">
                  <c:v>44391</c:v>
                </c:pt>
                <c:pt idx="401">
                  <c:v>44392</c:v>
                </c:pt>
                <c:pt idx="402">
                  <c:v>44393</c:v>
                </c:pt>
                <c:pt idx="403">
                  <c:v>44396</c:v>
                </c:pt>
                <c:pt idx="404">
                  <c:v>44397</c:v>
                </c:pt>
                <c:pt idx="405">
                  <c:v>44398</c:v>
                </c:pt>
                <c:pt idx="406">
                  <c:v>44399</c:v>
                </c:pt>
                <c:pt idx="407">
                  <c:v>44400</c:v>
                </c:pt>
                <c:pt idx="408">
                  <c:v>44403</c:v>
                </c:pt>
                <c:pt idx="409">
                  <c:v>44404</c:v>
                </c:pt>
                <c:pt idx="410">
                  <c:v>44405</c:v>
                </c:pt>
                <c:pt idx="411">
                  <c:v>44406</c:v>
                </c:pt>
                <c:pt idx="412">
                  <c:v>44407</c:v>
                </c:pt>
                <c:pt idx="413">
                  <c:v>44410</c:v>
                </c:pt>
                <c:pt idx="414">
                  <c:v>44411</c:v>
                </c:pt>
                <c:pt idx="415">
                  <c:v>44412</c:v>
                </c:pt>
                <c:pt idx="416">
                  <c:v>44413</c:v>
                </c:pt>
                <c:pt idx="417">
                  <c:v>44414</c:v>
                </c:pt>
                <c:pt idx="418">
                  <c:v>44417</c:v>
                </c:pt>
                <c:pt idx="419">
                  <c:v>44418</c:v>
                </c:pt>
                <c:pt idx="420">
                  <c:v>44419</c:v>
                </c:pt>
                <c:pt idx="421">
                  <c:v>44420</c:v>
                </c:pt>
                <c:pt idx="422">
                  <c:v>44421</c:v>
                </c:pt>
                <c:pt idx="423">
                  <c:v>44424</c:v>
                </c:pt>
                <c:pt idx="424">
                  <c:v>44425</c:v>
                </c:pt>
                <c:pt idx="425">
                  <c:v>44426</c:v>
                </c:pt>
                <c:pt idx="426">
                  <c:v>44427</c:v>
                </c:pt>
                <c:pt idx="427">
                  <c:v>44428</c:v>
                </c:pt>
                <c:pt idx="428">
                  <c:v>44431</c:v>
                </c:pt>
                <c:pt idx="429">
                  <c:v>44432</c:v>
                </c:pt>
                <c:pt idx="430">
                  <c:v>44433</c:v>
                </c:pt>
                <c:pt idx="431">
                  <c:v>44434</c:v>
                </c:pt>
                <c:pt idx="432">
                  <c:v>44435</c:v>
                </c:pt>
                <c:pt idx="433">
                  <c:v>44438</c:v>
                </c:pt>
                <c:pt idx="434">
                  <c:v>44439</c:v>
                </c:pt>
                <c:pt idx="435">
                  <c:v>44440</c:v>
                </c:pt>
                <c:pt idx="436">
                  <c:v>44441</c:v>
                </c:pt>
                <c:pt idx="437">
                  <c:v>44442</c:v>
                </c:pt>
                <c:pt idx="438">
                  <c:v>44445</c:v>
                </c:pt>
                <c:pt idx="439">
                  <c:v>44446</c:v>
                </c:pt>
                <c:pt idx="440">
                  <c:v>44447</c:v>
                </c:pt>
                <c:pt idx="441">
                  <c:v>44448</c:v>
                </c:pt>
                <c:pt idx="442">
                  <c:v>44449</c:v>
                </c:pt>
                <c:pt idx="443">
                  <c:v>44452</c:v>
                </c:pt>
                <c:pt idx="444">
                  <c:v>44453</c:v>
                </c:pt>
                <c:pt idx="445">
                  <c:v>44454</c:v>
                </c:pt>
                <c:pt idx="446">
                  <c:v>44455</c:v>
                </c:pt>
                <c:pt idx="447">
                  <c:v>44456</c:v>
                </c:pt>
                <c:pt idx="448">
                  <c:v>44459</c:v>
                </c:pt>
                <c:pt idx="449">
                  <c:v>44460</c:v>
                </c:pt>
                <c:pt idx="450">
                  <c:v>44461</c:v>
                </c:pt>
                <c:pt idx="451">
                  <c:v>44462</c:v>
                </c:pt>
                <c:pt idx="452">
                  <c:v>44463</c:v>
                </c:pt>
                <c:pt idx="453">
                  <c:v>44466</c:v>
                </c:pt>
                <c:pt idx="454">
                  <c:v>44467</c:v>
                </c:pt>
                <c:pt idx="455">
                  <c:v>44468</c:v>
                </c:pt>
                <c:pt idx="456">
                  <c:v>44469</c:v>
                </c:pt>
                <c:pt idx="457">
                  <c:v>44470</c:v>
                </c:pt>
                <c:pt idx="458">
                  <c:v>44473</c:v>
                </c:pt>
                <c:pt idx="459">
                  <c:v>44474</c:v>
                </c:pt>
                <c:pt idx="460">
                  <c:v>44475</c:v>
                </c:pt>
                <c:pt idx="461">
                  <c:v>44476</c:v>
                </c:pt>
                <c:pt idx="462">
                  <c:v>44477</c:v>
                </c:pt>
                <c:pt idx="463">
                  <c:v>44480</c:v>
                </c:pt>
                <c:pt idx="464">
                  <c:v>44481</c:v>
                </c:pt>
                <c:pt idx="465">
                  <c:v>44482</c:v>
                </c:pt>
                <c:pt idx="466">
                  <c:v>44483</c:v>
                </c:pt>
                <c:pt idx="467">
                  <c:v>44484</c:v>
                </c:pt>
                <c:pt idx="468">
                  <c:v>44487</c:v>
                </c:pt>
                <c:pt idx="469">
                  <c:v>44488</c:v>
                </c:pt>
                <c:pt idx="470">
                  <c:v>44489</c:v>
                </c:pt>
                <c:pt idx="471">
                  <c:v>44490</c:v>
                </c:pt>
                <c:pt idx="472">
                  <c:v>44491</c:v>
                </c:pt>
                <c:pt idx="473">
                  <c:v>44494</c:v>
                </c:pt>
                <c:pt idx="474">
                  <c:v>44495</c:v>
                </c:pt>
                <c:pt idx="475">
                  <c:v>44496</c:v>
                </c:pt>
                <c:pt idx="476">
                  <c:v>44497</c:v>
                </c:pt>
                <c:pt idx="477">
                  <c:v>44498</c:v>
                </c:pt>
                <c:pt idx="478">
                  <c:v>44501</c:v>
                </c:pt>
                <c:pt idx="479">
                  <c:v>44502</c:v>
                </c:pt>
                <c:pt idx="480">
                  <c:v>44503</c:v>
                </c:pt>
                <c:pt idx="481">
                  <c:v>44504</c:v>
                </c:pt>
                <c:pt idx="482">
                  <c:v>44505</c:v>
                </c:pt>
                <c:pt idx="483">
                  <c:v>44508</c:v>
                </c:pt>
                <c:pt idx="484">
                  <c:v>44509</c:v>
                </c:pt>
                <c:pt idx="485">
                  <c:v>44510</c:v>
                </c:pt>
                <c:pt idx="486">
                  <c:v>44511</c:v>
                </c:pt>
                <c:pt idx="487">
                  <c:v>44512</c:v>
                </c:pt>
                <c:pt idx="488">
                  <c:v>44515</c:v>
                </c:pt>
                <c:pt idx="489">
                  <c:v>44516</c:v>
                </c:pt>
                <c:pt idx="490">
                  <c:v>44517</c:v>
                </c:pt>
                <c:pt idx="491">
                  <c:v>44518</c:v>
                </c:pt>
                <c:pt idx="492">
                  <c:v>44519</c:v>
                </c:pt>
                <c:pt idx="493">
                  <c:v>44522</c:v>
                </c:pt>
                <c:pt idx="494">
                  <c:v>44523</c:v>
                </c:pt>
                <c:pt idx="495">
                  <c:v>44524</c:v>
                </c:pt>
                <c:pt idx="496">
                  <c:v>44525</c:v>
                </c:pt>
                <c:pt idx="497">
                  <c:v>44526</c:v>
                </c:pt>
                <c:pt idx="498">
                  <c:v>44529</c:v>
                </c:pt>
                <c:pt idx="499">
                  <c:v>44530</c:v>
                </c:pt>
                <c:pt idx="500">
                  <c:v>44531</c:v>
                </c:pt>
                <c:pt idx="501">
                  <c:v>44532</c:v>
                </c:pt>
                <c:pt idx="502">
                  <c:v>44533</c:v>
                </c:pt>
                <c:pt idx="503">
                  <c:v>44536</c:v>
                </c:pt>
                <c:pt idx="504">
                  <c:v>44537</c:v>
                </c:pt>
                <c:pt idx="505">
                  <c:v>44538</c:v>
                </c:pt>
                <c:pt idx="506">
                  <c:v>44539</c:v>
                </c:pt>
                <c:pt idx="507">
                  <c:v>44540</c:v>
                </c:pt>
                <c:pt idx="508">
                  <c:v>44543</c:v>
                </c:pt>
                <c:pt idx="509">
                  <c:v>44544</c:v>
                </c:pt>
                <c:pt idx="510">
                  <c:v>44545</c:v>
                </c:pt>
                <c:pt idx="511">
                  <c:v>44546</c:v>
                </c:pt>
                <c:pt idx="512">
                  <c:v>44547</c:v>
                </c:pt>
                <c:pt idx="513">
                  <c:v>44550</c:v>
                </c:pt>
                <c:pt idx="514">
                  <c:v>44551</c:v>
                </c:pt>
                <c:pt idx="515">
                  <c:v>44552</c:v>
                </c:pt>
                <c:pt idx="516">
                  <c:v>44553</c:v>
                </c:pt>
                <c:pt idx="517">
                  <c:v>44554</c:v>
                </c:pt>
                <c:pt idx="518">
                  <c:v>44557</c:v>
                </c:pt>
                <c:pt idx="519">
                  <c:v>44558</c:v>
                </c:pt>
                <c:pt idx="520">
                  <c:v>44559</c:v>
                </c:pt>
                <c:pt idx="521">
                  <c:v>44560</c:v>
                </c:pt>
                <c:pt idx="522">
                  <c:v>44561</c:v>
                </c:pt>
                <c:pt idx="523">
                  <c:v>44564</c:v>
                </c:pt>
                <c:pt idx="524">
                  <c:v>44565</c:v>
                </c:pt>
                <c:pt idx="525">
                  <c:v>44566</c:v>
                </c:pt>
                <c:pt idx="526">
                  <c:v>44567</c:v>
                </c:pt>
                <c:pt idx="527">
                  <c:v>44568</c:v>
                </c:pt>
                <c:pt idx="528">
                  <c:v>44571</c:v>
                </c:pt>
                <c:pt idx="529">
                  <c:v>44572</c:v>
                </c:pt>
                <c:pt idx="530">
                  <c:v>44573</c:v>
                </c:pt>
                <c:pt idx="531">
                  <c:v>44574</c:v>
                </c:pt>
                <c:pt idx="532">
                  <c:v>44575</c:v>
                </c:pt>
                <c:pt idx="533">
                  <c:v>44578</c:v>
                </c:pt>
                <c:pt idx="534">
                  <c:v>44579</c:v>
                </c:pt>
                <c:pt idx="535">
                  <c:v>44580</c:v>
                </c:pt>
                <c:pt idx="536">
                  <c:v>44581</c:v>
                </c:pt>
                <c:pt idx="537">
                  <c:v>44582</c:v>
                </c:pt>
                <c:pt idx="538">
                  <c:v>44585</c:v>
                </c:pt>
                <c:pt idx="539">
                  <c:v>44586</c:v>
                </c:pt>
                <c:pt idx="540">
                  <c:v>44587</c:v>
                </c:pt>
                <c:pt idx="541">
                  <c:v>44588</c:v>
                </c:pt>
                <c:pt idx="542">
                  <c:v>44589</c:v>
                </c:pt>
                <c:pt idx="543">
                  <c:v>44592</c:v>
                </c:pt>
                <c:pt idx="544">
                  <c:v>44593</c:v>
                </c:pt>
                <c:pt idx="545">
                  <c:v>44594</c:v>
                </c:pt>
                <c:pt idx="546">
                  <c:v>44595</c:v>
                </c:pt>
                <c:pt idx="547">
                  <c:v>44596</c:v>
                </c:pt>
                <c:pt idx="548">
                  <c:v>44599</c:v>
                </c:pt>
                <c:pt idx="549">
                  <c:v>44600</c:v>
                </c:pt>
                <c:pt idx="550">
                  <c:v>44601</c:v>
                </c:pt>
                <c:pt idx="551">
                  <c:v>44602</c:v>
                </c:pt>
                <c:pt idx="552">
                  <c:v>44603</c:v>
                </c:pt>
                <c:pt idx="553">
                  <c:v>44606</c:v>
                </c:pt>
                <c:pt idx="554">
                  <c:v>44607</c:v>
                </c:pt>
                <c:pt idx="555">
                  <c:v>44608</c:v>
                </c:pt>
                <c:pt idx="556">
                  <c:v>44609</c:v>
                </c:pt>
                <c:pt idx="557">
                  <c:v>44610</c:v>
                </c:pt>
                <c:pt idx="558">
                  <c:v>44613</c:v>
                </c:pt>
                <c:pt idx="559">
                  <c:v>44614</c:v>
                </c:pt>
                <c:pt idx="560">
                  <c:v>44615</c:v>
                </c:pt>
                <c:pt idx="561">
                  <c:v>44616</c:v>
                </c:pt>
                <c:pt idx="562">
                  <c:v>44617</c:v>
                </c:pt>
                <c:pt idx="563">
                  <c:v>44620</c:v>
                </c:pt>
                <c:pt idx="564">
                  <c:v>44621</c:v>
                </c:pt>
                <c:pt idx="565">
                  <c:v>44622</c:v>
                </c:pt>
                <c:pt idx="566">
                  <c:v>44623</c:v>
                </c:pt>
                <c:pt idx="567">
                  <c:v>44624</c:v>
                </c:pt>
                <c:pt idx="568">
                  <c:v>44627</c:v>
                </c:pt>
                <c:pt idx="569">
                  <c:v>44628</c:v>
                </c:pt>
                <c:pt idx="570">
                  <c:v>44629</c:v>
                </c:pt>
                <c:pt idx="571">
                  <c:v>44630</c:v>
                </c:pt>
                <c:pt idx="572">
                  <c:v>44631</c:v>
                </c:pt>
                <c:pt idx="573">
                  <c:v>44634</c:v>
                </c:pt>
                <c:pt idx="574">
                  <c:v>44635</c:v>
                </c:pt>
                <c:pt idx="575">
                  <c:v>44636</c:v>
                </c:pt>
                <c:pt idx="576">
                  <c:v>44637</c:v>
                </c:pt>
                <c:pt idx="577">
                  <c:v>44638</c:v>
                </c:pt>
                <c:pt idx="578">
                  <c:v>44641</c:v>
                </c:pt>
                <c:pt idx="579">
                  <c:v>44642</c:v>
                </c:pt>
                <c:pt idx="580">
                  <c:v>44643</c:v>
                </c:pt>
                <c:pt idx="581">
                  <c:v>44644</c:v>
                </c:pt>
                <c:pt idx="582">
                  <c:v>44645</c:v>
                </c:pt>
                <c:pt idx="583">
                  <c:v>44648</c:v>
                </c:pt>
                <c:pt idx="584">
                  <c:v>44649</c:v>
                </c:pt>
                <c:pt idx="585">
                  <c:v>44650</c:v>
                </c:pt>
                <c:pt idx="586">
                  <c:v>44651</c:v>
                </c:pt>
                <c:pt idx="587">
                  <c:v>44652</c:v>
                </c:pt>
                <c:pt idx="588">
                  <c:v>44655</c:v>
                </c:pt>
                <c:pt idx="589">
                  <c:v>44656</c:v>
                </c:pt>
                <c:pt idx="590">
                  <c:v>44657</c:v>
                </c:pt>
                <c:pt idx="591">
                  <c:v>44658</c:v>
                </c:pt>
                <c:pt idx="592">
                  <c:v>44659</c:v>
                </c:pt>
                <c:pt idx="593">
                  <c:v>44662</c:v>
                </c:pt>
                <c:pt idx="594">
                  <c:v>44663</c:v>
                </c:pt>
                <c:pt idx="595">
                  <c:v>44664</c:v>
                </c:pt>
                <c:pt idx="596">
                  <c:v>44665</c:v>
                </c:pt>
                <c:pt idx="597">
                  <c:v>44666</c:v>
                </c:pt>
                <c:pt idx="598">
                  <c:v>44669</c:v>
                </c:pt>
                <c:pt idx="599">
                  <c:v>44670</c:v>
                </c:pt>
                <c:pt idx="600">
                  <c:v>44671</c:v>
                </c:pt>
                <c:pt idx="601">
                  <c:v>44672</c:v>
                </c:pt>
                <c:pt idx="602">
                  <c:v>44673</c:v>
                </c:pt>
                <c:pt idx="603">
                  <c:v>44676</c:v>
                </c:pt>
                <c:pt idx="604">
                  <c:v>44677</c:v>
                </c:pt>
                <c:pt idx="605">
                  <c:v>44678</c:v>
                </c:pt>
                <c:pt idx="606">
                  <c:v>44679</c:v>
                </c:pt>
                <c:pt idx="607">
                  <c:v>44680</c:v>
                </c:pt>
                <c:pt idx="608">
                  <c:v>44683</c:v>
                </c:pt>
                <c:pt idx="609">
                  <c:v>44684</c:v>
                </c:pt>
                <c:pt idx="610">
                  <c:v>44685</c:v>
                </c:pt>
                <c:pt idx="611">
                  <c:v>44686</c:v>
                </c:pt>
                <c:pt idx="612">
                  <c:v>44687</c:v>
                </c:pt>
                <c:pt idx="613">
                  <c:v>44690</c:v>
                </c:pt>
                <c:pt idx="614">
                  <c:v>44691</c:v>
                </c:pt>
                <c:pt idx="615">
                  <c:v>44692</c:v>
                </c:pt>
                <c:pt idx="616">
                  <c:v>44693</c:v>
                </c:pt>
                <c:pt idx="617">
                  <c:v>44694</c:v>
                </c:pt>
                <c:pt idx="618">
                  <c:v>44697</c:v>
                </c:pt>
                <c:pt idx="619">
                  <c:v>44698</c:v>
                </c:pt>
                <c:pt idx="620">
                  <c:v>44699</c:v>
                </c:pt>
                <c:pt idx="621">
                  <c:v>44700</c:v>
                </c:pt>
                <c:pt idx="622">
                  <c:v>44701</c:v>
                </c:pt>
                <c:pt idx="623">
                  <c:v>44704</c:v>
                </c:pt>
                <c:pt idx="624">
                  <c:v>44705</c:v>
                </c:pt>
                <c:pt idx="625">
                  <c:v>44706</c:v>
                </c:pt>
                <c:pt idx="626">
                  <c:v>44707</c:v>
                </c:pt>
                <c:pt idx="627">
                  <c:v>44708</c:v>
                </c:pt>
                <c:pt idx="628">
                  <c:v>44711</c:v>
                </c:pt>
                <c:pt idx="629">
                  <c:v>44712</c:v>
                </c:pt>
                <c:pt idx="630">
                  <c:v>44713</c:v>
                </c:pt>
                <c:pt idx="631">
                  <c:v>44714</c:v>
                </c:pt>
                <c:pt idx="632">
                  <c:v>44715</c:v>
                </c:pt>
                <c:pt idx="633">
                  <c:v>44718</c:v>
                </c:pt>
                <c:pt idx="634">
                  <c:v>44719</c:v>
                </c:pt>
                <c:pt idx="635">
                  <c:v>44720</c:v>
                </c:pt>
                <c:pt idx="636">
                  <c:v>44721</c:v>
                </c:pt>
                <c:pt idx="637">
                  <c:v>44722</c:v>
                </c:pt>
                <c:pt idx="638">
                  <c:v>44725</c:v>
                </c:pt>
                <c:pt idx="639">
                  <c:v>44726</c:v>
                </c:pt>
                <c:pt idx="640">
                  <c:v>44727</c:v>
                </c:pt>
                <c:pt idx="641">
                  <c:v>44728</c:v>
                </c:pt>
                <c:pt idx="642">
                  <c:v>44729</c:v>
                </c:pt>
                <c:pt idx="643">
                  <c:v>44732</c:v>
                </c:pt>
                <c:pt idx="644">
                  <c:v>44733</c:v>
                </c:pt>
                <c:pt idx="645">
                  <c:v>44734</c:v>
                </c:pt>
                <c:pt idx="646">
                  <c:v>44735</c:v>
                </c:pt>
                <c:pt idx="647">
                  <c:v>44736</c:v>
                </c:pt>
                <c:pt idx="648">
                  <c:v>44739</c:v>
                </c:pt>
                <c:pt idx="649">
                  <c:v>44740</c:v>
                </c:pt>
                <c:pt idx="650">
                  <c:v>44741</c:v>
                </c:pt>
                <c:pt idx="651">
                  <c:v>44742</c:v>
                </c:pt>
                <c:pt idx="652">
                  <c:v>44743</c:v>
                </c:pt>
                <c:pt idx="653">
                  <c:v>44746</c:v>
                </c:pt>
                <c:pt idx="654">
                  <c:v>44747</c:v>
                </c:pt>
                <c:pt idx="655">
                  <c:v>44748</c:v>
                </c:pt>
                <c:pt idx="656">
                  <c:v>44749</c:v>
                </c:pt>
                <c:pt idx="657">
                  <c:v>44750</c:v>
                </c:pt>
                <c:pt idx="658">
                  <c:v>44753</c:v>
                </c:pt>
                <c:pt idx="659">
                  <c:v>44754</c:v>
                </c:pt>
                <c:pt idx="660">
                  <c:v>44755</c:v>
                </c:pt>
                <c:pt idx="661">
                  <c:v>44756</c:v>
                </c:pt>
                <c:pt idx="662">
                  <c:v>44757</c:v>
                </c:pt>
                <c:pt idx="663">
                  <c:v>44760</c:v>
                </c:pt>
                <c:pt idx="664">
                  <c:v>44761</c:v>
                </c:pt>
                <c:pt idx="665">
                  <c:v>44762</c:v>
                </c:pt>
                <c:pt idx="666">
                  <c:v>44763</c:v>
                </c:pt>
                <c:pt idx="667">
                  <c:v>44764</c:v>
                </c:pt>
                <c:pt idx="668">
                  <c:v>44767</c:v>
                </c:pt>
                <c:pt idx="669">
                  <c:v>44768</c:v>
                </c:pt>
                <c:pt idx="670">
                  <c:v>44769</c:v>
                </c:pt>
                <c:pt idx="671">
                  <c:v>44770</c:v>
                </c:pt>
                <c:pt idx="672">
                  <c:v>44771</c:v>
                </c:pt>
                <c:pt idx="673">
                  <c:v>44774</c:v>
                </c:pt>
                <c:pt idx="674">
                  <c:v>44775</c:v>
                </c:pt>
                <c:pt idx="675">
                  <c:v>44776</c:v>
                </c:pt>
                <c:pt idx="676">
                  <c:v>44777</c:v>
                </c:pt>
                <c:pt idx="677">
                  <c:v>44778</c:v>
                </c:pt>
                <c:pt idx="678">
                  <c:v>44781</c:v>
                </c:pt>
                <c:pt idx="679">
                  <c:v>44782</c:v>
                </c:pt>
                <c:pt idx="680">
                  <c:v>44783</c:v>
                </c:pt>
                <c:pt idx="681">
                  <c:v>44784</c:v>
                </c:pt>
                <c:pt idx="682">
                  <c:v>44785</c:v>
                </c:pt>
                <c:pt idx="683">
                  <c:v>44788</c:v>
                </c:pt>
                <c:pt idx="684">
                  <c:v>44789</c:v>
                </c:pt>
                <c:pt idx="685">
                  <c:v>44790</c:v>
                </c:pt>
                <c:pt idx="686">
                  <c:v>44791</c:v>
                </c:pt>
                <c:pt idx="687">
                  <c:v>44792</c:v>
                </c:pt>
                <c:pt idx="688">
                  <c:v>44795</c:v>
                </c:pt>
                <c:pt idx="689">
                  <c:v>44796</c:v>
                </c:pt>
                <c:pt idx="690">
                  <c:v>44797</c:v>
                </c:pt>
                <c:pt idx="691">
                  <c:v>44798</c:v>
                </c:pt>
                <c:pt idx="692">
                  <c:v>44799</c:v>
                </c:pt>
                <c:pt idx="693">
                  <c:v>44802</c:v>
                </c:pt>
                <c:pt idx="694">
                  <c:v>44803</c:v>
                </c:pt>
                <c:pt idx="695">
                  <c:v>44804</c:v>
                </c:pt>
                <c:pt idx="696">
                  <c:v>44805</c:v>
                </c:pt>
                <c:pt idx="697">
                  <c:v>44806</c:v>
                </c:pt>
                <c:pt idx="698">
                  <c:v>44809</c:v>
                </c:pt>
                <c:pt idx="699">
                  <c:v>44810</c:v>
                </c:pt>
                <c:pt idx="700">
                  <c:v>44811</c:v>
                </c:pt>
                <c:pt idx="701">
                  <c:v>44812</c:v>
                </c:pt>
                <c:pt idx="702">
                  <c:v>44813</c:v>
                </c:pt>
                <c:pt idx="703">
                  <c:v>44816</c:v>
                </c:pt>
                <c:pt idx="704">
                  <c:v>44817</c:v>
                </c:pt>
                <c:pt idx="705">
                  <c:v>44818</c:v>
                </c:pt>
                <c:pt idx="706">
                  <c:v>44819</c:v>
                </c:pt>
                <c:pt idx="707">
                  <c:v>44820</c:v>
                </c:pt>
                <c:pt idx="708">
                  <c:v>44823</c:v>
                </c:pt>
                <c:pt idx="709">
                  <c:v>44824</c:v>
                </c:pt>
                <c:pt idx="710">
                  <c:v>44825</c:v>
                </c:pt>
                <c:pt idx="711">
                  <c:v>44826</c:v>
                </c:pt>
                <c:pt idx="712">
                  <c:v>44827</c:v>
                </c:pt>
                <c:pt idx="713">
                  <c:v>44830</c:v>
                </c:pt>
                <c:pt idx="714">
                  <c:v>44831</c:v>
                </c:pt>
                <c:pt idx="715">
                  <c:v>44832</c:v>
                </c:pt>
                <c:pt idx="716">
                  <c:v>44833</c:v>
                </c:pt>
                <c:pt idx="717">
                  <c:v>44834</c:v>
                </c:pt>
                <c:pt idx="718">
                  <c:v>44837</c:v>
                </c:pt>
                <c:pt idx="719">
                  <c:v>44838</c:v>
                </c:pt>
                <c:pt idx="720">
                  <c:v>44839</c:v>
                </c:pt>
                <c:pt idx="721">
                  <c:v>44840</c:v>
                </c:pt>
                <c:pt idx="722">
                  <c:v>44841</c:v>
                </c:pt>
                <c:pt idx="723">
                  <c:v>44844</c:v>
                </c:pt>
                <c:pt idx="724">
                  <c:v>44845</c:v>
                </c:pt>
                <c:pt idx="725">
                  <c:v>44846</c:v>
                </c:pt>
                <c:pt idx="726">
                  <c:v>44847</c:v>
                </c:pt>
                <c:pt idx="727">
                  <c:v>44848</c:v>
                </c:pt>
                <c:pt idx="728">
                  <c:v>44851</c:v>
                </c:pt>
                <c:pt idx="729">
                  <c:v>44852</c:v>
                </c:pt>
                <c:pt idx="730">
                  <c:v>44853</c:v>
                </c:pt>
                <c:pt idx="731">
                  <c:v>44854</c:v>
                </c:pt>
                <c:pt idx="732">
                  <c:v>44855</c:v>
                </c:pt>
                <c:pt idx="733">
                  <c:v>44858</c:v>
                </c:pt>
                <c:pt idx="734">
                  <c:v>44859</c:v>
                </c:pt>
                <c:pt idx="735">
                  <c:v>44860</c:v>
                </c:pt>
                <c:pt idx="736">
                  <c:v>44861</c:v>
                </c:pt>
                <c:pt idx="737">
                  <c:v>44862</c:v>
                </c:pt>
                <c:pt idx="738">
                  <c:v>44865</c:v>
                </c:pt>
                <c:pt idx="739">
                  <c:v>44866</c:v>
                </c:pt>
                <c:pt idx="740">
                  <c:v>44867</c:v>
                </c:pt>
                <c:pt idx="741">
                  <c:v>44868</c:v>
                </c:pt>
                <c:pt idx="742">
                  <c:v>44869</c:v>
                </c:pt>
                <c:pt idx="743">
                  <c:v>44872</c:v>
                </c:pt>
                <c:pt idx="744">
                  <c:v>44873</c:v>
                </c:pt>
                <c:pt idx="745">
                  <c:v>44874</c:v>
                </c:pt>
                <c:pt idx="746">
                  <c:v>44875</c:v>
                </c:pt>
                <c:pt idx="747">
                  <c:v>44876</c:v>
                </c:pt>
                <c:pt idx="748">
                  <c:v>44879</c:v>
                </c:pt>
                <c:pt idx="749">
                  <c:v>44880</c:v>
                </c:pt>
                <c:pt idx="750">
                  <c:v>44881</c:v>
                </c:pt>
                <c:pt idx="751">
                  <c:v>44882</c:v>
                </c:pt>
                <c:pt idx="752">
                  <c:v>44883</c:v>
                </c:pt>
                <c:pt idx="753">
                  <c:v>44886</c:v>
                </c:pt>
                <c:pt idx="754">
                  <c:v>44887</c:v>
                </c:pt>
                <c:pt idx="755">
                  <c:v>44888</c:v>
                </c:pt>
                <c:pt idx="756">
                  <c:v>44889</c:v>
                </c:pt>
                <c:pt idx="757">
                  <c:v>44890</c:v>
                </c:pt>
                <c:pt idx="758">
                  <c:v>44893</c:v>
                </c:pt>
                <c:pt idx="759">
                  <c:v>44894</c:v>
                </c:pt>
                <c:pt idx="760">
                  <c:v>44895</c:v>
                </c:pt>
                <c:pt idx="761">
                  <c:v>44896</c:v>
                </c:pt>
                <c:pt idx="762">
                  <c:v>44897</c:v>
                </c:pt>
                <c:pt idx="763">
                  <c:v>44900</c:v>
                </c:pt>
                <c:pt idx="764">
                  <c:v>44901</c:v>
                </c:pt>
                <c:pt idx="765">
                  <c:v>44902</c:v>
                </c:pt>
                <c:pt idx="766">
                  <c:v>44903</c:v>
                </c:pt>
                <c:pt idx="767">
                  <c:v>44904</c:v>
                </c:pt>
                <c:pt idx="768">
                  <c:v>44907</c:v>
                </c:pt>
                <c:pt idx="769">
                  <c:v>44908</c:v>
                </c:pt>
                <c:pt idx="770">
                  <c:v>44909</c:v>
                </c:pt>
                <c:pt idx="771">
                  <c:v>44910</c:v>
                </c:pt>
                <c:pt idx="772">
                  <c:v>44911</c:v>
                </c:pt>
                <c:pt idx="773">
                  <c:v>44914</c:v>
                </c:pt>
                <c:pt idx="774">
                  <c:v>44915</c:v>
                </c:pt>
                <c:pt idx="775">
                  <c:v>44916</c:v>
                </c:pt>
                <c:pt idx="776">
                  <c:v>44917</c:v>
                </c:pt>
                <c:pt idx="777">
                  <c:v>44918</c:v>
                </c:pt>
                <c:pt idx="778">
                  <c:v>44921</c:v>
                </c:pt>
                <c:pt idx="779">
                  <c:v>44922</c:v>
                </c:pt>
                <c:pt idx="780">
                  <c:v>44923</c:v>
                </c:pt>
                <c:pt idx="781">
                  <c:v>44924</c:v>
                </c:pt>
                <c:pt idx="782">
                  <c:v>44925</c:v>
                </c:pt>
                <c:pt idx="783">
                  <c:v>44928</c:v>
                </c:pt>
                <c:pt idx="784">
                  <c:v>44929</c:v>
                </c:pt>
                <c:pt idx="785">
                  <c:v>44930</c:v>
                </c:pt>
                <c:pt idx="786">
                  <c:v>44931</c:v>
                </c:pt>
                <c:pt idx="787">
                  <c:v>44932</c:v>
                </c:pt>
                <c:pt idx="788">
                  <c:v>44935</c:v>
                </c:pt>
                <c:pt idx="789">
                  <c:v>44936</c:v>
                </c:pt>
                <c:pt idx="790">
                  <c:v>44937</c:v>
                </c:pt>
                <c:pt idx="791">
                  <c:v>44938</c:v>
                </c:pt>
                <c:pt idx="792">
                  <c:v>44939</c:v>
                </c:pt>
                <c:pt idx="793">
                  <c:v>44942</c:v>
                </c:pt>
                <c:pt idx="794">
                  <c:v>44943</c:v>
                </c:pt>
                <c:pt idx="795">
                  <c:v>44944</c:v>
                </c:pt>
                <c:pt idx="796">
                  <c:v>44945</c:v>
                </c:pt>
                <c:pt idx="797">
                  <c:v>44946</c:v>
                </c:pt>
                <c:pt idx="798">
                  <c:v>44949</c:v>
                </c:pt>
                <c:pt idx="799">
                  <c:v>44950</c:v>
                </c:pt>
                <c:pt idx="800">
                  <c:v>44951</c:v>
                </c:pt>
                <c:pt idx="801">
                  <c:v>44952</c:v>
                </c:pt>
                <c:pt idx="802">
                  <c:v>44953</c:v>
                </c:pt>
                <c:pt idx="803">
                  <c:v>44956</c:v>
                </c:pt>
                <c:pt idx="804">
                  <c:v>44957</c:v>
                </c:pt>
                <c:pt idx="805">
                  <c:v>44958</c:v>
                </c:pt>
                <c:pt idx="806">
                  <c:v>44959</c:v>
                </c:pt>
                <c:pt idx="807">
                  <c:v>44960</c:v>
                </c:pt>
                <c:pt idx="808">
                  <c:v>44963</c:v>
                </c:pt>
                <c:pt idx="809">
                  <c:v>44964</c:v>
                </c:pt>
                <c:pt idx="810">
                  <c:v>44965</c:v>
                </c:pt>
                <c:pt idx="811">
                  <c:v>44966</c:v>
                </c:pt>
                <c:pt idx="812">
                  <c:v>44967</c:v>
                </c:pt>
                <c:pt idx="813">
                  <c:v>44970</c:v>
                </c:pt>
                <c:pt idx="814">
                  <c:v>44971</c:v>
                </c:pt>
                <c:pt idx="815">
                  <c:v>44972</c:v>
                </c:pt>
                <c:pt idx="816">
                  <c:v>44973</c:v>
                </c:pt>
                <c:pt idx="817">
                  <c:v>44974</c:v>
                </c:pt>
                <c:pt idx="818">
                  <c:v>44977</c:v>
                </c:pt>
                <c:pt idx="819">
                  <c:v>44978</c:v>
                </c:pt>
                <c:pt idx="820">
                  <c:v>44979</c:v>
                </c:pt>
                <c:pt idx="821">
                  <c:v>44980</c:v>
                </c:pt>
                <c:pt idx="822">
                  <c:v>44981</c:v>
                </c:pt>
                <c:pt idx="823">
                  <c:v>44984</c:v>
                </c:pt>
                <c:pt idx="824">
                  <c:v>44985</c:v>
                </c:pt>
                <c:pt idx="825">
                  <c:v>44986</c:v>
                </c:pt>
                <c:pt idx="826">
                  <c:v>44987</c:v>
                </c:pt>
                <c:pt idx="827">
                  <c:v>44988</c:v>
                </c:pt>
                <c:pt idx="828">
                  <c:v>44991</c:v>
                </c:pt>
                <c:pt idx="829">
                  <c:v>44992</c:v>
                </c:pt>
                <c:pt idx="830">
                  <c:v>44993</c:v>
                </c:pt>
                <c:pt idx="831">
                  <c:v>44994</c:v>
                </c:pt>
                <c:pt idx="832">
                  <c:v>44995</c:v>
                </c:pt>
                <c:pt idx="833">
                  <c:v>44998</c:v>
                </c:pt>
                <c:pt idx="834">
                  <c:v>44999</c:v>
                </c:pt>
                <c:pt idx="835">
                  <c:v>45000</c:v>
                </c:pt>
                <c:pt idx="836">
                  <c:v>45001</c:v>
                </c:pt>
                <c:pt idx="837">
                  <c:v>45002</c:v>
                </c:pt>
                <c:pt idx="838">
                  <c:v>45005</c:v>
                </c:pt>
                <c:pt idx="839">
                  <c:v>45006</c:v>
                </c:pt>
                <c:pt idx="840">
                  <c:v>45007</c:v>
                </c:pt>
                <c:pt idx="841">
                  <c:v>45008</c:v>
                </c:pt>
                <c:pt idx="842">
                  <c:v>45009</c:v>
                </c:pt>
                <c:pt idx="843">
                  <c:v>45012</c:v>
                </c:pt>
                <c:pt idx="844">
                  <c:v>45013</c:v>
                </c:pt>
                <c:pt idx="845">
                  <c:v>45014</c:v>
                </c:pt>
                <c:pt idx="846">
                  <c:v>45015</c:v>
                </c:pt>
                <c:pt idx="847">
                  <c:v>45016</c:v>
                </c:pt>
                <c:pt idx="848">
                  <c:v>45019</c:v>
                </c:pt>
                <c:pt idx="849">
                  <c:v>45020</c:v>
                </c:pt>
                <c:pt idx="850">
                  <c:v>45021</c:v>
                </c:pt>
                <c:pt idx="851">
                  <c:v>45022</c:v>
                </c:pt>
                <c:pt idx="852">
                  <c:v>45023</c:v>
                </c:pt>
                <c:pt idx="853">
                  <c:v>45026</c:v>
                </c:pt>
                <c:pt idx="854">
                  <c:v>45027</c:v>
                </c:pt>
                <c:pt idx="855">
                  <c:v>45028</c:v>
                </c:pt>
                <c:pt idx="856">
                  <c:v>45029</c:v>
                </c:pt>
                <c:pt idx="857">
                  <c:v>45030</c:v>
                </c:pt>
                <c:pt idx="858">
                  <c:v>45033</c:v>
                </c:pt>
                <c:pt idx="859">
                  <c:v>45034</c:v>
                </c:pt>
                <c:pt idx="860">
                  <c:v>45035</c:v>
                </c:pt>
                <c:pt idx="861">
                  <c:v>45036</c:v>
                </c:pt>
                <c:pt idx="862">
                  <c:v>45037</c:v>
                </c:pt>
                <c:pt idx="863">
                  <c:v>45040</c:v>
                </c:pt>
                <c:pt idx="864">
                  <c:v>45041</c:v>
                </c:pt>
                <c:pt idx="865">
                  <c:v>45042</c:v>
                </c:pt>
                <c:pt idx="866">
                  <c:v>45043</c:v>
                </c:pt>
                <c:pt idx="867">
                  <c:v>45044</c:v>
                </c:pt>
                <c:pt idx="868">
                  <c:v>45047</c:v>
                </c:pt>
                <c:pt idx="869">
                  <c:v>45048</c:v>
                </c:pt>
                <c:pt idx="870">
                  <c:v>45049</c:v>
                </c:pt>
                <c:pt idx="871">
                  <c:v>45050</c:v>
                </c:pt>
                <c:pt idx="872">
                  <c:v>45051</c:v>
                </c:pt>
                <c:pt idx="873">
                  <c:v>45054</c:v>
                </c:pt>
                <c:pt idx="874">
                  <c:v>45055</c:v>
                </c:pt>
                <c:pt idx="875">
                  <c:v>45056</c:v>
                </c:pt>
                <c:pt idx="876">
                  <c:v>45057</c:v>
                </c:pt>
                <c:pt idx="877">
                  <c:v>45058</c:v>
                </c:pt>
                <c:pt idx="878">
                  <c:v>45061</c:v>
                </c:pt>
                <c:pt idx="879">
                  <c:v>45062</c:v>
                </c:pt>
                <c:pt idx="880">
                  <c:v>45063</c:v>
                </c:pt>
                <c:pt idx="881">
                  <c:v>45064</c:v>
                </c:pt>
                <c:pt idx="882">
                  <c:v>45065</c:v>
                </c:pt>
                <c:pt idx="883">
                  <c:v>45068</c:v>
                </c:pt>
                <c:pt idx="884">
                  <c:v>45069</c:v>
                </c:pt>
                <c:pt idx="885">
                  <c:v>45070</c:v>
                </c:pt>
                <c:pt idx="886">
                  <c:v>45071</c:v>
                </c:pt>
                <c:pt idx="887">
                  <c:v>45072</c:v>
                </c:pt>
                <c:pt idx="888">
                  <c:v>45075</c:v>
                </c:pt>
                <c:pt idx="889">
                  <c:v>45076</c:v>
                </c:pt>
                <c:pt idx="890">
                  <c:v>45077</c:v>
                </c:pt>
                <c:pt idx="891">
                  <c:v>45078</c:v>
                </c:pt>
                <c:pt idx="892">
                  <c:v>45079</c:v>
                </c:pt>
                <c:pt idx="893">
                  <c:v>45082</c:v>
                </c:pt>
                <c:pt idx="894">
                  <c:v>45083</c:v>
                </c:pt>
                <c:pt idx="895">
                  <c:v>45084</c:v>
                </c:pt>
                <c:pt idx="896">
                  <c:v>45085</c:v>
                </c:pt>
                <c:pt idx="897">
                  <c:v>45086</c:v>
                </c:pt>
                <c:pt idx="898">
                  <c:v>45089</c:v>
                </c:pt>
                <c:pt idx="899">
                  <c:v>45090</c:v>
                </c:pt>
                <c:pt idx="900">
                  <c:v>45091</c:v>
                </c:pt>
                <c:pt idx="901">
                  <c:v>45092</c:v>
                </c:pt>
                <c:pt idx="902">
                  <c:v>45093</c:v>
                </c:pt>
                <c:pt idx="903">
                  <c:v>45096</c:v>
                </c:pt>
                <c:pt idx="904">
                  <c:v>45097</c:v>
                </c:pt>
                <c:pt idx="905">
                  <c:v>45098</c:v>
                </c:pt>
                <c:pt idx="906">
                  <c:v>45099</c:v>
                </c:pt>
                <c:pt idx="907">
                  <c:v>45100</c:v>
                </c:pt>
                <c:pt idx="908">
                  <c:v>45103</c:v>
                </c:pt>
                <c:pt idx="909">
                  <c:v>45104</c:v>
                </c:pt>
                <c:pt idx="910">
                  <c:v>45105</c:v>
                </c:pt>
                <c:pt idx="911">
                  <c:v>45106</c:v>
                </c:pt>
                <c:pt idx="912">
                  <c:v>45107</c:v>
                </c:pt>
                <c:pt idx="913">
                  <c:v>45110</c:v>
                </c:pt>
                <c:pt idx="914">
                  <c:v>45111</c:v>
                </c:pt>
                <c:pt idx="915">
                  <c:v>45112</c:v>
                </c:pt>
                <c:pt idx="916">
                  <c:v>45113</c:v>
                </c:pt>
                <c:pt idx="917">
                  <c:v>45114</c:v>
                </c:pt>
                <c:pt idx="918">
                  <c:v>45117</c:v>
                </c:pt>
                <c:pt idx="919">
                  <c:v>45118</c:v>
                </c:pt>
                <c:pt idx="920">
                  <c:v>45119</c:v>
                </c:pt>
                <c:pt idx="921">
                  <c:v>45120</c:v>
                </c:pt>
                <c:pt idx="922">
                  <c:v>45121</c:v>
                </c:pt>
                <c:pt idx="923">
                  <c:v>45124</c:v>
                </c:pt>
                <c:pt idx="924">
                  <c:v>45125</c:v>
                </c:pt>
                <c:pt idx="925">
                  <c:v>45126</c:v>
                </c:pt>
                <c:pt idx="926">
                  <c:v>45127</c:v>
                </c:pt>
                <c:pt idx="927">
                  <c:v>45128</c:v>
                </c:pt>
                <c:pt idx="928">
                  <c:v>45131</c:v>
                </c:pt>
                <c:pt idx="929">
                  <c:v>45132</c:v>
                </c:pt>
                <c:pt idx="930">
                  <c:v>45133</c:v>
                </c:pt>
                <c:pt idx="931">
                  <c:v>45134</c:v>
                </c:pt>
                <c:pt idx="932">
                  <c:v>45135</c:v>
                </c:pt>
                <c:pt idx="933">
                  <c:v>45138</c:v>
                </c:pt>
                <c:pt idx="934">
                  <c:v>45139</c:v>
                </c:pt>
                <c:pt idx="935">
                  <c:v>45140</c:v>
                </c:pt>
                <c:pt idx="936">
                  <c:v>45141</c:v>
                </c:pt>
                <c:pt idx="937">
                  <c:v>45142</c:v>
                </c:pt>
                <c:pt idx="938">
                  <c:v>45145</c:v>
                </c:pt>
                <c:pt idx="939">
                  <c:v>45146</c:v>
                </c:pt>
                <c:pt idx="940">
                  <c:v>45147</c:v>
                </c:pt>
                <c:pt idx="941">
                  <c:v>45148</c:v>
                </c:pt>
                <c:pt idx="942">
                  <c:v>45149</c:v>
                </c:pt>
                <c:pt idx="943">
                  <c:v>45152</c:v>
                </c:pt>
                <c:pt idx="944">
                  <c:v>45153</c:v>
                </c:pt>
                <c:pt idx="945">
                  <c:v>45154</c:v>
                </c:pt>
                <c:pt idx="946">
                  <c:v>45155</c:v>
                </c:pt>
                <c:pt idx="947">
                  <c:v>45156</c:v>
                </c:pt>
                <c:pt idx="948">
                  <c:v>45159</c:v>
                </c:pt>
                <c:pt idx="949">
                  <c:v>45160</c:v>
                </c:pt>
                <c:pt idx="950">
                  <c:v>45161</c:v>
                </c:pt>
                <c:pt idx="951">
                  <c:v>45162</c:v>
                </c:pt>
                <c:pt idx="952">
                  <c:v>45163</c:v>
                </c:pt>
                <c:pt idx="953">
                  <c:v>45166</c:v>
                </c:pt>
                <c:pt idx="954">
                  <c:v>45167</c:v>
                </c:pt>
                <c:pt idx="955">
                  <c:v>45168</c:v>
                </c:pt>
                <c:pt idx="956">
                  <c:v>45169</c:v>
                </c:pt>
                <c:pt idx="957">
                  <c:v>45170</c:v>
                </c:pt>
                <c:pt idx="958">
                  <c:v>45173</c:v>
                </c:pt>
                <c:pt idx="959">
                  <c:v>45174</c:v>
                </c:pt>
                <c:pt idx="960">
                  <c:v>45175</c:v>
                </c:pt>
                <c:pt idx="961">
                  <c:v>45176</c:v>
                </c:pt>
                <c:pt idx="962">
                  <c:v>45177</c:v>
                </c:pt>
                <c:pt idx="963">
                  <c:v>45180</c:v>
                </c:pt>
                <c:pt idx="964">
                  <c:v>45181</c:v>
                </c:pt>
                <c:pt idx="965">
                  <c:v>45182</c:v>
                </c:pt>
                <c:pt idx="966">
                  <c:v>45183</c:v>
                </c:pt>
                <c:pt idx="967">
                  <c:v>45184</c:v>
                </c:pt>
                <c:pt idx="968">
                  <c:v>45187</c:v>
                </c:pt>
                <c:pt idx="969">
                  <c:v>45188</c:v>
                </c:pt>
                <c:pt idx="970">
                  <c:v>45189</c:v>
                </c:pt>
                <c:pt idx="971">
                  <c:v>45190</c:v>
                </c:pt>
                <c:pt idx="972">
                  <c:v>45191</c:v>
                </c:pt>
                <c:pt idx="973">
                  <c:v>45194</c:v>
                </c:pt>
                <c:pt idx="974">
                  <c:v>45195</c:v>
                </c:pt>
                <c:pt idx="975">
                  <c:v>45196</c:v>
                </c:pt>
                <c:pt idx="976">
                  <c:v>45197</c:v>
                </c:pt>
                <c:pt idx="977">
                  <c:v>45198</c:v>
                </c:pt>
                <c:pt idx="978">
                  <c:v>45201</c:v>
                </c:pt>
                <c:pt idx="979">
                  <c:v>45202</c:v>
                </c:pt>
                <c:pt idx="980">
                  <c:v>45203</c:v>
                </c:pt>
                <c:pt idx="981">
                  <c:v>45204</c:v>
                </c:pt>
                <c:pt idx="982">
                  <c:v>45205</c:v>
                </c:pt>
                <c:pt idx="983">
                  <c:v>45208</c:v>
                </c:pt>
                <c:pt idx="984">
                  <c:v>45209</c:v>
                </c:pt>
                <c:pt idx="985">
                  <c:v>45210</c:v>
                </c:pt>
                <c:pt idx="986">
                  <c:v>45211</c:v>
                </c:pt>
                <c:pt idx="987">
                  <c:v>45212</c:v>
                </c:pt>
                <c:pt idx="988">
                  <c:v>45215</c:v>
                </c:pt>
                <c:pt idx="989">
                  <c:v>45216</c:v>
                </c:pt>
                <c:pt idx="990">
                  <c:v>45217</c:v>
                </c:pt>
                <c:pt idx="991">
                  <c:v>45218</c:v>
                </c:pt>
                <c:pt idx="992">
                  <c:v>45219</c:v>
                </c:pt>
                <c:pt idx="993">
                  <c:v>45222</c:v>
                </c:pt>
                <c:pt idx="994">
                  <c:v>45223</c:v>
                </c:pt>
                <c:pt idx="995">
                  <c:v>45224</c:v>
                </c:pt>
                <c:pt idx="996">
                  <c:v>45225</c:v>
                </c:pt>
                <c:pt idx="997">
                  <c:v>45226</c:v>
                </c:pt>
                <c:pt idx="998">
                  <c:v>45229</c:v>
                </c:pt>
                <c:pt idx="999">
                  <c:v>45230</c:v>
                </c:pt>
                <c:pt idx="1000">
                  <c:v>45231</c:v>
                </c:pt>
                <c:pt idx="1001">
                  <c:v>45232</c:v>
                </c:pt>
                <c:pt idx="1002">
                  <c:v>45233</c:v>
                </c:pt>
                <c:pt idx="1003">
                  <c:v>45236</c:v>
                </c:pt>
                <c:pt idx="1004">
                  <c:v>45237</c:v>
                </c:pt>
                <c:pt idx="1005">
                  <c:v>45238</c:v>
                </c:pt>
                <c:pt idx="1006">
                  <c:v>45239</c:v>
                </c:pt>
                <c:pt idx="1007">
                  <c:v>45240</c:v>
                </c:pt>
                <c:pt idx="1008">
                  <c:v>45243</c:v>
                </c:pt>
                <c:pt idx="1009">
                  <c:v>45244</c:v>
                </c:pt>
                <c:pt idx="1010">
                  <c:v>45245</c:v>
                </c:pt>
                <c:pt idx="1011">
                  <c:v>45246</c:v>
                </c:pt>
                <c:pt idx="1012">
                  <c:v>45247</c:v>
                </c:pt>
                <c:pt idx="1013">
                  <c:v>45250</c:v>
                </c:pt>
                <c:pt idx="1014">
                  <c:v>45251</c:v>
                </c:pt>
                <c:pt idx="1015">
                  <c:v>45252</c:v>
                </c:pt>
                <c:pt idx="1016">
                  <c:v>45253</c:v>
                </c:pt>
                <c:pt idx="1017">
                  <c:v>45254</c:v>
                </c:pt>
                <c:pt idx="1018">
                  <c:v>45257</c:v>
                </c:pt>
                <c:pt idx="1019">
                  <c:v>45258</c:v>
                </c:pt>
                <c:pt idx="1020">
                  <c:v>45259</c:v>
                </c:pt>
                <c:pt idx="1021">
                  <c:v>45260</c:v>
                </c:pt>
                <c:pt idx="1022">
                  <c:v>45261</c:v>
                </c:pt>
                <c:pt idx="1023">
                  <c:v>45264</c:v>
                </c:pt>
                <c:pt idx="1024">
                  <c:v>45265</c:v>
                </c:pt>
                <c:pt idx="1025">
                  <c:v>45266</c:v>
                </c:pt>
                <c:pt idx="1026">
                  <c:v>45267</c:v>
                </c:pt>
                <c:pt idx="1027">
                  <c:v>45268</c:v>
                </c:pt>
                <c:pt idx="1028">
                  <c:v>45271</c:v>
                </c:pt>
                <c:pt idx="1029">
                  <c:v>45272</c:v>
                </c:pt>
                <c:pt idx="1030">
                  <c:v>45273</c:v>
                </c:pt>
                <c:pt idx="1031">
                  <c:v>45274</c:v>
                </c:pt>
                <c:pt idx="1032">
                  <c:v>45275</c:v>
                </c:pt>
                <c:pt idx="1033">
                  <c:v>45278</c:v>
                </c:pt>
                <c:pt idx="1034">
                  <c:v>45279</c:v>
                </c:pt>
                <c:pt idx="1035">
                  <c:v>45280</c:v>
                </c:pt>
                <c:pt idx="1036">
                  <c:v>45281</c:v>
                </c:pt>
                <c:pt idx="1037">
                  <c:v>45282</c:v>
                </c:pt>
                <c:pt idx="1038">
                  <c:v>45285</c:v>
                </c:pt>
                <c:pt idx="1039">
                  <c:v>45286</c:v>
                </c:pt>
                <c:pt idx="1040">
                  <c:v>45287</c:v>
                </c:pt>
                <c:pt idx="1041">
                  <c:v>45288</c:v>
                </c:pt>
                <c:pt idx="1042">
                  <c:v>45289</c:v>
                </c:pt>
                <c:pt idx="1043">
                  <c:v>45292</c:v>
                </c:pt>
                <c:pt idx="1044">
                  <c:v>45293</c:v>
                </c:pt>
                <c:pt idx="1045">
                  <c:v>45294</c:v>
                </c:pt>
                <c:pt idx="1046">
                  <c:v>45295</c:v>
                </c:pt>
                <c:pt idx="1047">
                  <c:v>45296</c:v>
                </c:pt>
                <c:pt idx="1048">
                  <c:v>45299</c:v>
                </c:pt>
                <c:pt idx="1049">
                  <c:v>45300</c:v>
                </c:pt>
                <c:pt idx="1050">
                  <c:v>45301</c:v>
                </c:pt>
                <c:pt idx="1051">
                  <c:v>45302</c:v>
                </c:pt>
                <c:pt idx="1052">
                  <c:v>45303</c:v>
                </c:pt>
                <c:pt idx="1053">
                  <c:v>45306</c:v>
                </c:pt>
                <c:pt idx="1054">
                  <c:v>45307</c:v>
                </c:pt>
                <c:pt idx="1055">
                  <c:v>45308</c:v>
                </c:pt>
                <c:pt idx="1056">
                  <c:v>45309</c:v>
                </c:pt>
                <c:pt idx="1057">
                  <c:v>45310</c:v>
                </c:pt>
                <c:pt idx="1058">
                  <c:v>45313</c:v>
                </c:pt>
                <c:pt idx="1059">
                  <c:v>45314</c:v>
                </c:pt>
                <c:pt idx="1060">
                  <c:v>45315</c:v>
                </c:pt>
                <c:pt idx="1061">
                  <c:v>45316</c:v>
                </c:pt>
                <c:pt idx="1062">
                  <c:v>45317</c:v>
                </c:pt>
                <c:pt idx="1063">
                  <c:v>45320</c:v>
                </c:pt>
                <c:pt idx="1064">
                  <c:v>45321</c:v>
                </c:pt>
                <c:pt idx="1065">
                  <c:v>45322</c:v>
                </c:pt>
                <c:pt idx="1066">
                  <c:v>45323</c:v>
                </c:pt>
                <c:pt idx="1067">
                  <c:v>45324</c:v>
                </c:pt>
                <c:pt idx="1068">
                  <c:v>45327</c:v>
                </c:pt>
                <c:pt idx="1069">
                  <c:v>45328</c:v>
                </c:pt>
                <c:pt idx="1070">
                  <c:v>45329</c:v>
                </c:pt>
                <c:pt idx="1071">
                  <c:v>45330</c:v>
                </c:pt>
                <c:pt idx="1072">
                  <c:v>45331</c:v>
                </c:pt>
                <c:pt idx="1073">
                  <c:v>45334</c:v>
                </c:pt>
                <c:pt idx="1074">
                  <c:v>45335</c:v>
                </c:pt>
                <c:pt idx="1075">
                  <c:v>45336</c:v>
                </c:pt>
                <c:pt idx="1076">
                  <c:v>45337</c:v>
                </c:pt>
                <c:pt idx="1077">
                  <c:v>45338</c:v>
                </c:pt>
                <c:pt idx="1078">
                  <c:v>45341</c:v>
                </c:pt>
                <c:pt idx="1079">
                  <c:v>45342</c:v>
                </c:pt>
                <c:pt idx="1080">
                  <c:v>45343</c:v>
                </c:pt>
                <c:pt idx="1081">
                  <c:v>45344</c:v>
                </c:pt>
                <c:pt idx="1082">
                  <c:v>45345</c:v>
                </c:pt>
                <c:pt idx="1083">
                  <c:v>45348</c:v>
                </c:pt>
                <c:pt idx="1084">
                  <c:v>45349</c:v>
                </c:pt>
                <c:pt idx="1085">
                  <c:v>45350</c:v>
                </c:pt>
                <c:pt idx="1086">
                  <c:v>45351</c:v>
                </c:pt>
                <c:pt idx="1087">
                  <c:v>45352</c:v>
                </c:pt>
                <c:pt idx="1088">
                  <c:v>45355</c:v>
                </c:pt>
                <c:pt idx="1089">
                  <c:v>45356</c:v>
                </c:pt>
                <c:pt idx="1090">
                  <c:v>45357</c:v>
                </c:pt>
                <c:pt idx="1091">
                  <c:v>45358</c:v>
                </c:pt>
                <c:pt idx="1092">
                  <c:v>45359</c:v>
                </c:pt>
                <c:pt idx="1093">
                  <c:v>45362</c:v>
                </c:pt>
                <c:pt idx="1094">
                  <c:v>45363</c:v>
                </c:pt>
                <c:pt idx="1095">
                  <c:v>45364</c:v>
                </c:pt>
                <c:pt idx="1096">
                  <c:v>45365</c:v>
                </c:pt>
                <c:pt idx="1097">
                  <c:v>45366</c:v>
                </c:pt>
                <c:pt idx="1098">
                  <c:v>45369</c:v>
                </c:pt>
                <c:pt idx="1099">
                  <c:v>45370</c:v>
                </c:pt>
                <c:pt idx="1100">
                  <c:v>45371</c:v>
                </c:pt>
                <c:pt idx="1101">
                  <c:v>45372</c:v>
                </c:pt>
                <c:pt idx="1102">
                  <c:v>45373</c:v>
                </c:pt>
                <c:pt idx="1103">
                  <c:v>45376</c:v>
                </c:pt>
                <c:pt idx="1104">
                  <c:v>45377</c:v>
                </c:pt>
                <c:pt idx="1105">
                  <c:v>45378</c:v>
                </c:pt>
                <c:pt idx="1106">
                  <c:v>45379</c:v>
                </c:pt>
                <c:pt idx="1107">
                  <c:v>45380</c:v>
                </c:pt>
                <c:pt idx="1108">
                  <c:v>45383</c:v>
                </c:pt>
                <c:pt idx="1109">
                  <c:v>45384</c:v>
                </c:pt>
                <c:pt idx="1110">
                  <c:v>45385</c:v>
                </c:pt>
                <c:pt idx="1111">
                  <c:v>45386</c:v>
                </c:pt>
                <c:pt idx="1112">
                  <c:v>45387</c:v>
                </c:pt>
                <c:pt idx="1113">
                  <c:v>45390</c:v>
                </c:pt>
                <c:pt idx="1114">
                  <c:v>45391</c:v>
                </c:pt>
                <c:pt idx="1115">
                  <c:v>45392</c:v>
                </c:pt>
                <c:pt idx="1116">
                  <c:v>45393</c:v>
                </c:pt>
                <c:pt idx="1117">
                  <c:v>45394</c:v>
                </c:pt>
                <c:pt idx="1118">
                  <c:v>45397</c:v>
                </c:pt>
                <c:pt idx="1119">
                  <c:v>45398</c:v>
                </c:pt>
                <c:pt idx="1120">
                  <c:v>45399</c:v>
                </c:pt>
                <c:pt idx="1121">
                  <c:v>45400</c:v>
                </c:pt>
                <c:pt idx="1122">
                  <c:v>45401</c:v>
                </c:pt>
                <c:pt idx="1123">
                  <c:v>45404</c:v>
                </c:pt>
                <c:pt idx="1124">
                  <c:v>45405</c:v>
                </c:pt>
                <c:pt idx="1125">
                  <c:v>45406</c:v>
                </c:pt>
                <c:pt idx="1126">
                  <c:v>45407</c:v>
                </c:pt>
                <c:pt idx="1127">
                  <c:v>45408</c:v>
                </c:pt>
                <c:pt idx="1128">
                  <c:v>45411</c:v>
                </c:pt>
                <c:pt idx="1129">
                  <c:v>45412</c:v>
                </c:pt>
                <c:pt idx="1130">
                  <c:v>45413</c:v>
                </c:pt>
                <c:pt idx="1131">
                  <c:v>45414</c:v>
                </c:pt>
                <c:pt idx="1132">
                  <c:v>45415</c:v>
                </c:pt>
                <c:pt idx="1133">
                  <c:v>45418</c:v>
                </c:pt>
                <c:pt idx="1134">
                  <c:v>45419</c:v>
                </c:pt>
                <c:pt idx="1135">
                  <c:v>45420</c:v>
                </c:pt>
                <c:pt idx="1136">
                  <c:v>45421</c:v>
                </c:pt>
                <c:pt idx="1137">
                  <c:v>45422</c:v>
                </c:pt>
                <c:pt idx="1138">
                  <c:v>45425</c:v>
                </c:pt>
                <c:pt idx="1139">
                  <c:v>45426</c:v>
                </c:pt>
                <c:pt idx="1140">
                  <c:v>45427</c:v>
                </c:pt>
                <c:pt idx="1141">
                  <c:v>45428</c:v>
                </c:pt>
                <c:pt idx="1142">
                  <c:v>45429</c:v>
                </c:pt>
                <c:pt idx="1143">
                  <c:v>45432</c:v>
                </c:pt>
                <c:pt idx="1144">
                  <c:v>45433</c:v>
                </c:pt>
                <c:pt idx="1145">
                  <c:v>45434</c:v>
                </c:pt>
                <c:pt idx="1146">
                  <c:v>45435</c:v>
                </c:pt>
                <c:pt idx="1147">
                  <c:v>45436</c:v>
                </c:pt>
                <c:pt idx="1148">
                  <c:v>45439</c:v>
                </c:pt>
                <c:pt idx="1149">
                  <c:v>45440</c:v>
                </c:pt>
                <c:pt idx="1150">
                  <c:v>45441</c:v>
                </c:pt>
                <c:pt idx="1151">
                  <c:v>45442</c:v>
                </c:pt>
                <c:pt idx="1152">
                  <c:v>45443</c:v>
                </c:pt>
                <c:pt idx="1153">
                  <c:v>45446</c:v>
                </c:pt>
                <c:pt idx="1154">
                  <c:v>45447</c:v>
                </c:pt>
                <c:pt idx="1155">
                  <c:v>45448</c:v>
                </c:pt>
                <c:pt idx="1156">
                  <c:v>45449</c:v>
                </c:pt>
                <c:pt idx="1157">
                  <c:v>45450</c:v>
                </c:pt>
                <c:pt idx="1158">
                  <c:v>45453</c:v>
                </c:pt>
                <c:pt idx="1159">
                  <c:v>45454</c:v>
                </c:pt>
                <c:pt idx="1160">
                  <c:v>45455</c:v>
                </c:pt>
                <c:pt idx="1161">
                  <c:v>45456</c:v>
                </c:pt>
                <c:pt idx="1162">
                  <c:v>45457</c:v>
                </c:pt>
                <c:pt idx="1163">
                  <c:v>45460</c:v>
                </c:pt>
                <c:pt idx="1164">
                  <c:v>45461</c:v>
                </c:pt>
                <c:pt idx="1165">
                  <c:v>45462</c:v>
                </c:pt>
                <c:pt idx="1166">
                  <c:v>45463</c:v>
                </c:pt>
                <c:pt idx="1167">
                  <c:v>45464</c:v>
                </c:pt>
                <c:pt idx="1168">
                  <c:v>45467</c:v>
                </c:pt>
                <c:pt idx="1169">
                  <c:v>45468</c:v>
                </c:pt>
                <c:pt idx="1170">
                  <c:v>45469</c:v>
                </c:pt>
                <c:pt idx="1171">
                  <c:v>45470</c:v>
                </c:pt>
                <c:pt idx="1172">
                  <c:v>45471</c:v>
                </c:pt>
                <c:pt idx="1173">
                  <c:v>45474</c:v>
                </c:pt>
                <c:pt idx="1174">
                  <c:v>45475</c:v>
                </c:pt>
                <c:pt idx="1175">
                  <c:v>45476</c:v>
                </c:pt>
                <c:pt idx="1176">
                  <c:v>45477</c:v>
                </c:pt>
                <c:pt idx="1177">
                  <c:v>45478</c:v>
                </c:pt>
                <c:pt idx="1178">
                  <c:v>45481</c:v>
                </c:pt>
                <c:pt idx="1179">
                  <c:v>45482</c:v>
                </c:pt>
                <c:pt idx="1180">
                  <c:v>45483</c:v>
                </c:pt>
                <c:pt idx="1181">
                  <c:v>45484</c:v>
                </c:pt>
                <c:pt idx="1182">
                  <c:v>45485</c:v>
                </c:pt>
                <c:pt idx="1183">
                  <c:v>45488</c:v>
                </c:pt>
                <c:pt idx="1184">
                  <c:v>45489</c:v>
                </c:pt>
                <c:pt idx="1185">
                  <c:v>45490</c:v>
                </c:pt>
                <c:pt idx="1186">
                  <c:v>45491</c:v>
                </c:pt>
                <c:pt idx="1187">
                  <c:v>45492</c:v>
                </c:pt>
                <c:pt idx="1188">
                  <c:v>45495</c:v>
                </c:pt>
                <c:pt idx="1189">
                  <c:v>45496</c:v>
                </c:pt>
                <c:pt idx="1190">
                  <c:v>45497</c:v>
                </c:pt>
                <c:pt idx="1191">
                  <c:v>45498</c:v>
                </c:pt>
                <c:pt idx="1192">
                  <c:v>45499</c:v>
                </c:pt>
                <c:pt idx="1193">
                  <c:v>45502</c:v>
                </c:pt>
                <c:pt idx="1194">
                  <c:v>45503</c:v>
                </c:pt>
                <c:pt idx="1195">
                  <c:v>45504</c:v>
                </c:pt>
                <c:pt idx="1196">
                  <c:v>45505</c:v>
                </c:pt>
                <c:pt idx="1197">
                  <c:v>45506</c:v>
                </c:pt>
                <c:pt idx="1198">
                  <c:v>45509</c:v>
                </c:pt>
                <c:pt idx="1199">
                  <c:v>45510</c:v>
                </c:pt>
                <c:pt idx="1200">
                  <c:v>45511</c:v>
                </c:pt>
                <c:pt idx="1201">
                  <c:v>45512</c:v>
                </c:pt>
                <c:pt idx="1202">
                  <c:v>45513</c:v>
                </c:pt>
                <c:pt idx="1203">
                  <c:v>45516</c:v>
                </c:pt>
                <c:pt idx="1204">
                  <c:v>45517</c:v>
                </c:pt>
                <c:pt idx="1205">
                  <c:v>45518</c:v>
                </c:pt>
                <c:pt idx="1206">
                  <c:v>45519</c:v>
                </c:pt>
                <c:pt idx="1207">
                  <c:v>45520</c:v>
                </c:pt>
                <c:pt idx="1208">
                  <c:v>45523</c:v>
                </c:pt>
                <c:pt idx="1209">
                  <c:v>45524</c:v>
                </c:pt>
                <c:pt idx="1210">
                  <c:v>45525</c:v>
                </c:pt>
                <c:pt idx="1211">
                  <c:v>45526</c:v>
                </c:pt>
                <c:pt idx="1212">
                  <c:v>45527</c:v>
                </c:pt>
                <c:pt idx="1213">
                  <c:v>45530</c:v>
                </c:pt>
                <c:pt idx="1214">
                  <c:v>45531</c:v>
                </c:pt>
                <c:pt idx="1215">
                  <c:v>45532</c:v>
                </c:pt>
                <c:pt idx="1216">
                  <c:v>45533</c:v>
                </c:pt>
                <c:pt idx="1217">
                  <c:v>45534</c:v>
                </c:pt>
                <c:pt idx="1218">
                  <c:v>45537</c:v>
                </c:pt>
                <c:pt idx="1219">
                  <c:v>45538</c:v>
                </c:pt>
                <c:pt idx="1220">
                  <c:v>45539</c:v>
                </c:pt>
                <c:pt idx="1221">
                  <c:v>45540</c:v>
                </c:pt>
                <c:pt idx="1222">
                  <c:v>45541</c:v>
                </c:pt>
                <c:pt idx="1223">
                  <c:v>45544</c:v>
                </c:pt>
                <c:pt idx="1224">
                  <c:v>45545</c:v>
                </c:pt>
                <c:pt idx="1225">
                  <c:v>45546</c:v>
                </c:pt>
                <c:pt idx="1226">
                  <c:v>45547</c:v>
                </c:pt>
                <c:pt idx="1227">
                  <c:v>45548</c:v>
                </c:pt>
                <c:pt idx="1228">
                  <c:v>45551</c:v>
                </c:pt>
                <c:pt idx="1229">
                  <c:v>45552</c:v>
                </c:pt>
                <c:pt idx="1230">
                  <c:v>45553</c:v>
                </c:pt>
                <c:pt idx="1231">
                  <c:v>45554</c:v>
                </c:pt>
                <c:pt idx="1232">
                  <c:v>45555</c:v>
                </c:pt>
                <c:pt idx="1233">
                  <c:v>45558</c:v>
                </c:pt>
                <c:pt idx="1234">
                  <c:v>45559</c:v>
                </c:pt>
                <c:pt idx="1235">
                  <c:v>45560</c:v>
                </c:pt>
                <c:pt idx="1236">
                  <c:v>45561</c:v>
                </c:pt>
                <c:pt idx="1237">
                  <c:v>45562</c:v>
                </c:pt>
                <c:pt idx="1238">
                  <c:v>45565</c:v>
                </c:pt>
                <c:pt idx="1239">
                  <c:v>45566</c:v>
                </c:pt>
                <c:pt idx="1240">
                  <c:v>45567</c:v>
                </c:pt>
                <c:pt idx="1241">
                  <c:v>45568</c:v>
                </c:pt>
                <c:pt idx="1242">
                  <c:v>45569</c:v>
                </c:pt>
                <c:pt idx="1243">
                  <c:v>45572</c:v>
                </c:pt>
                <c:pt idx="1244">
                  <c:v>45573</c:v>
                </c:pt>
                <c:pt idx="1245">
                  <c:v>45574</c:v>
                </c:pt>
                <c:pt idx="1246">
                  <c:v>45575</c:v>
                </c:pt>
                <c:pt idx="1247">
                  <c:v>45576</c:v>
                </c:pt>
                <c:pt idx="1248">
                  <c:v>45579</c:v>
                </c:pt>
                <c:pt idx="1249">
                  <c:v>45580</c:v>
                </c:pt>
                <c:pt idx="1250">
                  <c:v>45581</c:v>
                </c:pt>
                <c:pt idx="1251">
                  <c:v>45582</c:v>
                </c:pt>
                <c:pt idx="1252">
                  <c:v>45583</c:v>
                </c:pt>
                <c:pt idx="1253">
                  <c:v>45586</c:v>
                </c:pt>
                <c:pt idx="1254">
                  <c:v>45587</c:v>
                </c:pt>
                <c:pt idx="1255">
                  <c:v>45588</c:v>
                </c:pt>
                <c:pt idx="1256">
                  <c:v>45589</c:v>
                </c:pt>
                <c:pt idx="1257">
                  <c:v>45590</c:v>
                </c:pt>
                <c:pt idx="1258">
                  <c:v>45593</c:v>
                </c:pt>
                <c:pt idx="1259">
                  <c:v>45594</c:v>
                </c:pt>
                <c:pt idx="1260">
                  <c:v>45595</c:v>
                </c:pt>
                <c:pt idx="1261">
                  <c:v>45596</c:v>
                </c:pt>
                <c:pt idx="1262">
                  <c:v>45597</c:v>
                </c:pt>
                <c:pt idx="1263">
                  <c:v>45600</c:v>
                </c:pt>
                <c:pt idx="1264">
                  <c:v>45601</c:v>
                </c:pt>
                <c:pt idx="1265">
                  <c:v>45602</c:v>
                </c:pt>
                <c:pt idx="1266">
                  <c:v>45603</c:v>
                </c:pt>
                <c:pt idx="1267">
                  <c:v>45604</c:v>
                </c:pt>
                <c:pt idx="1268">
                  <c:v>45607</c:v>
                </c:pt>
                <c:pt idx="1269">
                  <c:v>45608</c:v>
                </c:pt>
                <c:pt idx="1270">
                  <c:v>45609</c:v>
                </c:pt>
                <c:pt idx="1271">
                  <c:v>45610</c:v>
                </c:pt>
                <c:pt idx="1272">
                  <c:v>45611</c:v>
                </c:pt>
                <c:pt idx="1273">
                  <c:v>45614</c:v>
                </c:pt>
                <c:pt idx="1274">
                  <c:v>45615</c:v>
                </c:pt>
                <c:pt idx="1275">
                  <c:v>45616</c:v>
                </c:pt>
                <c:pt idx="1276">
                  <c:v>45617</c:v>
                </c:pt>
                <c:pt idx="1277">
                  <c:v>45618</c:v>
                </c:pt>
                <c:pt idx="1278">
                  <c:v>45621</c:v>
                </c:pt>
                <c:pt idx="1279">
                  <c:v>45622</c:v>
                </c:pt>
                <c:pt idx="1280">
                  <c:v>45623</c:v>
                </c:pt>
                <c:pt idx="1281">
                  <c:v>45624</c:v>
                </c:pt>
                <c:pt idx="1282">
                  <c:v>45625</c:v>
                </c:pt>
                <c:pt idx="1283">
                  <c:v>45628</c:v>
                </c:pt>
                <c:pt idx="1284">
                  <c:v>45629</c:v>
                </c:pt>
                <c:pt idx="1285">
                  <c:v>45630</c:v>
                </c:pt>
                <c:pt idx="1286">
                  <c:v>45631</c:v>
                </c:pt>
                <c:pt idx="1287">
                  <c:v>45632</c:v>
                </c:pt>
                <c:pt idx="1288">
                  <c:v>45635</c:v>
                </c:pt>
                <c:pt idx="1289">
                  <c:v>45636</c:v>
                </c:pt>
                <c:pt idx="1290">
                  <c:v>45637</c:v>
                </c:pt>
                <c:pt idx="1291">
                  <c:v>45638</c:v>
                </c:pt>
                <c:pt idx="1292">
                  <c:v>45639</c:v>
                </c:pt>
                <c:pt idx="1293">
                  <c:v>45642</c:v>
                </c:pt>
                <c:pt idx="1294">
                  <c:v>45643</c:v>
                </c:pt>
                <c:pt idx="1295">
                  <c:v>45644</c:v>
                </c:pt>
                <c:pt idx="1296">
                  <c:v>45645</c:v>
                </c:pt>
                <c:pt idx="1297">
                  <c:v>45646</c:v>
                </c:pt>
                <c:pt idx="1298">
                  <c:v>45649</c:v>
                </c:pt>
                <c:pt idx="1299">
                  <c:v>45650</c:v>
                </c:pt>
                <c:pt idx="1300">
                  <c:v>45651</c:v>
                </c:pt>
                <c:pt idx="1301">
                  <c:v>45652</c:v>
                </c:pt>
                <c:pt idx="1302">
                  <c:v>45653</c:v>
                </c:pt>
                <c:pt idx="1303">
                  <c:v>45656</c:v>
                </c:pt>
                <c:pt idx="1304">
                  <c:v>45657</c:v>
                </c:pt>
                <c:pt idx="1305">
                  <c:v>45658</c:v>
                </c:pt>
                <c:pt idx="1306">
                  <c:v>45659</c:v>
                </c:pt>
                <c:pt idx="1307">
                  <c:v>45660</c:v>
                </c:pt>
                <c:pt idx="1308">
                  <c:v>45663</c:v>
                </c:pt>
                <c:pt idx="1309">
                  <c:v>45664</c:v>
                </c:pt>
                <c:pt idx="1310">
                  <c:v>45665</c:v>
                </c:pt>
                <c:pt idx="1311">
                  <c:v>45666</c:v>
                </c:pt>
                <c:pt idx="1312">
                  <c:v>45667</c:v>
                </c:pt>
                <c:pt idx="1313">
                  <c:v>45670</c:v>
                </c:pt>
                <c:pt idx="1314">
                  <c:v>45671</c:v>
                </c:pt>
                <c:pt idx="1315">
                  <c:v>45672</c:v>
                </c:pt>
                <c:pt idx="1316">
                  <c:v>45673</c:v>
                </c:pt>
                <c:pt idx="1317">
                  <c:v>45674</c:v>
                </c:pt>
                <c:pt idx="1318">
                  <c:v>45677</c:v>
                </c:pt>
                <c:pt idx="1319">
                  <c:v>45678</c:v>
                </c:pt>
                <c:pt idx="1320">
                  <c:v>45679</c:v>
                </c:pt>
                <c:pt idx="1321">
                  <c:v>45680</c:v>
                </c:pt>
                <c:pt idx="1322">
                  <c:v>45681</c:v>
                </c:pt>
                <c:pt idx="1323">
                  <c:v>45684</c:v>
                </c:pt>
                <c:pt idx="1324">
                  <c:v>45685</c:v>
                </c:pt>
                <c:pt idx="1325">
                  <c:v>45686</c:v>
                </c:pt>
                <c:pt idx="1326">
                  <c:v>45687</c:v>
                </c:pt>
                <c:pt idx="1327">
                  <c:v>45688</c:v>
                </c:pt>
                <c:pt idx="1328">
                  <c:v>45691</c:v>
                </c:pt>
                <c:pt idx="1329">
                  <c:v>45692</c:v>
                </c:pt>
                <c:pt idx="1330">
                  <c:v>45693</c:v>
                </c:pt>
                <c:pt idx="1331">
                  <c:v>45694</c:v>
                </c:pt>
                <c:pt idx="1332">
                  <c:v>45695</c:v>
                </c:pt>
                <c:pt idx="1333">
                  <c:v>45698</c:v>
                </c:pt>
                <c:pt idx="1334">
                  <c:v>45699</c:v>
                </c:pt>
                <c:pt idx="1335">
                  <c:v>45700</c:v>
                </c:pt>
                <c:pt idx="1336">
                  <c:v>45701</c:v>
                </c:pt>
                <c:pt idx="1337">
                  <c:v>45702</c:v>
                </c:pt>
                <c:pt idx="1338">
                  <c:v>45705</c:v>
                </c:pt>
                <c:pt idx="1339">
                  <c:v>45706</c:v>
                </c:pt>
                <c:pt idx="1340">
                  <c:v>45707</c:v>
                </c:pt>
                <c:pt idx="1341">
                  <c:v>45708</c:v>
                </c:pt>
                <c:pt idx="1342">
                  <c:v>45709</c:v>
                </c:pt>
                <c:pt idx="1343">
                  <c:v>45712</c:v>
                </c:pt>
              </c:numCache>
            </c:numRef>
          </c:cat>
          <c:val>
            <c:numRef>
              <c:f>'Chart Data'!$M$3:$M$1346</c:f>
              <c:numCache>
                <c:formatCode>0.00</c:formatCode>
                <c:ptCount val="1344"/>
                <c:pt idx="0">
                  <c:v>#N/A</c:v>
                </c:pt>
                <c:pt idx="1">
                  <c:v>50.837819394950337</c:v>
                </c:pt>
                <c:pt idx="2">
                  <c:v>52.84577723378213</c:v>
                </c:pt>
                <c:pt idx="3">
                  <c:v>53.385515616688195</c:v>
                </c:pt>
                <c:pt idx="4">
                  <c:v>52.385307117817398</c:v>
                </c:pt>
                <c:pt idx="5">
                  <c:v>51.385601954347656</c:v>
                </c:pt>
                <c:pt idx="6">
                  <c:v>51.023066901678291</c:v>
                </c:pt>
                <c:pt idx="7">
                  <c:v>51.117746133823303</c:v>
                </c:pt>
                <c:pt idx="8">
                  <c:v>49.418291085599812</c:v>
                </c:pt>
                <c:pt idx="9">
                  <c:v>49.538816295157574</c:v>
                </c:pt>
                <c:pt idx="10">
                  <c:v>48.598633187437606</c:v>
                </c:pt>
                <c:pt idx="11">
                  <c:v>49.460472947118696</c:v>
                </c:pt>
                <c:pt idx="12">
                  <c:v>49.159567119502647</c:v>
                </c:pt>
                <c:pt idx="13">
                  <c:v>49.723034312971222</c:v>
                </c:pt>
                <c:pt idx="14">
                  <c:v>48.751723081635774</c:v>
                </c:pt>
                <c:pt idx="15">
                  <c:v>47.264287344950915</c:v>
                </c:pt>
                <c:pt idx="16">
                  <c:v>46.699191949992375</c:v>
                </c:pt>
                <c:pt idx="17">
                  <c:v>45.412106834009343</c:v>
                </c:pt>
                <c:pt idx="18">
                  <c:v>44.837622549019606</c:v>
                </c:pt>
                <c:pt idx="19">
                  <c:v>45.72903027035354</c:v>
                </c:pt>
                <c:pt idx="20">
                  <c:v>45.738461538461536</c:v>
                </c:pt>
                <c:pt idx="21">
                  <c:v>44.061068702290072</c:v>
                </c:pt>
                <c:pt idx="22">
                  <c:v>43.834888838303364</c:v>
                </c:pt>
                <c:pt idx="23">
                  <c:v>41.496964573887652</c:v>
                </c:pt>
                <c:pt idx="24">
                  <c:v>41.381957773512475</c:v>
                </c:pt>
                <c:pt idx="25">
                  <c:v>42.63709180529883</c:v>
                </c:pt>
                <c:pt idx="26">
                  <c:v>42.679248201717073</c:v>
                </c:pt>
                <c:pt idx="27">
                  <c:v>42.143906020557999</c:v>
                </c:pt>
                <c:pt idx="28">
                  <c:v>41.313936392478524</c:v>
                </c:pt>
                <c:pt idx="29">
                  <c:v>41.714947856315177</c:v>
                </c:pt>
                <c:pt idx="30">
                  <c:v>42.805394990366082</c:v>
                </c:pt>
                <c:pt idx="31">
                  <c:v>43.155878973573344</c:v>
                </c:pt>
                <c:pt idx="32">
                  <c:v>44.076521204671167</c:v>
                </c:pt>
                <c:pt idx="33">
                  <c:v>44.464093495309854</c:v>
                </c:pt>
                <c:pt idx="34">
                  <c:v>43.990181790289178</c:v>
                </c:pt>
                <c:pt idx="35">
                  <c:v>46.112269322832219</c:v>
                </c:pt>
                <c:pt idx="36">
                  <c:v>46.362860026395467</c:v>
                </c:pt>
                <c:pt idx="37">
                  <c:v>45.20907267397007</c:v>
                </c:pt>
                <c:pt idx="38">
                  <c:v>43.361188486536676</c:v>
                </c:pt>
                <c:pt idx="39">
                  <c:v>43.569452980946522</c:v>
                </c:pt>
                <c:pt idx="40">
                  <c:v>42.548579391499572</c:v>
                </c:pt>
                <c:pt idx="41">
                  <c:v>40.542220150703017</c:v>
                </c:pt>
                <c:pt idx="42">
                  <c:v>40.161239824671256</c:v>
                </c:pt>
                <c:pt idx="43">
                  <c:v>41.19861939127707</c:v>
                </c:pt>
                <c:pt idx="44">
                  <c:v>40.75200873703097</c:v>
                </c:pt>
                <c:pt idx="45">
                  <c:v>40.449262928008736</c:v>
                </c:pt>
                <c:pt idx="46">
                  <c:v>39.691998142702367</c:v>
                </c:pt>
                <c:pt idx="47">
                  <c:v>34.998848722081512</c:v>
                </c:pt>
                <c:pt idx="48">
                  <c:v>26.948893974065598</c:v>
                </c:pt>
                <c:pt idx="49">
                  <c:v>27.505412929167957</c:v>
                </c:pt>
                <c:pt idx="50">
                  <c:v>26.732365950182359</c:v>
                </c:pt>
                <c:pt idx="51">
                  <c:v>24.736842105263158</c:v>
                </c:pt>
                <c:pt idx="52">
                  <c:v>25.995486055134613</c:v>
                </c:pt>
                <c:pt idx="53">
                  <c:v>22.790584018897125</c:v>
                </c:pt>
                <c:pt idx="54">
                  <c:v>23.277296937416775</c:v>
                </c:pt>
                <c:pt idx="55">
                  <c:v>19.374309274844855</c:v>
                </c:pt>
                <c:pt idx="56">
                  <c:v>20.569565963287015</c:v>
                </c:pt>
                <c:pt idx="57">
                  <c:v>21.761349118473728</c:v>
                </c:pt>
                <c:pt idx="58">
                  <c:v>20.666550643926211</c:v>
                </c:pt>
                <c:pt idx="59">
                  <c:v>20.812096500169893</c:v>
                </c:pt>
                <c:pt idx="60">
                  <c:v>21.7838619165037</c:v>
                </c:pt>
                <c:pt idx="61">
                  <c:v>19.406674907292956</c:v>
                </c:pt>
                <c:pt idx="62">
                  <c:v>18.116352455700302</c:v>
                </c:pt>
                <c:pt idx="63">
                  <c:v>15.455863402061857</c:v>
                </c:pt>
                <c:pt idx="64">
                  <c:v>11.972909779891962</c:v>
                </c:pt>
                <c:pt idx="65">
                  <c:v>12.049259497746299</c:v>
                </c:pt>
                <c:pt idx="66">
                  <c:v>16.352912660580106</c:v>
                </c:pt>
                <c:pt idx="67">
                  <c:v>19.848262359275573</c:v>
                </c:pt>
                <c:pt idx="68">
                  <c:v>18.425132598939207</c:v>
                </c:pt>
                <c:pt idx="69">
                  <c:v>17.961638491547465</c:v>
                </c:pt>
                <c:pt idx="70">
                  <c:v>20.373212698925599</c:v>
                </c:pt>
                <c:pt idx="71">
                  <c:v>16.222935044105853</c:v>
                </c:pt>
                <c:pt idx="72">
                  <c:v>#N/A</c:v>
                </c:pt>
                <c:pt idx="73">
                  <c:v>#N/A</c:v>
                </c:pt>
                <c:pt idx="74">
                  <c:v>17.262188343655708</c:v>
                </c:pt>
                <c:pt idx="75">
                  <c:v>15.842534805568892</c:v>
                </c:pt>
                <c:pt idx="76">
                  <c:v>15.010842502610233</c:v>
                </c:pt>
                <c:pt idx="77">
                  <c:v>15.794945617402432</c:v>
                </c:pt>
                <c:pt idx="78">
                  <c:v>13.918063016114807</c:v>
                </c:pt>
                <c:pt idx="79">
                  <c:v>7.4309459789782437</c:v>
                </c:pt>
                <c:pt idx="80">
                  <c:v>11.168789033984913</c:v>
                </c:pt>
                <c:pt idx="81">
                  <c:v>12.158889068302924</c:v>
                </c:pt>
                <c:pt idx="82">
                  <c:v>12.862700599773058</c:v>
                </c:pt>
                <c:pt idx="83">
                  <c:v>12.224997985333227</c:v>
                </c:pt>
                <c:pt idx="84">
                  <c:v>12.544226439369572</c:v>
                </c:pt>
                <c:pt idx="85">
                  <c:v>14.361531038919265</c:v>
                </c:pt>
                <c:pt idx="86">
                  <c:v>14.358201855228732</c:v>
                </c:pt>
                <c:pt idx="87">
                  <c:v>14.736590420020722</c:v>
                </c:pt>
                <c:pt idx="88">
                  <c:v>16.423798405925449</c:v>
                </c:pt>
                <c:pt idx="89">
                  <c:v>20.44323109041272</c:v>
                </c:pt>
                <c:pt idx="90">
                  <c:v>19.576120368872349</c:v>
                </c:pt>
                <c:pt idx="91">
                  <c:v>19.72002929925938</c:v>
                </c:pt>
                <c:pt idx="92">
                  <c:v>#N/A</c:v>
                </c:pt>
                <c:pt idx="93">
                  <c:v>20.658682634730539</c:v>
                </c:pt>
                <c:pt idx="94">
                  <c:v>21.630170316301705</c:v>
                </c:pt>
                <c:pt idx="95">
                  <c:v>22.812039914935387</c:v>
                </c:pt>
                <c:pt idx="96">
                  <c:v>24.485613574883189</c:v>
                </c:pt>
                <c:pt idx="97">
                  <c:v>25.523668151080326</c:v>
                </c:pt>
                <c:pt idx="98">
                  <c:v>27.312992125984248</c:v>
                </c:pt>
                <c:pt idx="99">
                  <c:v>26.985552199820422</c:v>
                </c:pt>
                <c:pt idx="100">
                  <c:v>28.329258353708227</c:v>
                </c:pt>
                <c:pt idx="101">
                  <c:v>28.480183426138225</c:v>
                </c:pt>
                <c:pt idx="102">
                  <c:v>27.727645611156682</c:v>
                </c:pt>
                <c:pt idx="103">
                  <c:v>#N/A</c:v>
                </c:pt>
                <c:pt idx="104">
                  <c:v>27.46097225592494</c:v>
                </c:pt>
                <c:pt idx="105">
                  <c:v>26.790537775231233</c:v>
                </c:pt>
                <c:pt idx="106">
                  <c:v>27.574454272498578</c:v>
                </c:pt>
                <c:pt idx="107">
                  <c:v>27.611578266494181</c:v>
                </c:pt>
                <c:pt idx="108">
                  <c:v>29.436743850652995</c:v>
                </c:pt>
                <c:pt idx="109">
                  <c:v>30.039022059409092</c:v>
                </c:pt>
                <c:pt idx="110">
                  <c:v>30.150035722791138</c:v>
                </c:pt>
                <c:pt idx="111">
                  <c:v>30.467200761481717</c:v>
                </c:pt>
                <c:pt idx="112">
                  <c:v>32.220039292730846</c:v>
                </c:pt>
                <c:pt idx="113">
                  <c:v>31.233265081115132</c:v>
                </c:pt>
                <c:pt idx="114">
                  <c:v>31.795315202012265</c:v>
                </c:pt>
                <c:pt idx="115">
                  <c:v>32.285378283026262</c:v>
                </c:pt>
                <c:pt idx="116">
                  <c:v>29.861605377619611</c:v>
                </c:pt>
                <c:pt idx="117">
                  <c:v>30.736103357524524</c:v>
                </c:pt>
                <c:pt idx="118">
                  <c:v>31.403774185842821</c:v>
                </c:pt>
                <c:pt idx="119">
                  <c:v>32.384963840101726</c:v>
                </c:pt>
                <c:pt idx="120">
                  <c:v>32.259864487843764</c:v>
                </c:pt>
                <c:pt idx="121">
                  <c:v>33.615136876006439</c:v>
                </c:pt>
                <c:pt idx="122">
                  <c:v>34.244802200469216</c:v>
                </c:pt>
                <c:pt idx="123">
                  <c:v>34.70437017994859</c:v>
                </c:pt>
                <c:pt idx="124">
                  <c:v>34.121405750798722</c:v>
                </c:pt>
                <c:pt idx="125">
                  <c:v>32.449799196787147</c:v>
                </c:pt>
                <c:pt idx="126">
                  <c:v>33.193615992261812</c:v>
                </c:pt>
                <c:pt idx="127">
                  <c:v>33.254870129870127</c:v>
                </c:pt>
                <c:pt idx="128">
                  <c:v>33.893055102706228</c:v>
                </c:pt>
                <c:pt idx="129">
                  <c:v>33.692046282061654</c:v>
                </c:pt>
                <c:pt idx="130">
                  <c:v>33.857762080590781</c:v>
                </c:pt>
                <c:pt idx="131">
                  <c:v>34.646237766725491</c:v>
                </c:pt>
                <c:pt idx="132">
                  <c:v>34.424125761950599</c:v>
                </c:pt>
                <c:pt idx="133">
                  <c:v>34.15940522823567</c:v>
                </c:pt>
                <c:pt idx="134">
                  <c:v>34.417495029821076</c:v>
                </c:pt>
                <c:pt idx="135">
                  <c:v>34.669736424261671</c:v>
                </c:pt>
                <c:pt idx="136">
                  <c:v>33.571145461751883</c:v>
                </c:pt>
                <c:pt idx="137">
                  <c:v>34.173116411309429</c:v>
                </c:pt>
                <c:pt idx="138">
                  <c:v>33.956731912195899</c:v>
                </c:pt>
                <c:pt idx="139">
                  <c:v>34.293695131683961</c:v>
                </c:pt>
                <c:pt idx="140">
                  <c:v>34.825318862394042</c:v>
                </c:pt>
                <c:pt idx="141">
                  <c:v>34.698737794713026</c:v>
                </c:pt>
                <c:pt idx="142">
                  <c:v>34.723994894703253</c:v>
                </c:pt>
                <c:pt idx="143">
                  <c:v>34.23736854590021</c:v>
                </c:pt>
                <c:pt idx="144">
                  <c:v>34.755667111145975</c:v>
                </c:pt>
                <c:pt idx="145">
                  <c:v>34.542884071630532</c:v>
                </c:pt>
                <c:pt idx="146">
                  <c:v>33.704691667974267</c:v>
                </c:pt>
                <c:pt idx="147">
                  <c:v>33.849401829697399</c:v>
                </c:pt>
                <c:pt idx="148">
                  <c:v>33.648701046917409</c:v>
                </c:pt>
                <c:pt idx="149">
                  <c:v>33.297288947246464</c:v>
                </c:pt>
                <c:pt idx="150">
                  <c:v>33.556995218263147</c:v>
                </c:pt>
                <c:pt idx="151">
                  <c:v>32.944963973631765</c:v>
                </c:pt>
                <c:pt idx="152">
                  <c:v>32.858448880085326</c:v>
                </c:pt>
                <c:pt idx="153">
                  <c:v>33.578882750153468</c:v>
                </c:pt>
                <c:pt idx="154">
                  <c:v>33.634069883018576</c:v>
                </c:pt>
                <c:pt idx="155">
                  <c:v>34.177889370767708</c:v>
                </c:pt>
                <c:pt idx="156">
                  <c:v>34.269192726166018</c:v>
                </c:pt>
                <c:pt idx="157">
                  <c:v>33.767527392536969</c:v>
                </c:pt>
                <c:pt idx="158">
                  <c:v>33.761173504469404</c:v>
                </c:pt>
                <c:pt idx="159">
                  <c:v>33.376633300221592</c:v>
                </c:pt>
                <c:pt idx="160">
                  <c:v>34.530555981007815</c:v>
                </c:pt>
                <c:pt idx="161">
                  <c:v>34.262370189370799</c:v>
                </c:pt>
                <c:pt idx="162">
                  <c:v>34.218154080854312</c:v>
                </c:pt>
                <c:pt idx="163">
                  <c:v>34.285059928238795</c:v>
                </c:pt>
                <c:pt idx="164">
                  <c:v>34.288739317855253</c:v>
                </c:pt>
                <c:pt idx="165">
                  <c:v>34.296768320436961</c:v>
                </c:pt>
                <c:pt idx="166">
                  <c:v>33.901399878271455</c:v>
                </c:pt>
                <c:pt idx="167">
                  <c:v>33.611259848542801</c:v>
                </c:pt>
                <c:pt idx="168">
                  <c:v>33.991278402570579</c:v>
                </c:pt>
                <c:pt idx="169">
                  <c:v>35.073944198810793</c:v>
                </c:pt>
                <c:pt idx="170">
                  <c:v>34.707799590692034</c:v>
                </c:pt>
                <c:pt idx="171">
                  <c:v>33.998028660247179</c:v>
                </c:pt>
                <c:pt idx="172">
                  <c:v>33.923480870217553</c:v>
                </c:pt>
                <c:pt idx="173">
                  <c:v>#N/A</c:v>
                </c:pt>
                <c:pt idx="174">
                  <c:v>33.992565055762078</c:v>
                </c:pt>
                <c:pt idx="175">
                  <c:v>32.098023002330301</c:v>
                </c:pt>
                <c:pt idx="176">
                  <c:v>32.190490543289883</c:v>
                </c:pt>
                <c:pt idx="177">
                  <c:v>31.138722630502311</c:v>
                </c:pt>
                <c:pt idx="178">
                  <c:v>30.864384913106168</c:v>
                </c:pt>
                <c:pt idx="179">
                  <c:v>29.586116870152807</c:v>
                </c:pt>
                <c:pt idx="180">
                  <c:v>30.763311788242532</c:v>
                </c:pt>
                <c:pt idx="181">
                  <c:v>30.519934716717188</c:v>
                </c:pt>
                <c:pt idx="182">
                  <c:v>30.355186981693002</c:v>
                </c:pt>
                <c:pt idx="183">
                  <c:v>29.938678879143058</c:v>
                </c:pt>
                <c:pt idx="184">
                  <c:v>30.7608526528707</c:v>
                </c:pt>
                <c:pt idx="185">
                  <c:v>31.70075349838536</c:v>
                </c:pt>
                <c:pt idx="186">
                  <c:v>32.697652872143301</c:v>
                </c:pt>
                <c:pt idx="187">
                  <c:v>32.525844777040575</c:v>
                </c:pt>
                <c:pt idx="188">
                  <c:v>31.551387260648688</c:v>
                </c:pt>
                <c:pt idx="189">
                  <c:v>32.10439430862354</c:v>
                </c:pt>
                <c:pt idx="190">
                  <c:v>32.189580885233063</c:v>
                </c:pt>
                <c:pt idx="191">
                  <c:v>32.436683970426301</c:v>
                </c:pt>
                <c:pt idx="192">
                  <c:v>32.199921290830382</c:v>
                </c:pt>
                <c:pt idx="193">
                  <c:v>32.38592119607538</c:v>
                </c:pt>
                <c:pt idx="194">
                  <c:v>31.40476561283289</c:v>
                </c:pt>
                <c:pt idx="195">
                  <c:v>31.182296502630763</c:v>
                </c:pt>
                <c:pt idx="196">
                  <c:v>30.885780885780889</c:v>
                </c:pt>
                <c:pt idx="197">
                  <c:v>29.384472626043923</c:v>
                </c:pt>
                <c:pt idx="198">
                  <c:v>30.661322645290578</c:v>
                </c:pt>
                <c:pt idx="199">
                  <c:v>31.836766180668057</c:v>
                </c:pt>
                <c:pt idx="200">
                  <c:v>31.500581620783244</c:v>
                </c:pt>
                <c:pt idx="201">
                  <c:v>32.487623762376238</c:v>
                </c:pt>
                <c:pt idx="202">
                  <c:v>32.037863629367401</c:v>
                </c:pt>
                <c:pt idx="203">
                  <c:v>30.986993114001532</c:v>
                </c:pt>
                <c:pt idx="204">
                  <c:v>31.831831831831835</c:v>
                </c:pt>
                <c:pt idx="205">
                  <c:v>32.060424814048005</c:v>
                </c:pt>
                <c:pt idx="206">
                  <c:v>32.240818224081821</c:v>
                </c:pt>
                <c:pt idx="207">
                  <c:v>31.972157772621813</c:v>
                </c:pt>
                <c:pt idx="208">
                  <c:v>31.768869739170576</c:v>
                </c:pt>
                <c:pt idx="209">
                  <c:v>32.109242400864062</c:v>
                </c:pt>
                <c:pt idx="210">
                  <c:v>30.456582845855809</c:v>
                </c:pt>
                <c:pt idx="211">
                  <c:v>31.523482245131728</c:v>
                </c:pt>
                <c:pt idx="212">
                  <c:v>31.202575304667739</c:v>
                </c:pt>
                <c:pt idx="213">
                  <c:v>30</c:v>
                </c:pt>
                <c:pt idx="214">
                  <c:v>30.399510179090768</c:v>
                </c:pt>
                <c:pt idx="215">
                  <c:v>29.13652454979221</c:v>
                </c:pt>
                <c:pt idx="216">
                  <c:v>28.330104610616043</c:v>
                </c:pt>
                <c:pt idx="217">
                  <c:v>28.090930178612851</c:v>
                </c:pt>
                <c:pt idx="218">
                  <c:v>29.277743335399876</c:v>
                </c:pt>
                <c:pt idx="219">
                  <c:v>29.202050340448324</c:v>
                </c:pt>
                <c:pt idx="220">
                  <c:v>30.537171002000921</c:v>
                </c:pt>
                <c:pt idx="221">
                  <c:v>30.310244202119488</c:v>
                </c:pt>
                <c:pt idx="222">
                  <c:v>28.936170212765955</c:v>
                </c:pt>
                <c:pt idx="223">
                  <c:v>31.125475285171103</c:v>
                </c:pt>
                <c:pt idx="224">
                  <c:v>31.886792452830189</c:v>
                </c:pt>
                <c:pt idx="225">
                  <c:v>32.204288853527316</c:v>
                </c:pt>
                <c:pt idx="226">
                  <c:v>32.112118211592659</c:v>
                </c:pt>
                <c:pt idx="227">
                  <c:v>31.544950224181164</c:v>
                </c:pt>
                <c:pt idx="228">
                  <c:v>32.414996964177291</c:v>
                </c:pt>
                <c:pt idx="229">
                  <c:v>32.081447963800905</c:v>
                </c:pt>
                <c:pt idx="230">
                  <c:v>32.258307021500521</c:v>
                </c:pt>
                <c:pt idx="231">
                  <c:v>32.57976712535914</c:v>
                </c:pt>
                <c:pt idx="232">
                  <c:v>32.95950624717748</c:v>
                </c:pt>
                <c:pt idx="233">
                  <c:v>33.849857078381227</c:v>
                </c:pt>
                <c:pt idx="234">
                  <c:v>34.915761886933737</c:v>
                </c:pt>
                <c:pt idx="235">
                  <c:v>35.353912848493906</c:v>
                </c:pt>
                <c:pt idx="236">
                  <c:v>34.748687171792952</c:v>
                </c:pt>
                <c:pt idx="237">
                  <c:v>35.13189448441247</c:v>
                </c:pt>
                <c:pt idx="238">
                  <c:v>35.078259567138474</c:v>
                </c:pt>
                <c:pt idx="239">
                  <c:v>35.191559413349296</c:v>
                </c:pt>
                <c:pt idx="240">
                  <c:v>35.869728350592823</c:v>
                </c:pt>
                <c:pt idx="241">
                  <c:v>35.837593539305033</c:v>
                </c:pt>
                <c:pt idx="242">
                  <c:v>36.443256884138648</c:v>
                </c:pt>
                <c:pt idx="243">
                  <c:v>36.528205513407954</c:v>
                </c:pt>
                <c:pt idx="244">
                  <c:v>36.554150138462688</c:v>
                </c:pt>
                <c:pt idx="245">
                  <c:v>36.436249626754261</c:v>
                </c:pt>
                <c:pt idx="246">
                  <c:v>37.913370998116761</c:v>
                </c:pt>
                <c:pt idx="247">
                  <c:v>37.840496368038735</c:v>
                </c:pt>
                <c:pt idx="248">
                  <c:v>37.711927981995501</c:v>
                </c:pt>
                <c:pt idx="249">
                  <c:v>37.752825698988701</c:v>
                </c:pt>
                <c:pt idx="250">
                  <c:v>37.665802148944053</c:v>
                </c:pt>
                <c:pt idx="251">
                  <c:v>37.671988816128327</c:v>
                </c:pt>
                <c:pt idx="252">
                  <c:v>38.687430478309231</c:v>
                </c:pt>
                <c:pt idx="253">
                  <c:v>38.012618296529972</c:v>
                </c:pt>
                <c:pt idx="254">
                  <c:v>37.441825551718964</c:v>
                </c:pt>
                <c:pt idx="255">
                  <c:v>37.75329093329389</c:v>
                </c:pt>
                <c:pt idx="256">
                  <c:v>37.444804239034447</c:v>
                </c:pt>
                <c:pt idx="257">
                  <c:v>#N/A</c:v>
                </c:pt>
                <c:pt idx="258">
                  <c:v>#N/A</c:v>
                </c:pt>
                <c:pt idx="259">
                  <c:v>37.379576107899808</c:v>
                </c:pt>
                <c:pt idx="260">
                  <c:v>37.286890064667844</c:v>
                </c:pt>
                <c:pt idx="261">
                  <c:v>37.526558722250712</c:v>
                </c:pt>
                <c:pt idx="262">
                  <c:v>#N/A</c:v>
                </c:pt>
                <c:pt idx="263">
                  <c:v>37.094042271153981</c:v>
                </c:pt>
                <c:pt idx="264">
                  <c:v>39.108364599426174</c:v>
                </c:pt>
                <c:pt idx="265">
                  <c:v>39.70479704797048</c:v>
                </c:pt>
                <c:pt idx="266">
                  <c:v>39.648552864737155</c:v>
                </c:pt>
                <c:pt idx="267">
                  <c:v>40.846210448859452</c:v>
                </c:pt>
                <c:pt idx="268">
                  <c:v>40.646308923806707</c:v>
                </c:pt>
                <c:pt idx="269">
                  <c:v>41.089254257193183</c:v>
                </c:pt>
                <c:pt idx="270">
                  <c:v>40.721725099017164</c:v>
                </c:pt>
                <c:pt idx="271">
                  <c:v>40.727485209261559</c:v>
                </c:pt>
                <c:pt idx="272">
                  <c:v>40.33860875966139</c:v>
                </c:pt>
                <c:pt idx="273">
                  <c:v>39.933701657458563</c:v>
                </c:pt>
                <c:pt idx="274">
                  <c:v>40.666764576296082</c:v>
                </c:pt>
                <c:pt idx="275">
                  <c:v>40.836390315480557</c:v>
                </c:pt>
                <c:pt idx="276">
                  <c:v>40.583090379008745</c:v>
                </c:pt>
                <c:pt idx="277">
                  <c:v>40.395025603511336</c:v>
                </c:pt>
                <c:pt idx="278">
                  <c:v>40.552995391705068</c:v>
                </c:pt>
                <c:pt idx="279">
                  <c:v>40.212487265317996</c:v>
                </c:pt>
                <c:pt idx="280">
                  <c:v>40.185347343841215</c:v>
                </c:pt>
                <c:pt idx="281">
                  <c:v>39.99562650338946</c:v>
                </c:pt>
                <c:pt idx="282">
                  <c:v>40.246212121212118</c:v>
                </c:pt>
                <c:pt idx="283">
                  <c:v>41.294005708848715</c:v>
                </c:pt>
                <c:pt idx="284">
                  <c:v>42.277496514784652</c:v>
                </c:pt>
                <c:pt idx="285">
                  <c:v>42.956610964526533</c:v>
                </c:pt>
                <c:pt idx="286">
                  <c:v>43.180320667691632</c:v>
                </c:pt>
                <c:pt idx="287">
                  <c:v>43.340134071699211</c:v>
                </c:pt>
                <c:pt idx="288">
                  <c:v>43.791848617176129</c:v>
                </c:pt>
                <c:pt idx="289">
                  <c:v>44.027254276601916</c:v>
                </c:pt>
                <c:pt idx="290">
                  <c:v>44.182015167930658</c:v>
                </c:pt>
                <c:pt idx="291">
                  <c:v>44.184869087226964</c:v>
                </c:pt>
                <c:pt idx="292">
                  <c:v>45.107950032493321</c:v>
                </c:pt>
                <c:pt idx="293">
                  <c:v>45.701552616446236</c:v>
                </c:pt>
                <c:pt idx="294">
                  <c:v>45.928479103834555</c:v>
                </c:pt>
                <c:pt idx="295">
                  <c:v>46.935681801775786</c:v>
                </c:pt>
                <c:pt idx="296">
                  <c:v>45.952534595253461</c:v>
                </c:pt>
                <c:pt idx="297">
                  <c:v>44.815290258165746</c:v>
                </c:pt>
                <c:pt idx="298">
                  <c:v>46.064617136350698</c:v>
                </c:pt>
                <c:pt idx="299">
                  <c:v>46.193109315185026</c:v>
                </c:pt>
                <c:pt idx="300">
                  <c:v>47.401262142806488</c:v>
                </c:pt>
                <c:pt idx="301">
                  <c:v>47.184095089854253</c:v>
                </c:pt>
                <c:pt idx="302">
                  <c:v>47.123640526617059</c:v>
                </c:pt>
                <c:pt idx="303">
                  <c:v>46.319414550150668</c:v>
                </c:pt>
                <c:pt idx="304">
                  <c:v>45.289647261256093</c:v>
                </c:pt>
                <c:pt idx="305">
                  <c:v>46.300271933590956</c:v>
                </c:pt>
                <c:pt idx="306">
                  <c:v>48.11664641555285</c:v>
                </c:pt>
                <c:pt idx="307">
                  <c:v>50.626040385032937</c:v>
                </c:pt>
                <c:pt idx="308">
                  <c:v>49.23255140457573</c:v>
                </c:pt>
                <c:pt idx="309">
                  <c:v>48.247318793637085</c:v>
                </c:pt>
                <c:pt idx="310">
                  <c:v>48.568757192174914</c:v>
                </c:pt>
                <c:pt idx="311">
                  <c:v>49.638485217266805</c:v>
                </c:pt>
                <c:pt idx="312">
                  <c:v>49.571726768876417</c:v>
                </c:pt>
                <c:pt idx="313">
                  <c:v>49.617659789352182</c:v>
                </c:pt>
                <c:pt idx="314">
                  <c:v>48.913043478260875</c:v>
                </c:pt>
                <c:pt idx="315">
                  <c:v>48.765209878320974</c:v>
                </c:pt>
                <c:pt idx="316">
                  <c:v>44.558433173111418</c:v>
                </c:pt>
                <c:pt idx="317">
                  <c:v>46.136101499423297</c:v>
                </c:pt>
                <c:pt idx="318">
                  <c:v>46.113316492241069</c:v>
                </c:pt>
                <c:pt idx="319">
                  <c:v>43.471326034945264</c:v>
                </c:pt>
                <c:pt idx="320">
                  <c:v>46.421804401690714</c:v>
                </c:pt>
                <c:pt idx="321">
                  <c:v>44.607200116601078</c:v>
                </c:pt>
                <c:pt idx="322">
                  <c:v>46.236948955916475</c:v>
                </c:pt>
                <c:pt idx="323">
                  <c:v>46.514667441185019</c:v>
                </c:pt>
                <c:pt idx="324">
                  <c:v>46.152724090146599</c:v>
                </c:pt>
                <c:pt idx="325">
                  <c:v>46.042331110466804</c:v>
                </c:pt>
                <c:pt idx="326">
                  <c:v>46.204501049279983</c:v>
                </c:pt>
                <c:pt idx="327">
                  <c:v>#N/A</c:v>
                </c:pt>
                <c:pt idx="328">
                  <c:v>#N/A</c:v>
                </c:pt>
                <c:pt idx="329">
                  <c:v>44.357050079376535</c:v>
                </c:pt>
                <c:pt idx="330">
                  <c:v>44.865100087032204</c:v>
                </c:pt>
                <c:pt idx="331">
                  <c:v>45.218847862500915</c:v>
                </c:pt>
                <c:pt idx="332">
                  <c:v>45.079758176123534</c:v>
                </c:pt>
                <c:pt idx="333">
                  <c:v>45.38707799767171</c:v>
                </c:pt>
                <c:pt idx="334">
                  <c:v>45.754442178852315</c:v>
                </c:pt>
                <c:pt idx="335">
                  <c:v>47.971845294245696</c:v>
                </c:pt>
                <c:pt idx="336">
                  <c:v>47.937658571946358</c:v>
                </c:pt>
                <c:pt idx="337">
                  <c:v>47.752768328870239</c:v>
                </c:pt>
                <c:pt idx="338">
                  <c:v>47.58295194508009</c:v>
                </c:pt>
                <c:pt idx="339">
                  <c:v>46.838709677419359</c:v>
                </c:pt>
                <c:pt idx="340">
                  <c:v>45.961662718070208</c:v>
                </c:pt>
                <c:pt idx="341">
                  <c:v>46.995522172468576</c:v>
                </c:pt>
                <c:pt idx="342">
                  <c:v>47.503793078534784</c:v>
                </c:pt>
                <c:pt idx="343">
                  <c:v>47.142651504246437</c:v>
                </c:pt>
                <c:pt idx="344">
                  <c:v>47.610492274523899</c:v>
                </c:pt>
                <c:pt idx="345">
                  <c:v>48.238170573853012</c:v>
                </c:pt>
                <c:pt idx="346">
                  <c:v>48.949444245249197</c:v>
                </c:pt>
                <c:pt idx="347">
                  <c:v>48.920187793427232</c:v>
                </c:pt>
                <c:pt idx="348">
                  <c:v>#N/A</c:v>
                </c:pt>
                <c:pt idx="349">
                  <c:v>49.636245768205711</c:v>
                </c:pt>
                <c:pt idx="350">
                  <c:v>50.115025161754126</c:v>
                </c:pt>
                <c:pt idx="351">
                  <c:v>49.409562211981566</c:v>
                </c:pt>
                <c:pt idx="352">
                  <c:v>49.166607053437303</c:v>
                </c:pt>
                <c:pt idx="353">
                  <c:v>48.528787664450419</c:v>
                </c:pt>
                <c:pt idx="354">
                  <c:v>48.663744343891395</c:v>
                </c:pt>
                <c:pt idx="355">
                  <c:v>49.389897843359826</c:v>
                </c:pt>
                <c:pt idx="356">
                  <c:v>47.956713655133129</c:v>
                </c:pt>
                <c:pt idx="357">
                  <c:v>49.148211243611577</c:v>
                </c:pt>
                <c:pt idx="358">
                  <c:v>49.312933843320586</c:v>
                </c:pt>
                <c:pt idx="359">
                  <c:v>48.560973893462815</c:v>
                </c:pt>
                <c:pt idx="360">
                  <c:v>47.281724991162946</c:v>
                </c:pt>
                <c:pt idx="361">
                  <c:v>46.047333097845289</c:v>
                </c:pt>
                <c:pt idx="362">
                  <c:v>47.111989831944641</c:v>
                </c:pt>
                <c:pt idx="363">
                  <c:v>48.446108207373925</c:v>
                </c:pt>
                <c:pt idx="364">
                  <c:v>48.680393405504844</c:v>
                </c:pt>
                <c:pt idx="365">
                  <c:v>48.803455111866327</c:v>
                </c:pt>
                <c:pt idx="366">
                  <c:v>48.959875890275725</c:v>
                </c:pt>
                <c:pt idx="367">
                  <c:v>48.927765237020317</c:v>
                </c:pt>
                <c:pt idx="368">
                  <c:v>#N/A</c:v>
                </c:pt>
                <c:pt idx="369">
                  <c:v>49.410851619276087</c:v>
                </c:pt>
                <c:pt idx="370">
                  <c:v>49.841157783268613</c:v>
                </c:pt>
                <c:pt idx="371">
                  <c:v>49.866008462623412</c:v>
                </c:pt>
                <c:pt idx="372">
                  <c:v>50.31047135196161</c:v>
                </c:pt>
                <c:pt idx="373">
                  <c:v>50.035290796160361</c:v>
                </c:pt>
                <c:pt idx="374">
                  <c:v>50.452296819787982</c:v>
                </c:pt>
                <c:pt idx="375">
                  <c:v>50.477808451900614</c:v>
                </c:pt>
                <c:pt idx="376">
                  <c:v>50.66468674869185</c:v>
                </c:pt>
                <c:pt idx="377">
                  <c:v>51.016073072293416</c:v>
                </c:pt>
                <c:pt idx="378">
                  <c:v>51.200850159404887</c:v>
                </c:pt>
                <c:pt idx="379">
                  <c:v>52.105375275154437</c:v>
                </c:pt>
                <c:pt idx="380">
                  <c:v>52.382302892796361</c:v>
                </c:pt>
                <c:pt idx="381">
                  <c:v>52.26865457673285</c:v>
                </c:pt>
                <c:pt idx="382">
                  <c:v>52.944158760049248</c:v>
                </c:pt>
                <c:pt idx="383">
                  <c:v>53.57065803667745</c:v>
                </c:pt>
                <c:pt idx="384">
                  <c:v>53.837309571716013</c:v>
                </c:pt>
                <c:pt idx="385">
                  <c:v>53.847805855823609</c:v>
                </c:pt>
                <c:pt idx="386">
                  <c:v>54.659949622166252</c:v>
                </c:pt>
                <c:pt idx="387">
                  <c:v>54.944660054621245</c:v>
                </c:pt>
                <c:pt idx="388">
                  <c:v>53.856679870363699</c:v>
                </c:pt>
                <c:pt idx="389">
                  <c:v>54.477126544771266</c:v>
                </c:pt>
                <c:pt idx="390">
                  <c:v>55.676966495404876</c:v>
                </c:pt>
                <c:pt idx="391">
                  <c:v>55.693536673928826</c:v>
                </c:pt>
                <c:pt idx="392">
                  <c:v>56.235942828121601</c:v>
                </c:pt>
                <c:pt idx="393">
                  <c:v>56.604046242774572</c:v>
                </c:pt>
                <c:pt idx="394">
                  <c:v>54.906931266748749</c:v>
                </c:pt>
                <c:pt idx="395">
                  <c:v>53.937722290774481</c:v>
                </c:pt>
                <c:pt idx="396">
                  <c:v>54.55272145919627</c:v>
                </c:pt>
                <c:pt idx="397">
                  <c:v>55.741021750126457</c:v>
                </c:pt>
                <c:pt idx="398">
                  <c:v>55.254066503526701</c:v>
                </c:pt>
                <c:pt idx="399">
                  <c:v>55.989018927900588</c:v>
                </c:pt>
                <c:pt idx="400">
                  <c:v>54.611002956233321</c:v>
                </c:pt>
                <c:pt idx="401">
                  <c:v>53.761812017600803</c:v>
                </c:pt>
                <c:pt idx="402">
                  <c:v>53.995649021029728</c:v>
                </c:pt>
                <c:pt idx="403">
                  <c:v>50.71689831748354</c:v>
                </c:pt>
                <c:pt idx="404">
                  <c:v>51.473722895994122</c:v>
                </c:pt>
                <c:pt idx="405">
                  <c:v>53.045703839122496</c:v>
                </c:pt>
                <c:pt idx="406">
                  <c:v>53.976446641465543</c:v>
                </c:pt>
                <c:pt idx="407">
                  <c:v>54.443636363636365</c:v>
                </c:pt>
                <c:pt idx="408">
                  <c:v>54.1015625</c:v>
                </c:pt>
                <c:pt idx="409">
                  <c:v>53.937036236582387</c:v>
                </c:pt>
                <c:pt idx="410">
                  <c:v>54.134525268545893</c:v>
                </c:pt>
                <c:pt idx="411">
                  <c:v>54.597495527728086</c:v>
                </c:pt>
                <c:pt idx="412">
                  <c:v>55.885525275041346</c:v>
                </c:pt>
                <c:pt idx="413">
                  <c:v>53.180313714203486</c:v>
                </c:pt>
                <c:pt idx="414">
                  <c:v>52.720990498128415</c:v>
                </c:pt>
                <c:pt idx="415">
                  <c:v>51.042565429968356</c:v>
                </c:pt>
                <c:pt idx="416">
                  <c:v>51.776358286083401</c:v>
                </c:pt>
                <c:pt idx="417">
                  <c:v>51.211421978655892</c:v>
                </c:pt>
                <c:pt idx="418">
                  <c:v>50.296071634893131</c:v>
                </c:pt>
                <c:pt idx="419">
                  <c:v>51.37574925976746</c:v>
                </c:pt>
                <c:pt idx="420">
                  <c:v>51.910873954427451</c:v>
                </c:pt>
                <c:pt idx="421">
                  <c:v>51.890133718829063</c:v>
                </c:pt>
                <c:pt idx="422">
                  <c:v>51.180249765393782</c:v>
                </c:pt>
                <c:pt idx="423">
                  <c:v>50.562851782363978</c:v>
                </c:pt>
                <c:pt idx="424">
                  <c:v>50.516814674625138</c:v>
                </c:pt>
                <c:pt idx="425">
                  <c:v>49.876417563245134</c:v>
                </c:pt>
                <c:pt idx="426">
                  <c:v>48.898323695190683</c:v>
                </c:pt>
                <c:pt idx="427">
                  <c:v>48.12311760816867</c:v>
                </c:pt>
                <c:pt idx="428">
                  <c:v>50.364590928977684</c:v>
                </c:pt>
                <c:pt idx="429">
                  <c:v>51.856976405476253</c:v>
                </c:pt>
                <c:pt idx="430">
                  <c:v>52.523487000218488</c:v>
                </c:pt>
                <c:pt idx="431">
                  <c:v>51.345242435289833</c:v>
                </c:pt>
                <c:pt idx="432">
                  <c:v>52.564195824543539</c:v>
                </c:pt>
                <c:pt idx="433">
                  <c:v>#N/A</c:v>
                </c:pt>
                <c:pt idx="434">
                  <c:v>53.37548143303539</c:v>
                </c:pt>
                <c:pt idx="435">
                  <c:v>52.219643116204843</c:v>
                </c:pt>
                <c:pt idx="436">
                  <c:v>53.177184992409458</c:v>
                </c:pt>
                <c:pt idx="437">
                  <c:v>52.678249585466077</c:v>
                </c:pt>
                <c:pt idx="438">
                  <c:v>52.383018731467423</c:v>
                </c:pt>
                <c:pt idx="439">
                  <c:v>51.890009431908865</c:v>
                </c:pt>
                <c:pt idx="440">
                  <c:v>52.67525660624591</c:v>
                </c:pt>
                <c:pt idx="441">
                  <c:v>51.516902629297881</c:v>
                </c:pt>
                <c:pt idx="442">
                  <c:v>52.284373872248288</c:v>
                </c:pt>
                <c:pt idx="443">
                  <c:v>52.693529751588677</c:v>
                </c:pt>
                <c:pt idx="444">
                  <c:v>52.74368231046931</c:v>
                </c:pt>
                <c:pt idx="445">
                  <c:v>54.122071159965287</c:v>
                </c:pt>
                <c:pt idx="446">
                  <c:v>54.520388913075024</c:v>
                </c:pt>
                <c:pt idx="447">
                  <c:v>54.28758455160375</c:v>
                </c:pt>
                <c:pt idx="448">
                  <c:v>53.852908891328212</c:v>
                </c:pt>
                <c:pt idx="449">
                  <c:v>53.979771328056287</c:v>
                </c:pt>
                <c:pt idx="450">
                  <c:v>55.331623305240015</c:v>
                </c:pt>
                <c:pt idx="451">
                  <c:v>55.612950163695885</c:v>
                </c:pt>
                <c:pt idx="452">
                  <c:v>56.626682270333532</c:v>
                </c:pt>
                <c:pt idx="453">
                  <c:v>57.521155529617737</c:v>
                </c:pt>
                <c:pt idx="454">
                  <c:v>57.841471522493904</c:v>
                </c:pt>
                <c:pt idx="455">
                  <c:v>57.996275605214151</c:v>
                </c:pt>
                <c:pt idx="456">
                  <c:v>57.705428656185106</c:v>
                </c:pt>
                <c:pt idx="457">
                  <c:v>58.6410635155096</c:v>
                </c:pt>
                <c:pt idx="458">
                  <c:v>59.860345461227489</c:v>
                </c:pt>
                <c:pt idx="459">
                  <c:v>60.716382853787429</c:v>
                </c:pt>
                <c:pt idx="460">
                  <c:v>59.982312624364361</c:v>
                </c:pt>
                <c:pt idx="461">
                  <c:v>60.446336808104533</c:v>
                </c:pt>
                <c:pt idx="462">
                  <c:v>60.255188091222415</c:v>
                </c:pt>
                <c:pt idx="463">
                  <c:v>61.463378834580944</c:v>
                </c:pt>
                <c:pt idx="464">
                  <c:v>61.414601867509738</c:v>
                </c:pt>
                <c:pt idx="465">
                  <c:v>61.270446710188516</c:v>
                </c:pt>
                <c:pt idx="466">
                  <c:v>61.287729299130305</c:v>
                </c:pt>
                <c:pt idx="467">
                  <c:v>61.493209383397485</c:v>
                </c:pt>
                <c:pt idx="468">
                  <c:v>61.319241982507279</c:v>
                </c:pt>
                <c:pt idx="469">
                  <c:v>61.61316037394014</c:v>
                </c:pt>
                <c:pt idx="470">
                  <c:v>62.072958888245516</c:v>
                </c:pt>
                <c:pt idx="471">
                  <c:v>61.196729614354965</c:v>
                </c:pt>
                <c:pt idx="472">
                  <c:v>62.031658437409241</c:v>
                </c:pt>
                <c:pt idx="473">
                  <c:v>61.614988018299321</c:v>
                </c:pt>
                <c:pt idx="474">
                  <c:v>61.745502031340685</c:v>
                </c:pt>
                <c:pt idx="475">
                  <c:v>61.343250929774669</c:v>
                </c:pt>
                <c:pt idx="476">
                  <c:v>60.434782608695663</c:v>
                </c:pt>
                <c:pt idx="477">
                  <c:v>60.630380855099951</c:v>
                </c:pt>
                <c:pt idx="478">
                  <c:v>61.785348735195214</c:v>
                </c:pt>
                <c:pt idx="479">
                  <c:v>62.023363456028214</c:v>
                </c:pt>
                <c:pt idx="480">
                  <c:v>59.374771213119558</c:v>
                </c:pt>
                <c:pt idx="481">
                  <c:v>59.405573673287883</c:v>
                </c:pt>
                <c:pt idx="482">
                  <c:v>61.095463978654024</c:v>
                </c:pt>
                <c:pt idx="483">
                  <c:v>61.358106613581064</c:v>
                </c:pt>
                <c:pt idx="484">
                  <c:v>62.37178068039259</c:v>
                </c:pt>
                <c:pt idx="485">
                  <c:v>61.52875695732839</c:v>
                </c:pt>
                <c:pt idx="486">
                  <c:v>62.275985663082444</c:v>
                </c:pt>
                <c:pt idx="487">
                  <c:v>61.893385097804995</c:v>
                </c:pt>
                <c:pt idx="488">
                  <c:v>61.0081155535701</c:v>
                </c:pt>
                <c:pt idx="489">
                  <c:v>61.731614633782868</c:v>
                </c:pt>
                <c:pt idx="490">
                  <c:v>59.910880059413294</c:v>
                </c:pt>
                <c:pt idx="491">
                  <c:v>61.178303776804931</c:v>
                </c:pt>
                <c:pt idx="492">
                  <c:v>59.604813549249734</c:v>
                </c:pt>
                <c:pt idx="493">
                  <c:v>60.416355767795849</c:v>
                </c:pt>
                <c:pt idx="494">
                  <c:v>62.400897531787592</c:v>
                </c:pt>
                <c:pt idx="495">
                  <c:v>61.792948237059271</c:v>
                </c:pt>
                <c:pt idx="496">
                  <c:v>61.603724003303547</c:v>
                </c:pt>
                <c:pt idx="497">
                  <c:v>54.266646670665871</c:v>
                </c:pt>
                <c:pt idx="498">
                  <c:v>55.163595336592714</c:v>
                </c:pt>
                <c:pt idx="499">
                  <c:v>53.547948311040585</c:v>
                </c:pt>
                <c:pt idx="500">
                  <c:v>52.219301539616978</c:v>
                </c:pt>
                <c:pt idx="501">
                  <c:v>53.024723829563392</c:v>
                </c:pt>
                <c:pt idx="502">
                  <c:v>53.491186927906796</c:v>
                </c:pt>
                <c:pt idx="503">
                  <c:v>55.43970988213961</c:v>
                </c:pt>
                <c:pt idx="504">
                  <c:v>57.075935020778246</c:v>
                </c:pt>
                <c:pt idx="505">
                  <c:v>57.460653753026627</c:v>
                </c:pt>
                <c:pt idx="506">
                  <c:v>56.110858700590633</c:v>
                </c:pt>
                <c:pt idx="507">
                  <c:v>56.682794073178108</c:v>
                </c:pt>
                <c:pt idx="508">
                  <c:v>56.019953140352207</c:v>
                </c:pt>
                <c:pt idx="509">
                  <c:v>55.444721529509565</c:v>
                </c:pt>
                <c:pt idx="510">
                  <c:v>55.781746632359621</c:v>
                </c:pt>
                <c:pt idx="511">
                  <c:v>56.006603136489836</c:v>
                </c:pt>
                <c:pt idx="512">
                  <c:v>55.017718464902359</c:v>
                </c:pt>
                <c:pt idx="513">
                  <c:v>53.331820588457759</c:v>
                </c:pt>
                <c:pt idx="514">
                  <c:v>55.051764528073754</c:v>
                </c:pt>
                <c:pt idx="515">
                  <c:v>55.968527538403897</c:v>
                </c:pt>
                <c:pt idx="516">
                  <c:v>56.868008948545864</c:v>
                </c:pt>
                <c:pt idx="517">
                  <c:v>56.094833370610601</c:v>
                </c:pt>
                <c:pt idx="518">
                  <c:v>#N/A</c:v>
                </c:pt>
                <c:pt idx="519">
                  <c:v>#N/A</c:v>
                </c:pt>
                <c:pt idx="520">
                  <c:v>58.304908794305199</c:v>
                </c:pt>
                <c:pt idx="521">
                  <c:v>58.233943255055927</c:v>
                </c:pt>
                <c:pt idx="522">
                  <c:v>57.312458262224531</c:v>
                </c:pt>
                <c:pt idx="523">
                  <c:v>#N/A</c:v>
                </c:pt>
                <c:pt idx="524">
                  <c:v>58.577436729875309</c:v>
                </c:pt>
                <c:pt idx="525">
                  <c:v>59.4176188720973</c:v>
                </c:pt>
                <c:pt idx="526">
                  <c:v>60.612109115103124</c:v>
                </c:pt>
                <c:pt idx="527">
                  <c:v>60.624815797229594</c:v>
                </c:pt>
                <c:pt idx="528">
                  <c:v>60.143057296659535</c:v>
                </c:pt>
                <c:pt idx="529">
                  <c:v>62.462330025725834</c:v>
                </c:pt>
                <c:pt idx="530">
                  <c:v>62.709140059910865</c:v>
                </c:pt>
                <c:pt idx="531">
                  <c:v>62.472695500218435</c:v>
                </c:pt>
                <c:pt idx="532">
                  <c:v>63.706789446758748</c:v>
                </c:pt>
                <c:pt idx="533">
                  <c:v>64.336996336996336</c:v>
                </c:pt>
                <c:pt idx="534">
                  <c:v>65.402738919157699</c:v>
                </c:pt>
                <c:pt idx="535">
                  <c:v>65.960264900662253</c:v>
                </c:pt>
                <c:pt idx="536">
                  <c:v>65.707592063840693</c:v>
                </c:pt>
                <c:pt idx="537">
                  <c:v>66.192197064680286</c:v>
                </c:pt>
                <c:pt idx="538">
                  <c:v>65.16636957813428</c:v>
                </c:pt>
                <c:pt idx="539">
                  <c:v>66.357704285926147</c:v>
                </c:pt>
                <c:pt idx="540">
                  <c:v>67.505365203877744</c:v>
                </c:pt>
                <c:pt idx="541">
                  <c:v>67.73711725168036</c:v>
                </c:pt>
                <c:pt idx="542">
                  <c:v>68.184867685426767</c:v>
                </c:pt>
                <c:pt idx="543">
                  <c:v>68.825458339543886</c:v>
                </c:pt>
                <c:pt idx="544">
                  <c:v>66.814749000444237</c:v>
                </c:pt>
                <c:pt idx="545">
                  <c:v>67.366637194223415</c:v>
                </c:pt>
                <c:pt idx="546">
                  <c:v>68.324761204996321</c:v>
                </c:pt>
                <c:pt idx="547">
                  <c:v>71.58906134515891</c:v>
                </c:pt>
                <c:pt idx="548">
                  <c:v>71.899482631189954</c:v>
                </c:pt>
                <c:pt idx="549">
                  <c:v>70.884674979709288</c:v>
                </c:pt>
                <c:pt idx="550">
                  <c:v>70.094492839214524</c:v>
                </c:pt>
                <c:pt idx="551">
                  <c:v>70.777027027027032</c:v>
                </c:pt>
                <c:pt idx="552">
                  <c:v>71.675365728148194</c:v>
                </c:pt>
                <c:pt idx="553">
                  <c:v>75.231258787833937</c:v>
                </c:pt>
                <c:pt idx="554">
                  <c:v>72.792486318591926</c:v>
                </c:pt>
                <c:pt idx="555">
                  <c:v>71.763146266018566</c:v>
                </c:pt>
                <c:pt idx="556">
                  <c:v>69.955947136563879</c:v>
                </c:pt>
                <c:pt idx="557">
                  <c:v>70.803886925795055</c:v>
                </c:pt>
                <c:pt idx="558">
                  <c:v>72.719923568751383</c:v>
                </c:pt>
                <c:pt idx="559">
                  <c:v>72.643661246413075</c:v>
                </c:pt>
                <c:pt idx="560">
                  <c:v>73.222713864306783</c:v>
                </c:pt>
                <c:pt idx="561">
                  <c:v>76.301318267419973</c:v>
                </c:pt>
                <c:pt idx="562">
                  <c:v>73.464519976147884</c:v>
                </c:pt>
                <c:pt idx="563">
                  <c:v>76.816454281243011</c:v>
                </c:pt>
                <c:pt idx="564">
                  <c:v>83.081186339125239</c:v>
                </c:pt>
                <c:pt idx="565">
                  <c:v>89.327825760420581</c:v>
                </c:pt>
                <c:pt idx="566">
                  <c:v>86.470279589236185</c:v>
                </c:pt>
                <c:pt idx="567">
                  <c:v>93.72682557699585</c:v>
                </c:pt>
                <c:pt idx="568">
                  <c:v>98.226113437381059</c:v>
                </c:pt>
                <c:pt idx="569">
                  <c:v>101.57882693921135</c:v>
                </c:pt>
                <c:pt idx="570">
                  <c:v>88.600091199270395</c:v>
                </c:pt>
                <c:pt idx="571">
                  <c:v>87.235338918507239</c:v>
                </c:pt>
                <c:pt idx="572">
                  <c:v>90.26366068016813</c:v>
                </c:pt>
                <c:pt idx="573">
                  <c:v>84.609488771365065</c:v>
                </c:pt>
                <c:pt idx="574">
                  <c:v>80.462233106298314</c:v>
                </c:pt>
                <c:pt idx="575">
                  <c:v>79.885452462772037</c:v>
                </c:pt>
                <c:pt idx="576">
                  <c:v>86.265866078893353</c:v>
                </c:pt>
                <c:pt idx="577">
                  <c:v>86.783572458817275</c:v>
                </c:pt>
                <c:pt idx="578">
                  <c:v>92.629904559915161</c:v>
                </c:pt>
                <c:pt idx="579">
                  <c:v>91.651583710407238</c:v>
                </c:pt>
                <c:pt idx="580">
                  <c:v>96.525622587237905</c:v>
                </c:pt>
                <c:pt idx="581">
                  <c:v>94.038228155339809</c:v>
                </c:pt>
                <c:pt idx="582">
                  <c:v>92.988174651303822</c:v>
                </c:pt>
                <c:pt idx="583">
                  <c:v>87.478034991214003</c:v>
                </c:pt>
                <c:pt idx="584">
                  <c:v>85.863276492082818</c:v>
                </c:pt>
                <c:pt idx="585">
                  <c:v>87.747665679799596</c:v>
                </c:pt>
                <c:pt idx="586">
                  <c:v>81.514967330192988</c:v>
                </c:pt>
                <c:pt idx="587">
                  <c:v>80.959646044702112</c:v>
                </c:pt>
                <c:pt idx="588">
                  <c:v>82.456541628545281</c:v>
                </c:pt>
                <c:pt idx="589">
                  <c:v>81.287174012505716</c:v>
                </c:pt>
                <c:pt idx="590">
                  <c:v>76.989460821750427</c:v>
                </c:pt>
                <c:pt idx="591">
                  <c:v>76.404408388183072</c:v>
                </c:pt>
                <c:pt idx="592">
                  <c:v>77.850388252479434</c:v>
                </c:pt>
                <c:pt idx="593">
                  <c:v>75.086266390614213</c:v>
                </c:pt>
                <c:pt idx="594">
                  <c:v>80.088970701027762</c:v>
                </c:pt>
                <c:pt idx="595">
                  <c:v>83.21061512501916</c:v>
                </c:pt>
                <c:pt idx="596">
                  <c:v>84.940220723482526</c:v>
                </c:pt>
                <c:pt idx="597">
                  <c:v>#N/A</c:v>
                </c:pt>
                <c:pt idx="598">
                  <c:v>#N/A</c:v>
                </c:pt>
                <c:pt idx="599">
                  <c:v>81.208622016936104</c:v>
                </c:pt>
                <c:pt idx="600">
                  <c:v>80.510423053341512</c:v>
                </c:pt>
                <c:pt idx="601">
                  <c:v>82.265367201289237</c:v>
                </c:pt>
                <c:pt idx="602">
                  <c:v>81.873394066806824</c:v>
                </c:pt>
                <c:pt idx="603">
                  <c:v>78.06086341118187</c:v>
                </c:pt>
                <c:pt idx="604">
                  <c:v>81.52285872751763</c:v>
                </c:pt>
                <c:pt idx="605">
                  <c:v>82.620171158921863</c:v>
                </c:pt>
                <c:pt idx="606">
                  <c:v>85.038990272529944</c:v>
                </c:pt>
                <c:pt idx="607">
                  <c:v>86.30136986301369</c:v>
                </c:pt>
                <c:pt idx="608">
                  <c:v>#N/A</c:v>
                </c:pt>
                <c:pt idx="609">
                  <c:v>83.858078951574228</c:v>
                </c:pt>
                <c:pt idx="610">
                  <c:v>88.431074485958874</c:v>
                </c:pt>
                <c:pt idx="611">
                  <c:v>90.601260707935992</c:v>
                </c:pt>
                <c:pt idx="612">
                  <c:v>92.194331983805654</c:v>
                </c:pt>
                <c:pt idx="613">
                  <c:v>86.681293677880717</c:v>
                </c:pt>
                <c:pt idx="614">
                  <c:v>83.334686916267358</c:v>
                </c:pt>
                <c:pt idx="615">
                  <c:v>87.277147487844417</c:v>
                </c:pt>
                <c:pt idx="616">
                  <c:v>88.370951913640823</c:v>
                </c:pt>
                <c:pt idx="617">
                  <c:v>91.751227495908353</c:v>
                </c:pt>
                <c:pt idx="618">
                  <c:v>93.763265306122449</c:v>
                </c:pt>
                <c:pt idx="619">
                  <c:v>90.529270248596617</c:v>
                </c:pt>
                <c:pt idx="620">
                  <c:v>88.648997019254011</c:v>
                </c:pt>
                <c:pt idx="621">
                  <c:v>90.655777083833783</c:v>
                </c:pt>
                <c:pt idx="622">
                  <c:v>91.151933258463018</c:v>
                </c:pt>
                <c:pt idx="623">
                  <c:v>91.583803993317943</c:v>
                </c:pt>
                <c:pt idx="624">
                  <c:v>92.431137724550894</c:v>
                </c:pt>
                <c:pt idx="625">
                  <c:v>92.793941809485858</c:v>
                </c:pt>
                <c:pt idx="626">
                  <c:v>95.291497653702379</c:v>
                </c:pt>
                <c:pt idx="627">
                  <c:v>96.068172810146649</c:v>
                </c:pt>
                <c:pt idx="628">
                  <c:v>97.256483238456681</c:v>
                </c:pt>
                <c:pt idx="629">
                  <c:v>99.619077850964217</c:v>
                </c:pt>
                <c:pt idx="630">
                  <c:v>97.791293213828425</c:v>
                </c:pt>
                <c:pt idx="631">
                  <c:v>#N/A</c:v>
                </c:pt>
                <c:pt idx="632">
                  <c:v>#N/A</c:v>
                </c:pt>
                <c:pt idx="633">
                  <c:v>99.538106235565806</c:v>
                </c:pt>
                <c:pt idx="634">
                  <c:v>100.8664546899841</c:v>
                </c:pt>
                <c:pt idx="635">
                  <c:v>102.95641086939199</c:v>
                </c:pt>
                <c:pt idx="636">
                  <c:v>102.4481658692185</c:v>
                </c:pt>
                <c:pt idx="637">
                  <c:v>103.25717063684978</c:v>
                </c:pt>
                <c:pt idx="638">
                  <c:v>105.87750391558815</c:v>
                </c:pt>
                <c:pt idx="639">
                  <c:v>105.84117990167486</c:v>
                </c:pt>
                <c:pt idx="640">
                  <c:v>103.56373280291729</c:v>
                </c:pt>
                <c:pt idx="641">
                  <c:v>102.47678018575851</c:v>
                </c:pt>
                <c:pt idx="642">
                  <c:v>97.865703496962738</c:v>
                </c:pt>
                <c:pt idx="643">
                  <c:v>96.491228070175438</c:v>
                </c:pt>
                <c:pt idx="644">
                  <c:v>96.490799544048201</c:v>
                </c:pt>
                <c:pt idx="645">
                  <c:v>94.287579565856049</c:v>
                </c:pt>
                <c:pt idx="646">
                  <c:v>93.530468877634377</c:v>
                </c:pt>
                <c:pt idx="647">
                  <c:v>95.507812500000014</c:v>
                </c:pt>
                <c:pt idx="648">
                  <c:v>97.285214988214264</c:v>
                </c:pt>
                <c:pt idx="649">
                  <c:v>100.16392099008277</c:v>
                </c:pt>
                <c:pt idx="650">
                  <c:v>99.661744080521416</c:v>
                </c:pt>
                <c:pt idx="651">
                  <c:v>98.641192456559338</c:v>
                </c:pt>
                <c:pt idx="652">
                  <c:v>99.300291545189509</c:v>
                </c:pt>
                <c:pt idx="653">
                  <c:v>100.51993067590988</c:v>
                </c:pt>
                <c:pt idx="654">
                  <c:v>92.724068479355481</c:v>
                </c:pt>
                <c:pt idx="655">
                  <c:v>91.118200134318343</c:v>
                </c:pt>
                <c:pt idx="656">
                  <c:v>94.492125656195327</c:v>
                </c:pt>
                <c:pt idx="657">
                  <c:v>94.760914760914773</c:v>
                </c:pt>
                <c:pt idx="658">
                  <c:v>96.634413125788811</c:v>
                </c:pt>
                <c:pt idx="659">
                  <c:v>89.98990578734859</c:v>
                </c:pt>
                <c:pt idx="660">
                  <c:v>89.65199933076795</c:v>
                </c:pt>
                <c:pt idx="661">
                  <c:v>91.42129826050062</c:v>
                </c:pt>
                <c:pt idx="662">
                  <c:v>94.694221847321813</c:v>
                </c:pt>
                <c:pt idx="663">
                  <c:v>97.513720272742404</c:v>
                </c:pt>
                <c:pt idx="664">
                  <c:v>95.584933898727854</c:v>
                </c:pt>
                <c:pt idx="665">
                  <c:v>96.566094349058176</c:v>
                </c:pt>
                <c:pt idx="666">
                  <c:v>94.425378756173089</c:v>
                </c:pt>
                <c:pt idx="667">
                  <c:v>88.679401993355484</c:v>
                </c:pt>
                <c:pt idx="668">
                  <c:v>89.854711498547132</c:v>
                </c:pt>
                <c:pt idx="669">
                  <c:v>89.106609099966789</c:v>
                </c:pt>
                <c:pt idx="670">
                  <c:v>91.131244285595542</c:v>
                </c:pt>
                <c:pt idx="671">
                  <c:v>90.539871223377915</c:v>
                </c:pt>
                <c:pt idx="672">
                  <c:v>91.687222496299952</c:v>
                </c:pt>
                <c:pt idx="673">
                  <c:v>86.371407636570879</c:v>
                </c:pt>
                <c:pt idx="674">
                  <c:v>87.174660337207399</c:v>
                </c:pt>
                <c:pt idx="675">
                  <c:v>84.065389696169078</c:v>
                </c:pt>
                <c:pt idx="676">
                  <c:v>80.909916604739479</c:v>
                </c:pt>
                <c:pt idx="677">
                  <c:v>83.175787728026535</c:v>
                </c:pt>
                <c:pt idx="678">
                  <c:v>85.370080039607231</c:v>
                </c:pt>
                <c:pt idx="679">
                  <c:v>85.878557246856388</c:v>
                </c:pt>
                <c:pt idx="680">
                  <c:v>85.700301819071711</c:v>
                </c:pt>
                <c:pt idx="681">
                  <c:v>87.673809913299536</c:v>
                </c:pt>
                <c:pt idx="682">
                  <c:v>85.575177422016836</c:v>
                </c:pt>
                <c:pt idx="683">
                  <c:v>81.33278145695364</c:v>
                </c:pt>
                <c:pt idx="684">
                  <c:v>78.842496899545267</c:v>
                </c:pt>
                <c:pt idx="685">
                  <c:v>80.720690800398543</c:v>
                </c:pt>
                <c:pt idx="686">
                  <c:v>80.271598766974918</c:v>
                </c:pt>
                <c:pt idx="687">
                  <c:v>81.702668360864038</c:v>
                </c:pt>
                <c:pt idx="688">
                  <c:v>80.627650551314673</c:v>
                </c:pt>
                <c:pt idx="689">
                  <c:v>83.943638204522443</c:v>
                </c:pt>
                <c:pt idx="690">
                  <c:v>84.506684718226438</c:v>
                </c:pt>
                <c:pt idx="691">
                  <c:v>83.553187891087433</c:v>
                </c:pt>
                <c:pt idx="692">
                  <c:v>85.761533242876524</c:v>
                </c:pt>
                <c:pt idx="693">
                  <c:v>#N/A</c:v>
                </c:pt>
                <c:pt idx="694">
                  <c:v>85.409681024847387</c:v>
                </c:pt>
                <c:pt idx="695">
                  <c:v>82.960989860800822</c:v>
                </c:pt>
                <c:pt idx="696">
                  <c:v>80.027763317716463</c:v>
                </c:pt>
                <c:pt idx="697">
                  <c:v>80.360842541436455</c:v>
                </c:pt>
                <c:pt idx="698">
                  <c:v>81.880594420787347</c:v>
                </c:pt>
                <c:pt idx="699">
                  <c:v>79.30436291092029</c:v>
                </c:pt>
                <c:pt idx="700">
                  <c:v>75.721635998953516</c:v>
                </c:pt>
                <c:pt idx="701">
                  <c:v>76.572970150552607</c:v>
                </c:pt>
                <c:pt idx="702">
                  <c:v>79.150479150479143</c:v>
                </c:pt>
                <c:pt idx="703">
                  <c:v>79.844497607655498</c:v>
                </c:pt>
                <c:pt idx="704">
                  <c:v>79.750454899922033</c:v>
                </c:pt>
                <c:pt idx="705">
                  <c:v>80.164075993091544</c:v>
                </c:pt>
                <c:pt idx="706">
                  <c:v>77.702349869451695</c:v>
                </c:pt>
                <c:pt idx="707">
                  <c:v>78.234625142157299</c:v>
                </c:pt>
                <c:pt idx="708">
                  <c:v>#N/A</c:v>
                </c:pt>
                <c:pt idx="709">
                  <c:v>78.51073149364872</c:v>
                </c:pt>
                <c:pt idx="710">
                  <c:v>79.290567369628519</c:v>
                </c:pt>
                <c:pt idx="711">
                  <c:v>80.248557478917007</c:v>
                </c:pt>
                <c:pt idx="712">
                  <c:v>77.351564650821345</c:v>
                </c:pt>
                <c:pt idx="713">
                  <c:v>76.52730138129229</c:v>
                </c:pt>
                <c:pt idx="714">
                  <c:v>79.793948394282538</c:v>
                </c:pt>
                <c:pt idx="715">
                  <c:v>83.341088878548163</c:v>
                </c:pt>
                <c:pt idx="716">
                  <c:v>81.031357621895964</c:v>
                </c:pt>
                <c:pt idx="717">
                  <c:v>79.588182632050135</c:v>
                </c:pt>
                <c:pt idx="718">
                  <c:v>80.390070921985824</c:v>
                </c:pt>
                <c:pt idx="719">
                  <c:v>82.19922834093299</c:v>
                </c:pt>
                <c:pt idx="720">
                  <c:v>83.903957314361932</c:v>
                </c:pt>
                <c:pt idx="721">
                  <c:v>85.409411554603096</c:v>
                </c:pt>
                <c:pt idx="722">
                  <c:v>88.944859224610965</c:v>
                </c:pt>
                <c:pt idx="723">
                  <c:v>87.916364952932653</c:v>
                </c:pt>
                <c:pt idx="724">
                  <c:v>85.870251736894346</c:v>
                </c:pt>
                <c:pt idx="725">
                  <c:v>84.393063583815035</c:v>
                </c:pt>
                <c:pt idx="726">
                  <c:v>84.684524339236461</c:v>
                </c:pt>
                <c:pt idx="727">
                  <c:v>81.966047462447776</c:v>
                </c:pt>
                <c:pt idx="728">
                  <c:v>79.622179464754254</c:v>
                </c:pt>
                <c:pt idx="729">
                  <c:v>79.014308426073114</c:v>
                </c:pt>
                <c:pt idx="730">
                  <c:v>81.119005328596813</c:v>
                </c:pt>
                <c:pt idx="731">
                  <c:v>80.855199222546162</c:v>
                </c:pt>
                <c:pt idx="732">
                  <c:v>82.527413266223249</c:v>
                </c:pt>
                <c:pt idx="733">
                  <c:v>80.935124624359204</c:v>
                </c:pt>
                <c:pt idx="734">
                  <c:v>80.083784255541985</c:v>
                </c:pt>
                <c:pt idx="735">
                  <c:v>80.112068965517253</c:v>
                </c:pt>
                <c:pt idx="736">
                  <c:v>81.314221569812631</c:v>
                </c:pt>
                <c:pt idx="737">
                  <c:v>81.642512077294683</c:v>
                </c:pt>
                <c:pt idx="738">
                  <c:v>81.031787389265247</c:v>
                </c:pt>
                <c:pt idx="739">
                  <c:v>83.001745200698096</c:v>
                </c:pt>
                <c:pt idx="740">
                  <c:v>83.808776062112869</c:v>
                </c:pt>
                <c:pt idx="741">
                  <c:v>85.240182485016561</c:v>
                </c:pt>
                <c:pt idx="742">
                  <c:v>88.259288817948047</c:v>
                </c:pt>
                <c:pt idx="743">
                  <c:v>87.100994243851389</c:v>
                </c:pt>
                <c:pt idx="744">
                  <c:v>83.751297129021083</c:v>
                </c:pt>
                <c:pt idx="745">
                  <c:v>81.809389836469137</c:v>
                </c:pt>
                <c:pt idx="746">
                  <c:v>80.707312896043845</c:v>
                </c:pt>
                <c:pt idx="747">
                  <c:v>81.849838627484289</c:v>
                </c:pt>
                <c:pt idx="748">
                  <c:v>79.79367379998294</c:v>
                </c:pt>
                <c:pt idx="749">
                  <c:v>79.277007145859599</c:v>
                </c:pt>
                <c:pt idx="750">
                  <c:v>77.895533686601055</c:v>
                </c:pt>
                <c:pt idx="751">
                  <c:v>77.262693156732894</c:v>
                </c:pt>
                <c:pt idx="752">
                  <c:v>74.561918336547336</c:v>
                </c:pt>
                <c:pt idx="753">
                  <c:v>75.038180892584421</c:v>
                </c:pt>
                <c:pt idx="754">
                  <c:v>74.621212121212125</c:v>
                </c:pt>
                <c:pt idx="755">
                  <c:v>71.197679237463745</c:v>
                </c:pt>
                <c:pt idx="756">
                  <c:v>70.490858178224357</c:v>
                </c:pt>
                <c:pt idx="757">
                  <c:v>68.954113269946262</c:v>
                </c:pt>
                <c:pt idx="758">
                  <c:v>69.352159468438543</c:v>
                </c:pt>
                <c:pt idx="759">
                  <c:v>69.338443592734549</c:v>
                </c:pt>
                <c:pt idx="760">
                  <c:v>71.868703828072526</c:v>
                </c:pt>
                <c:pt idx="761">
                  <c:v>70.335045243335784</c:v>
                </c:pt>
                <c:pt idx="762">
                  <c:v>70.841519318926004</c:v>
                </c:pt>
                <c:pt idx="763">
                  <c:v>68.227205761990504</c:v>
                </c:pt>
                <c:pt idx="764">
                  <c:v>65.384930049905918</c:v>
                </c:pt>
                <c:pt idx="765">
                  <c:v>63.215281193638305</c:v>
                </c:pt>
                <c:pt idx="766">
                  <c:v>62.214583844831814</c:v>
                </c:pt>
                <c:pt idx="767">
                  <c:v>62.114680764538434</c:v>
                </c:pt>
                <c:pt idx="768">
                  <c:v>63.65787970292989</c:v>
                </c:pt>
                <c:pt idx="769">
                  <c:v>64.65510286405808</c:v>
                </c:pt>
                <c:pt idx="770">
                  <c:v>67.179941954208317</c:v>
                </c:pt>
                <c:pt idx="771">
                  <c:v>67.381342062193127</c:v>
                </c:pt>
                <c:pt idx="772">
                  <c:v>65.991936147453302</c:v>
                </c:pt>
                <c:pt idx="773">
                  <c:v>67.320692497938992</c:v>
                </c:pt>
                <c:pt idx="774">
                  <c:v>65.450201828816219</c:v>
                </c:pt>
                <c:pt idx="775">
                  <c:v>66.273020067718221</c:v>
                </c:pt>
                <c:pt idx="776">
                  <c:v>66.15128844555278</c:v>
                </c:pt>
                <c:pt idx="777">
                  <c:v>68.309859154929569</c:v>
                </c:pt>
                <c:pt idx="778">
                  <c:v>#N/A</c:v>
                </c:pt>
                <c:pt idx="779">
                  <c:v>#N/A</c:v>
                </c:pt>
                <c:pt idx="780">
                  <c:v>67.874054997092301</c:v>
                </c:pt>
                <c:pt idx="781">
                  <c:v>67.158855246785564</c:v>
                </c:pt>
                <c:pt idx="782">
                  <c:v>68.793089127003896</c:v>
                </c:pt>
                <c:pt idx="783">
                  <c:v>#N/A</c:v>
                </c:pt>
                <c:pt idx="784">
                  <c:v>66.922051965356417</c:v>
                </c:pt>
                <c:pt idx="785">
                  <c:v>62.544639149572298</c:v>
                </c:pt>
                <c:pt idx="786">
                  <c:v>64.592979207003964</c:v>
                </c:pt>
                <c:pt idx="787">
                  <c:v>63.426579231343894</c:v>
                </c:pt>
                <c:pt idx="788">
                  <c:v>63.561059624374636</c:v>
                </c:pt>
                <c:pt idx="789">
                  <c:v>64.537372406980566</c:v>
                </c:pt>
                <c:pt idx="790">
                  <c:v>66.867271228359428</c:v>
                </c:pt>
                <c:pt idx="791">
                  <c:v>67.824587336782457</c:v>
                </c:pt>
                <c:pt idx="792">
                  <c:v>68.301268931641431</c:v>
                </c:pt>
                <c:pt idx="793">
                  <c:v>67.712600360478461</c:v>
                </c:pt>
                <c:pt idx="794">
                  <c:v>68.713355048859938</c:v>
                </c:pt>
                <c:pt idx="795">
                  <c:v>67.597224463450061</c:v>
                </c:pt>
                <c:pt idx="796">
                  <c:v>68.840521077757103</c:v>
                </c:pt>
                <c:pt idx="797">
                  <c:v>70.304794243673683</c:v>
                </c:pt>
                <c:pt idx="798">
                  <c:v>70.779430789133258</c:v>
                </c:pt>
                <c:pt idx="799">
                  <c:v>69.224522939504666</c:v>
                </c:pt>
                <c:pt idx="800">
                  <c:v>68.846091600582611</c:v>
                </c:pt>
                <c:pt idx="801">
                  <c:v>69.83651667206216</c:v>
                </c:pt>
                <c:pt idx="802">
                  <c:v>69.072665479851111</c:v>
                </c:pt>
                <c:pt idx="803">
                  <c:v>68.583892075288801</c:v>
                </c:pt>
                <c:pt idx="804">
                  <c:v>67.782562769155774</c:v>
                </c:pt>
                <c:pt idx="805">
                  <c:v>66.209638163232199</c:v>
                </c:pt>
                <c:pt idx="806">
                  <c:v>65.514717840299227</c:v>
                </c:pt>
                <c:pt idx="807">
                  <c:v>65.138372573316815</c:v>
                </c:pt>
                <c:pt idx="808">
                  <c:v>66.994089736119207</c:v>
                </c:pt>
                <c:pt idx="809">
                  <c:v>69.013732833957548</c:v>
                </c:pt>
                <c:pt idx="810">
                  <c:v>69.694460544837298</c:v>
                </c:pt>
                <c:pt idx="811">
                  <c:v>68.58410715753142</c:v>
                </c:pt>
                <c:pt idx="812">
                  <c:v>70.780188835514323</c:v>
                </c:pt>
                <c:pt idx="813">
                  <c:v>70.841229298838272</c:v>
                </c:pt>
                <c:pt idx="814">
                  <c:v>69.891411648568607</c:v>
                </c:pt>
                <c:pt idx="815">
                  <c:v>70.074148129634267</c:v>
                </c:pt>
                <c:pt idx="816">
                  <c:v>69.802680875863786</c:v>
                </c:pt>
                <c:pt idx="817">
                  <c:v>68.31971995332556</c:v>
                </c:pt>
                <c:pt idx="818">
                  <c:v>68.831060857998011</c:v>
                </c:pt>
                <c:pt idx="819">
                  <c:v>67.666199851717607</c:v>
                </c:pt>
                <c:pt idx="820">
                  <c:v>65.923593270904107</c:v>
                </c:pt>
                <c:pt idx="821">
                  <c:v>68.269150794310903</c:v>
                </c:pt>
                <c:pt idx="822">
                  <c:v>68.930575328699447</c:v>
                </c:pt>
                <c:pt idx="823">
                  <c:v>67.525558972653968</c:v>
                </c:pt>
                <c:pt idx="824">
                  <c:v>68.72883455851985</c:v>
                </c:pt>
                <c:pt idx="825">
                  <c:v>69.692679270425586</c:v>
                </c:pt>
                <c:pt idx="826">
                  <c:v>70.394846913167143</c:v>
                </c:pt>
                <c:pt idx="827">
                  <c:v>71.58720881689905</c:v>
                </c:pt>
                <c:pt idx="828">
                  <c:v>71.538076987168807</c:v>
                </c:pt>
                <c:pt idx="829">
                  <c:v>69.937668463611857</c:v>
                </c:pt>
                <c:pt idx="830">
                  <c:v>69.358790234011991</c:v>
                </c:pt>
                <c:pt idx="831">
                  <c:v>68.11301715438951</c:v>
                </c:pt>
                <c:pt idx="832">
                  <c:v>68.00528838208561</c:v>
                </c:pt>
                <c:pt idx="833">
                  <c:v>65.523480549387287</c:v>
                </c:pt>
                <c:pt idx="834">
                  <c:v>63.205993742795982</c:v>
                </c:pt>
                <c:pt idx="835">
                  <c:v>61.772530761556361</c:v>
                </c:pt>
                <c:pt idx="836">
                  <c:v>60.384837724006935</c:v>
                </c:pt>
                <c:pt idx="837">
                  <c:v>58.509060955518947</c:v>
                </c:pt>
                <c:pt idx="838">
                  <c:v>59.094247246022029</c:v>
                </c:pt>
                <c:pt idx="839">
                  <c:v>61.315185306657924</c:v>
                </c:pt>
                <c:pt idx="840">
                  <c:v>62.197514715500326</c:v>
                </c:pt>
                <c:pt idx="841">
                  <c:v>60.336148100032482</c:v>
                </c:pt>
                <c:pt idx="842">
                  <c:v>60.233965968586389</c:v>
                </c:pt>
                <c:pt idx="843">
                  <c:v>62.571288903372981</c:v>
                </c:pt>
                <c:pt idx="844">
                  <c:v>63.332522105946296</c:v>
                </c:pt>
                <c:pt idx="845">
                  <c:v>62.95995451222484</c:v>
                </c:pt>
                <c:pt idx="846">
                  <c:v>63.368336025848144</c:v>
                </c:pt>
                <c:pt idx="847">
                  <c:v>64.048851504367519</c:v>
                </c:pt>
                <c:pt idx="848">
                  <c:v>69.218359280471077</c:v>
                </c:pt>
                <c:pt idx="849">
                  <c:v>68.472355385107065</c:v>
                </c:pt>
                <c:pt idx="850">
                  <c:v>68.98795180722891</c:v>
                </c:pt>
                <c:pt idx="851">
                  <c:v>69.615570210712562</c:v>
                </c:pt>
                <c:pt idx="852">
                  <c:v>#N/A</c:v>
                </c:pt>
                <c:pt idx="853">
                  <c:v>#N/A</c:v>
                </c:pt>
                <c:pt idx="854">
                  <c:v>70.243745475022109</c:v>
                </c:pt>
                <c:pt idx="855">
                  <c:v>70.84068666773625</c:v>
                </c:pt>
                <c:pt idx="856">
                  <c:v>69.15267785771384</c:v>
                </c:pt>
                <c:pt idx="857">
                  <c:v>70.162327225972362</c:v>
                </c:pt>
                <c:pt idx="858">
                  <c:v>69.251920744035587</c:v>
                </c:pt>
                <c:pt idx="859">
                  <c:v>68.780173801094307</c:v>
                </c:pt>
                <c:pt idx="860">
                  <c:v>68.546184738955816</c:v>
                </c:pt>
                <c:pt idx="861">
                  <c:v>66.856638304703807</c:v>
                </c:pt>
                <c:pt idx="862">
                  <c:v>67.236651072753673</c:v>
                </c:pt>
                <c:pt idx="863">
                  <c:v>67.62202954399487</c:v>
                </c:pt>
                <c:pt idx="864">
                  <c:v>66.223189808095469</c:v>
                </c:pt>
                <c:pt idx="865">
                  <c:v>63.494227068633734</c:v>
                </c:pt>
                <c:pt idx="866">
                  <c:v>64.11877701296622</c:v>
                </c:pt>
                <c:pt idx="867">
                  <c:v>64.714308451376723</c:v>
                </c:pt>
                <c:pt idx="868">
                  <c:v>#N/A</c:v>
                </c:pt>
                <c:pt idx="869">
                  <c:v>61.505772931366252</c:v>
                </c:pt>
                <c:pt idx="870">
                  <c:v>58.174419532434364</c:v>
                </c:pt>
                <c:pt idx="871">
                  <c:v>58.065542475342028</c:v>
                </c:pt>
                <c:pt idx="872">
                  <c:v>60.069691929991286</c:v>
                </c:pt>
                <c:pt idx="873">
                  <c:v>#N/A</c:v>
                </c:pt>
                <c:pt idx="874">
                  <c:v>61.655566127497622</c:v>
                </c:pt>
                <c:pt idx="875">
                  <c:v>60.78617847519417</c:v>
                </c:pt>
                <c:pt idx="876">
                  <c:v>60.145332588038009</c:v>
                </c:pt>
                <c:pt idx="877">
                  <c:v>59.741925142261763</c:v>
                </c:pt>
                <c:pt idx="878">
                  <c:v>60.319744204636294</c:v>
                </c:pt>
                <c:pt idx="879">
                  <c:v>60.148871458299986</c:v>
                </c:pt>
                <c:pt idx="880">
                  <c:v>61.751965345740423</c:v>
                </c:pt>
                <c:pt idx="881">
                  <c:v>61.044403255701511</c:v>
                </c:pt>
                <c:pt idx="882">
                  <c:v>60.646510131875203</c:v>
                </c:pt>
                <c:pt idx="883">
                  <c:v>60.991708926990256</c:v>
                </c:pt>
                <c:pt idx="884">
                  <c:v>61.723027375201283</c:v>
                </c:pt>
                <c:pt idx="885">
                  <c:v>63.062990215897145</c:v>
                </c:pt>
                <c:pt idx="886">
                  <c:v>61.228453508133036</c:v>
                </c:pt>
                <c:pt idx="887">
                  <c:v>61.895880635744398</c:v>
                </c:pt>
                <c:pt idx="888">
                  <c:v>#N/A</c:v>
                </c:pt>
                <c:pt idx="889">
                  <c:v>59.124969784868256</c:v>
                </c:pt>
                <c:pt idx="890">
                  <c:v>58.076488623527517</c:v>
                </c:pt>
                <c:pt idx="891">
                  <c:v>59.230277866496337</c:v>
                </c:pt>
                <c:pt idx="892">
                  <c:v>60.873047657188629</c:v>
                </c:pt>
                <c:pt idx="893">
                  <c:v>61.732473811442382</c:v>
                </c:pt>
                <c:pt idx="894">
                  <c:v>61.428110896196003</c:v>
                </c:pt>
                <c:pt idx="895">
                  <c:v>61.667469106082486</c:v>
                </c:pt>
                <c:pt idx="896">
                  <c:v>60.534503390506572</c:v>
                </c:pt>
                <c:pt idx="897">
                  <c:v>59.411764705882348</c:v>
                </c:pt>
                <c:pt idx="898">
                  <c:v>57.394084732214232</c:v>
                </c:pt>
                <c:pt idx="899">
                  <c:v>58.901935893367181</c:v>
                </c:pt>
                <c:pt idx="900">
                  <c:v>57.805608065532446</c:v>
                </c:pt>
                <c:pt idx="901">
                  <c:v>59.444400847524129</c:v>
                </c:pt>
                <c:pt idx="902">
                  <c:v>59.912581954417739</c:v>
                </c:pt>
                <c:pt idx="903">
                  <c:v>59.463894967177239</c:v>
                </c:pt>
                <c:pt idx="904">
                  <c:v>59.513152728700433</c:v>
                </c:pt>
                <c:pt idx="905">
                  <c:v>60.419448590055772</c:v>
                </c:pt>
                <c:pt idx="906">
                  <c:v>58.038938608886802</c:v>
                </c:pt>
                <c:pt idx="907">
                  <c:v>57.871135237196135</c:v>
                </c:pt>
                <c:pt idx="908">
                  <c:v>58.116295538594699</c:v>
                </c:pt>
                <c:pt idx="909">
                  <c:v>56.394162874627334</c:v>
                </c:pt>
                <c:pt idx="910">
                  <c:v>58.379578246392896</c:v>
                </c:pt>
                <c:pt idx="911">
                  <c:v>58.535425582501183</c:v>
                </c:pt>
                <c:pt idx="912">
                  <c:v>58.604687745792042</c:v>
                </c:pt>
                <c:pt idx="913">
                  <c:v>58.728032153834029</c:v>
                </c:pt>
                <c:pt idx="914">
                  <c:v>59.90099009900991</c:v>
                </c:pt>
                <c:pt idx="915">
                  <c:v>60.349166404529718</c:v>
                </c:pt>
                <c:pt idx="916">
                  <c:v>60.428481411468177</c:v>
                </c:pt>
                <c:pt idx="917">
                  <c:v>61.419103313840154</c:v>
                </c:pt>
                <c:pt idx="918">
                  <c:v>60.733515411626996</c:v>
                </c:pt>
                <c:pt idx="919">
                  <c:v>61.673257346669772</c:v>
                </c:pt>
                <c:pt idx="920">
                  <c:v>61.821958913595438</c:v>
                </c:pt>
                <c:pt idx="921">
                  <c:v>62.002440140308074</c:v>
                </c:pt>
                <c:pt idx="922">
                  <c:v>60.917962793534613</c:v>
                </c:pt>
                <c:pt idx="923">
                  <c:v>59.471028894664421</c:v>
                </c:pt>
                <c:pt idx="924">
                  <c:v>60.805748795963616</c:v>
                </c:pt>
                <c:pt idx="925">
                  <c:v>61.60651920838184</c:v>
                </c:pt>
                <c:pt idx="926">
                  <c:v>61.95626799470859</c:v>
                </c:pt>
                <c:pt idx="927">
                  <c:v>63.106267029972756</c:v>
                </c:pt>
                <c:pt idx="928">
                  <c:v>64.391043145821953</c:v>
                </c:pt>
                <c:pt idx="929">
                  <c:v>64.919103920348462</c:v>
                </c:pt>
                <c:pt idx="930">
                  <c:v>64.211096494621998</c:v>
                </c:pt>
                <c:pt idx="931">
                  <c:v>65.592653124756794</c:v>
                </c:pt>
                <c:pt idx="932">
                  <c:v>65.679415422885569</c:v>
                </c:pt>
                <c:pt idx="933">
                  <c:v>66.252040736997586</c:v>
                </c:pt>
                <c:pt idx="934">
                  <c:v>66.87039648957844</c:v>
                </c:pt>
                <c:pt idx="935">
                  <c:v>66.206950902356382</c:v>
                </c:pt>
                <c:pt idx="936">
                  <c:v>67.882176892179245</c:v>
                </c:pt>
                <c:pt idx="937">
                  <c:v>68.495727835698048</c:v>
                </c:pt>
                <c:pt idx="938">
                  <c:v>67.702787347322271</c:v>
                </c:pt>
                <c:pt idx="939">
                  <c:v>69.171513912906775</c:v>
                </c:pt>
                <c:pt idx="940">
                  <c:v>70.146088595664466</c:v>
                </c:pt>
                <c:pt idx="941">
                  <c:v>68.661170003926188</c:v>
                </c:pt>
                <c:pt idx="942">
                  <c:v>69.165421222370796</c:v>
                </c:pt>
                <c:pt idx="943">
                  <c:v>69.030882236790148</c:v>
                </c:pt>
                <c:pt idx="944">
                  <c:v>67.697136131816407</c:v>
                </c:pt>
                <c:pt idx="945">
                  <c:v>66.251078177683667</c:v>
                </c:pt>
                <c:pt idx="946">
                  <c:v>66.818217449243548</c:v>
                </c:pt>
                <c:pt idx="947">
                  <c:v>67.568417741428121</c:v>
                </c:pt>
                <c:pt idx="948">
                  <c:v>67.132867132867133</c:v>
                </c:pt>
                <c:pt idx="949">
                  <c:v>66.525290606346218</c:v>
                </c:pt>
                <c:pt idx="950">
                  <c:v>66.183079713001661</c:v>
                </c:pt>
                <c:pt idx="951">
                  <c:v>66.469006957621758</c:v>
                </c:pt>
                <c:pt idx="952">
                  <c:v>68.042058308108963</c:v>
                </c:pt>
                <c:pt idx="953">
                  <c:v>#N/A</c:v>
                </c:pt>
                <c:pt idx="954">
                  <c:v>68.607514496782912</c:v>
                </c:pt>
                <c:pt idx="955">
                  <c:v>68.060029857782666</c:v>
                </c:pt>
                <c:pt idx="956">
                  <c:v>68.878718535469105</c:v>
                </c:pt>
                <c:pt idx="957">
                  <c:v>71.305174736508448</c:v>
                </c:pt>
                <c:pt idx="958">
                  <c:v>71.659533999048975</c:v>
                </c:pt>
                <c:pt idx="959">
                  <c:v>72.685996495140984</c:v>
                </c:pt>
                <c:pt idx="960">
                  <c:v>73.484909134576895</c:v>
                </c:pt>
                <c:pt idx="961">
                  <c:v>73.06829111894838</c:v>
                </c:pt>
                <c:pt idx="962">
                  <c:v>73.568281938325995</c:v>
                </c:pt>
                <c:pt idx="963">
                  <c:v>73.405698778833113</c:v>
                </c:pt>
                <c:pt idx="964">
                  <c:v>75.06818546446334</c:v>
                </c:pt>
                <c:pt idx="965">
                  <c:v>74.491593274619689</c:v>
                </c:pt>
                <c:pt idx="966">
                  <c:v>76.681433749496577</c:v>
                </c:pt>
                <c:pt idx="967">
                  <c:v>77.087535296490515</c:v>
                </c:pt>
                <c:pt idx="968">
                  <c:v>77.504038772213249</c:v>
                </c:pt>
                <c:pt idx="969">
                  <c:v>77.49556523141429</c:v>
                </c:pt>
                <c:pt idx="970">
                  <c:v>76.270366188094854</c:v>
                </c:pt>
                <c:pt idx="971">
                  <c:v>76.253255208333343</c:v>
                </c:pt>
                <c:pt idx="972">
                  <c:v>76.632694659600489</c:v>
                </c:pt>
                <c:pt idx="973">
                  <c:v>77.070011477291359</c:v>
                </c:pt>
                <c:pt idx="974">
                  <c:v>77.629848783694925</c:v>
                </c:pt>
                <c:pt idx="975">
                  <c:v>80.049464138499573</c:v>
                </c:pt>
                <c:pt idx="976">
                  <c:v>79.226102639777011</c:v>
                </c:pt>
                <c:pt idx="977">
                  <c:v>78.528713033505369</c:v>
                </c:pt>
                <c:pt idx="978">
                  <c:v>75.24335918165319</c:v>
                </c:pt>
                <c:pt idx="979">
                  <c:v>78.19536423841059</c:v>
                </c:pt>
                <c:pt idx="980">
                  <c:v>74.147750722245149</c:v>
                </c:pt>
                <c:pt idx="981">
                  <c:v>72.598684210526315</c:v>
                </c:pt>
                <c:pt idx="982">
                  <c:v>72.08729898260583</c:v>
                </c:pt>
                <c:pt idx="983">
                  <c:v>74.832104832104832</c:v>
                </c:pt>
                <c:pt idx="984">
                  <c:v>73.998531451415516</c:v>
                </c:pt>
                <c:pt idx="985">
                  <c:v>71.133853151397005</c:v>
                </c:pt>
                <c:pt idx="986">
                  <c:v>72.375962010807271</c:v>
                </c:pt>
                <c:pt idx="987">
                  <c:v>77.695412239518987</c:v>
                </c:pt>
                <c:pt idx="988">
                  <c:v>74.649273935515623</c:v>
                </c:pt>
                <c:pt idx="989">
                  <c:v>75.948120177310784</c:v>
                </c:pt>
                <c:pt idx="990">
                  <c:v>75.736868104725843</c:v>
                </c:pt>
                <c:pt idx="991">
                  <c:v>76.686156633451375</c:v>
                </c:pt>
                <c:pt idx="992">
                  <c:v>77.135802469135797</c:v>
                </c:pt>
                <c:pt idx="993">
                  <c:v>75.262123197903009</c:v>
                </c:pt>
                <c:pt idx="994">
                  <c:v>72.261455082936436</c:v>
                </c:pt>
                <c:pt idx="995">
                  <c:v>74.225955204216078</c:v>
                </c:pt>
                <c:pt idx="996">
                  <c:v>72.972527019222838</c:v>
                </c:pt>
                <c:pt idx="997">
                  <c:v>74.730252862202462</c:v>
                </c:pt>
                <c:pt idx="998">
                  <c:v>74.638038828562031</c:v>
                </c:pt>
                <c:pt idx="999">
                  <c:v>71.551013680566996</c:v>
                </c:pt>
                <c:pt idx="1000">
                  <c:v>71.680686128979062</c:v>
                </c:pt>
                <c:pt idx="1001">
                  <c:v>73.129056107779505</c:v>
                </c:pt>
                <c:pt idx="1002">
                  <c:v>70.758910530994896</c:v>
                </c:pt>
                <c:pt idx="1003">
                  <c:v>70.428329434540615</c:v>
                </c:pt>
                <c:pt idx="1004">
                  <c:v>67.801706623323867</c:v>
                </c:pt>
                <c:pt idx="1005">
                  <c:v>66.24918672739102</c:v>
                </c:pt>
                <c:pt idx="1006">
                  <c:v>66.525596158541546</c:v>
                </c:pt>
                <c:pt idx="1007">
                  <c:v>68.585013936710936</c:v>
                </c:pt>
                <c:pt idx="1008">
                  <c:v>68.628091079735569</c:v>
                </c:pt>
                <c:pt idx="1009">
                  <c:v>67.603372139702927</c:v>
                </c:pt>
                <c:pt idx="1010">
                  <c:v>66.216650594664102</c:v>
                </c:pt>
                <c:pt idx="1011">
                  <c:v>62.463837994214082</c:v>
                </c:pt>
                <c:pt idx="1012">
                  <c:v>65.326148154106008</c:v>
                </c:pt>
                <c:pt idx="1013">
                  <c:v>66.637316897462568</c:v>
                </c:pt>
                <c:pt idx="1014">
                  <c:v>65.762387297534502</c:v>
                </c:pt>
                <c:pt idx="1015">
                  <c:v>65.617977528089895</c:v>
                </c:pt>
                <c:pt idx="1016">
                  <c:v>64.519990423749093</c:v>
                </c:pt>
                <c:pt idx="1017">
                  <c:v>63.309010152284266</c:v>
                </c:pt>
                <c:pt idx="1018">
                  <c:v>63.052272546997699</c:v>
                </c:pt>
                <c:pt idx="1019">
                  <c:v>64.385397776551287</c:v>
                </c:pt>
                <c:pt idx="1020">
                  <c:v>65.354020634795617</c:v>
                </c:pt>
                <c:pt idx="1021">
                  <c:v>64.570164348925402</c:v>
                </c:pt>
                <c:pt idx="1022">
                  <c:v>62.303126236644239</c:v>
                </c:pt>
                <c:pt idx="1023">
                  <c:v>61.972724389470336</c:v>
                </c:pt>
                <c:pt idx="1024">
                  <c:v>61.262189804170291</c:v>
                </c:pt>
                <c:pt idx="1025">
                  <c:v>59.024855078218053</c:v>
                </c:pt>
                <c:pt idx="1026">
                  <c:v>59.018609829807531</c:v>
                </c:pt>
                <c:pt idx="1027">
                  <c:v>60.524428150155416</c:v>
                </c:pt>
                <c:pt idx="1028">
                  <c:v>60.35375667277507</c:v>
                </c:pt>
                <c:pt idx="1029">
                  <c:v>59.000079611495899</c:v>
                </c:pt>
                <c:pt idx="1030">
                  <c:v>59.188887114801219</c:v>
                </c:pt>
                <c:pt idx="1031">
                  <c:v>60.384012539184951</c:v>
                </c:pt>
                <c:pt idx="1032">
                  <c:v>60.508701472556893</c:v>
                </c:pt>
                <c:pt idx="1033">
                  <c:v>62.388295769078688</c:v>
                </c:pt>
                <c:pt idx="1034">
                  <c:v>62.657979433236513</c:v>
                </c:pt>
                <c:pt idx="1035">
                  <c:v>64.019576886643506</c:v>
                </c:pt>
                <c:pt idx="1036">
                  <c:v>63.787926675094816</c:v>
                </c:pt>
                <c:pt idx="1037">
                  <c:v>63.093740169864738</c:v>
                </c:pt>
                <c:pt idx="1038">
                  <c:v>#N/A</c:v>
                </c:pt>
                <c:pt idx="1039">
                  <c:v>#N/A</c:v>
                </c:pt>
                <c:pt idx="1040">
                  <c:v>63.312221440300263</c:v>
                </c:pt>
                <c:pt idx="1041">
                  <c:v>61.895066562255295</c:v>
                </c:pt>
                <c:pt idx="1042">
                  <c:v>60.947673962500978</c:v>
                </c:pt>
                <c:pt idx="1043">
                  <c:v>#N/A</c:v>
                </c:pt>
                <c:pt idx="1044">
                  <c:v>60.388118811881185</c:v>
                </c:pt>
                <c:pt idx="1045">
                  <c:v>61.118150142540394</c:v>
                </c:pt>
                <c:pt idx="1046">
                  <c:v>59.681864713756994</c:v>
                </c:pt>
                <c:pt idx="1047">
                  <c:v>61.409974905897123</c:v>
                </c:pt>
                <c:pt idx="1048">
                  <c:v>59.192156862745101</c:v>
                </c:pt>
                <c:pt idx="1049">
                  <c:v>61.374370277078086</c:v>
                </c:pt>
                <c:pt idx="1050">
                  <c:v>61.60489949748743</c:v>
                </c:pt>
                <c:pt idx="1051">
                  <c:v>63.087934560327191</c:v>
                </c:pt>
                <c:pt idx="1052">
                  <c:v>62.604811535146148</c:v>
                </c:pt>
                <c:pt idx="1053">
                  <c:v>62.650223863011554</c:v>
                </c:pt>
                <c:pt idx="1054">
                  <c:v>63.28464271614687</c:v>
                </c:pt>
                <c:pt idx="1055">
                  <c:v>62.316321693790485</c:v>
                </c:pt>
                <c:pt idx="1056">
                  <c:v>63.952020202020201</c:v>
                </c:pt>
                <c:pt idx="1057">
                  <c:v>63.651419558359613</c:v>
                </c:pt>
                <c:pt idx="1058">
                  <c:v>64.22451065167833</c:v>
                </c:pt>
                <c:pt idx="1059">
                  <c:v>64.771830096320869</c:v>
                </c:pt>
                <c:pt idx="1060">
                  <c:v>64.416215792362578</c:v>
                </c:pt>
                <c:pt idx="1061">
                  <c:v>64.826771653543304</c:v>
                </c:pt>
                <c:pt idx="1062">
                  <c:v>65.503419004951667</c:v>
                </c:pt>
                <c:pt idx="1063">
                  <c:v>66.248619656097176</c:v>
                </c:pt>
                <c:pt idx="1064">
                  <c:v>66.42981209537345</c:v>
                </c:pt>
                <c:pt idx="1065">
                  <c:v>65.16924526820074</c:v>
                </c:pt>
                <c:pt idx="1066">
                  <c:v>64.816275035483372</c:v>
                </c:pt>
                <c:pt idx="1067">
                  <c:v>62.842695741486928</c:v>
                </c:pt>
                <c:pt idx="1068">
                  <c:v>63.333599552751373</c:v>
                </c:pt>
                <c:pt idx="1069">
                  <c:v>63.973920648803364</c:v>
                </c:pt>
                <c:pt idx="1070">
                  <c:v>64.265357821405956</c:v>
                </c:pt>
                <c:pt idx="1071">
                  <c:v>65.854819516065064</c:v>
                </c:pt>
                <c:pt idx="1072">
                  <c:v>66.165294490183655</c:v>
                </c:pt>
                <c:pt idx="1073">
                  <c:v>66.49227110582639</c:v>
                </c:pt>
                <c:pt idx="1074">
                  <c:v>67.23275930481708</c:v>
                </c:pt>
                <c:pt idx="1075">
                  <c:v>67.264323850506017</c:v>
                </c:pt>
                <c:pt idx="1076">
                  <c:v>67.008343265792618</c:v>
                </c:pt>
                <c:pt idx="1077">
                  <c:v>67.450731087094724</c:v>
                </c:pt>
                <c:pt idx="1078">
                  <c:v>67.94311591324383</c:v>
                </c:pt>
                <c:pt idx="1079">
                  <c:v>66.956247038382557</c:v>
                </c:pt>
                <c:pt idx="1080">
                  <c:v>67.21376466856961</c:v>
                </c:pt>
                <c:pt idx="1081">
                  <c:v>68.013628080183821</c:v>
                </c:pt>
                <c:pt idx="1082">
                  <c:v>66.403723278378166</c:v>
                </c:pt>
                <c:pt idx="1083">
                  <c:v>66.233049511195219</c:v>
                </c:pt>
                <c:pt idx="1084">
                  <c:v>66.072695734447692</c:v>
                </c:pt>
                <c:pt idx="1085">
                  <c:v>66.450644116019916</c:v>
                </c:pt>
                <c:pt idx="1086">
                  <c:v>66.853754940711468</c:v>
                </c:pt>
                <c:pt idx="1087">
                  <c:v>67.040784065760349</c:v>
                </c:pt>
                <c:pt idx="1088">
                  <c:v>68.183965978894307</c:v>
                </c:pt>
                <c:pt idx="1089">
                  <c:v>67.404963870562355</c:v>
                </c:pt>
                <c:pt idx="1090">
                  <c:v>67.951031939103828</c:v>
                </c:pt>
                <c:pt idx="1091">
                  <c:v>66.36953632027523</c:v>
                </c:pt>
                <c:pt idx="1092">
                  <c:v>65.43746603524572</c:v>
                </c:pt>
                <c:pt idx="1093">
                  <c:v>65.162046075751661</c:v>
                </c:pt>
                <c:pt idx="1094">
                  <c:v>65.441176470588232</c:v>
                </c:pt>
                <c:pt idx="1095">
                  <c:v>65.601312807689297</c:v>
                </c:pt>
                <c:pt idx="1096">
                  <c:v>67.592374676394442</c:v>
                </c:pt>
                <c:pt idx="1097">
                  <c:v>67.025117739403456</c:v>
                </c:pt>
                <c:pt idx="1098">
                  <c:v>67.910154716092038</c:v>
                </c:pt>
                <c:pt idx="1099">
                  <c:v>68.727873495397688</c:v>
                </c:pt>
                <c:pt idx="1100">
                  <c:v>67.476988435213599</c:v>
                </c:pt>
                <c:pt idx="1101">
                  <c:v>67.035048942216619</c:v>
                </c:pt>
                <c:pt idx="1102">
                  <c:v>67.351797476390772</c:v>
                </c:pt>
                <c:pt idx="1103">
                  <c:v>68.153420324238837</c:v>
                </c:pt>
                <c:pt idx="1104">
                  <c:v>68.031358885017426</c:v>
                </c:pt>
                <c:pt idx="1105">
                  <c:v>67.257898487607889</c:v>
                </c:pt>
                <c:pt idx="1106">
                  <c:v>68.215642811906264</c:v>
                </c:pt>
                <c:pt idx="1107">
                  <c:v>#N/A</c:v>
                </c:pt>
                <c:pt idx="1108">
                  <c:v>#N/A</c:v>
                </c:pt>
                <c:pt idx="1109">
                  <c:v>69.730245882072097</c:v>
                </c:pt>
                <c:pt idx="1110">
                  <c:v>71.796497345272996</c:v>
                </c:pt>
                <c:pt idx="1111">
                  <c:v>71.297758130723082</c:v>
                </c:pt>
                <c:pt idx="1112">
                  <c:v>73.571145461751883</c:v>
                </c:pt>
                <c:pt idx="1113">
                  <c:v>72.531035028069908</c:v>
                </c:pt>
                <c:pt idx="1114">
                  <c:v>72.686390532544365</c:v>
                </c:pt>
                <c:pt idx="1115">
                  <c:v>72.87123985357313</c:v>
                </c:pt>
                <c:pt idx="1116">
                  <c:v>73.075079872204469</c:v>
                </c:pt>
                <c:pt idx="1117">
                  <c:v>74.885404101326898</c:v>
                </c:pt>
                <c:pt idx="1118">
                  <c:v>72.957995341739618</c:v>
                </c:pt>
                <c:pt idx="1119">
                  <c:v>73.372448159459907</c:v>
                </c:pt>
                <c:pt idx="1120">
                  <c:v>71.91967871485943</c:v>
                </c:pt>
                <c:pt idx="1121">
                  <c:v>70.990035358405663</c:v>
                </c:pt>
                <c:pt idx="1122">
                  <c:v>70.741515200257354</c:v>
                </c:pt>
                <c:pt idx="1123">
                  <c:v>70.797177844457053</c:v>
                </c:pt>
                <c:pt idx="1124">
                  <c:v>71.01262768438832</c:v>
                </c:pt>
                <c:pt idx="1125">
                  <c:v>71.599774792889889</c:v>
                </c:pt>
                <c:pt idx="1126">
                  <c:v>70.542077027784458</c:v>
                </c:pt>
                <c:pt idx="1127">
                  <c:v>72.179425453378272</c:v>
                </c:pt>
                <c:pt idx="1128">
                  <c:v>70.481351609818304</c:v>
                </c:pt>
                <c:pt idx="1129">
                  <c:v>70.471246006389777</c:v>
                </c:pt>
                <c:pt idx="1130">
                  <c:v>66.882804995196921</c:v>
                </c:pt>
                <c:pt idx="1131">
                  <c:v>67.929515418502206</c:v>
                </c:pt>
                <c:pt idx="1132">
                  <c:v>66.634783994898768</c:v>
                </c:pt>
                <c:pt idx="1133">
                  <c:v>#N/A</c:v>
                </c:pt>
                <c:pt idx="1134">
                  <c:v>65.867452604747484</c:v>
                </c:pt>
                <c:pt idx="1135">
                  <c:v>65.988953814135911</c:v>
                </c:pt>
                <c:pt idx="1136">
                  <c:v>66.552109974424539</c:v>
                </c:pt>
                <c:pt idx="1137">
                  <c:v>66.66933162775824</c:v>
                </c:pt>
                <c:pt idx="1138">
                  <c:v>66.210300087558707</c:v>
                </c:pt>
                <c:pt idx="1139">
                  <c:v>64.341885773294152</c:v>
                </c:pt>
                <c:pt idx="1140">
                  <c:v>63.230294884971151</c:v>
                </c:pt>
                <c:pt idx="1141">
                  <c:v>64.453741711398806</c:v>
                </c:pt>
                <c:pt idx="1142">
                  <c:v>64.766104898409196</c:v>
                </c:pt>
                <c:pt idx="1143">
                  <c:v>64.455461126849229</c:v>
                </c:pt>
                <c:pt idx="1144">
                  <c:v>63.837145327359899</c:v>
                </c:pt>
                <c:pt idx="1145">
                  <c:v>62.794718641936505</c:v>
                </c:pt>
                <c:pt idx="1146">
                  <c:v>62.34266834487098</c:v>
                </c:pt>
                <c:pt idx="1147">
                  <c:v>61.956351075522058</c:v>
                </c:pt>
                <c:pt idx="1148">
                  <c:v>#N/A</c:v>
                </c:pt>
                <c:pt idx="1149">
                  <c:v>63.661266337951005</c:v>
                </c:pt>
                <c:pt idx="1150">
                  <c:v>64.097522611089261</c:v>
                </c:pt>
                <c:pt idx="1151">
                  <c:v>63.913964989402622</c:v>
                </c:pt>
                <c:pt idx="1152">
                  <c:v>62.37530437514728</c:v>
                </c:pt>
                <c:pt idx="1153">
                  <c:v>59.857500782962738</c:v>
                </c:pt>
                <c:pt idx="1154">
                  <c:v>58.943661971830984</c:v>
                </c:pt>
                <c:pt idx="1155">
                  <c:v>59.0987460815047</c:v>
                </c:pt>
                <c:pt idx="1156">
                  <c:v>60.768809206920849</c:v>
                </c:pt>
                <c:pt idx="1157">
                  <c:v>61.395787488211262</c:v>
                </c:pt>
                <c:pt idx="1158">
                  <c:v>62.585515451757487</c:v>
                </c:pt>
                <c:pt idx="1159">
                  <c:v>63.05066079295154</c:v>
                </c:pt>
                <c:pt idx="1160">
                  <c:v>62.695631861714553</c:v>
                </c:pt>
                <c:pt idx="1161">
                  <c:v>63.789457194329131</c:v>
                </c:pt>
                <c:pt idx="1162">
                  <c:v>64.332517565327223</c:v>
                </c:pt>
                <c:pt idx="1163">
                  <c:v>65.023659305993689</c:v>
                </c:pt>
                <c:pt idx="1164">
                  <c:v>66.816390858944061</c:v>
                </c:pt>
                <c:pt idx="1165">
                  <c:v>67.263587810241901</c:v>
                </c:pt>
                <c:pt idx="1166">
                  <c:v>67.728204319722536</c:v>
                </c:pt>
                <c:pt idx="1167">
                  <c:v>68.446063678124503</c:v>
                </c:pt>
                <c:pt idx="1168">
                  <c:v>68.371689785624213</c:v>
                </c:pt>
                <c:pt idx="1169">
                  <c:v>68.505366161616152</c:v>
                </c:pt>
                <c:pt idx="1170">
                  <c:v>67.939475560484837</c:v>
                </c:pt>
                <c:pt idx="1171">
                  <c:v>68.769267251600667</c:v>
                </c:pt>
                <c:pt idx="1172">
                  <c:v>69.023888625217538</c:v>
                </c:pt>
                <c:pt idx="1173">
                  <c:v>68.451016051237445</c:v>
                </c:pt>
                <c:pt idx="1174">
                  <c:v>69.643420637425052</c:v>
                </c:pt>
                <c:pt idx="1175">
                  <c:v>69.150603353706316</c:v>
                </c:pt>
                <c:pt idx="1176">
                  <c:v>69.221125215483468</c:v>
                </c:pt>
                <c:pt idx="1177">
                  <c:v>69.276449445225808</c:v>
                </c:pt>
                <c:pt idx="1178">
                  <c:v>67.910854827398111</c:v>
                </c:pt>
                <c:pt idx="1179">
                  <c:v>67.57833867312651</c:v>
                </c:pt>
                <c:pt idx="1180">
                  <c:v>67.45908028059236</c:v>
                </c:pt>
                <c:pt idx="1181">
                  <c:v>66.922005571030638</c:v>
                </c:pt>
                <c:pt idx="1182">
                  <c:v>67.249210870736775</c:v>
                </c:pt>
                <c:pt idx="1183">
                  <c:v>66.558841651263094</c:v>
                </c:pt>
                <c:pt idx="1184">
                  <c:v>66.882916280506635</c:v>
                </c:pt>
                <c:pt idx="1185">
                  <c:v>65.898263408636865</c:v>
                </c:pt>
                <c:pt idx="1186">
                  <c:v>66.466327631376174</c:v>
                </c:pt>
                <c:pt idx="1187">
                  <c:v>65.951846403963756</c:v>
                </c:pt>
                <c:pt idx="1188">
                  <c:v>64.617052582668634</c:v>
                </c:pt>
                <c:pt idx="1189">
                  <c:v>63.681437867988848</c:v>
                </c:pt>
                <c:pt idx="1190">
                  <c:v>64.259173246632614</c:v>
                </c:pt>
                <c:pt idx="1191">
                  <c:v>64.129843907742483</c:v>
                </c:pt>
                <c:pt idx="1192">
                  <c:v>63.292616509764251</c:v>
                </c:pt>
                <c:pt idx="1193">
                  <c:v>63.003035728185566</c:v>
                </c:pt>
                <c:pt idx="1194">
                  <c:v>61.786716557530411</c:v>
                </c:pt>
                <c:pt idx="1195">
                  <c:v>63.368109623170355</c:v>
                </c:pt>
                <c:pt idx="1196">
                  <c:v>63.605096537168762</c:v>
                </c:pt>
                <c:pt idx="1197">
                  <c:v>61.177481065042549</c:v>
                </c:pt>
                <c:pt idx="1198">
                  <c:v>60.749275021553416</c:v>
                </c:pt>
                <c:pt idx="1199">
                  <c:v>60.302219423894229</c:v>
                </c:pt>
                <c:pt idx="1200">
                  <c:v>61.520320729502401</c:v>
                </c:pt>
                <c:pt idx="1201">
                  <c:v>63.515532835233977</c:v>
                </c:pt>
                <c:pt idx="1202">
                  <c:v>63.514572234409272</c:v>
                </c:pt>
                <c:pt idx="1203">
                  <c:v>64.966757919436844</c:v>
                </c:pt>
                <c:pt idx="1204">
                  <c:v>64.340299438552719</c:v>
                </c:pt>
                <c:pt idx="1205">
                  <c:v>63.900124455507154</c:v>
                </c:pt>
                <c:pt idx="1206">
                  <c:v>64.646386057729714</c:v>
                </c:pt>
                <c:pt idx="1207">
                  <c:v>63.27385570209465</c:v>
                </c:pt>
                <c:pt idx="1208">
                  <c:v>62.444170645310336</c:v>
                </c:pt>
                <c:pt idx="1209">
                  <c:v>60.509554140127385</c:v>
                </c:pt>
                <c:pt idx="1210">
                  <c:v>60.309317816399961</c:v>
                </c:pt>
                <c:pt idx="1211">
                  <c:v>60.138899488666716</c:v>
                </c:pt>
                <c:pt idx="1212">
                  <c:v>60.914398362271598</c:v>
                </c:pt>
                <c:pt idx="1213">
                  <c:v>#N/A</c:v>
                </c:pt>
                <c:pt idx="1214">
                  <c:v>61.586701926709488</c:v>
                </c:pt>
                <c:pt idx="1215">
                  <c:v>60.576704760463187</c:v>
                </c:pt>
                <c:pt idx="1216">
                  <c:v>61.99163816039529</c:v>
                </c:pt>
                <c:pt idx="1217">
                  <c:v>61.016433353621423</c:v>
                </c:pt>
                <c:pt idx="1218">
                  <c:v>59.169708029197075</c:v>
                </c:pt>
                <c:pt idx="1219">
                  <c:v>58.388697976326831</c:v>
                </c:pt>
                <c:pt idx="1220">
                  <c:v>56.735810348757695</c:v>
                </c:pt>
                <c:pt idx="1221">
                  <c:v>56.596747226022188</c:v>
                </c:pt>
                <c:pt idx="1222">
                  <c:v>55.334346504559264</c:v>
                </c:pt>
                <c:pt idx="1223">
                  <c:v>55.332976527257436</c:v>
                </c:pt>
                <c:pt idx="1224">
                  <c:v>53.871486558933903</c:v>
                </c:pt>
                <c:pt idx="1225">
                  <c:v>54.022281982328082</c:v>
                </c:pt>
                <c:pt idx="1226">
                  <c:v>56.433978132884775</c:v>
                </c:pt>
                <c:pt idx="1227">
                  <c:v>56.009122006841515</c:v>
                </c:pt>
                <c:pt idx="1228">
                  <c:v>56.030303030303024</c:v>
                </c:pt>
                <c:pt idx="1229">
                  <c:v>56.528662420382162</c:v>
                </c:pt>
                <c:pt idx="1230">
                  <c:v>56.403269754768395</c:v>
                </c:pt>
                <c:pt idx="1231">
                  <c:v>57.3056603773585</c:v>
                </c:pt>
                <c:pt idx="1232">
                  <c:v>57.194488366839842</c:v>
                </c:pt>
                <c:pt idx="1233">
                  <c:v>56.142322097378283</c:v>
                </c:pt>
                <c:pt idx="1234">
                  <c:v>56.228528752800607</c:v>
                </c:pt>
                <c:pt idx="1235">
                  <c:v>56.373831775700943</c:v>
                </c:pt>
                <c:pt idx="1236">
                  <c:v>54.538668259181854</c:v>
                </c:pt>
                <c:pt idx="1237">
                  <c:v>53.423329355608587</c:v>
                </c:pt>
                <c:pt idx="1238">
                  <c:v>53.940207261611867</c:v>
                </c:pt>
                <c:pt idx="1239">
                  <c:v>56.663405824366016</c:v>
                </c:pt>
                <c:pt idx="1240">
                  <c:v>56.493849520790889</c:v>
                </c:pt>
                <c:pt idx="1241">
                  <c:v>59.177601464754346</c:v>
                </c:pt>
                <c:pt idx="1242">
                  <c:v>60.489590482727067</c:v>
                </c:pt>
                <c:pt idx="1243">
                  <c:v>62.497132808318675</c:v>
                </c:pt>
                <c:pt idx="1244">
                  <c:v>59.718933781409916</c:v>
                </c:pt>
                <c:pt idx="1245">
                  <c:v>58.950428396572832</c:v>
                </c:pt>
                <c:pt idx="1246">
                  <c:v>60.885891639206072</c:v>
                </c:pt>
                <c:pt idx="1247">
                  <c:v>61.391969407265769</c:v>
                </c:pt>
                <c:pt idx="1248">
                  <c:v>60.098031707130268</c:v>
                </c:pt>
                <c:pt idx="1249">
                  <c:v>56.270047349931275</c:v>
                </c:pt>
                <c:pt idx="1250">
                  <c:v>56.614651395187956</c:v>
                </c:pt>
                <c:pt idx="1251">
                  <c:v>57.220897130106948</c:v>
                </c:pt>
                <c:pt idx="1252">
                  <c:v>55.80699601104633</c:v>
                </c:pt>
                <c:pt idx="1253">
                  <c:v>56.368251038301807</c:v>
                </c:pt>
                <c:pt idx="1254">
                  <c:v>58.25818882466281</c:v>
                </c:pt>
                <c:pt idx="1255">
                  <c:v>57.676861291319128</c:v>
                </c:pt>
                <c:pt idx="1256">
                  <c:v>57.302677262556898</c:v>
                </c:pt>
                <c:pt idx="1257">
                  <c:v>58.20952967438997</c:v>
                </c:pt>
                <c:pt idx="1258">
                  <c:v>55.301631271160353</c:v>
                </c:pt>
                <c:pt idx="1259">
                  <c:v>54.701446598953524</c:v>
                </c:pt>
                <c:pt idx="1260">
                  <c:v>56.332717759310547</c:v>
                </c:pt>
                <c:pt idx="1261">
                  <c:v>56.977286869943988</c:v>
                </c:pt>
                <c:pt idx="1262">
                  <c:v>56.813271604938265</c:v>
                </c:pt>
                <c:pt idx="1263">
                  <c:v>57.692011401278791</c:v>
                </c:pt>
                <c:pt idx="1264">
                  <c:v>59.206275957544996</c:v>
                </c:pt>
                <c:pt idx="1265">
                  <c:v>59.363847944142748</c:v>
                </c:pt>
                <c:pt idx="1266">
                  <c:v>58.271775931055707</c:v>
                </c:pt>
                <c:pt idx="1267">
                  <c:v>57.222351031764433</c:v>
                </c:pt>
                <c:pt idx="1268">
                  <c:v>56.091686091686093</c:v>
                </c:pt>
                <c:pt idx="1269">
                  <c:v>56.847383265434033</c:v>
                </c:pt>
                <c:pt idx="1270">
                  <c:v>57.261867337315309</c:v>
                </c:pt>
                <c:pt idx="1271">
                  <c:v>57.751022977651878</c:v>
                </c:pt>
                <c:pt idx="1272">
                  <c:v>58.15979095732046</c:v>
                </c:pt>
                <c:pt idx="1273">
                  <c:v>58.821202531645568</c:v>
                </c:pt>
                <c:pt idx="1274">
                  <c:v>58.681405448085272</c:v>
                </c:pt>
                <c:pt idx="1275">
                  <c:v>58.744961669169363</c:v>
                </c:pt>
                <c:pt idx="1276">
                  <c:v>59.510223490252024</c:v>
                </c:pt>
                <c:pt idx="1277">
                  <c:v>60.748782629520235</c:v>
                </c:pt>
                <c:pt idx="1278">
                  <c:v>59.174567763524813</c:v>
                </c:pt>
                <c:pt idx="1279">
                  <c:v>59.348881636551781</c:v>
                </c:pt>
                <c:pt idx="1280">
                  <c:v>58.302437485209431</c:v>
                </c:pt>
                <c:pt idx="1281">
                  <c:v>58.287336382274091</c:v>
                </c:pt>
                <c:pt idx="1282">
                  <c:v>58.356940509915013</c:v>
                </c:pt>
                <c:pt idx="1283">
                  <c:v>57.653020825085129</c:v>
                </c:pt>
                <c:pt idx="1284">
                  <c:v>59.074395830042647</c:v>
                </c:pt>
                <c:pt idx="1285">
                  <c:v>58.766131570664157</c:v>
                </c:pt>
                <c:pt idx="1286">
                  <c:v>57.834914164772279</c:v>
                </c:pt>
                <c:pt idx="1287">
                  <c:v>57.898454053205683</c:v>
                </c:pt>
                <c:pt idx="1288">
                  <c:v>57.61956861519225</c:v>
                </c:pt>
                <c:pt idx="1289">
                  <c:v>57.811273355314803</c:v>
                </c:pt>
                <c:pt idx="1290">
                  <c:v>58.364720652856242</c:v>
                </c:pt>
                <c:pt idx="1291">
                  <c:v>57.93538219070134</c:v>
                </c:pt>
                <c:pt idx="1292">
                  <c:v>59.370540669097828</c:v>
                </c:pt>
                <c:pt idx="1293">
                  <c:v>58.545425892364669</c:v>
                </c:pt>
                <c:pt idx="1294">
                  <c:v>57.556447171741013</c:v>
                </c:pt>
                <c:pt idx="1295">
                  <c:v>58.748916725754341</c:v>
                </c:pt>
                <c:pt idx="1296">
                  <c:v>58.76025814676121</c:v>
                </c:pt>
                <c:pt idx="1297">
                  <c:v>58.360577306434891</c:v>
                </c:pt>
                <c:pt idx="1298">
                  <c:v>57.608435178528637</c:v>
                </c:pt>
                <c:pt idx="1299">
                  <c:v>58.617114602440388</c:v>
                </c:pt>
                <c:pt idx="1300">
                  <c:v>#N/A</c:v>
                </c:pt>
                <c:pt idx="1301">
                  <c:v>#N/A</c:v>
                </c:pt>
                <c:pt idx="1302">
                  <c:v>58.654687127295851</c:v>
                </c:pt>
                <c:pt idx="1303">
                  <c:v>59.339780992726389</c:v>
                </c:pt>
                <c:pt idx="1304">
                  <c:v>59.525899912203691</c:v>
                </c:pt>
                <c:pt idx="1305">
                  <c:v>#N/A</c:v>
                </c:pt>
                <c:pt idx="1306">
                  <c:v>61.527272727272724</c:v>
                </c:pt>
                <c:pt idx="1307">
                  <c:v>61.8510158013544</c:v>
                </c:pt>
                <c:pt idx="1308">
                  <c:v>61.77646306363927</c:v>
                </c:pt>
                <c:pt idx="1309">
                  <c:v>62.281965114418306</c:v>
                </c:pt>
                <c:pt idx="1310">
                  <c:v>62.688381137579007</c:v>
                </c:pt>
                <c:pt idx="1311">
                  <c:v>63.756807282776556</c:v>
                </c:pt>
                <c:pt idx="1312">
                  <c:v>65.216680294358142</c:v>
                </c:pt>
                <c:pt idx="1313">
                  <c:v>68.046412113232378</c:v>
                </c:pt>
                <c:pt idx="1314">
                  <c:v>67.527251864601268</c:v>
                </c:pt>
                <c:pt idx="1315">
                  <c:v>68.102463697177356</c:v>
                </c:pt>
                <c:pt idx="1316">
                  <c:v>67.339599509603602</c:v>
                </c:pt>
                <c:pt idx="1317">
                  <c:v>68.060337760288576</c:v>
                </c:pt>
                <c:pt idx="1318">
                  <c:v>66.444317904498504</c:v>
                </c:pt>
                <c:pt idx="1319">
                  <c:v>65.509391007398975</c:v>
                </c:pt>
                <c:pt idx="1320">
                  <c:v>64.945608053255398</c:v>
                </c:pt>
                <c:pt idx="1321">
                  <c:v>63.794222654982157</c:v>
                </c:pt>
                <c:pt idx="1322">
                  <c:v>63.048702338993913</c:v>
                </c:pt>
                <c:pt idx="1323">
                  <c:v>61.97386354525775</c:v>
                </c:pt>
                <c:pt idx="1324">
                  <c:v>62.749356499356502</c:v>
                </c:pt>
                <c:pt idx="1325">
                  <c:v>61.94305935338587</c:v>
                </c:pt>
                <c:pt idx="1326">
                  <c:v>62.099943851768671</c:v>
                </c:pt>
                <c:pt idx="1327">
                  <c:v>62.055367777241273</c:v>
                </c:pt>
                <c:pt idx="1328">
                  <c:v>61.625845955526898</c:v>
                </c:pt>
                <c:pt idx="1329">
                  <c:v>61.376933557746248</c:v>
                </c:pt>
                <c:pt idx="1330">
                  <c:v>59.682057836715124</c:v>
                </c:pt>
                <c:pt idx="1331">
                  <c:v>60.045110359271796</c:v>
                </c:pt>
                <c:pt idx="1332">
                  <c:v>60.109465550547334</c:v>
                </c:pt>
                <c:pt idx="1333">
                  <c:v>61.525423728813557</c:v>
                </c:pt>
                <c:pt idx="1334">
                  <c:v>62.590681928099315</c:v>
                </c:pt>
                <c:pt idx="1335">
                  <c:v>60.624095222776255</c:v>
                </c:pt>
                <c:pt idx="1336">
                  <c:v>60.376906492054623</c:v>
                </c:pt>
                <c:pt idx="1337">
                  <c:v>59.589475352670782</c:v>
                </c:pt>
                <c:pt idx="1338">
                  <c:v>60.13325930038868</c:v>
                </c:pt>
                <c:pt idx="1339">
                  <c:v>60.610384462940935</c:v>
                </c:pt>
                <c:pt idx="1340">
                  <c:v>60.635424940428919</c:v>
                </c:pt>
                <c:pt idx="1341">
                  <c:v>60.873348627482002</c:v>
                </c:pt>
                <c:pt idx="1342">
                  <c:v>59.249881310333912</c:v>
                </c:pt>
                <c:pt idx="1343">
                  <c:v>59.337611916646857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20-4DB3-B37A-DFC4C2485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dateAx>
        <c:axId val="263607040"/>
        <c:scaling>
          <c:orientation val="minMax"/>
          <c:min val="44562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6"/>
        <c:majorTimeUnit val="months"/>
      </c:dateAx>
      <c:valAx>
        <c:axId val="263608576"/>
        <c:scaling>
          <c:orientation val="minMax"/>
          <c:min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1510040240"/>
        <c:scaling>
          <c:orientation val="minMax"/>
          <c:min val="40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dateAx>
        <c:axId val="1510036496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510040240"/>
        <c:crosses val="max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8070661506294767"/>
          <c:y val="0.12252132081223559"/>
          <c:w val="0.46712765988997135"/>
          <c:h val="0.1826355274995724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352563902375782E-2"/>
          <c:y val="0.15504880298060392"/>
          <c:w val="0.89572296429270737"/>
          <c:h val="0.71428169304402633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Data'!$BA$2</c:f>
              <c:strCache>
                <c:ptCount val="1"/>
                <c:pt idx="0">
                  <c:v>Food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Data'!$BA$3:$BA$38</c:f>
              <c:numCache>
                <c:formatCode>0.00</c:formatCode>
                <c:ptCount val="36"/>
                <c:pt idx="0">
                  <c:v>1.9632647677277459</c:v>
                </c:pt>
                <c:pt idx="1">
                  <c:v>1.271887225055468</c:v>
                </c:pt>
                <c:pt idx="2">
                  <c:v>0.80433786347497982</c:v>
                </c:pt>
                <c:pt idx="3">
                  <c:v>-0.11452748733939977</c:v>
                </c:pt>
                <c:pt idx="4">
                  <c:v>-0.81732485131323918</c:v>
                </c:pt>
                <c:pt idx="5">
                  <c:v>-0.9077721777819292</c:v>
                </c:pt>
                <c:pt idx="6">
                  <c:v>-0.69584435557327184</c:v>
                </c:pt>
                <c:pt idx="7">
                  <c:v>-0.52653144333976165</c:v>
                </c:pt>
                <c:pt idx="8">
                  <c:v>-0.56232676160662409</c:v>
                </c:pt>
                <c:pt idx="9">
                  <c:v>-0.29943167429894446</c:v>
                </c:pt>
                <c:pt idx="10">
                  <c:v>0.32758672329495919</c:v>
                </c:pt>
                <c:pt idx="11">
                  <c:v>0.53109472927570511</c:v>
                </c:pt>
                <c:pt idx="12">
                  <c:v>0.67591702026135181</c:v>
                </c:pt>
                <c:pt idx="13">
                  <c:v>0.73139249863038991</c:v>
                </c:pt>
                <c:pt idx="14">
                  <c:v>0.74696703672778586</c:v>
                </c:pt>
                <c:pt idx="15">
                  <c:v>0.94314358415223953</c:v>
                </c:pt>
                <c:pt idx="16">
                  <c:v>1.1539395915018291</c:v>
                </c:pt>
                <c:pt idx="17">
                  <c:v>1.5126527860043426</c:v>
                </c:pt>
                <c:pt idx="18">
                  <c:v>1.1535604598230664</c:v>
                </c:pt>
                <c:pt idx="19">
                  <c:v>1.2150544769566451</c:v>
                </c:pt>
                <c:pt idx="20">
                  <c:v>1.3320920932939018</c:v>
                </c:pt>
                <c:pt idx="21">
                  <c:v>0.96235043851911062</c:v>
                </c:pt>
                <c:pt idx="22">
                  <c:v>1.1550219597647571</c:v>
                </c:pt>
                <c:pt idx="23">
                  <c:v>1.1539155038117865</c:v>
                </c:pt>
                <c:pt idx="24">
                  <c:v>1.1718622952506363</c:v>
                </c:pt>
                <c:pt idx="25">
                  <c:v>1.1652859349128741</c:v>
                </c:pt>
                <c:pt idx="26">
                  <c:v>1.1586351202957257</c:v>
                </c:pt>
                <c:pt idx="27">
                  <c:v>1.1595053904738695</c:v>
                </c:pt>
                <c:pt idx="28">
                  <c:v>1.1537379098287115</c:v>
                </c:pt>
                <c:pt idx="29">
                  <c:v>1.1555318794797209</c:v>
                </c:pt>
                <c:pt idx="30">
                  <c:v>1.1825362909688275</c:v>
                </c:pt>
                <c:pt idx="31">
                  <c:v>1.1625584294112645</c:v>
                </c:pt>
                <c:pt idx="32">
                  <c:v>1.1374183761287515</c:v>
                </c:pt>
                <c:pt idx="33">
                  <c:v>1.1367631086425467</c:v>
                </c:pt>
                <c:pt idx="34">
                  <c:v>1.1225308175947246</c:v>
                </c:pt>
                <c:pt idx="35">
                  <c:v>1.1124769295390413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Data'!$BB$2</c:f>
              <c:strCache>
                <c:ptCount val="1"/>
                <c:pt idx="0">
                  <c:v>Core goods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Data'!$BB$3:$BB$38</c:f>
              <c:numCache>
                <c:formatCode>0.00</c:formatCode>
                <c:ptCount val="36"/>
                <c:pt idx="0">
                  <c:v>8.3186845237626095</c:v>
                </c:pt>
                <c:pt idx="1">
                  <c:v>6.7134167602959982</c:v>
                </c:pt>
                <c:pt idx="2">
                  <c:v>6.0383119423709886</c:v>
                </c:pt>
                <c:pt idx="3">
                  <c:v>4.2109142324238125</c:v>
                </c:pt>
                <c:pt idx="4">
                  <c:v>3.2502554997724697</c:v>
                </c:pt>
                <c:pt idx="5">
                  <c:v>2.9929786980840145</c:v>
                </c:pt>
                <c:pt idx="6">
                  <c:v>2.9391016358870425</c:v>
                </c:pt>
                <c:pt idx="7">
                  <c:v>2.4618948548832176</c:v>
                </c:pt>
                <c:pt idx="8">
                  <c:v>2.6235909526265422</c:v>
                </c:pt>
                <c:pt idx="9">
                  <c:v>2.7310614985862403</c:v>
                </c:pt>
                <c:pt idx="10">
                  <c:v>3.2433226790109737</c:v>
                </c:pt>
                <c:pt idx="11">
                  <c:v>2.8256460391344218</c:v>
                </c:pt>
                <c:pt idx="12">
                  <c:v>3.1140093642812117</c:v>
                </c:pt>
                <c:pt idx="13">
                  <c:v>3.3016893437099348</c:v>
                </c:pt>
                <c:pt idx="14">
                  <c:v>2.8692497084723989</c:v>
                </c:pt>
                <c:pt idx="15">
                  <c:v>3.0382418532550082</c:v>
                </c:pt>
                <c:pt idx="16">
                  <c:v>3.4199924478184318</c:v>
                </c:pt>
                <c:pt idx="17">
                  <c:v>3.4488504135548048</c:v>
                </c:pt>
                <c:pt idx="18">
                  <c:v>3.4288316008338926</c:v>
                </c:pt>
                <c:pt idx="19">
                  <c:v>3.5305889071625796</c:v>
                </c:pt>
                <c:pt idx="20">
                  <c:v>3.3390454003529468</c:v>
                </c:pt>
                <c:pt idx="21">
                  <c:v>3.3689461362311324</c:v>
                </c:pt>
                <c:pt idx="22">
                  <c:v>3.0784852269003071</c:v>
                </c:pt>
                <c:pt idx="23">
                  <c:v>3.1671162710710687</c:v>
                </c:pt>
                <c:pt idx="24">
                  <c:v>3.2384129234523051</c:v>
                </c:pt>
                <c:pt idx="25">
                  <c:v>3.2468110186335553</c:v>
                </c:pt>
                <c:pt idx="26">
                  <c:v>3.2706631348779824</c:v>
                </c:pt>
                <c:pt idx="27">
                  <c:v>3.1441456277731428</c:v>
                </c:pt>
                <c:pt idx="28">
                  <c:v>2.9827403649468565</c:v>
                </c:pt>
                <c:pt idx="29">
                  <c:v>2.829020418132</c:v>
                </c:pt>
                <c:pt idx="30">
                  <c:v>2.645987463030286</c:v>
                </c:pt>
                <c:pt idx="31">
                  <c:v>2.5042718775820649</c:v>
                </c:pt>
                <c:pt idx="32">
                  <c:v>2.3710296815577125</c:v>
                </c:pt>
                <c:pt idx="33">
                  <c:v>2.2152761969882473</c:v>
                </c:pt>
                <c:pt idx="34">
                  <c:v>2.0715835847658237</c:v>
                </c:pt>
                <c:pt idx="35">
                  <c:v>1.9244644445529202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Data'!$BC$2</c:f>
              <c:strCache>
                <c:ptCount val="1"/>
                <c:pt idx="0">
                  <c:v>Food avg</c:v>
                </c:pt>
              </c:strCache>
            </c:strRef>
          </c:tx>
          <c:spPr>
            <a:ln w="25400">
              <a:solidFill>
                <a:srgbClr val="BD1B21"/>
              </a:solidFill>
              <a:prstDash val="dash"/>
            </a:ln>
          </c:spPr>
          <c:marker>
            <c:symbol val="none"/>
          </c:marker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Data'!$BC$3:$BC$38</c:f>
              <c:numCache>
                <c:formatCode>0.0</c:formatCode>
                <c:ptCount val="36"/>
                <c:pt idx="0">
                  <c:v>0.85340363559993171</c:v>
                </c:pt>
                <c:pt idx="1">
                  <c:v>0.85340363559993171</c:v>
                </c:pt>
                <c:pt idx="2">
                  <c:v>0.85340363559993171</c:v>
                </c:pt>
                <c:pt idx="3">
                  <c:v>0.85340363559993171</c:v>
                </c:pt>
                <c:pt idx="4">
                  <c:v>0.85340363559993171</c:v>
                </c:pt>
                <c:pt idx="5">
                  <c:v>0.85340363559993171</c:v>
                </c:pt>
                <c:pt idx="6">
                  <c:v>0.85340363559993171</c:v>
                </c:pt>
                <c:pt idx="7">
                  <c:v>0.85340363559993171</c:v>
                </c:pt>
                <c:pt idx="8">
                  <c:v>0.85340363559993171</c:v>
                </c:pt>
                <c:pt idx="9">
                  <c:v>0.85340363559993171</c:v>
                </c:pt>
                <c:pt idx="10">
                  <c:v>0.85340363559993171</c:v>
                </c:pt>
                <c:pt idx="11">
                  <c:v>0.85340363559993171</c:v>
                </c:pt>
                <c:pt idx="12">
                  <c:v>0.85340363559993171</c:v>
                </c:pt>
                <c:pt idx="13">
                  <c:v>0.85340363559993171</c:v>
                </c:pt>
                <c:pt idx="14">
                  <c:v>0.85340363559993171</c:v>
                </c:pt>
                <c:pt idx="15">
                  <c:v>0.85340363559993171</c:v>
                </c:pt>
                <c:pt idx="16">
                  <c:v>0.85340363559993171</c:v>
                </c:pt>
                <c:pt idx="17">
                  <c:v>0.85340363559993171</c:v>
                </c:pt>
                <c:pt idx="18">
                  <c:v>0.85340363559993171</c:v>
                </c:pt>
                <c:pt idx="19">
                  <c:v>0.85340363559993171</c:v>
                </c:pt>
                <c:pt idx="20">
                  <c:v>0.85340363559993171</c:v>
                </c:pt>
                <c:pt idx="21">
                  <c:v>0.85340363559993171</c:v>
                </c:pt>
                <c:pt idx="22">
                  <c:v>0.85340363559993171</c:v>
                </c:pt>
                <c:pt idx="23">
                  <c:v>0.85340363559993171</c:v>
                </c:pt>
                <c:pt idx="24">
                  <c:v>0.85340363559993171</c:v>
                </c:pt>
                <c:pt idx="25">
                  <c:v>0.85340363559993171</c:v>
                </c:pt>
                <c:pt idx="26">
                  <c:v>0.85340363559993171</c:v>
                </c:pt>
                <c:pt idx="27">
                  <c:v>0.85340363559993171</c:v>
                </c:pt>
                <c:pt idx="28">
                  <c:v>0.85340363559993171</c:v>
                </c:pt>
                <c:pt idx="29">
                  <c:v>0.85340363559993171</c:v>
                </c:pt>
                <c:pt idx="30">
                  <c:v>0.85340363559993171</c:v>
                </c:pt>
                <c:pt idx="31">
                  <c:v>0.85340363559993171</c:v>
                </c:pt>
                <c:pt idx="32">
                  <c:v>0.85340363559993171</c:v>
                </c:pt>
                <c:pt idx="33">
                  <c:v>0.85340363559993171</c:v>
                </c:pt>
                <c:pt idx="34">
                  <c:v>0.85340363559993171</c:v>
                </c:pt>
                <c:pt idx="35">
                  <c:v>0.85340363559993171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Data'!$BD$2</c:f>
              <c:strCache>
                <c:ptCount val="1"/>
                <c:pt idx="0">
                  <c:v>Core goods avg</c:v>
                </c:pt>
              </c:strCache>
            </c:strRef>
          </c:tx>
          <c:spPr>
            <a:ln w="25400">
              <a:solidFill>
                <a:srgbClr val="003469"/>
              </a:solidFill>
              <a:prstDash val="dash"/>
            </a:ln>
          </c:spPr>
          <c:marker>
            <c:symbol val="none"/>
          </c:marker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Data'!$BD$3:$BD$38</c:f>
              <c:numCache>
                <c:formatCode>0.0</c:formatCode>
                <c:ptCount val="36"/>
                <c:pt idx="0">
                  <c:v>2.5013808608161763</c:v>
                </c:pt>
                <c:pt idx="1">
                  <c:v>2.5013808608161763</c:v>
                </c:pt>
                <c:pt idx="2">
                  <c:v>2.5013808608161763</c:v>
                </c:pt>
                <c:pt idx="3">
                  <c:v>2.5013808608161763</c:v>
                </c:pt>
                <c:pt idx="4">
                  <c:v>2.5013808608161763</c:v>
                </c:pt>
                <c:pt idx="5">
                  <c:v>2.5013808608161763</c:v>
                </c:pt>
                <c:pt idx="6">
                  <c:v>2.5013808608161763</c:v>
                </c:pt>
                <c:pt idx="7">
                  <c:v>2.5013808608161763</c:v>
                </c:pt>
                <c:pt idx="8">
                  <c:v>2.5013808608161763</c:v>
                </c:pt>
                <c:pt idx="9">
                  <c:v>2.5013808608161763</c:v>
                </c:pt>
                <c:pt idx="10">
                  <c:v>2.5013808608161763</c:v>
                </c:pt>
                <c:pt idx="11">
                  <c:v>2.5013808608161763</c:v>
                </c:pt>
                <c:pt idx="12">
                  <c:v>2.5013808608161763</c:v>
                </c:pt>
                <c:pt idx="13">
                  <c:v>2.5013808608161763</c:v>
                </c:pt>
                <c:pt idx="14">
                  <c:v>2.5013808608161763</c:v>
                </c:pt>
                <c:pt idx="15">
                  <c:v>2.5013808608161763</c:v>
                </c:pt>
                <c:pt idx="16">
                  <c:v>2.5013808608161763</c:v>
                </c:pt>
                <c:pt idx="17">
                  <c:v>2.5013808608161763</c:v>
                </c:pt>
                <c:pt idx="18">
                  <c:v>2.5013808608161763</c:v>
                </c:pt>
                <c:pt idx="19">
                  <c:v>2.5013808608161763</c:v>
                </c:pt>
                <c:pt idx="20">
                  <c:v>2.5013808608161763</c:v>
                </c:pt>
                <c:pt idx="21">
                  <c:v>2.5013808608161763</c:v>
                </c:pt>
                <c:pt idx="22">
                  <c:v>2.5013808608161763</c:v>
                </c:pt>
                <c:pt idx="23">
                  <c:v>2.5013808608161763</c:v>
                </c:pt>
                <c:pt idx="24">
                  <c:v>2.5013808608161763</c:v>
                </c:pt>
                <c:pt idx="25">
                  <c:v>2.5013808608161763</c:v>
                </c:pt>
                <c:pt idx="26">
                  <c:v>2.5013808608161763</c:v>
                </c:pt>
                <c:pt idx="27">
                  <c:v>2.5013808608161763</c:v>
                </c:pt>
                <c:pt idx="28">
                  <c:v>2.5013808608161763</c:v>
                </c:pt>
                <c:pt idx="29">
                  <c:v>2.5013808608161763</c:v>
                </c:pt>
                <c:pt idx="30">
                  <c:v>2.5013808608161763</c:v>
                </c:pt>
                <c:pt idx="31">
                  <c:v>2.5013808608161763</c:v>
                </c:pt>
                <c:pt idx="32">
                  <c:v>2.5013808608161763</c:v>
                </c:pt>
                <c:pt idx="33">
                  <c:v>2.5013808608161763</c:v>
                </c:pt>
                <c:pt idx="34">
                  <c:v>2.5013808608161763</c:v>
                </c:pt>
                <c:pt idx="35">
                  <c:v>2.5013808608161763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Data'!$BE$2</c:f>
              <c:strCache>
                <c:ptCount val="1"/>
                <c:pt idx="0">
                  <c:v>2010-2019 average</c:v>
                </c:pt>
              </c:strCache>
            </c:strRef>
          </c:tx>
          <c:spPr>
            <a:ln w="1905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Data'!$BE$3:$BE$38</c:f>
              <c:numCache>
                <c:formatCode>General</c:formatCode>
                <c:ptCount val="3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ser>
          <c:idx val="5"/>
          <c:order val="5"/>
          <c:tx>
            <c:strRef>
              <c:f>'Chart Data'!$BF$2</c:f>
              <c:strCache>
                <c:ptCount val="1"/>
                <c:pt idx="0">
                  <c:v>Zeroline</c:v>
                </c:pt>
              </c:strCache>
            </c:strRef>
          </c:tx>
          <c:spPr>
            <a:ln w="12700">
              <a:solidFill>
                <a:srgbClr val="EEECE1">
                  <a:lumMod val="10000"/>
                </a:srgbClr>
              </a:solidFill>
            </a:ln>
          </c:spPr>
          <c:marker>
            <c:symbol val="none"/>
          </c:marker>
          <c:cat>
            <c:numRef>
              <c:f>'Chart Data'!$AZ$3:$AZ$38</c:f>
              <c:numCache>
                <c:formatCode>mmm\-yy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'Chart Data'!$BF$3:$BF$38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635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815671377632426"/>
          <c:y val="0.12941502550360842"/>
          <c:w val="0.68695016847834667"/>
          <c:h val="5.618717182199779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376527955250879E-2"/>
          <c:y val="0.17390277056109482"/>
          <c:w val="0.90027882650945479"/>
          <c:h val="0.6875608372576372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Data'!$BR$2</c:f>
              <c:strCache>
                <c:ptCount val="1"/>
                <c:pt idx="0">
                  <c:v>CPI services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Data'!$BQ$3:$BQ$38</c:f>
              <c:strCache>
                <c:ptCount val="36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</c:strCache>
            </c:strRef>
          </c:cat>
          <c:val>
            <c:numRef>
              <c:f>'Chart Data'!$BR$3:$BR$38</c:f>
              <c:numCache>
                <c:formatCode>0.00</c:formatCode>
                <c:ptCount val="36"/>
                <c:pt idx="0">
                  <c:v>2.4880643755700982</c:v>
                </c:pt>
                <c:pt idx="1">
                  <c:v>2.6615757470573653</c:v>
                </c:pt>
                <c:pt idx="2">
                  <c:v>2.402648154107867</c:v>
                </c:pt>
                <c:pt idx="3">
                  <c:v>2.3727847111732148</c:v>
                </c:pt>
                <c:pt idx="4">
                  <c:v>2.4420382944883023</c:v>
                </c:pt>
                <c:pt idx="5">
                  <c:v>1.9124297366974741</c:v>
                </c:pt>
                <c:pt idx="6">
                  <c:v>1.3977683595527424</c:v>
                </c:pt>
                <c:pt idx="7">
                  <c:v>1.4487675892902674</c:v>
                </c:pt>
                <c:pt idx="8">
                  <c:v>1.5594582651586419</c:v>
                </c:pt>
                <c:pt idx="9">
                  <c:v>1.8670632040735713</c:v>
                </c:pt>
                <c:pt idx="10">
                  <c:v>2.4101613465023597</c:v>
                </c:pt>
                <c:pt idx="11">
                  <c:v>3.323720323398538</c:v>
                </c:pt>
                <c:pt idx="12">
                  <c:v>3.5740429872966883</c:v>
                </c:pt>
                <c:pt idx="13">
                  <c:v>4.9399229990811033</c:v>
                </c:pt>
                <c:pt idx="14">
                  <c:v>5.9272667529450151</c:v>
                </c:pt>
                <c:pt idx="15">
                  <c:v>6.4758868348203213</c:v>
                </c:pt>
                <c:pt idx="16">
                  <c:v>6.3958967255551835</c:v>
                </c:pt>
                <c:pt idx="17">
                  <c:v>7.1599977831966477</c:v>
                </c:pt>
                <c:pt idx="18">
                  <c:v>7.0600784211285017</c:v>
                </c:pt>
                <c:pt idx="19">
                  <c:v>6.4104318428784168</c:v>
                </c:pt>
                <c:pt idx="20">
                  <c:v>6.2048303662659121</c:v>
                </c:pt>
                <c:pt idx="21">
                  <c:v>5.7581861765261033</c:v>
                </c:pt>
                <c:pt idx="22">
                  <c:v>5.2248194810509796</c:v>
                </c:pt>
                <c:pt idx="23">
                  <c:v>4.7952959805545481</c:v>
                </c:pt>
                <c:pt idx="24">
                  <c:v>4.7054626188404391</c:v>
                </c:pt>
                <c:pt idx="25">
                  <c:v>3.5468013247333063</c:v>
                </c:pt>
                <c:pt idx="26">
                  <c:v>3.6082961474631414</c:v>
                </c:pt>
                <c:pt idx="27">
                  <c:v>3.8236673366688345</c:v>
                </c:pt>
                <c:pt idx="28">
                  <c:v>4.1016154409721839</c:v>
                </c:pt>
                <c:pt idx="29">
                  <c:v>3.9247882091621777</c:v>
                </c:pt>
                <c:pt idx="30">
                  <c:v>3.753534085780097</c:v>
                </c:pt>
                <c:pt idx="31">
                  <c:v>3.6773270054176965</c:v>
                </c:pt>
                <c:pt idx="32">
                  <c:v>3.6428280858969098</c:v>
                </c:pt>
                <c:pt idx="33">
                  <c:v>3.5743154570800462</c:v>
                </c:pt>
                <c:pt idx="34">
                  <c:v>3.5209599870061892</c:v>
                </c:pt>
                <c:pt idx="35">
                  <c:v>3.4518877587206509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Data'!$BS$2</c:f>
              <c:strCache>
                <c:ptCount val="1"/>
                <c:pt idx="0">
                  <c:v>AWE total pay growth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Data'!$BQ$3:$BQ$38</c:f>
              <c:strCache>
                <c:ptCount val="36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</c:strCache>
            </c:strRef>
          </c:cat>
          <c:val>
            <c:numRef>
              <c:f>'Chart Data'!$BS$3:$BS$38</c:f>
              <c:numCache>
                <c:formatCode>0.00</c:formatCode>
                <c:ptCount val="36"/>
                <c:pt idx="0">
                  <c:v>3.2552148437499899</c:v>
                </c:pt>
                <c:pt idx="1">
                  <c:v>3.9354771654530798</c:v>
                </c:pt>
                <c:pt idx="2">
                  <c:v>3.8289728033805202</c:v>
                </c:pt>
                <c:pt idx="3">
                  <c:v>2.7146401515151499</c:v>
                </c:pt>
                <c:pt idx="4">
                  <c:v>2.2067968343759898</c:v>
                </c:pt>
                <c:pt idx="5">
                  <c:v>-1.1173184357541801</c:v>
                </c:pt>
                <c:pt idx="6">
                  <c:v>1.4751076505905101</c:v>
                </c:pt>
                <c:pt idx="7">
                  <c:v>4.5482547356026197</c:v>
                </c:pt>
                <c:pt idx="8">
                  <c:v>4.1949478220202199</c:v>
                </c:pt>
                <c:pt idx="9">
                  <c:v>8.8512241054613892</c:v>
                </c:pt>
                <c:pt idx="10">
                  <c:v>6.0569476715292296</c:v>
                </c:pt>
                <c:pt idx="11">
                  <c:v>4.5267548500881798</c:v>
                </c:pt>
                <c:pt idx="12">
                  <c:v>6.9863765541740603</c:v>
                </c:pt>
                <c:pt idx="13">
                  <c:v>5.1326470588235198</c:v>
                </c:pt>
                <c:pt idx="14">
                  <c:v>5.8823468942120503</c:v>
                </c:pt>
                <c:pt idx="15">
                  <c:v>6.3554439620110204</c:v>
                </c:pt>
                <c:pt idx="16">
                  <c:v>6.3087994636856299</c:v>
                </c:pt>
                <c:pt idx="17">
                  <c:v>8.1733292280126602</c:v>
                </c:pt>
                <c:pt idx="18">
                  <c:v>7.7130582524271798</c:v>
                </c:pt>
                <c:pt idx="19">
                  <c:v>5.9228030630778896</c:v>
                </c:pt>
                <c:pt idx="20">
                  <c:v>5.9344094708177701</c:v>
                </c:pt>
                <c:pt idx="21">
                  <c:v>4.5638947547613897</c:v>
                </c:pt>
                <c:pt idx="22">
                  <c:v>4.4066046866998096</c:v>
                </c:pt>
                <c:pt idx="23">
                  <c:v>5.99101318067832</c:v>
                </c:pt>
                <c:pt idx="24">
                  <c:v>5.6993958574641601</c:v>
                </c:pt>
                <c:pt idx="25">
                  <c:v>5.5549469231303101</c:v>
                </c:pt>
                <c:pt idx="26">
                  <c:v>5.2257410071942401</c:v>
                </c:pt>
                <c:pt idx="27">
                  <c:v>4.0656286356274798</c:v>
                </c:pt>
                <c:pt idx="28">
                  <c:v>3.4308592733386098</c:v>
                </c:pt>
                <c:pt idx="29">
                  <c:v>2.9112589510640801</c:v>
                </c:pt>
                <c:pt idx="30">
                  <c:v>2.7887560406274199</c:v>
                </c:pt>
                <c:pt idx="31">
                  <c:v>2.7377057505739</c:v>
                </c:pt>
                <c:pt idx="32">
                  <c:v>2.6525912529124298</c:v>
                </c:pt>
                <c:pt idx="33">
                  <c:v>2.5922214562680401</c:v>
                </c:pt>
                <c:pt idx="34">
                  <c:v>2.5478114271179799</c:v>
                </c:pt>
                <c:pt idx="35">
                  <c:v>2.5453631796910101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Data'!$BT$2</c:f>
              <c:strCache>
                <c:ptCount val="1"/>
                <c:pt idx="0">
                  <c:v>Zeroline</c:v>
                </c:pt>
              </c:strCache>
            </c:strRef>
          </c:tx>
          <c:spPr>
            <a:ln w="9525">
              <a:solidFill>
                <a:srgbClr val="495057"/>
              </a:solidFill>
            </a:ln>
          </c:spPr>
          <c:marker>
            <c:symbol val="none"/>
          </c:marker>
          <c:cat>
            <c:strRef>
              <c:f>'Chart Data'!$BQ$3:$BQ$38</c:f>
              <c:strCache>
                <c:ptCount val="36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  <c:pt idx="33">
                  <c:v>2027</c:v>
                </c:pt>
                <c:pt idx="34">
                  <c:v>2027</c:v>
                </c:pt>
                <c:pt idx="35">
                  <c:v>2027</c:v>
                </c:pt>
              </c:strCache>
            </c:strRef>
          </c:cat>
          <c:val>
            <c:numRef>
              <c:f>'Chart Data'!$BT$3:$BT$38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26767689489977764"/>
          <c:y val="0.11048552188652444"/>
          <c:w val="0.37893684149994228"/>
          <c:h val="3.7365423661664933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EC25F1-17DB-4188-B68D-3EDB7FFB505D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0D48C4-BCD0-4067-B887-3BBEA3D1BDE1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35C6B4-3B66-4508-BA56-6030DD405DDC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55F092-916D-4A08-9DF8-3299DE926C8A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82734E-9ACA-47DB-9CA2-8A421DAC884B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F5CA77-B5EA-487D-BEA5-85C9BF4F26D7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D1BE80-F596-4003-838A-FEFBC73B1E7C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73EA31-93D2-4331-B72A-B28A8F23ACCB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E7ACE4-CEDC-4ABC-A161-0B30069CF223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34979A-EBF8-44BA-A1C6-A7EB96057C0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15E733-6BEF-4D5B-AEEE-969A52026A41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05C153-6491-41F5-86BD-D00280073C55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DFF42-BB75-02DC-64DA-895328E3B7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7BA562-1AE0-72CF-DD92-743EF7A1A9A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Petrol and oil prices</a:t>
          </a:r>
        </a:p>
      </cdr:txBody>
    </cdr:sp>
  </cdr:relSizeAnchor>
  <cdr:relSizeAnchor xmlns:cdr="http://schemas.openxmlformats.org/drawingml/2006/chartDrawing">
    <cdr:from>
      <cdr:x>0.00546</cdr:x>
      <cdr:y>0.95026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7D34BF8-FAF0-24BF-BBB7-2421C8F6467F}"/>
            </a:ext>
          </a:extLst>
        </cdr:cNvPr>
        <cdr:cNvSpPr/>
      </cdr:nvSpPr>
      <cdr:spPr>
        <a:xfrm xmlns:a="http://schemas.openxmlformats.org/drawingml/2006/main">
          <a:off x="45974" y="6396182"/>
          <a:ext cx="8047679" cy="334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0.00452</cdr:x>
      <cdr:y>0.07263</cdr:y>
    </cdr:from>
    <cdr:to>
      <cdr:x>0.2339</cdr:x>
      <cdr:y>0.12357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3F0299C-D4B0-4C5F-DEA8-DC6F5C6F67FF}"/>
            </a:ext>
          </a:extLst>
        </cdr:cNvPr>
        <cdr:cNvSpPr txBox="1"/>
      </cdr:nvSpPr>
      <cdr:spPr>
        <a:xfrm xmlns:a="http://schemas.openxmlformats.org/drawingml/2006/main">
          <a:off x="38100" y="488425"/>
          <a:ext cx="193357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per litre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0.77062</cdr:x>
      <cdr:y>0.06704</cdr:y>
    </cdr:from>
    <cdr:to>
      <cdr:x>1</cdr:x>
      <cdr:y>0.11798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26E58F6A-4836-B7C1-9F58-1EE4C1F70513}"/>
            </a:ext>
          </a:extLst>
        </cdr:cNvPr>
        <cdr:cNvSpPr txBox="1"/>
      </cdr:nvSpPr>
      <cdr:spPr>
        <a:xfrm xmlns:a="http://schemas.openxmlformats.org/drawingml/2006/main">
          <a:off x="6496050" y="450850"/>
          <a:ext cx="193357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per barrel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2C4D6-1D13-3D0C-D4C9-E8978A84BE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C81E16-F833-E97C-18A4-51B8D1F08332}"/>
            </a:ext>
          </a:extLst>
        </cdr:cNvPr>
        <cdr:cNvSpPr txBox="1"/>
      </cdr:nvSpPr>
      <cdr:spPr>
        <a:xfrm xmlns:a="http://schemas.openxmlformats.org/drawingml/2006/main">
          <a:off x="0" y="54412"/>
          <a:ext cx="8428182" cy="5444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Stylised passthrough to CPI of Q4's sterling depreciation</a:t>
          </a:r>
        </a:p>
      </cdr:txBody>
    </cdr:sp>
  </cdr:relSizeAnchor>
  <cdr:relSizeAnchor xmlns:cdr="http://schemas.openxmlformats.org/drawingml/2006/chartDrawing">
    <cdr:from>
      <cdr:x>0</cdr:x>
      <cdr:y>0.95228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E603E03-1659-6234-7CC6-97A64C115E82}"/>
            </a:ext>
          </a:extLst>
        </cdr:cNvPr>
        <cdr:cNvSpPr/>
      </cdr:nvSpPr>
      <cdr:spPr>
        <a:xfrm xmlns:a="http://schemas.openxmlformats.org/drawingml/2006/main">
          <a:off x="0" y="6396182"/>
          <a:ext cx="8415986" cy="3205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51916CE-B225-9CE2-E95B-113A1E209BC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Annual inflation,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ppts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0.79018</cdr:x>
      <cdr:y>0.08148</cdr:y>
    </cdr:from>
    <cdr:to>
      <cdr:x>1</cdr:x>
      <cdr:y>0.17533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6E18EC4-4193-0DB6-CDB9-4D6E7F1311CE}"/>
            </a:ext>
          </a:extLst>
        </cdr:cNvPr>
        <cdr:cNvSpPr txBox="1"/>
      </cdr:nvSpPr>
      <cdr:spPr>
        <a:xfrm xmlns:a="http://schemas.openxmlformats.org/drawingml/2006/main">
          <a:off x="6650183" y="547254"/>
          <a:ext cx="1765803" cy="630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Price level,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ppts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0.60137</cdr:x>
      <cdr:y>0.92808</cdr:y>
    </cdr:from>
    <cdr:to>
      <cdr:x>0.79884</cdr:x>
      <cdr:y>0.9863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1DFAFD9-2A9F-3CE2-AA5B-59EDB9E80D25}"/>
            </a:ext>
          </a:extLst>
        </cdr:cNvPr>
        <cdr:cNvSpPr txBox="1"/>
      </cdr:nvSpPr>
      <cdr:spPr>
        <a:xfrm xmlns:a="http://schemas.openxmlformats.org/drawingml/2006/main">
          <a:off x="5068453" y="6257636"/>
          <a:ext cx="1664311" cy="39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Years ahead</a:t>
          </a:r>
        </a:p>
      </cdr:txBody>
    </cdr:sp>
  </cdr:relSizeAnchor>
  <cdr:relSizeAnchor xmlns:cdr="http://schemas.openxmlformats.org/drawingml/2006/chartDrawing">
    <cdr:from>
      <cdr:x>0.76724</cdr:x>
      <cdr:y>0.95734</cdr:y>
    </cdr:from>
    <cdr:to>
      <cdr:x>0.87272</cdr:x>
      <cdr:y>0.95734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3FBAC76-CCEF-EC05-BCAB-3F8D99145DEB}"/>
            </a:ext>
          </a:extLst>
        </cdr:cNvPr>
        <cdr:cNvCxnSpPr/>
      </cdr:nvCxnSpPr>
      <cdr:spPr>
        <a:xfrm xmlns:a="http://schemas.openxmlformats.org/drawingml/2006/main" flipV="1">
          <a:off x="6466458" y="6454914"/>
          <a:ext cx="889000" cy="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ysClr val="windowText" lastClr="00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929D5-EA3E-6852-C072-F3EF1E92A7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0.0054</cdr:y>
    </cdr:from>
    <cdr:to>
      <cdr:x>0.93534</cdr:x>
      <cdr:y>0.07905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B1CDF75-2BB9-EC47-F91A-5062F5EEEACF}"/>
            </a:ext>
          </a:extLst>
        </cdr:cNvPr>
        <cdr:cNvSpPr txBox="1"/>
      </cdr:nvSpPr>
      <cdr:spPr>
        <a:xfrm xmlns:a="http://schemas.openxmlformats.org/drawingml/2006/main">
          <a:off x="0" y="36346"/>
          <a:ext cx="7883251" cy="49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 prices &amp; price cap observation windows</a:t>
          </a:r>
        </a:p>
      </cdr:txBody>
    </cdr:sp>
  </cdr:relSizeAnchor>
  <cdr:relSizeAnchor xmlns:cdr="http://schemas.openxmlformats.org/drawingml/2006/chartDrawing">
    <cdr:from>
      <cdr:x>0</cdr:x>
      <cdr:y>0.94637</cdr:y>
    </cdr:from>
    <cdr:to>
      <cdr:x>0.68468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9DB6C1-C0FC-5CCC-B3DB-715799F977D9}"/>
            </a:ext>
          </a:extLst>
        </cdr:cNvPr>
        <cdr:cNvSpPr/>
      </cdr:nvSpPr>
      <cdr:spPr>
        <a:xfrm xmlns:a="http://schemas.openxmlformats.org/drawingml/2006/main">
          <a:off x="0" y="6358008"/>
          <a:ext cx="5765113" cy="360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0.16876</cdr:x>
      <cdr:y>0.16124</cdr:y>
    </cdr:from>
    <cdr:to>
      <cdr:x>0.1726</cdr:x>
      <cdr:y>0.8319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DEB861ED-4BCE-8F2E-9A4D-8A50BD02B041}"/>
            </a:ext>
          </a:extLst>
        </cdr:cNvPr>
        <cdr:cNvCxnSpPr/>
      </cdr:nvCxnSpPr>
      <cdr:spPr>
        <a:xfrm xmlns:a="http://schemas.openxmlformats.org/drawingml/2006/main" flipH="1">
          <a:off x="1422368" y="1085273"/>
          <a:ext cx="32360" cy="451424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0.19022</cdr:x>
      <cdr:y>0.17475</cdr:y>
    </cdr:from>
    <cdr:to>
      <cdr:x>0.36783</cdr:x>
      <cdr:y>0.23722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8BC5A97-5523-5CA9-AF46-4497DCD559FF}"/>
            </a:ext>
          </a:extLst>
        </cdr:cNvPr>
        <cdr:cNvSpPr txBox="1"/>
      </cdr:nvSpPr>
      <cdr:spPr>
        <a:xfrm xmlns:a="http://schemas.openxmlformats.org/drawingml/2006/main">
          <a:off x="1603238" y="1176216"/>
          <a:ext cx="1496916" cy="420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D1A21E"/>
              </a:solidFill>
              <a:latin typeface="Segoe UI" panose="020B0502040204020203" pitchFamily="34" charset="0"/>
            </a:rPr>
            <a:t>Jul-24 cap</a:t>
          </a:r>
        </a:p>
      </cdr:txBody>
    </cdr:sp>
  </cdr:relSizeAnchor>
  <cdr:relSizeAnchor xmlns:cdr="http://schemas.openxmlformats.org/drawingml/2006/chartDrawing">
    <cdr:from>
      <cdr:x>0</cdr:x>
      <cdr:y>0.07959</cdr:y>
    </cdr:from>
    <cdr:to>
      <cdr:x>0.70308</cdr:x>
      <cdr:y>0.15467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B4EF494-4BBE-5B10-6F1C-2D78E2C3D637}"/>
            </a:ext>
          </a:extLst>
        </cdr:cNvPr>
        <cdr:cNvSpPr txBox="1"/>
      </cdr:nvSpPr>
      <cdr:spPr>
        <a:xfrm xmlns:a="http://schemas.openxmlformats.org/drawingml/2006/main">
          <a:off x="0" y="534699"/>
          <a:ext cx="5919971" cy="5043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 per therm</a:t>
          </a:r>
        </a:p>
      </cdr:txBody>
    </cdr:sp>
  </cdr:relSizeAnchor>
  <cdr:relSizeAnchor xmlns:cdr="http://schemas.openxmlformats.org/drawingml/2006/chartDrawing">
    <cdr:from>
      <cdr:x>0.03757</cdr:x>
      <cdr:y>0.89603</cdr:y>
    </cdr:from>
    <cdr:to>
      <cdr:x>0.18808</cdr:x>
      <cdr:y>0.97538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AE2B377-16D5-AA4E-C170-3E64ED44121B}"/>
            </a:ext>
          </a:extLst>
        </cdr:cNvPr>
        <cdr:cNvSpPr txBox="1"/>
      </cdr:nvSpPr>
      <cdr:spPr>
        <a:xfrm xmlns:a="http://schemas.openxmlformats.org/drawingml/2006/main">
          <a:off x="316345" y="6019800"/>
          <a:ext cx="1267310" cy="533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2024</a:t>
          </a:r>
        </a:p>
      </cdr:txBody>
    </cdr:sp>
  </cdr:relSizeAnchor>
  <cdr:relSizeAnchor xmlns:cdr="http://schemas.openxmlformats.org/drawingml/2006/chartDrawing">
    <cdr:from>
      <cdr:x>0.79309</cdr:x>
      <cdr:y>0.89775</cdr:y>
    </cdr:from>
    <cdr:to>
      <cdr:x>0.88441</cdr:x>
      <cdr:y>0.96065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3F9FD45A-CAF3-30BA-A57C-8C370E6629AA}"/>
            </a:ext>
          </a:extLst>
        </cdr:cNvPr>
        <cdr:cNvSpPr txBox="1"/>
      </cdr:nvSpPr>
      <cdr:spPr>
        <a:xfrm xmlns:a="http://schemas.openxmlformats.org/drawingml/2006/main">
          <a:off x="6677891" y="6031347"/>
          <a:ext cx="768927" cy="4225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2025</a:t>
          </a:r>
        </a:p>
      </cdr:txBody>
    </cdr:sp>
  </cdr:relSizeAnchor>
  <cdr:relSizeAnchor xmlns:cdr="http://schemas.openxmlformats.org/drawingml/2006/chartDrawing">
    <cdr:from>
      <cdr:x>0.34712</cdr:x>
      <cdr:y>0.16535</cdr:y>
    </cdr:from>
    <cdr:to>
      <cdr:x>0.35096</cdr:x>
      <cdr:y>0.83602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08802B8E-A072-F4FA-845D-207729269488}"/>
            </a:ext>
          </a:extLst>
        </cdr:cNvPr>
        <cdr:cNvCxnSpPr/>
      </cdr:nvCxnSpPr>
      <cdr:spPr>
        <a:xfrm xmlns:a="http://schemas.openxmlformats.org/drawingml/2006/main" flipH="1">
          <a:off x="2925618" y="1112982"/>
          <a:ext cx="32360" cy="451424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0.52247</cdr:x>
      <cdr:y>0.16364</cdr:y>
    </cdr:from>
    <cdr:to>
      <cdr:x>0.52631</cdr:x>
      <cdr:y>0.8343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5EC38FD9-5A4B-39AA-6595-0D6CE66AAAFD}"/>
            </a:ext>
          </a:extLst>
        </cdr:cNvPr>
        <cdr:cNvCxnSpPr/>
      </cdr:nvCxnSpPr>
      <cdr:spPr>
        <a:xfrm xmlns:a="http://schemas.openxmlformats.org/drawingml/2006/main" flipH="1">
          <a:off x="4403473" y="1103350"/>
          <a:ext cx="32364" cy="452195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0.70055</cdr:x>
      <cdr:y>0.16192</cdr:y>
    </cdr:from>
    <cdr:to>
      <cdr:x>0.70439</cdr:x>
      <cdr:y>0.83259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055825C4-7071-2E36-FC78-26D94351851D}"/>
            </a:ext>
          </a:extLst>
        </cdr:cNvPr>
        <cdr:cNvCxnSpPr/>
      </cdr:nvCxnSpPr>
      <cdr:spPr>
        <a:xfrm xmlns:a="http://schemas.openxmlformats.org/drawingml/2006/main" flipH="1">
          <a:off x="5904346" y="1089891"/>
          <a:ext cx="32360" cy="451424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0.87589</cdr:x>
      <cdr:y>0.16535</cdr:y>
    </cdr:from>
    <cdr:to>
      <cdr:x>0.87973</cdr:x>
      <cdr:y>0.83601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90450D9F-1AFD-2AE6-B448-F91BD9471D65}"/>
            </a:ext>
          </a:extLst>
        </cdr:cNvPr>
        <cdr:cNvCxnSpPr/>
      </cdr:nvCxnSpPr>
      <cdr:spPr>
        <a:xfrm xmlns:a="http://schemas.openxmlformats.org/drawingml/2006/main" flipH="1">
          <a:off x="7382163" y="1114895"/>
          <a:ext cx="32364" cy="452195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0.71562</cdr:x>
      <cdr:y>0.1825</cdr:y>
    </cdr:from>
    <cdr:to>
      <cdr:x>0.89322</cdr:x>
      <cdr:y>0.24498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D0446A3C-155F-9E3E-DCEA-EC9E5F0AF468}"/>
            </a:ext>
          </a:extLst>
        </cdr:cNvPr>
        <cdr:cNvSpPr txBox="1"/>
      </cdr:nvSpPr>
      <cdr:spPr>
        <a:xfrm xmlns:a="http://schemas.openxmlformats.org/drawingml/2006/main">
          <a:off x="6031345" y="1228437"/>
          <a:ext cx="1496916" cy="420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00793F"/>
              </a:solidFill>
              <a:latin typeface="Segoe UI" panose="020B0502040204020203" pitchFamily="34" charset="0"/>
            </a:rPr>
            <a:t>Apr-25 cap</a:t>
          </a:r>
        </a:p>
      </cdr:txBody>
    </cdr:sp>
  </cdr:relSizeAnchor>
  <cdr:relSizeAnchor xmlns:cdr="http://schemas.openxmlformats.org/drawingml/2006/chartDrawing">
    <cdr:from>
      <cdr:x>0.54438</cdr:x>
      <cdr:y>0.18079</cdr:y>
    </cdr:from>
    <cdr:to>
      <cdr:x>0.72199</cdr:x>
      <cdr:y>0.24326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D0446A3C-155F-9E3E-DCEA-EC9E5F0AF468}"/>
            </a:ext>
          </a:extLst>
        </cdr:cNvPr>
        <cdr:cNvSpPr txBox="1"/>
      </cdr:nvSpPr>
      <cdr:spPr>
        <a:xfrm xmlns:a="http://schemas.openxmlformats.org/drawingml/2006/main">
          <a:off x="4588163" y="1216891"/>
          <a:ext cx="1496916" cy="420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965793"/>
              </a:solidFill>
              <a:latin typeface="Segoe UI" panose="020B0502040204020203" pitchFamily="34" charset="0"/>
            </a:rPr>
            <a:t>Jan-25 cap</a:t>
          </a:r>
        </a:p>
      </cdr:txBody>
    </cdr:sp>
  </cdr:relSizeAnchor>
  <cdr:relSizeAnchor xmlns:cdr="http://schemas.openxmlformats.org/drawingml/2006/chartDrawing">
    <cdr:from>
      <cdr:x>0.35945</cdr:x>
      <cdr:y>0.17736</cdr:y>
    </cdr:from>
    <cdr:to>
      <cdr:x>0.53706</cdr:x>
      <cdr:y>0.23983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D0446A3C-155F-9E3E-DCEA-EC9E5F0AF468}"/>
            </a:ext>
          </a:extLst>
        </cdr:cNvPr>
        <cdr:cNvSpPr txBox="1"/>
      </cdr:nvSpPr>
      <cdr:spPr>
        <a:xfrm xmlns:a="http://schemas.openxmlformats.org/drawingml/2006/main">
          <a:off x="3029527" y="1193800"/>
          <a:ext cx="1496916" cy="420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7B7C77"/>
              </a:solidFill>
              <a:latin typeface="Segoe UI" panose="020B0502040204020203" pitchFamily="34" charset="0"/>
            </a:rPr>
            <a:t>Oct-24 cap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6B045-EAF9-96B2-E44A-0EE0053853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14224-D2E4-D016-B36F-F301A4B1C0F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1E8D448E-A4F5-3A6B-1F5F-5984B1688CD3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Analytics, Bank of England</a:t>
          </a:r>
        </a:p>
      </cdr:txBody>
    </cdr:sp>
  </cdr:relSizeAnchor>
  <cdr:relSizeAnchor xmlns:cdr="http://schemas.openxmlformats.org/drawingml/2006/chartDrawing">
    <cdr:from>
      <cdr:x>0.72357</cdr:x>
      <cdr:y>0.21074</cdr:y>
    </cdr:from>
    <cdr:to>
      <cdr:x>0.72357</cdr:x>
      <cdr:y>0.85929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8304AECF-EDFD-58FB-F221-6010BA5E2E00}"/>
            </a:ext>
          </a:extLst>
        </cdr:cNvPr>
        <cdr:cNvCxnSpPr/>
      </cdr:nvCxnSpPr>
      <cdr:spPr>
        <a:xfrm xmlns:a="http://schemas.openxmlformats.org/drawingml/2006/main">
          <a:off x="6092512" y="1415826"/>
          <a:ext cx="0" cy="4357144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0.79967</cdr:x>
      <cdr:y>0.32934</cdr:y>
    </cdr:from>
    <cdr:to>
      <cdr:x>0.95057</cdr:x>
      <cdr:y>0.40876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7C555F4-6D7A-47FE-22CB-9A0DD75FF484}"/>
            </a:ext>
          </a:extLst>
        </cdr:cNvPr>
        <cdr:cNvSpPr txBox="1"/>
      </cdr:nvSpPr>
      <cdr:spPr>
        <a:xfrm xmlns:a="http://schemas.openxmlformats.org/drawingml/2006/main">
          <a:off x="6733315" y="2212614"/>
          <a:ext cx="1270621" cy="53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4514EB7-1C99-0D5F-E61C-D7A3FB05899C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0.36117</cdr:x>
      <cdr:y>0.67778</cdr:y>
    </cdr:from>
    <cdr:to>
      <cdr:x>0.51207</cdr:x>
      <cdr:y>0.75719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2FF1AD5D-E4C3-2BA0-9511-1FAACEF7BF23}"/>
            </a:ext>
          </a:extLst>
        </cdr:cNvPr>
        <cdr:cNvSpPr txBox="1"/>
      </cdr:nvSpPr>
      <cdr:spPr>
        <a:xfrm xmlns:a="http://schemas.openxmlformats.org/drawingml/2006/main">
          <a:off x="3041073" y="4553528"/>
          <a:ext cx="1270621" cy="533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  <cdr:relSizeAnchor xmlns:cdr="http://schemas.openxmlformats.org/drawingml/2006/chartDrawing">
    <cdr:from>
      <cdr:x>0.56986</cdr:x>
      <cdr:y>0.02911</cdr:y>
    </cdr:from>
    <cdr:to>
      <cdr:x>0.99041</cdr:x>
      <cdr:y>0.15411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B1A5C8B-40E9-8E45-9175-FA6FE89DC5A6}"/>
            </a:ext>
          </a:extLst>
        </cdr:cNvPr>
        <cdr:cNvSpPr txBox="1"/>
      </cdr:nvSpPr>
      <cdr:spPr>
        <a:xfrm xmlns:a="http://schemas.openxmlformats.org/drawingml/2006/main">
          <a:off x="4802909" y="196271"/>
          <a:ext cx="3544454" cy="842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*BoE modal forecast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based 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on market interest rate expectations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51F12-7A6A-C142-2BC2-42D01D6D6D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CCD916-0441-074F-EFAB-C8ADC4943E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Decision Maker Panel - firms' reaction to NICs rise</a:t>
          </a:r>
        </a:p>
      </cdr:txBody>
    </cdr:sp>
  </cdr:relSizeAnchor>
  <cdr:relSizeAnchor xmlns:cdr="http://schemas.openxmlformats.org/drawingml/2006/chartDrawing">
    <cdr:from>
      <cdr:x>0</cdr:x>
      <cdr:y>0.94712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699D76EA-BB00-0028-25F9-B0089D49B58D}"/>
            </a:ext>
          </a:extLst>
        </cdr:cNvPr>
        <cdr:cNvSpPr/>
      </cdr:nvSpPr>
      <cdr:spPr>
        <a:xfrm xmlns:a="http://schemas.openxmlformats.org/drawingml/2006/main">
          <a:off x="0" y="6361544"/>
          <a:ext cx="8415986" cy="3551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80CCA02-9479-6F2A-29DB-CADB6460D86F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respondents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44EF9-180E-4124-C92D-6AB5667E37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1F640D-6A1A-7EFE-70D7-87B2BFCE494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0.9392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7758B9-A2B1-1151-5E12-7C235A93DC9B}"/>
            </a:ext>
          </a:extLst>
        </cdr:cNvPr>
        <cdr:cNvSpPr/>
      </cdr:nvSpPr>
      <cdr:spPr>
        <a:xfrm xmlns:a="http://schemas.openxmlformats.org/drawingml/2006/main">
          <a:off x="50800" y="5905271"/>
          <a:ext cx="8660984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0.70193</cdr:x>
      <cdr:y>0.21275</cdr:y>
    </cdr:from>
    <cdr:to>
      <cdr:x>0.70193</cdr:x>
      <cdr:y>0.86182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149D04D-C8DA-83D8-7390-EFE73F6FF406}"/>
            </a:ext>
          </a:extLst>
        </cdr:cNvPr>
        <cdr:cNvCxnSpPr/>
      </cdr:nvCxnSpPr>
      <cdr:spPr>
        <a:xfrm xmlns:a="http://schemas.openxmlformats.org/drawingml/2006/main">
          <a:off x="5902657" y="1428186"/>
          <a:ext cx="0" cy="435711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0.79146</cdr:x>
      <cdr:y>0.33034</cdr:y>
    </cdr:from>
    <cdr:to>
      <cdr:x>0.94251</cdr:x>
      <cdr:y>0.40982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109F0A9-6630-0252-E99A-2983113139B6}"/>
            </a:ext>
          </a:extLst>
        </cdr:cNvPr>
        <cdr:cNvSpPr txBox="1"/>
      </cdr:nvSpPr>
      <cdr:spPr>
        <a:xfrm xmlns:a="http://schemas.openxmlformats.org/drawingml/2006/main">
          <a:off x="6655592" y="2217548"/>
          <a:ext cx="1270142" cy="533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0.07569</cdr:y>
    </cdr:from>
    <cdr:to>
      <cdr:x>1</cdr:x>
      <cdr:y>0.12679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F41F2E3-A4A1-648C-3A2C-DE56934A4F2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0.36168</cdr:x>
      <cdr:y>0.67611</cdr:y>
    </cdr:from>
    <cdr:to>
      <cdr:x>0.55987</cdr:x>
      <cdr:y>0.75559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BA9ECEE-0984-1E60-7B64-F2A237D1B4B8}"/>
            </a:ext>
          </a:extLst>
        </cdr:cNvPr>
        <cdr:cNvSpPr txBox="1"/>
      </cdr:nvSpPr>
      <cdr:spPr>
        <a:xfrm xmlns:a="http://schemas.openxmlformats.org/drawingml/2006/main">
          <a:off x="3041420" y="4538613"/>
          <a:ext cx="1666651" cy="5335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B9AEF-A2A5-805B-D668-1D7BD4AF75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B927CB4-638C-868A-BC1B-A27744C93EF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CPI inflation from food and core goods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B00C29C-EC28-0258-000A-C6FC672739D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0.35204</cdr:x>
      <cdr:y>0.18827</cdr:y>
    </cdr:from>
    <cdr:to>
      <cdr:x>0.35204</cdr:x>
      <cdr:y>0.83682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19D5B21C-7D62-FB3A-8780-3A32F91AACA3}"/>
            </a:ext>
          </a:extLst>
        </cdr:cNvPr>
        <cdr:cNvCxnSpPr/>
      </cdr:nvCxnSpPr>
      <cdr:spPr>
        <a:xfrm xmlns:a="http://schemas.openxmlformats.org/drawingml/2006/main">
          <a:off x="2960369" y="1265538"/>
          <a:ext cx="0" cy="435950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0.84355</cdr:x>
      <cdr:y>0.31387</cdr:y>
    </cdr:from>
    <cdr:to>
      <cdr:x>0.99445</cdr:x>
      <cdr:y>0.39329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8DBBBBD-8BEC-A95E-5CA3-87D86C752F97}"/>
            </a:ext>
          </a:extLst>
        </cdr:cNvPr>
        <cdr:cNvSpPr txBox="1"/>
      </cdr:nvSpPr>
      <cdr:spPr>
        <a:xfrm xmlns:a="http://schemas.openxmlformats.org/drawingml/2006/main">
          <a:off x="7099300" y="21082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35492F8-7507-3E18-A46C-E04CF641AF82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8BDE5-FFB8-1DE2-1D5E-CB23F7B62B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097E139-1DA2-8905-3633-E3076C8704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Underlying services inflation and inflation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expectations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9326C65-3236-D1F6-4D46-11202348584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Monetary Policy Report, BoE Decision Marker Panel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0.09481</cdr:x>
      <cdr:y>0.13908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C396A9A-EFA1-3A5E-F5E0-41270F637D35}"/>
            </a:ext>
          </a:extLst>
        </cdr:cNvPr>
        <cdr:cNvSpPr txBox="1"/>
      </cdr:nvSpPr>
      <cdr:spPr>
        <a:xfrm xmlns:a="http://schemas.openxmlformats.org/drawingml/2006/main">
          <a:off x="0" y="508121"/>
          <a:ext cx="798286" cy="426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y/y %</a:t>
          </a:r>
        </a:p>
      </cdr:txBody>
    </cdr:sp>
  </cdr:relSizeAnchor>
  <cdr:relSizeAnchor xmlns:cdr="http://schemas.openxmlformats.org/drawingml/2006/chartDrawing">
    <cdr:from>
      <cdr:x>0.90519</cdr:x>
      <cdr:y>0.08588</cdr:y>
    </cdr:from>
    <cdr:to>
      <cdr:x>1</cdr:x>
      <cdr:y>0.14932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BA4D41F1-F7CF-6ADF-178A-AAAE9E858A23}"/>
            </a:ext>
          </a:extLst>
        </cdr:cNvPr>
        <cdr:cNvSpPr txBox="1"/>
      </cdr:nvSpPr>
      <cdr:spPr>
        <a:xfrm xmlns:a="http://schemas.openxmlformats.org/drawingml/2006/main">
          <a:off x="7621814" y="576942"/>
          <a:ext cx="798286" cy="426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y/y %</a:t>
          </a:r>
        </a:p>
      </cdr:txBody>
    </cdr:sp>
  </cdr:relSizeAnchor>
  <cdr:relSizeAnchor xmlns:cdr="http://schemas.openxmlformats.org/drawingml/2006/chartDrawing">
    <cdr:from>
      <cdr:x>0.24305</cdr:x>
      <cdr:y>0.69754</cdr:y>
    </cdr:from>
    <cdr:to>
      <cdr:x>0.79078</cdr:x>
      <cdr:y>0.81015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635380EF-73E1-65AA-1502-24B9B89E674E}"/>
            </a:ext>
          </a:extLst>
        </cdr:cNvPr>
        <cdr:cNvSpPr txBox="1"/>
      </cdr:nvSpPr>
      <cdr:spPr>
        <a:xfrm xmlns:a="http://schemas.openxmlformats.org/drawingml/2006/main">
          <a:off x="2046514" y="4686300"/>
          <a:ext cx="4611915" cy="756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*CPI services excluding indexed and volatile components, rents, and foreign holidays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FD16D-D1FE-4068-5B0A-817E1A9D12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D6ED38-64FC-6960-7D88-280B5201884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Food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prices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0.94939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FD16A40-C432-8F05-3E06-54704AE97DCF}"/>
            </a:ext>
          </a:extLst>
        </cdr:cNvPr>
        <cdr:cNvSpPr/>
      </cdr:nvSpPr>
      <cdr:spPr>
        <a:xfrm xmlns:a="http://schemas.openxmlformats.org/drawingml/2006/main">
          <a:off x="0" y="6373091"/>
          <a:ext cx="8409214" cy="3397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0.90889</cdr:x>
      <cdr:y>0.06965</cdr:y>
    </cdr:from>
    <cdr:to>
      <cdr:x>1</cdr:x>
      <cdr:y>0.14906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1DB90F5-A4EB-0986-68E3-2EA75449DB26}"/>
            </a:ext>
          </a:extLst>
        </cdr:cNvPr>
        <cdr:cNvSpPr txBox="1"/>
      </cdr:nvSpPr>
      <cdr:spPr>
        <a:xfrm xmlns:a="http://schemas.openxmlformats.org/drawingml/2006/main">
          <a:off x="7643091" y="467543"/>
          <a:ext cx="766123" cy="533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y/y %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B3F582D-E601-532F-32C6-0C027F0BF751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y/y %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12630150" cy="1009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F7BB3-173E-E2A2-B61E-92575A06F4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7BA562-1AE0-72CF-DD92-743EF7A1A9A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Petrol and oil prices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7D34BF8-FAF0-24BF-BBB7-2421C8F6467F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0.00452</cdr:x>
      <cdr:y>0.07263</cdr:y>
    </cdr:from>
    <cdr:to>
      <cdr:x>0.2339</cdr:x>
      <cdr:y>0.12357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3F0299C-D4B0-4C5F-DEA8-DC6F5C6F67FF}"/>
            </a:ext>
          </a:extLst>
        </cdr:cNvPr>
        <cdr:cNvSpPr txBox="1"/>
      </cdr:nvSpPr>
      <cdr:spPr>
        <a:xfrm xmlns:a="http://schemas.openxmlformats.org/drawingml/2006/main">
          <a:off x="38100" y="488425"/>
          <a:ext cx="193357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per litre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0.77062</cdr:x>
      <cdr:y>0.06704</cdr:y>
    </cdr:from>
    <cdr:to>
      <cdr:x>1</cdr:x>
      <cdr:y>0.11798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26E58F6A-4836-B7C1-9F58-1EE4C1F70513}"/>
            </a:ext>
          </a:extLst>
        </cdr:cNvPr>
        <cdr:cNvSpPr txBox="1"/>
      </cdr:nvSpPr>
      <cdr:spPr>
        <a:xfrm xmlns:a="http://schemas.openxmlformats.org/drawingml/2006/main">
          <a:off x="6496050" y="450850"/>
          <a:ext cx="193357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per barrel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12613821" cy="1008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6E064-6648-79E2-8778-3C9087CAE6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1DDA1FE-D37F-D58F-601A-13A9128C808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Food and core goods prices</a:t>
          </a:r>
        </a:p>
      </cdr:txBody>
    </cdr:sp>
  </cdr:relSizeAnchor>
  <cdr:relSizeAnchor xmlns:cdr="http://schemas.openxmlformats.org/drawingml/2006/chartDrawing">
    <cdr:from>
      <cdr:x>0</cdr:x>
      <cdr:y>0.94979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C9AF085-279D-1451-A8B7-860241E3E051}"/>
            </a:ext>
          </a:extLst>
        </cdr:cNvPr>
        <cdr:cNvSpPr/>
      </cdr:nvSpPr>
      <cdr:spPr>
        <a:xfrm xmlns:a="http://schemas.openxmlformats.org/drawingml/2006/main">
          <a:off x="0" y="6377214"/>
          <a:ext cx="8421557" cy="3371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0.35934</cdr:x>
      <cdr:y>0.22076</cdr:y>
    </cdr:from>
    <cdr:to>
      <cdr:x>0.35934</cdr:x>
      <cdr:y>0.86954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EB8E41D-82B8-FD13-1736-D2ABDBDA2F06}"/>
            </a:ext>
          </a:extLst>
        </cdr:cNvPr>
        <cdr:cNvCxnSpPr/>
      </cdr:nvCxnSpPr>
      <cdr:spPr>
        <a:xfrm xmlns:a="http://schemas.openxmlformats.org/drawingml/2006/main">
          <a:off x="3026228" y="1482271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0.46275</cdr:x>
      <cdr:y>0.30588</cdr:y>
    </cdr:from>
    <cdr:to>
      <cdr:x>0.61355</cdr:x>
      <cdr:y>0.38532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71F284D-C03F-92D3-4F5F-F1C244F61B2B}"/>
            </a:ext>
          </a:extLst>
        </cdr:cNvPr>
        <cdr:cNvSpPr txBox="1"/>
      </cdr:nvSpPr>
      <cdr:spPr>
        <a:xfrm xmlns:a="http://schemas.openxmlformats.org/drawingml/2006/main">
          <a:off x="3897086" y="2053771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0.07566</cdr:y>
    </cdr:from>
    <cdr:to>
      <cdr:x>1</cdr:x>
      <cdr:y>0.12673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630A34F-0998-8793-721C-8CA9969D6B9D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12642273" cy="101138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081A3-8DF8-9720-E4F5-BBCA537CC2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50D4206-AF3D-43FE-432E-67F4DB14062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services inflation and pay growth</a:t>
          </a:r>
        </a:p>
      </cdr:txBody>
    </cdr:sp>
  </cdr:relSizeAnchor>
  <cdr:relSizeAnchor xmlns:cdr="http://schemas.openxmlformats.org/drawingml/2006/chartDrawing">
    <cdr:from>
      <cdr:x>0</cdr:x>
      <cdr:y>0.94884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399DFBC-1750-3DB4-5F47-0CD080404771}"/>
            </a:ext>
          </a:extLst>
        </cdr:cNvPr>
        <cdr:cNvSpPr/>
      </cdr:nvSpPr>
      <cdr:spPr>
        <a:xfrm xmlns:a="http://schemas.openxmlformats.org/drawingml/2006/main">
          <a:off x="0" y="6373090"/>
          <a:ext cx="8415986" cy="3435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0.65629</cdr:x>
      <cdr:y>0.21246</cdr:y>
    </cdr:from>
    <cdr:to>
      <cdr:x>0.65629</cdr:x>
      <cdr:y>0.86101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66AFD563-371F-C6F3-6209-8E1ED7D661FC}"/>
            </a:ext>
          </a:extLst>
        </cdr:cNvPr>
        <cdr:cNvCxnSpPr/>
      </cdr:nvCxnSpPr>
      <cdr:spPr>
        <a:xfrm xmlns:a="http://schemas.openxmlformats.org/drawingml/2006/main">
          <a:off x="5523346" y="1427018"/>
          <a:ext cx="0" cy="43561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0.77221</cdr:x>
      <cdr:y>0.27434</cdr:y>
    </cdr:from>
    <cdr:to>
      <cdr:x>0.92312</cdr:x>
      <cdr:y>0.35375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9A02B76-F815-9C30-9E4F-BA4A3CDDC3DF}"/>
            </a:ext>
          </a:extLst>
        </cdr:cNvPr>
        <cdr:cNvSpPr txBox="1"/>
      </cdr:nvSpPr>
      <cdr:spPr>
        <a:xfrm xmlns:a="http://schemas.openxmlformats.org/drawingml/2006/main">
          <a:off x="6498937" y="184265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73364F7-51BC-06FE-829E-89C0D403F82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50204%20Inflation%20Forecast%20(macro%20forecast).xlsx" TargetMode="External"/><Relationship Id="rId1" Type="http://schemas.openxmlformats.org/officeDocument/2006/relationships/externalLinkPath" Target="file:///Z:\UK%20Team\Inflation%20Model\20250204%20Inflation%20Forecast%20(macro%20forecast)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xecon-my.sharepoint.com/personal/eallenby_oxfordeconomics_com/Documents/Documents/2025-02/Inflation%20RB/FX%20pass%20through%20to%20CPI%20v1%204.xlsx" TargetMode="External"/><Relationship Id="rId1" Type="http://schemas.openxmlformats.org/officeDocument/2006/relationships/externalLinkPath" Target="FX%20pass%20through%20to%20CPI%20v1%204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xecon-my.sharepoint.com/personal/eallenby_oxfordeconomics_com/Documents/Documents/2025-02/Inflation%20RB/20250204%20Inflation%20Forecast%20(macro%20forecast).xlsx" TargetMode="External"/><Relationship Id="rId1" Type="http://schemas.openxmlformats.org/officeDocument/2006/relationships/externalLinkPath" Target="20250204%20Inflation%20Forecast%20(macro%20forecast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50305%20Inflation%20Forecast%20(macro%20forecast).xlsx" TargetMode="External"/><Relationship Id="rId1" Type="http://schemas.openxmlformats.org/officeDocument/2006/relationships/externalLinkPath" Target="file:///Z:\UK%20Team\Inflation%20Model\20250305%20Inflation%20Forecast%20(macro%20forecast)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50219%20Inflation%20Forecast.xlsx" TargetMode="External"/><Relationship Id="rId1" Type="http://schemas.openxmlformats.org/officeDocument/2006/relationships/externalLinkPath" Target="file:///Z:\UK%20Team\Inflation%20Model\20250219%20Inflation%20Forecast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4\20241115%20Inflation%20Forecast%20(macro%20forecast).xlsx" TargetMode="External"/><Relationship Id="rId1" Type="http://schemas.openxmlformats.org/officeDocument/2006/relationships/externalLinkPath" Target="file:///Z:\UK%20Team\Inflation%20Model\2024\20241115%20Inflation%20Forecast%20(macro%20forecast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K%20Team\New%20RPI\20240104%20RPI%20Monthly%20Model%20(macro%20forecast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K%20Team\New%20RPI\20231030%20RPI%20Monthly%20Model%20(macro%20foreca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CTPBR06L_original"/>
      <sheetName val="1.1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CV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CHGSPD19.FIN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EN &amp; FU"/>
      <sheetName val="Conts to CPI fcst, FD, EN,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294">
          <cell r="D294">
            <v>1.769270563890335</v>
          </cell>
        </row>
        <row r="295">
          <cell r="D295">
            <v>1.7095297388894481</v>
          </cell>
        </row>
        <row r="296">
          <cell r="D296">
            <v>1.5233075399050389</v>
          </cell>
        </row>
        <row r="297">
          <cell r="D297">
            <v>0.76742263060585181</v>
          </cell>
        </row>
        <row r="298">
          <cell r="D298">
            <v>0.47986067365768381</v>
          </cell>
        </row>
        <row r="299">
          <cell r="D299">
            <v>0.60315195537972155</v>
          </cell>
        </row>
        <row r="300">
          <cell r="D300">
            <v>1.040306070459196</v>
          </cell>
        </row>
        <row r="301">
          <cell r="D301">
            <v>0.21960784313725945</v>
          </cell>
        </row>
        <row r="302">
          <cell r="D302">
            <v>0.53190018344564383</v>
          </cell>
        </row>
        <row r="303">
          <cell r="D303">
            <v>0.69715045522538155</v>
          </cell>
        </row>
        <row r="304">
          <cell r="D304">
            <v>0.31506508581378156</v>
          </cell>
        </row>
        <row r="305">
          <cell r="D305">
            <v>0.58876644676224554</v>
          </cell>
        </row>
        <row r="306">
          <cell r="D306">
            <v>0.70058042811194099</v>
          </cell>
        </row>
        <row r="307">
          <cell r="D307">
            <v>0.41421588932151199</v>
          </cell>
        </row>
        <row r="308">
          <cell r="D308">
            <v>0.71432516523370904</v>
          </cell>
        </row>
        <row r="309">
          <cell r="D309">
            <v>1.5259222378963599</v>
          </cell>
        </row>
        <row r="310">
          <cell r="D310">
            <v>2.1149484631128646</v>
          </cell>
        </row>
        <row r="311">
          <cell r="D311">
            <v>2.5141825683341779</v>
          </cell>
        </row>
        <row r="312">
          <cell r="D312">
            <v>2.0399369223998765</v>
          </cell>
        </row>
        <row r="313">
          <cell r="D313">
            <v>3.1966707484371026</v>
          </cell>
        </row>
        <row r="314">
          <cell r="D314">
            <v>3.0800689553990734</v>
          </cell>
        </row>
        <row r="315">
          <cell r="D315">
            <v>4.2062116585513509</v>
          </cell>
        </row>
        <row r="316">
          <cell r="D316">
            <v>5.129900542744581</v>
          </cell>
        </row>
        <row r="317">
          <cell r="D317">
            <v>5.3860457447490573</v>
          </cell>
        </row>
        <row r="318">
          <cell r="D318">
            <v>5.4555133359032171</v>
          </cell>
        </row>
        <row r="319">
          <cell r="D319">
            <v>6.1766080906415777</v>
          </cell>
        </row>
        <row r="320">
          <cell r="D320">
            <v>7.0231240288821883</v>
          </cell>
        </row>
        <row r="321">
          <cell r="D321">
            <v>9.010661677897458</v>
          </cell>
        </row>
        <row r="322">
          <cell r="D322">
            <v>9.082701336222442</v>
          </cell>
        </row>
        <row r="323">
          <cell r="D323">
            <v>9.4121134807841003</v>
          </cell>
        </row>
        <row r="324">
          <cell r="D324">
            <v>10.100901192305267</v>
          </cell>
        </row>
        <row r="325">
          <cell r="D325">
            <v>9.8701878038988333</v>
          </cell>
        </row>
        <row r="326">
          <cell r="D326">
            <v>10.095627807676898</v>
          </cell>
        </row>
        <row r="327">
          <cell r="D327">
            <v>11.051566349876808</v>
          </cell>
        </row>
        <row r="328">
          <cell r="D328">
            <v>10.672012718712054</v>
          </cell>
        </row>
        <row r="329">
          <cell r="D329">
            <v>10.5283743731041</v>
          </cell>
        </row>
        <row r="330">
          <cell r="D330">
            <v>10.051523960382269</v>
          </cell>
        </row>
        <row r="331">
          <cell r="D331">
            <v>10.416396867742407</v>
          </cell>
        </row>
        <row r="332">
          <cell r="D332">
            <v>10.056877380566043</v>
          </cell>
        </row>
        <row r="333">
          <cell r="D333">
            <v>8.6582358625745712</v>
          </cell>
        </row>
        <row r="334">
          <cell r="D334">
            <v>8.6806820062903522</v>
          </cell>
        </row>
        <row r="335">
          <cell r="D335">
            <v>7.9496842952270885</v>
          </cell>
        </row>
        <row r="336">
          <cell r="D336">
            <v>6.827214193032427</v>
          </cell>
        </row>
        <row r="337">
          <cell r="D337">
            <v>6.6570305648488093</v>
          </cell>
        </row>
        <row r="338">
          <cell r="D338">
            <v>6.6521767234414053</v>
          </cell>
        </row>
        <row r="339">
          <cell r="D339">
            <v>4.5998779705068937</v>
          </cell>
        </row>
        <row r="340">
          <cell r="D340">
            <v>3.9409916807425782</v>
          </cell>
        </row>
        <row r="341">
          <cell r="D341">
            <v>3.993268535119987</v>
          </cell>
        </row>
        <row r="342">
          <cell r="D342">
            <v>3.9811146171913947</v>
          </cell>
        </row>
        <row r="343">
          <cell r="D343">
            <v>3.4114721796515868</v>
          </cell>
        </row>
        <row r="344">
          <cell r="D344">
            <v>3.228059284550322</v>
          </cell>
        </row>
        <row r="345">
          <cell r="D345">
            <v>2.3330700994410813</v>
          </cell>
        </row>
        <row r="346">
          <cell r="D346">
            <v>1.9899777622079284</v>
          </cell>
        </row>
        <row r="347">
          <cell r="D347">
            <v>1.9753105200307042</v>
          </cell>
        </row>
        <row r="348">
          <cell r="D348">
            <v>2.2344448264008276</v>
          </cell>
        </row>
        <row r="349">
          <cell r="D349">
            <v>2.2162837086778353</v>
          </cell>
        </row>
        <row r="350">
          <cell r="D350">
            <v>1.6803412198761913</v>
          </cell>
        </row>
        <row r="351">
          <cell r="D351">
            <v>2.2809914851064983</v>
          </cell>
        </row>
        <row r="352">
          <cell r="D352">
            <v>2.622126709546091</v>
          </cell>
        </row>
        <row r="353">
          <cell r="D353">
            <v>2.5029869481707712</v>
          </cell>
        </row>
        <row r="354">
          <cell r="D354">
            <v>2.9299358991263791</v>
          </cell>
        </row>
        <row r="355">
          <cell r="D355">
            <v>2.7893520771343105</v>
          </cell>
        </row>
        <row r="356">
          <cell r="D356">
            <v>2.4927347958146662</v>
          </cell>
        </row>
        <row r="357">
          <cell r="D357">
            <v>2.9477402103418759</v>
          </cell>
        </row>
        <row r="358">
          <cell r="D358">
            <v>2.9369169340834222</v>
          </cell>
        </row>
        <row r="359">
          <cell r="D359">
            <v>3.0157487094142787</v>
          </cell>
        </row>
        <row r="360">
          <cell r="D360">
            <v>3.331850169768269</v>
          </cell>
        </row>
        <row r="361">
          <cell r="D361">
            <v>3.4275243791342058</v>
          </cell>
        </row>
        <row r="362">
          <cell r="D362">
            <v>3.6316394299771515</v>
          </cell>
        </row>
        <row r="363">
          <cell r="D363">
            <v>3.2787191856370246</v>
          </cell>
        </row>
        <row r="364">
          <cell r="D364">
            <v>3.3443887095299107</v>
          </cell>
        </row>
        <row r="365">
          <cell r="D365">
            <v>3.4876174781230951</v>
          </cell>
        </row>
        <row r="366">
          <cell r="D366">
            <v>3.1644425195658243</v>
          </cell>
        </row>
        <row r="367">
          <cell r="D367">
            <v>3.0952067369270031</v>
          </cell>
        </row>
        <row r="368">
          <cell r="D368">
            <v>3.0577653734418009</v>
          </cell>
        </row>
        <row r="369">
          <cell r="D369">
            <v>2.6569960581116936</v>
          </cell>
        </row>
        <row r="370">
          <cell r="D370">
            <v>2.596173311298311</v>
          </cell>
        </row>
        <row r="371">
          <cell r="D371">
            <v>2.5446070008659172</v>
          </cell>
        </row>
        <row r="372">
          <cell r="D372">
            <v>2.3487160702371668</v>
          </cell>
        </row>
        <row r="373">
          <cell r="D373">
            <v>2.3112168417464218</v>
          </cell>
        </row>
        <row r="374">
          <cell r="D374">
            <v>2.2308695905112863</v>
          </cell>
        </row>
        <row r="375">
          <cell r="D375">
            <v>2.0481070811291024</v>
          </cell>
        </row>
        <row r="376">
          <cell r="D376">
            <v>2.0124743938161771</v>
          </cell>
        </row>
        <row r="377">
          <cell r="D377">
            <v>1.9993262621935237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gebra"/>
      <sheetName val="Notes"/>
      <sheetName val="GEM"/>
      <sheetName val="Haver"/>
      <sheetName val="Data&amp;model"/>
      <sheetName val="Panel data"/>
      <sheetName val="Impulse responses"/>
      <sheetName val="Regression output summary"/>
      <sheetName val="FX in 2024"/>
      <sheetName val="Bilateral vs. trade weights"/>
      <sheetName val="FX in 2024 vs tradeweights"/>
      <sheetName val="IRF inflation"/>
      <sheetName val="IRF price level"/>
      <sheetName val="EZ IRF example"/>
      <sheetName val="Chile IRF example"/>
      <sheetName val="PI pass-through to PI_EXP 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DK9">
            <v>0.26727527997872441</v>
          </cell>
          <cell r="EN9">
            <v>9.5902362320226767E-2</v>
          </cell>
        </row>
        <row r="10">
          <cell r="DK10">
            <v>0.42339588240242299</v>
          </cell>
          <cell r="EN10">
            <v>0.20175133292083253</v>
          </cell>
        </row>
        <row r="11">
          <cell r="DK11">
            <v>0.57439710888892659</v>
          </cell>
          <cell r="EN11">
            <v>0.34535061014306417</v>
          </cell>
        </row>
        <row r="12">
          <cell r="DK12">
            <v>0.60063748234885406</v>
          </cell>
          <cell r="EN12">
            <v>0.49550998073027769</v>
          </cell>
        </row>
        <row r="13">
          <cell r="DK13">
            <v>0.58307828530608519</v>
          </cell>
          <cell r="EN13">
            <v>0.64127955205679898</v>
          </cell>
        </row>
        <row r="14">
          <cell r="DK14">
            <v>0.55128786583636147</v>
          </cell>
          <cell r="EN14">
            <v>0.77910151851588938</v>
          </cell>
        </row>
        <row r="15">
          <cell r="DK15">
            <v>0.51601219896545292</v>
          </cell>
          <cell r="EN15">
            <v>0.90810456825725261</v>
          </cell>
        </row>
        <row r="16">
          <cell r="DK16">
            <v>0.48109182101842851</v>
          </cell>
          <cell r="EN16">
            <v>1.0283775235118597</v>
          </cell>
        </row>
        <row r="17">
          <cell r="DK17">
            <v>0.44783231388484795</v>
          </cell>
          <cell r="EN17">
            <v>1.1403356019830717</v>
          </cell>
        </row>
        <row r="18">
          <cell r="DK18">
            <v>0.41661096065555175</v>
          </cell>
          <cell r="EN18">
            <v>1.2444883421469597</v>
          </cell>
        </row>
        <row r="19">
          <cell r="DK19">
            <v>0.38746865197270108</v>
          </cell>
          <cell r="EN19">
            <v>1.3413555051401349</v>
          </cell>
        </row>
        <row r="20">
          <cell r="DK20">
            <v>0.3603282577757782</v>
          </cell>
          <cell r="EN20">
            <v>1.4314375695840795</v>
          </cell>
        </row>
        <row r="21">
          <cell r="DK21">
            <v>0.33507513716177034</v>
          </cell>
          <cell r="EN21">
            <v>1.5152063538745222</v>
          </cell>
        </row>
        <row r="22">
          <cell r="DK22">
            <v>0.31158663908380901</v>
          </cell>
          <cell r="EN22">
            <v>1.5931030136454745</v>
          </cell>
        </row>
        <row r="23">
          <cell r="DK23">
            <v>0.28974269143115777</v>
          </cell>
          <cell r="EN23">
            <v>1.665538686503264</v>
          </cell>
        </row>
        <row r="24">
          <cell r="DK24">
            <v>0.26942937441216736</v>
          </cell>
          <cell r="EN24">
            <v>1.7328960301063059</v>
          </cell>
        </row>
        <row r="25">
          <cell r="DK25">
            <v>0.25053989940408256</v>
          </cell>
          <cell r="EN25">
            <v>1.7955310049573265</v>
          </cell>
        </row>
        <row r="26">
          <cell r="DK26">
            <v>0.23297464046924038</v>
          </cell>
          <cell r="EN26">
            <v>1.8537746650746367</v>
          </cell>
        </row>
        <row r="27">
          <cell r="DK27">
            <v>0.21664083316082205</v>
          </cell>
          <cell r="EN27">
            <v>1.9079348733648422</v>
          </cell>
        </row>
        <row r="28">
          <cell r="DK28">
            <v>0.20145216971988561</v>
          </cell>
          <cell r="EN28">
            <v>1.9582979157948137</v>
          </cell>
        </row>
        <row r="29">
          <cell r="DK29">
            <v>0.18732837542593272</v>
          </cell>
          <cell r="EN29">
            <v>2.005130009651297</v>
          </cell>
        </row>
        <row r="30">
          <cell r="DK30">
            <v>0.17419479670735172</v>
          </cell>
          <cell r="EN30">
            <v>2.0486787088281351</v>
          </cell>
        </row>
        <row r="31">
          <cell r="DK31">
            <v>0.16198201129053377</v>
          </cell>
          <cell r="EN31">
            <v>2.0891742116507683</v>
          </cell>
        </row>
        <row r="32">
          <cell r="DK32">
            <v>0.15062546306626884</v>
          </cell>
          <cell r="EN32">
            <v>2.1268305774173357</v>
          </cell>
        </row>
        <row r="33">
          <cell r="DK33">
            <v>0.14006512155247611</v>
          </cell>
          <cell r="EN33">
            <v>2.1618468578054548</v>
          </cell>
        </row>
        <row r="34">
          <cell r="DK34">
            <v>0.13024516484599932</v>
          </cell>
          <cell r="EN34">
            <v>2.1944081490169545</v>
          </cell>
        </row>
        <row r="35">
          <cell r="DK35">
            <v>0.1211136846536835</v>
          </cell>
          <cell r="EN35">
            <v>2.2246865701803755</v>
          </cell>
        </row>
        <row r="36">
          <cell r="DK36">
            <v>0.11262241194606443</v>
          </cell>
          <cell r="EN36">
            <v>2.2528421731668917</v>
          </cell>
        </row>
        <row r="37">
          <cell r="DK37">
            <v>0.10472646182309574</v>
          </cell>
          <cell r="EN37">
            <v>2.2790237886226659</v>
          </cell>
        </row>
        <row r="38">
          <cell r="DK38">
            <v>9.738409625862382E-2</v>
          </cell>
          <cell r="EN38">
            <v>2.3033698126873219</v>
          </cell>
        </row>
        <row r="39">
          <cell r="DK39">
            <v>9.0556503475440281E-2</v>
          </cell>
          <cell r="EN39">
            <v>2.326008938556182</v>
          </cell>
        </row>
        <row r="40">
          <cell r="DK40">
            <v>8.4207592787009802E-2</v>
          </cell>
          <cell r="EN40">
            <v>2.3470608367529344</v>
          </cell>
        </row>
        <row r="41">
          <cell r="DK41">
            <v>7.830380382231221E-2</v>
          </cell>
          <cell r="EN41">
            <v>2.3666367877085124</v>
          </cell>
        </row>
        <row r="42">
          <cell r="DK42">
            <v>7.2813929125715118E-2</v>
          </cell>
          <cell r="EN42">
            <v>2.3848402699899411</v>
          </cell>
        </row>
        <row r="43">
          <cell r="DK43">
            <v>6.7708949194278056E-2</v>
          </cell>
          <cell r="EN43">
            <v>2.4017675072885107</v>
          </cell>
        </row>
        <row r="44">
          <cell r="DK44">
            <v>6.2961879080549177E-2</v>
          </cell>
          <cell r="EN44">
            <v>2.4175079770586478</v>
          </cell>
        </row>
        <row r="45">
          <cell r="DK45">
            <v>5.8547625750017762E-2</v>
          </cell>
          <cell r="EN45">
            <v>2.4321448834961523</v>
          </cell>
        </row>
        <row r="46">
          <cell r="DK46">
            <v>5.4442855439221643E-2</v>
          </cell>
          <cell r="EN46">
            <v>2.4457555973559577</v>
          </cell>
        </row>
        <row r="47">
          <cell r="DK47">
            <v>5.0625870313367363E-2</v>
          </cell>
          <cell r="EN47">
            <v>2.4584120649342998</v>
          </cell>
        </row>
        <row r="48">
          <cell r="DK48">
            <v>4.707649377147597E-2</v>
          </cell>
          <cell r="EN48">
            <v>2.4701811883771687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342">
          <cell r="V342">
            <v>1.9632647677277459</v>
          </cell>
          <cell r="AN342">
            <v>8.3186845237626095</v>
          </cell>
        </row>
        <row r="343">
          <cell r="V343">
            <v>1.271887225055468</v>
          </cell>
          <cell r="AN343">
            <v>6.7134167602959982</v>
          </cell>
        </row>
        <row r="344">
          <cell r="V344">
            <v>0.80433786347497982</v>
          </cell>
          <cell r="AN344">
            <v>6.0383119423709886</v>
          </cell>
        </row>
        <row r="345">
          <cell r="V345">
            <v>-0.11452748733939977</v>
          </cell>
          <cell r="AN345">
            <v>4.2109142324238125</v>
          </cell>
        </row>
        <row r="346">
          <cell r="V346">
            <v>-0.81732485131323918</v>
          </cell>
          <cell r="AN346">
            <v>3.2502554997724697</v>
          </cell>
        </row>
        <row r="347">
          <cell r="V347">
            <v>-0.9077721777819292</v>
          </cell>
          <cell r="AN347">
            <v>2.9929786980840145</v>
          </cell>
        </row>
        <row r="348">
          <cell r="V348">
            <v>-0.69584435557327184</v>
          </cell>
          <cell r="AN348">
            <v>2.9391016358870425</v>
          </cell>
        </row>
        <row r="349">
          <cell r="V349">
            <v>-0.52653144333976165</v>
          </cell>
          <cell r="AN349">
            <v>2.4618948548832176</v>
          </cell>
        </row>
        <row r="350">
          <cell r="V350">
            <v>-0.56232676160662409</v>
          </cell>
          <cell r="AN350">
            <v>2.6235909526265422</v>
          </cell>
        </row>
        <row r="351">
          <cell r="V351">
            <v>-0.29943167429894446</v>
          </cell>
          <cell r="AN351">
            <v>2.7310614985862403</v>
          </cell>
        </row>
        <row r="352">
          <cell r="V352">
            <v>0.32758672329495919</v>
          </cell>
          <cell r="AN352">
            <v>3.2433226790109737</v>
          </cell>
        </row>
        <row r="353">
          <cell r="V353">
            <v>0.53109472927570511</v>
          </cell>
          <cell r="AN353">
            <v>2.8256460391344218</v>
          </cell>
        </row>
        <row r="354">
          <cell r="V354">
            <v>0.67591702026135181</v>
          </cell>
          <cell r="AN354">
            <v>3.1140093642812117</v>
          </cell>
        </row>
        <row r="355">
          <cell r="V355">
            <v>0.73139249863038991</v>
          </cell>
          <cell r="AN355">
            <v>3.3016893437099348</v>
          </cell>
        </row>
        <row r="356">
          <cell r="V356">
            <v>0.74696703672778586</v>
          </cell>
          <cell r="AN356">
            <v>2.8692497084723989</v>
          </cell>
        </row>
        <row r="357">
          <cell r="V357">
            <v>0.94314358415223953</v>
          </cell>
          <cell r="AN357">
            <v>3.0382418532550082</v>
          </cell>
        </row>
        <row r="358">
          <cell r="V358">
            <v>1.1539395915018291</v>
          </cell>
          <cell r="AN358">
            <v>3.4199924478184318</v>
          </cell>
        </row>
        <row r="359">
          <cell r="V359">
            <v>1.5126527860043426</v>
          </cell>
          <cell r="AN359">
            <v>3.4488504135548048</v>
          </cell>
        </row>
        <row r="360">
          <cell r="V360">
            <v>1.1535604598230664</v>
          </cell>
          <cell r="AN360">
            <v>3.4288316008338926</v>
          </cell>
        </row>
        <row r="361">
          <cell r="V361">
            <v>1.2150544769566451</v>
          </cell>
          <cell r="AN361">
            <v>3.5305889071625796</v>
          </cell>
        </row>
        <row r="362">
          <cell r="V362">
            <v>1.3320920932939018</v>
          </cell>
          <cell r="AN362">
            <v>3.3390454003529468</v>
          </cell>
        </row>
        <row r="363">
          <cell r="V363">
            <v>0.96235043851911062</v>
          </cell>
          <cell r="AN363">
            <v>3.3689461362311324</v>
          </cell>
        </row>
        <row r="364">
          <cell r="V364">
            <v>1.1550219597647571</v>
          </cell>
          <cell r="AN364">
            <v>3.0784852269003071</v>
          </cell>
        </row>
        <row r="365">
          <cell r="V365">
            <v>1.1539155038117865</v>
          </cell>
          <cell r="AN365">
            <v>3.1671162710710687</v>
          </cell>
        </row>
        <row r="366">
          <cell r="V366">
            <v>1.1718622952506363</v>
          </cell>
          <cell r="AN366">
            <v>3.2384129234523051</v>
          </cell>
        </row>
        <row r="367">
          <cell r="V367">
            <v>1.1652859349128741</v>
          </cell>
          <cell r="AN367">
            <v>3.2468110186335553</v>
          </cell>
        </row>
        <row r="368">
          <cell r="V368">
            <v>1.1586351202957257</v>
          </cell>
          <cell r="AN368">
            <v>3.2706631348779824</v>
          </cell>
        </row>
        <row r="369">
          <cell r="V369">
            <v>1.1595053904738695</v>
          </cell>
          <cell r="AN369">
            <v>3.1441456277731428</v>
          </cell>
        </row>
        <row r="370">
          <cell r="V370">
            <v>1.1537379098287115</v>
          </cell>
          <cell r="AN370">
            <v>2.9827403649468565</v>
          </cell>
        </row>
        <row r="371">
          <cell r="V371">
            <v>1.1555318794797209</v>
          </cell>
          <cell r="AN371">
            <v>2.829020418132</v>
          </cell>
        </row>
        <row r="372">
          <cell r="V372">
            <v>1.1825362909688275</v>
          </cell>
          <cell r="AN372">
            <v>2.645987463030286</v>
          </cell>
        </row>
        <row r="373">
          <cell r="V373">
            <v>1.1625584294112645</v>
          </cell>
          <cell r="AN373">
            <v>2.5042718775820649</v>
          </cell>
        </row>
        <row r="374">
          <cell r="V374">
            <v>1.1374183761287515</v>
          </cell>
          <cell r="AN374">
            <v>2.3710296815577125</v>
          </cell>
        </row>
        <row r="375">
          <cell r="V375">
            <v>1.1367631086425467</v>
          </cell>
          <cell r="AN375">
            <v>2.2152761969882473</v>
          </cell>
        </row>
        <row r="376">
          <cell r="V376">
            <v>1.1225308175947246</v>
          </cell>
          <cell r="AN376">
            <v>2.0715835847658237</v>
          </cell>
        </row>
        <row r="377">
          <cell r="V377">
            <v>1.1124769295390413</v>
          </cell>
          <cell r="AN377">
            <v>1.9244644445529202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13"/>
      <sheetData sheetId="14"/>
      <sheetData sheetId="15"/>
      <sheetData sheetId="16"/>
      <sheetData sheetId="17"/>
      <sheetData sheetId="18">
        <row r="294">
          <cell r="D294">
            <v>1.769270563890335</v>
          </cell>
        </row>
        <row r="295">
          <cell r="D295">
            <v>1.7095297388894481</v>
          </cell>
        </row>
        <row r="296">
          <cell r="D296">
            <v>1.5233075399050389</v>
          </cell>
        </row>
        <row r="297">
          <cell r="D297">
            <v>0.76742263060585181</v>
          </cell>
        </row>
        <row r="298">
          <cell r="D298">
            <v>0.47986067365768381</v>
          </cell>
        </row>
        <row r="299">
          <cell r="D299">
            <v>0.60315195537972155</v>
          </cell>
        </row>
        <row r="300">
          <cell r="D300">
            <v>1.040306070459196</v>
          </cell>
        </row>
        <row r="301">
          <cell r="D301">
            <v>0.21960784313725945</v>
          </cell>
        </row>
        <row r="302">
          <cell r="D302">
            <v>0.53190018344564383</v>
          </cell>
        </row>
        <row r="303">
          <cell r="D303">
            <v>0.69715045522538155</v>
          </cell>
        </row>
        <row r="304">
          <cell r="D304">
            <v>0.31506508581378156</v>
          </cell>
        </row>
        <row r="305">
          <cell r="D305">
            <v>0.58876644676224554</v>
          </cell>
        </row>
        <row r="306">
          <cell r="D306">
            <v>0.70058042811194099</v>
          </cell>
        </row>
        <row r="307">
          <cell r="D307">
            <v>0.41421588932151199</v>
          </cell>
        </row>
        <row r="308">
          <cell r="D308">
            <v>0.71432516523370904</v>
          </cell>
        </row>
        <row r="309">
          <cell r="D309">
            <v>1.5259222378963599</v>
          </cell>
        </row>
        <row r="310">
          <cell r="D310">
            <v>2.1149484631128646</v>
          </cell>
        </row>
        <row r="311">
          <cell r="D311">
            <v>2.5141825683341779</v>
          </cell>
        </row>
        <row r="312">
          <cell r="D312">
            <v>2.0399369223998765</v>
          </cell>
        </row>
        <row r="313">
          <cell r="D313">
            <v>3.1966707484371026</v>
          </cell>
        </row>
        <row r="314">
          <cell r="D314">
            <v>3.0800689553990734</v>
          </cell>
        </row>
        <row r="315">
          <cell r="D315">
            <v>4.2062116585513509</v>
          </cell>
        </row>
        <row r="316">
          <cell r="D316">
            <v>5.129900542744581</v>
          </cell>
        </row>
        <row r="317">
          <cell r="D317">
            <v>5.3860457447490573</v>
          </cell>
        </row>
        <row r="318">
          <cell r="D318">
            <v>5.4555133359032171</v>
          </cell>
        </row>
        <row r="319">
          <cell r="D319">
            <v>6.1766080906415777</v>
          </cell>
        </row>
        <row r="320">
          <cell r="D320">
            <v>7.0231240288821883</v>
          </cell>
        </row>
        <row r="321">
          <cell r="D321">
            <v>9.010661677897458</v>
          </cell>
        </row>
        <row r="322">
          <cell r="D322">
            <v>9.082701336222442</v>
          </cell>
        </row>
        <row r="323">
          <cell r="D323">
            <v>9.4121134807841003</v>
          </cell>
        </row>
        <row r="324">
          <cell r="D324">
            <v>10.100901192305267</v>
          </cell>
        </row>
        <row r="325">
          <cell r="D325">
            <v>9.8701878038988333</v>
          </cell>
        </row>
        <row r="326">
          <cell r="D326">
            <v>10.095627807676898</v>
          </cell>
        </row>
        <row r="327">
          <cell r="D327">
            <v>11.051566349876808</v>
          </cell>
        </row>
        <row r="328">
          <cell r="D328">
            <v>10.672012718712054</v>
          </cell>
        </row>
        <row r="329">
          <cell r="D329">
            <v>10.5283743731041</v>
          </cell>
        </row>
        <row r="330">
          <cell r="D330">
            <v>10.051523960382269</v>
          </cell>
        </row>
        <row r="331">
          <cell r="D331">
            <v>10.416396867742407</v>
          </cell>
        </row>
        <row r="332">
          <cell r="D332">
            <v>10.056877380566043</v>
          </cell>
        </row>
        <row r="333">
          <cell r="D333">
            <v>8.6582358625745712</v>
          </cell>
        </row>
        <row r="334">
          <cell r="D334">
            <v>8.6806820062903522</v>
          </cell>
        </row>
        <row r="335">
          <cell r="D335">
            <v>7.9496842952270885</v>
          </cell>
        </row>
        <row r="336">
          <cell r="D336">
            <v>6.827214193032427</v>
          </cell>
        </row>
        <row r="337">
          <cell r="D337">
            <v>6.6570305648488093</v>
          </cell>
        </row>
        <row r="338">
          <cell r="D338">
            <v>6.6521767234414053</v>
          </cell>
        </row>
        <row r="339">
          <cell r="D339">
            <v>4.5998779705068937</v>
          </cell>
        </row>
        <row r="340">
          <cell r="D340">
            <v>3.9409916807425782</v>
          </cell>
        </row>
        <row r="341">
          <cell r="D341">
            <v>3.993268535119987</v>
          </cell>
        </row>
        <row r="342">
          <cell r="D342">
            <v>3.9811146171913947</v>
          </cell>
        </row>
        <row r="343">
          <cell r="D343">
            <v>3.4114721796515868</v>
          </cell>
        </row>
        <row r="344">
          <cell r="D344">
            <v>3.228059284550322</v>
          </cell>
        </row>
        <row r="345">
          <cell r="D345">
            <v>2.3330700994410813</v>
          </cell>
        </row>
        <row r="346">
          <cell r="D346">
            <v>1.9899777622079284</v>
          </cell>
        </row>
        <row r="347">
          <cell r="D347">
            <v>1.9753105200307042</v>
          </cell>
        </row>
        <row r="348">
          <cell r="D348">
            <v>2.2344448264008276</v>
          </cell>
        </row>
        <row r="349">
          <cell r="D349">
            <v>2.2162837086778353</v>
          </cell>
        </row>
        <row r="350">
          <cell r="D350">
            <v>1.6803412198761913</v>
          </cell>
        </row>
        <row r="351">
          <cell r="D351">
            <v>2.2809914851064983</v>
          </cell>
        </row>
        <row r="352">
          <cell r="D352">
            <v>2.622126709546091</v>
          </cell>
        </row>
        <row r="353">
          <cell r="D353">
            <v>2.5029869481707712</v>
          </cell>
        </row>
        <row r="354">
          <cell r="D354">
            <v>2.9829405009088816</v>
          </cell>
        </row>
        <row r="355">
          <cell r="D355">
            <v>2.8572398414519862</v>
          </cell>
        </row>
        <row r="356">
          <cell r="D356">
            <v>2.5714709759117271</v>
          </cell>
        </row>
        <row r="357">
          <cell r="D357">
            <v>3.1595639127070418</v>
          </cell>
        </row>
        <row r="358">
          <cell r="D358">
            <v>3.1485108401824391</v>
          </cell>
        </row>
        <row r="359">
          <cell r="D359">
            <v>3.226793731093891</v>
          </cell>
        </row>
        <row r="360">
          <cell r="D360">
            <v>3.3248184867905151</v>
          </cell>
        </row>
        <row r="361">
          <cell r="D361">
            <v>3.4238930916763222</v>
          </cell>
        </row>
        <row r="362">
          <cell r="D362">
            <v>3.6342978116985059</v>
          </cell>
        </row>
        <row r="363">
          <cell r="D363">
            <v>3.0912884460094547</v>
          </cell>
        </row>
        <row r="364">
          <cell r="D364">
            <v>3.1509898001800707</v>
          </cell>
        </row>
        <row r="365">
          <cell r="D365">
            <v>3.2925633947319843</v>
          </cell>
        </row>
        <row r="366">
          <cell r="D366">
            <v>3.1821506128603572</v>
          </cell>
        </row>
        <row r="367">
          <cell r="D367">
            <v>3.1074818612745636</v>
          </cell>
        </row>
        <row r="368">
          <cell r="D368">
            <v>3.0666555697266507</v>
          </cell>
        </row>
        <row r="369">
          <cell r="D369">
            <v>2.5570556960941682</v>
          </cell>
        </row>
        <row r="370">
          <cell r="D370">
            <v>2.5027802117380205</v>
          </cell>
        </row>
        <row r="371">
          <cell r="D371">
            <v>2.4591563099128244</v>
          </cell>
        </row>
        <row r="372">
          <cell r="D372">
            <v>2.4907619767681854</v>
          </cell>
        </row>
        <row r="373">
          <cell r="D373">
            <v>2.4624706839588839</v>
          </cell>
        </row>
        <row r="374">
          <cell r="D374">
            <v>2.3816083077648376</v>
          </cell>
        </row>
        <row r="375">
          <cell r="D375">
            <v>2.3972490787038003</v>
          </cell>
        </row>
        <row r="376">
          <cell r="D376">
            <v>2.3674135973869248</v>
          </cell>
        </row>
        <row r="377">
          <cell r="D377">
            <v>2.3588975039439353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2">
          <cell r="E112">
            <v>4.0674603174603252</v>
          </cell>
        </row>
      </sheetData>
      <sheetData sheetId="16"/>
      <sheetData sheetId="17"/>
      <sheetData sheetId="18">
        <row r="150">
          <cell r="D150">
            <v>2.1848843697687359</v>
          </cell>
        </row>
        <row r="581">
          <cell r="AA581">
            <v>2.4880643755700982</v>
          </cell>
        </row>
        <row r="582">
          <cell r="AA582">
            <v>2.6615757470573653</v>
          </cell>
        </row>
        <row r="583">
          <cell r="AA583">
            <v>2.402648154107867</v>
          </cell>
        </row>
        <row r="584">
          <cell r="AA584">
            <v>2.3727847111732148</v>
          </cell>
        </row>
        <row r="585">
          <cell r="AA585">
            <v>2.4420382944883023</v>
          </cell>
        </row>
        <row r="586">
          <cell r="AA586">
            <v>1.9124297366974741</v>
          </cell>
        </row>
        <row r="587">
          <cell r="AA587">
            <v>1.3977683595527424</v>
          </cell>
        </row>
        <row r="588">
          <cell r="AA588">
            <v>1.4487675892902674</v>
          </cell>
        </row>
        <row r="589">
          <cell r="AA589">
            <v>1.5594582651586419</v>
          </cell>
        </row>
        <row r="590">
          <cell r="AA590">
            <v>1.8670632040735713</v>
          </cell>
        </row>
        <row r="591">
          <cell r="AA591">
            <v>2.4101613465023597</v>
          </cell>
        </row>
        <row r="592">
          <cell r="AA592">
            <v>3.323720323398538</v>
          </cell>
        </row>
        <row r="593">
          <cell r="AA593">
            <v>3.5740429872966883</v>
          </cell>
        </row>
        <row r="594">
          <cell r="AA594">
            <v>4.9399229990811033</v>
          </cell>
        </row>
        <row r="595">
          <cell r="AA595">
            <v>5.9272667529450151</v>
          </cell>
        </row>
        <row r="596">
          <cell r="AA596">
            <v>6.4758868348203213</v>
          </cell>
        </row>
        <row r="597">
          <cell r="AA597">
            <v>6.3958967255551835</v>
          </cell>
        </row>
        <row r="598">
          <cell r="AA598">
            <v>7.1599977831966477</v>
          </cell>
        </row>
        <row r="599">
          <cell r="AA599">
            <v>7.0600784211285017</v>
          </cell>
        </row>
        <row r="600">
          <cell r="AA600">
            <v>6.4104318428784168</v>
          </cell>
        </row>
        <row r="601">
          <cell r="AA601">
            <v>6.2048303662659121</v>
          </cell>
        </row>
        <row r="602">
          <cell r="AA602">
            <v>5.7581861765261033</v>
          </cell>
        </row>
        <row r="603">
          <cell r="AA603">
            <v>5.2248194810509796</v>
          </cell>
        </row>
        <row r="604">
          <cell r="AA604">
            <v>4.7952959805545481</v>
          </cell>
        </row>
        <row r="605">
          <cell r="AA605">
            <v>4.7054626188404391</v>
          </cell>
        </row>
        <row r="606">
          <cell r="AA606">
            <v>3.5468013247333063</v>
          </cell>
        </row>
        <row r="607">
          <cell r="AA607">
            <v>3.6082961474631414</v>
          </cell>
        </row>
        <row r="608">
          <cell r="AA608">
            <v>3.8236673366688345</v>
          </cell>
        </row>
        <row r="609">
          <cell r="AA609">
            <v>4.1016154409721839</v>
          </cell>
        </row>
        <row r="610">
          <cell r="AA610">
            <v>3.9247882091621777</v>
          </cell>
        </row>
        <row r="611">
          <cell r="AA611">
            <v>3.753534085780097</v>
          </cell>
        </row>
        <row r="612">
          <cell r="AA612">
            <v>3.6773270054176965</v>
          </cell>
        </row>
        <row r="613">
          <cell r="AA613">
            <v>3.6428280858969098</v>
          </cell>
        </row>
        <row r="614">
          <cell r="AA614">
            <v>3.5743154570800462</v>
          </cell>
        </row>
        <row r="615">
          <cell r="AA615">
            <v>3.5209599870061892</v>
          </cell>
        </row>
        <row r="616">
          <cell r="AA616">
            <v>3.4518877587206509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351">
          <cell r="F351">
            <v>2.1724579239602804</v>
          </cell>
        </row>
        <row r="352">
          <cell r="F352">
            <v>2.5270521455582173</v>
          </cell>
        </row>
        <row r="353">
          <cell r="F353">
            <v>2.5354945530872808</v>
          </cell>
        </row>
        <row r="354">
          <cell r="F354">
            <v>2.7277893340098558</v>
          </cell>
        </row>
        <row r="355">
          <cell r="F355">
            <v>2.5098802148313837</v>
          </cell>
        </row>
        <row r="356">
          <cell r="F356">
            <v>2.1565432092167214</v>
          </cell>
        </row>
        <row r="357">
          <cell r="F357">
            <v>2.3019737374184723</v>
          </cell>
        </row>
        <row r="358">
          <cell r="F358">
            <v>2.2437680718698338</v>
          </cell>
        </row>
        <row r="359">
          <cell r="F359">
            <v>2.2458627932359976</v>
          </cell>
        </row>
        <row r="360">
          <cell r="F360">
            <v>2.5231967832544777</v>
          </cell>
        </row>
        <row r="361">
          <cell r="F361">
            <v>2.586722575263134</v>
          </cell>
        </row>
        <row r="362">
          <cell r="F362">
            <v>2.7292135530858852</v>
          </cell>
        </row>
        <row r="363">
          <cell r="F363">
            <v>2.4715661560503976</v>
          </cell>
        </row>
        <row r="364">
          <cell r="F364">
            <v>2.4910902110380606</v>
          </cell>
        </row>
        <row r="365">
          <cell r="F365">
            <v>2.529148023676786</v>
          </cell>
        </row>
        <row r="366">
          <cell r="F366">
            <v>2.4333861986809646</v>
          </cell>
        </row>
        <row r="367">
          <cell r="F367">
            <v>2.4335495662943574</v>
          </cell>
        </row>
        <row r="368">
          <cell r="F368">
            <v>2.4283662678560303</v>
          </cell>
        </row>
        <row r="369">
          <cell r="F369">
            <v>2.3493849432622449</v>
          </cell>
        </row>
        <row r="370">
          <cell r="F370">
            <v>2.354891785330282</v>
          </cell>
        </row>
        <row r="371">
          <cell r="F371">
            <v>2.3739626863510388</v>
          </cell>
        </row>
        <row r="372">
          <cell r="F372">
            <v>2.3063833668641953</v>
          </cell>
        </row>
        <row r="373">
          <cell r="F373">
            <v>2.3137370862963857</v>
          </cell>
        </row>
        <row r="374">
          <cell r="F374">
            <v>2.2596957201219681</v>
          </cell>
        </row>
        <row r="375">
          <cell r="F375">
            <v>2.1786505520917432</v>
          </cell>
        </row>
        <row r="376">
          <cell r="F376">
            <v>2.1644149771334664</v>
          </cell>
        </row>
        <row r="377">
          <cell r="F377">
            <v>2.17601622228627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able "/>
      <sheetName val="RPI Chart"/>
      <sheetName val="CPI Chart"/>
      <sheetName val="Conts to CPI fcst chart"/>
      <sheetName val="Conts to CPI fcst chart (2)"/>
      <sheetName val="Conts to CPI fcst FD,EN &amp; FU"/>
      <sheetName val="Conts to CPI fcst EN &amp; FU"/>
      <sheetName val="Conts to CPI hist chart"/>
      <sheetName val="Petrol prices chart"/>
      <sheetName val="Conts to RPI fcst chart"/>
      <sheetName val="Interest rates chart"/>
      <sheetName val="Core inflation chart"/>
      <sheetName val="Core goods v sterling chart"/>
      <sheetName val="Contributions"/>
      <sheetName val="RPI Forecasts"/>
      <sheetName val="CPI Forecasts"/>
      <sheetName val="CPI Food"/>
      <sheetName val="CPI components"/>
      <sheetName val="RPI Residual Category"/>
      <sheetName val="RPI Utilities (non-energy)"/>
      <sheetName val="Chart - Fuel &amp; Oil Prices"/>
      <sheetName val="Chart - Non-tax prices v1"/>
      <sheetName val="Chart - Non-tax prices v2"/>
      <sheetName val="RPI Petrol, fuel &amp; power"/>
      <sheetName val="Chart - SVR &amp; Base Rate"/>
      <sheetName val="MIPS + Depreciation + OHC"/>
      <sheetName val="Output For Macro Model"/>
      <sheetName val="ANNUAL HAVER DATA"/>
      <sheetName val="MONTHLY HAVER DATA"/>
      <sheetName val="GMW"/>
      <sheetName val="MACROMODELDATA"/>
      <sheetName val="WEEKLY FUEL 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94">
          <cell r="D294">
            <v>1.769270563890335</v>
          </cell>
        </row>
        <row r="656">
          <cell r="D656">
            <v>2.1317788249483272</v>
          </cell>
        </row>
        <row r="657">
          <cell r="D657">
            <v>1.5974636837424061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able "/>
      <sheetName val="RPI Chart"/>
      <sheetName val="CPI Chart"/>
      <sheetName val="Conts to CPI fcst chart"/>
      <sheetName val="Conts to CPI fcst chart (2)"/>
      <sheetName val="Conts to CPI fcst FD,EN &amp; FU"/>
      <sheetName val="Conts to CPI fcst EN &amp; FU"/>
      <sheetName val="Conts to CPI hist chart"/>
      <sheetName val="Conts to RPI fcst chart"/>
      <sheetName val="Petrol prices chart"/>
      <sheetName val="Interest rates chart"/>
      <sheetName val="Core inflation chart"/>
      <sheetName val="Core goods v sterling chart"/>
      <sheetName val="EPG scenarios chart"/>
      <sheetName val="EPG scenarios"/>
      <sheetName val="Contributions"/>
      <sheetName val="RPI Forecasts"/>
      <sheetName val="CPI Forecasts"/>
      <sheetName val="CPI Food"/>
      <sheetName val="CPI components"/>
      <sheetName val="RPI Residual Category"/>
      <sheetName val="RPI Utilities (non-energy)"/>
      <sheetName val="Chart - Fuel &amp; Oil Prices"/>
      <sheetName val="Chart - Non-tax prices v1"/>
      <sheetName val="Chart - Non-tax prices v2"/>
      <sheetName val="RPI Petrol, fuel &amp; power"/>
      <sheetName val="Chart - SVR &amp; Base Rate"/>
      <sheetName val="MIPS + Depreciation + OHC"/>
      <sheetName val="Output For Macro Model"/>
      <sheetName val="ANNUAL HAVER DATA"/>
      <sheetName val="MONTHLY HAVER DATA"/>
      <sheetName val="GMW"/>
      <sheetName val="MACROMODELDATA"/>
      <sheetName val="WEEKLY FUEL 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82">
          <cell r="D282">
            <v>1.8479489586726183</v>
          </cell>
        </row>
        <row r="656">
          <cell r="D656">
            <v>3.111940047964401</v>
          </cell>
        </row>
        <row r="657">
          <cell r="D657">
            <v>1.3861131092452572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7F5@U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UNPM244@UK" TargetMode="External"/><Relationship Id="rId1" Type="http://schemas.openxmlformats.org/officeDocument/2006/relationships/hyperlink" Target="mailto:UNQMPCPI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62E3-CD33-430A-9B7B-12CED51654E3}">
  <dimension ref="A1:CD1580"/>
  <sheetViews>
    <sheetView zoomScale="85" zoomScaleNormal="85" workbookViewId="0">
      <pane xSplit="1" ySplit="2" topLeftCell="B1328" activePane="bottomRight" state="frozen"/>
      <selection pane="topRight" activeCell="B1" sqref="B1"/>
      <selection pane="bottomLeft" activeCell="A3" sqref="A3"/>
      <selection pane="bottomRight" activeCell="M1351" sqref="M1351"/>
    </sheetView>
  </sheetViews>
  <sheetFormatPr defaultRowHeight="14.5" x14ac:dyDescent="0.35"/>
  <cols>
    <col min="1" max="1" width="16.453125" bestFit="1" customWidth="1"/>
    <col min="7" max="7" width="2.7265625" customWidth="1"/>
    <col min="8" max="8" width="12.08984375" customWidth="1"/>
    <col min="11" max="11" width="2.7265625" customWidth="1"/>
    <col min="12" max="12" width="11" bestFit="1" customWidth="1"/>
    <col min="14" max="14" width="2.7265625" customWidth="1"/>
    <col min="15" max="15" width="6.54296875" customWidth="1"/>
    <col min="16" max="16" width="10.7265625" bestFit="1" customWidth="1"/>
    <col min="19" max="19" width="1.90625" customWidth="1"/>
    <col min="20" max="20" width="2.7265625" customWidth="1"/>
    <col min="21" max="21" width="12.1796875" customWidth="1"/>
    <col min="23" max="23" width="9.1796875" customWidth="1"/>
    <col min="25" max="25" width="10.7265625" bestFit="1" customWidth="1"/>
    <col min="28" max="28" width="3.36328125" customWidth="1"/>
    <col min="29" max="29" width="3.08984375" customWidth="1"/>
    <col min="30" max="30" width="11" bestFit="1" customWidth="1"/>
    <col min="33" max="34" width="2.1796875" customWidth="1"/>
    <col min="36" max="36" width="11" bestFit="1" customWidth="1"/>
    <col min="37" max="37" width="11" customWidth="1"/>
    <col min="38" max="38" width="10.6328125" customWidth="1"/>
    <col min="40" max="40" width="4.453125" customWidth="1"/>
    <col min="41" max="41" width="9.54296875" bestFit="1" customWidth="1"/>
    <col min="42" max="42" width="9.90625" bestFit="1" customWidth="1"/>
    <col min="43" max="44" width="10.08984375" bestFit="1" customWidth="1"/>
    <col min="45" max="45" width="9.54296875" bestFit="1" customWidth="1"/>
    <col min="46" max="46" width="9.90625" bestFit="1" customWidth="1"/>
    <col min="47" max="48" width="10.08984375" bestFit="1" customWidth="1"/>
    <col min="49" max="49" width="9.54296875" bestFit="1" customWidth="1"/>
    <col min="50" max="50" width="2.7265625" customWidth="1"/>
    <col min="51" max="51" width="2.6328125" customWidth="1"/>
    <col min="54" max="54" width="10.90625" customWidth="1"/>
    <col min="59" max="59" width="2.7265625" style="35" customWidth="1"/>
    <col min="60" max="60" width="2.6328125" style="35" customWidth="1"/>
    <col min="61" max="61" width="12.08984375" customWidth="1"/>
    <col min="66" max="66" width="2.7265625" style="35" customWidth="1"/>
    <col min="67" max="67" width="2.6328125" style="35" customWidth="1"/>
    <col min="73" max="73" width="2.7265625" style="35" customWidth="1"/>
    <col min="74" max="74" width="2.6328125" style="35" customWidth="1"/>
  </cols>
  <sheetData>
    <row r="1" spans="1:82" x14ac:dyDescent="0.35">
      <c r="A1" s="1" t="s">
        <v>0</v>
      </c>
      <c r="H1" s="1" t="s">
        <v>1314</v>
      </c>
      <c r="P1" s="1" t="s">
        <v>1650</v>
      </c>
      <c r="U1" s="1" t="s">
        <v>2031</v>
      </c>
      <c r="Y1" s="1"/>
      <c r="AJ1" s="2"/>
      <c r="AK1" s="2"/>
      <c r="AZ1" s="1" t="s">
        <v>2192</v>
      </c>
      <c r="BI1" s="1" t="s">
        <v>2217</v>
      </c>
      <c r="BP1" s="1" t="s">
        <v>2218</v>
      </c>
    </row>
    <row r="2" spans="1:82" ht="30" customHeight="1" x14ac:dyDescent="0.35">
      <c r="B2" t="s">
        <v>2201</v>
      </c>
      <c r="C2" t="s">
        <v>2201</v>
      </c>
      <c r="D2" t="s">
        <v>2202</v>
      </c>
      <c r="E2" t="s">
        <v>2194</v>
      </c>
      <c r="F2" t="s">
        <v>1</v>
      </c>
      <c r="I2" t="s">
        <v>1315</v>
      </c>
      <c r="J2" t="s">
        <v>1316</v>
      </c>
      <c r="M2" t="s">
        <v>1317</v>
      </c>
      <c r="O2" t="s">
        <v>1651</v>
      </c>
      <c r="P2" t="s">
        <v>37</v>
      </c>
      <c r="Q2" t="s">
        <v>1653</v>
      </c>
      <c r="R2" t="s">
        <v>1652</v>
      </c>
      <c r="U2" t="s">
        <v>37</v>
      </c>
      <c r="V2" t="s">
        <v>2038</v>
      </c>
      <c r="W2" t="s">
        <v>2037</v>
      </c>
      <c r="X2" t="s">
        <v>2042</v>
      </c>
      <c r="Y2" t="s">
        <v>2036</v>
      </c>
      <c r="Z2" t="s">
        <v>2032</v>
      </c>
      <c r="AA2" t="s">
        <v>2033</v>
      </c>
      <c r="AD2" t="s">
        <v>37</v>
      </c>
      <c r="AE2" t="s">
        <v>2052</v>
      </c>
      <c r="AF2" t="s">
        <v>2053</v>
      </c>
      <c r="AJ2" t="s">
        <v>37</v>
      </c>
      <c r="AL2" s="6" t="s">
        <v>2163</v>
      </c>
      <c r="AO2" t="s">
        <v>2171</v>
      </c>
      <c r="AP2" t="s">
        <v>2172</v>
      </c>
      <c r="AQ2" t="s">
        <v>2173</v>
      </c>
      <c r="AR2" t="s">
        <v>2174</v>
      </c>
      <c r="AS2" t="s">
        <v>2175</v>
      </c>
      <c r="AT2" t="s">
        <v>2176</v>
      </c>
      <c r="AU2" t="s">
        <v>2177</v>
      </c>
      <c r="AV2" t="s">
        <v>2178</v>
      </c>
      <c r="AW2" t="s">
        <v>2179</v>
      </c>
      <c r="AZ2" t="s">
        <v>37</v>
      </c>
      <c r="BA2" t="s">
        <v>1990</v>
      </c>
      <c r="BB2" t="s">
        <v>2193</v>
      </c>
      <c r="BC2" t="s">
        <v>2203</v>
      </c>
      <c r="BD2" t="s">
        <v>2204</v>
      </c>
      <c r="BE2" t="s">
        <v>2205</v>
      </c>
      <c r="BF2" t="s">
        <v>2036</v>
      </c>
      <c r="BJ2" s="35" t="s">
        <v>2261</v>
      </c>
      <c r="BK2" s="35" t="s">
        <v>2216</v>
      </c>
      <c r="BL2" s="35" t="s">
        <v>2242</v>
      </c>
      <c r="BM2" s="35" t="s">
        <v>1</v>
      </c>
      <c r="BQ2" t="s">
        <v>37</v>
      </c>
      <c r="BR2" t="s">
        <v>2219</v>
      </c>
      <c r="BS2" t="s">
        <v>2220</v>
      </c>
      <c r="BT2" t="s">
        <v>2036</v>
      </c>
      <c r="BX2" t="s">
        <v>2234</v>
      </c>
      <c r="BY2" t="s">
        <v>2235</v>
      </c>
      <c r="BZ2" t="s">
        <v>2236</v>
      </c>
      <c r="CA2" t="s">
        <v>2237</v>
      </c>
      <c r="CB2" t="s">
        <v>2238</v>
      </c>
      <c r="CC2" t="s">
        <v>2239</v>
      </c>
    </row>
    <row r="3" spans="1:82" x14ac:dyDescent="0.35">
      <c r="A3" s="2">
        <v>43831</v>
      </c>
      <c r="B3" s="3">
        <f>'[24]CPI Forecast'!D294</f>
        <v>1.769270563890335</v>
      </c>
      <c r="C3" s="3" t="e">
        <f>NA()</f>
        <v>#N/A</v>
      </c>
      <c r="D3" s="3" t="e">
        <f>NA()</f>
        <v>#N/A</v>
      </c>
      <c r="E3" s="3" t="e">
        <f>NA()</f>
        <v>#N/A</v>
      </c>
      <c r="F3">
        <v>2</v>
      </c>
      <c r="H3" s="2">
        <v>43836</v>
      </c>
      <c r="I3" s="5">
        <f>HAVERW!C8</f>
        <v>126.09</v>
      </c>
      <c r="J3" s="5">
        <f>HAVERW!D8</f>
        <v>131.56</v>
      </c>
      <c r="L3" s="2">
        <v>43831</v>
      </c>
      <c r="M3" s="5" t="e">
        <f>HAVERD!BA7/HAVERD!BB7</f>
        <v>#N/A</v>
      </c>
      <c r="O3">
        <v>1</v>
      </c>
      <c r="P3" t="s">
        <v>2243</v>
      </c>
      <c r="Q3" s="3">
        <f>'[25]Impulse responses'!DK9</f>
        <v>0.26727527997872441</v>
      </c>
      <c r="R3" s="3">
        <f>'[25]Impulse responses'!EN9</f>
        <v>9.5902362320226767E-2</v>
      </c>
      <c r="U3" s="2">
        <v>40179</v>
      </c>
      <c r="V3" t="e">
        <f>NA()</f>
        <v>#N/A</v>
      </c>
      <c r="W3" s="3">
        <f>((HAVERM!J139/HAVERM!J127)-1)*100</f>
        <v>1.8327605956472093</v>
      </c>
      <c r="X3" s="3">
        <f>((HAVERM!K136/HAVERM!K124)-1)*100</f>
        <v>0</v>
      </c>
      <c r="Y3" s="18">
        <v>0</v>
      </c>
      <c r="Z3" s="3">
        <f>HAVERM!H139/HAVERM!I139</f>
        <v>62.987254052716246</v>
      </c>
      <c r="AA3" s="3">
        <f t="shared" ref="AA3:AA34" si="0">(Z3/AVERAGE($Z$63:$Z$74))*100</f>
        <v>103.4242171613669</v>
      </c>
      <c r="AD3" s="2">
        <v>44197</v>
      </c>
      <c r="AE3" s="3">
        <f>'BoE MPR - Chart 2.21'!D7</f>
        <v>1.4</v>
      </c>
      <c r="AF3" s="3">
        <f>HAVERM!L265</f>
        <v>1.494</v>
      </c>
      <c r="AJ3" s="2">
        <v>43831</v>
      </c>
      <c r="AK3" s="2"/>
      <c r="AL3" t="e">
        <f>IF(HAVERD!H7="",HAVERD!D7,AVERAGE(HAVERD!H7:Q7))</f>
        <v>#N/A</v>
      </c>
      <c r="AZ3" s="33">
        <v>45292</v>
      </c>
      <c r="BA3" s="5">
        <f>'[26]CPI Forecast'!V342</f>
        <v>1.9632647677277459</v>
      </c>
      <c r="BB3" s="5">
        <f>'[26]CPI Forecast'!AN342</f>
        <v>8.3186845237626095</v>
      </c>
      <c r="BC3" s="39">
        <v>0.85340363559993171</v>
      </c>
      <c r="BD3" s="39">
        <v>2.5013808608161763</v>
      </c>
      <c r="BF3">
        <v>0</v>
      </c>
      <c r="BI3" s="2">
        <v>43831</v>
      </c>
      <c r="BJ3" s="37">
        <f>'[27]CPI Forecast'!D294</f>
        <v>1.769270563890335</v>
      </c>
      <c r="BK3" t="e">
        <f>NA()</f>
        <v>#N/A</v>
      </c>
      <c r="BL3" s="35" t="e">
        <f>NA()</f>
        <v>#N/A</v>
      </c>
      <c r="BM3" s="37">
        <v>2</v>
      </c>
      <c r="BP3" s="35">
        <v>20191</v>
      </c>
      <c r="BQ3" s="35" t="str">
        <f t="shared" ref="BQ3:BQ6" si="1">LEFT(BP3,4)</f>
        <v>2019</v>
      </c>
      <c r="BR3" s="37">
        <f>'[28]CPI Forecast'!AA581</f>
        <v>2.4880643755700982</v>
      </c>
      <c r="BS3" s="37">
        <v>3.2552148437499899</v>
      </c>
      <c r="BT3">
        <v>0</v>
      </c>
      <c r="BW3" s="40">
        <v>45597</v>
      </c>
      <c r="BX3" s="18">
        <f>HAVERM!M317</f>
        <v>59</v>
      </c>
      <c r="BY3" s="18">
        <f>HAVERM!N317</f>
        <v>54</v>
      </c>
      <c r="BZ3" s="18">
        <f>HAVERM!O317</f>
        <v>54</v>
      </c>
      <c r="CA3" s="18">
        <f>HAVERM!P317</f>
        <v>38</v>
      </c>
      <c r="CB3" s="18">
        <f>HAVERM!Q317</f>
        <v>8</v>
      </c>
      <c r="CC3" s="18">
        <f>HAVERM!R317</f>
        <v>3</v>
      </c>
      <c r="CD3" s="18"/>
    </row>
    <row r="4" spans="1:82" x14ac:dyDescent="0.35">
      <c r="A4" s="2">
        <v>43862</v>
      </c>
      <c r="B4" s="3">
        <f>'[24]CPI Forecast'!D295</f>
        <v>1.7095297388894481</v>
      </c>
      <c r="C4" s="3" t="e">
        <f>NA()</f>
        <v>#N/A</v>
      </c>
      <c r="D4" s="3" t="e">
        <f>NA()</f>
        <v>#N/A</v>
      </c>
      <c r="E4" s="3" t="e">
        <f>NA()</f>
        <v>#N/A</v>
      </c>
      <c r="F4">
        <v>2</v>
      </c>
      <c r="H4" s="2">
        <f>+H3+7</f>
        <v>43843</v>
      </c>
      <c r="I4" s="5">
        <f>HAVERW!C9</f>
        <v>127.17</v>
      </c>
      <c r="J4" s="5">
        <f>HAVERW!D9</f>
        <v>132.69</v>
      </c>
      <c r="L4" s="2">
        <v>43832</v>
      </c>
      <c r="M4" s="5">
        <f>HAVERD!BA8/HAVERD!BB8</f>
        <v>50.837819394950337</v>
      </c>
      <c r="O4">
        <v>2</v>
      </c>
      <c r="Q4" s="3">
        <f>'[25]Impulse responses'!DK10</f>
        <v>0.42339588240242299</v>
      </c>
      <c r="R4" s="3">
        <f>'[25]Impulse responses'!EN10</f>
        <v>0.20175133292083253</v>
      </c>
      <c r="U4" s="2">
        <v>40210</v>
      </c>
      <c r="V4" t="e">
        <f>NA()</f>
        <v>#N/A</v>
      </c>
      <c r="W4" s="3">
        <f>((HAVERM!J140/HAVERM!J128)-1)*100</f>
        <v>1.3528748590755368</v>
      </c>
      <c r="X4" s="3">
        <f>((HAVERM!K137/HAVERM!K125)-1)*100</f>
        <v>0.5636978579481422</v>
      </c>
      <c r="Y4" s="18">
        <v>0</v>
      </c>
      <c r="Z4" s="3">
        <f>HAVERM!H140/HAVERM!I140</f>
        <v>63.59269932756964</v>
      </c>
      <c r="AA4" s="3">
        <f t="shared" si="0"/>
        <v>104.41835009393377</v>
      </c>
      <c r="AD4" s="2">
        <v>44228</v>
      </c>
      <c r="AE4" s="3">
        <f>'BoE MPR - Chart 2.21'!D8</f>
        <v>1.2</v>
      </c>
      <c r="AF4" s="3">
        <f>HAVERM!L266</f>
        <v>1.7509999999999999</v>
      </c>
      <c r="AJ4" s="2">
        <v>43832</v>
      </c>
      <c r="AK4" s="2"/>
      <c r="AL4" s="3">
        <f>IF(HAVERD!H8="",AL3,AVERAGE(HAVERD!H8:Q8))</f>
        <v>37.245999999999995</v>
      </c>
      <c r="AZ4" s="33">
        <v>45323</v>
      </c>
      <c r="BA4" s="5">
        <f>'[26]CPI Forecast'!V343</f>
        <v>1.271887225055468</v>
      </c>
      <c r="BB4" s="5">
        <f>'[26]CPI Forecast'!AN343</f>
        <v>6.7134167602959982</v>
      </c>
      <c r="BC4" s="39">
        <v>0.85340363559993171</v>
      </c>
      <c r="BD4" s="39">
        <v>2.5013808608161763</v>
      </c>
      <c r="BF4" s="35">
        <v>0</v>
      </c>
      <c r="BI4" s="2">
        <v>43862</v>
      </c>
      <c r="BJ4" s="37">
        <f>'[27]CPI Forecast'!D295</f>
        <v>1.7095297388894481</v>
      </c>
      <c r="BK4" s="35" t="e">
        <f>NA()</f>
        <v>#N/A</v>
      </c>
      <c r="BL4" s="35" t="e">
        <f>NA()</f>
        <v>#N/A</v>
      </c>
      <c r="BM4" s="37">
        <v>2</v>
      </c>
      <c r="BP4" s="35">
        <v>20192</v>
      </c>
      <c r="BQ4" s="35" t="str">
        <f t="shared" si="1"/>
        <v>2019</v>
      </c>
      <c r="BR4" s="37">
        <f>'[28]CPI Forecast'!AA582</f>
        <v>2.6615757470573653</v>
      </c>
      <c r="BS4" s="37">
        <v>3.9354771654530798</v>
      </c>
      <c r="BT4" s="35">
        <v>0</v>
      </c>
      <c r="BW4" s="40">
        <v>45627</v>
      </c>
      <c r="BX4" s="18">
        <f>HAVERM!M318</f>
        <v>64</v>
      </c>
      <c r="BY4" s="18">
        <f>HAVERM!N318</f>
        <v>54</v>
      </c>
      <c r="BZ4" s="18">
        <f>HAVERM!O318</f>
        <v>53</v>
      </c>
      <c r="CA4" s="18">
        <f>HAVERM!P318</f>
        <v>41</v>
      </c>
      <c r="CB4" s="18">
        <f>HAVERM!Q318</f>
        <v>7</v>
      </c>
      <c r="CC4" s="18">
        <f>HAVERM!R318</f>
        <v>4</v>
      </c>
      <c r="CD4" s="18"/>
    </row>
    <row r="5" spans="1:82" x14ac:dyDescent="0.35">
      <c r="A5" s="2">
        <v>43891</v>
      </c>
      <c r="B5" s="3">
        <f>'[24]CPI Forecast'!D296</f>
        <v>1.5233075399050389</v>
      </c>
      <c r="C5" s="3" t="e">
        <f>NA()</f>
        <v>#N/A</v>
      </c>
      <c r="D5" s="3" t="e">
        <f>NA()</f>
        <v>#N/A</v>
      </c>
      <c r="E5" s="3" t="e">
        <f>NA()</f>
        <v>#N/A</v>
      </c>
      <c r="F5">
        <v>2</v>
      </c>
      <c r="H5" s="2">
        <f t="shared" ref="H5:H68" si="2">+H4+7</f>
        <v>43850</v>
      </c>
      <c r="I5" s="5">
        <f>HAVERW!C10</f>
        <v>127.18</v>
      </c>
      <c r="J5" s="5">
        <f>HAVERW!D10</f>
        <v>132.74</v>
      </c>
      <c r="L5" s="2">
        <v>43833</v>
      </c>
      <c r="M5" s="5">
        <f>HAVERD!BA9/HAVERD!BB9</f>
        <v>52.84577723378213</v>
      </c>
      <c r="O5">
        <v>3</v>
      </c>
      <c r="Q5" s="3">
        <f>'[25]Impulse responses'!DK11</f>
        <v>0.57439710888892659</v>
      </c>
      <c r="R5" s="3">
        <f>'[25]Impulse responses'!EN11</f>
        <v>0.34535061014306417</v>
      </c>
      <c r="U5" s="2">
        <v>40238</v>
      </c>
      <c r="V5" t="e">
        <f>NA()</f>
        <v>#N/A</v>
      </c>
      <c r="W5" s="3">
        <f>((HAVERM!J141/HAVERM!J129)-1)*100</f>
        <v>2.0385050962627327</v>
      </c>
      <c r="X5" s="3">
        <f>((HAVERM!K138/HAVERM!K126)-1)*100</f>
        <v>0.78651685393258397</v>
      </c>
      <c r="Y5" s="18">
        <v>0</v>
      </c>
      <c r="Z5" s="3">
        <f>HAVERM!H141/HAVERM!I141</f>
        <v>64.106822560286986</v>
      </c>
      <c r="AA5" s="3">
        <f t="shared" si="0"/>
        <v>105.26253347147487</v>
      </c>
      <c r="AD5" s="2">
        <v>44256</v>
      </c>
      <c r="AE5" s="3">
        <f>'BoE MPR - Chart 2.21'!D9</f>
        <v>1.2</v>
      </c>
      <c r="AF5" s="3">
        <f>HAVERM!L267</f>
        <v>1.891</v>
      </c>
      <c r="AJ5" s="2">
        <v>43833</v>
      </c>
      <c r="AK5" s="2"/>
      <c r="AL5" s="3">
        <f>IF(HAVERD!H9="",AL4,AVERAGE(HAVERD!H9:Q9))</f>
        <v>39.732000000000006</v>
      </c>
      <c r="AZ5" s="33">
        <v>45352</v>
      </c>
      <c r="BA5" s="5">
        <f>'[26]CPI Forecast'!V344</f>
        <v>0.80433786347497982</v>
      </c>
      <c r="BB5" s="5">
        <f>'[26]CPI Forecast'!AN344</f>
        <v>6.0383119423709886</v>
      </c>
      <c r="BC5" s="39">
        <v>0.85340363559993171</v>
      </c>
      <c r="BD5" s="39">
        <v>2.5013808608161763</v>
      </c>
      <c r="BF5" s="35">
        <v>0</v>
      </c>
      <c r="BI5" s="2">
        <v>43891</v>
      </c>
      <c r="BJ5" s="37">
        <f>'[27]CPI Forecast'!D296</f>
        <v>1.5233075399050389</v>
      </c>
      <c r="BK5" s="35" t="e">
        <f>NA()</f>
        <v>#N/A</v>
      </c>
      <c r="BL5" s="35" t="e">
        <f>NA()</f>
        <v>#N/A</v>
      </c>
      <c r="BM5" s="37">
        <v>2</v>
      </c>
      <c r="BP5" s="35">
        <v>20193</v>
      </c>
      <c r="BQ5" s="35" t="str">
        <f t="shared" si="1"/>
        <v>2019</v>
      </c>
      <c r="BR5" s="37">
        <f>'[28]CPI Forecast'!AA583</f>
        <v>2.402648154107867</v>
      </c>
      <c r="BS5" s="37">
        <v>3.8289728033805202</v>
      </c>
      <c r="BT5" s="35">
        <v>0</v>
      </c>
      <c r="BW5" s="40">
        <v>45658</v>
      </c>
      <c r="BX5" s="18">
        <f>HAVERM!M319</f>
        <v>63</v>
      </c>
      <c r="BY5" s="18">
        <f>HAVERM!N319</f>
        <v>61</v>
      </c>
      <c r="BZ5" s="18">
        <f>HAVERM!O319</f>
        <v>54</v>
      </c>
      <c r="CA5" s="18">
        <f>HAVERM!P319</f>
        <v>37</v>
      </c>
      <c r="CB5" s="18">
        <f>HAVERM!Q319</f>
        <v>12</v>
      </c>
      <c r="CC5" s="18">
        <f>HAVERM!R319</f>
        <v>3</v>
      </c>
      <c r="CD5" s="18"/>
    </row>
    <row r="6" spans="1:82" x14ac:dyDescent="0.35">
      <c r="A6" s="2">
        <v>43922</v>
      </c>
      <c r="B6" s="3">
        <f>'[24]CPI Forecast'!D297</f>
        <v>0.76742263060585181</v>
      </c>
      <c r="C6" s="3" t="e">
        <f>NA()</f>
        <v>#N/A</v>
      </c>
      <c r="D6" s="3" t="e">
        <f>NA()</f>
        <v>#N/A</v>
      </c>
      <c r="E6" s="3" t="e">
        <f>NA()</f>
        <v>#N/A</v>
      </c>
      <c r="F6">
        <v>2</v>
      </c>
      <c r="H6" s="2">
        <f t="shared" si="2"/>
        <v>43857</v>
      </c>
      <c r="I6" s="5">
        <f>HAVERW!C11</f>
        <v>127.33</v>
      </c>
      <c r="J6" s="5">
        <f>HAVERW!D11</f>
        <v>132.88</v>
      </c>
      <c r="L6" s="2">
        <v>43836</v>
      </c>
      <c r="M6" s="5">
        <f>HAVERD!BA10/HAVERD!BB10</f>
        <v>53.385515616688195</v>
      </c>
      <c r="O6">
        <v>4</v>
      </c>
      <c r="Q6" s="3">
        <f>'[25]Impulse responses'!DK12</f>
        <v>0.60063748234885406</v>
      </c>
      <c r="R6" s="3">
        <f>'[25]Impulse responses'!EN12</f>
        <v>0.49550998073027769</v>
      </c>
      <c r="U6" s="2">
        <v>40269</v>
      </c>
      <c r="V6" t="e">
        <f>NA()</f>
        <v>#N/A</v>
      </c>
      <c r="W6" s="3">
        <f>((HAVERM!J142/HAVERM!J130)-1)*100</f>
        <v>2.8441410693970326</v>
      </c>
      <c r="X6" s="3">
        <f>((HAVERM!K139/HAVERM!K127)-1)*100</f>
        <v>-0.22396416573348121</v>
      </c>
      <c r="Y6" s="18">
        <v>0</v>
      </c>
      <c r="Z6" s="3">
        <f>HAVERM!H142/HAVERM!I142</f>
        <v>63.298565840938714</v>
      </c>
      <c r="AA6" s="3">
        <f t="shared" si="0"/>
        <v>103.93538689680364</v>
      </c>
      <c r="AD6" s="2">
        <v>44287</v>
      </c>
      <c r="AE6" s="3">
        <f>'BoE MPR - Chart 2.21'!D10</f>
        <v>1.3</v>
      </c>
      <c r="AF6" s="3">
        <f>HAVERM!L268</f>
        <v>2.1219999999999999</v>
      </c>
      <c r="AJ6" s="2">
        <v>43836</v>
      </c>
      <c r="AK6" s="2"/>
      <c r="AL6" s="3">
        <f>IF(HAVERD!H10="",AL5,AVERAGE(HAVERD!H10:Q10))</f>
        <v>38.667000000000009</v>
      </c>
      <c r="AZ6" s="33">
        <v>45383</v>
      </c>
      <c r="BA6" s="5">
        <f>'[26]CPI Forecast'!V345</f>
        <v>-0.11452748733939977</v>
      </c>
      <c r="BB6" s="5">
        <f>'[26]CPI Forecast'!AN345</f>
        <v>4.2109142324238125</v>
      </c>
      <c r="BC6" s="39">
        <v>0.85340363559993171</v>
      </c>
      <c r="BD6" s="39">
        <v>2.5013808608161763</v>
      </c>
      <c r="BF6" s="35">
        <v>0</v>
      </c>
      <c r="BI6" s="2">
        <v>43922</v>
      </c>
      <c r="BJ6" s="37">
        <f>'[27]CPI Forecast'!D297</f>
        <v>0.76742263060585181</v>
      </c>
      <c r="BK6" s="35" t="e">
        <f>NA()</f>
        <v>#N/A</v>
      </c>
      <c r="BL6" s="35" t="e">
        <f>NA()</f>
        <v>#N/A</v>
      </c>
      <c r="BM6" s="37">
        <v>2</v>
      </c>
      <c r="BP6" s="35">
        <v>20194</v>
      </c>
      <c r="BQ6" s="35" t="str">
        <f t="shared" si="1"/>
        <v>2019</v>
      </c>
      <c r="BR6" s="37">
        <f>'[28]CPI Forecast'!AA584</f>
        <v>2.3727847111732148</v>
      </c>
      <c r="BS6" s="37">
        <v>2.7146401515151499</v>
      </c>
      <c r="BT6" s="35">
        <v>0</v>
      </c>
    </row>
    <row r="7" spans="1:82" x14ac:dyDescent="0.35">
      <c r="A7" s="2">
        <v>43952</v>
      </c>
      <c r="B7" s="3">
        <f>'[24]CPI Forecast'!D298</f>
        <v>0.47986067365768381</v>
      </c>
      <c r="C7" s="3" t="e">
        <f>NA()</f>
        <v>#N/A</v>
      </c>
      <c r="D7" s="3" t="e">
        <f>NA()</f>
        <v>#N/A</v>
      </c>
      <c r="E7" s="3" t="e">
        <f>NA()</f>
        <v>#N/A</v>
      </c>
      <c r="F7">
        <v>2</v>
      </c>
      <c r="H7" s="2">
        <f t="shared" si="2"/>
        <v>43864</v>
      </c>
      <c r="I7" s="5">
        <f>HAVERW!C12</f>
        <v>125.85</v>
      </c>
      <c r="J7" s="5">
        <f>HAVERW!D12</f>
        <v>131.47999999999999</v>
      </c>
      <c r="L7" s="2">
        <v>43837</v>
      </c>
      <c r="M7" s="5">
        <f>HAVERD!BA11/HAVERD!BB11</f>
        <v>52.385307117817398</v>
      </c>
      <c r="O7">
        <v>5</v>
      </c>
      <c r="P7" t="s">
        <v>2244</v>
      </c>
      <c r="Q7" s="3">
        <f>'[25]Impulse responses'!DK13</f>
        <v>0.58307828530608519</v>
      </c>
      <c r="R7" s="3">
        <f>'[25]Impulse responses'!EN13</f>
        <v>0.64127955205679898</v>
      </c>
      <c r="U7" s="2">
        <v>40299</v>
      </c>
      <c r="V7" t="e">
        <f>NA()</f>
        <v>#N/A</v>
      </c>
      <c r="W7" s="3">
        <f>((HAVERM!J143/HAVERM!J131)-1)*100</f>
        <v>1.8038331454340417</v>
      </c>
      <c r="X7" s="3">
        <f>((HAVERM!K140/HAVERM!K128)-1)*100</f>
        <v>-0.77864293659621886</v>
      </c>
      <c r="Y7" s="18">
        <v>0</v>
      </c>
      <c r="Z7" s="3">
        <f>HAVERM!H143/HAVERM!I143</f>
        <v>65.905517194229859</v>
      </c>
      <c r="AA7" s="3">
        <f t="shared" si="0"/>
        <v>108.21596567336447</v>
      </c>
      <c r="AD7" s="2">
        <v>44317</v>
      </c>
      <c r="AE7" s="3">
        <f>'BoE MPR - Chart 2.21'!D11</f>
        <v>1.8</v>
      </c>
      <c r="AF7" s="3">
        <f>HAVERM!L269</f>
        <v>2.0990000000000002</v>
      </c>
      <c r="AJ7" s="2">
        <v>43837</v>
      </c>
      <c r="AK7" s="2"/>
      <c r="AL7" s="3">
        <f>IF(HAVERD!H11="",AL6,AVERAGE(HAVERD!H11:Q11))</f>
        <v>37.814</v>
      </c>
      <c r="AZ7" s="33">
        <v>45413</v>
      </c>
      <c r="BA7" s="5">
        <f>'[26]CPI Forecast'!V346</f>
        <v>-0.81732485131323918</v>
      </c>
      <c r="BB7" s="5">
        <f>'[26]CPI Forecast'!AN346</f>
        <v>3.2502554997724697</v>
      </c>
      <c r="BC7" s="39">
        <v>0.85340363559993171</v>
      </c>
      <c r="BD7" s="39">
        <v>2.5013808608161763</v>
      </c>
      <c r="BF7" s="35">
        <v>0</v>
      </c>
      <c r="BI7" s="2">
        <v>43952</v>
      </c>
      <c r="BJ7" s="37">
        <f>'[27]CPI Forecast'!D298</f>
        <v>0.47986067365768381</v>
      </c>
      <c r="BK7" s="35" t="e">
        <f>NA()</f>
        <v>#N/A</v>
      </c>
      <c r="BL7" s="35" t="e">
        <f>NA()</f>
        <v>#N/A</v>
      </c>
      <c r="BM7" s="37">
        <v>2</v>
      </c>
      <c r="BP7" s="17">
        <v>20201</v>
      </c>
      <c r="BQ7" t="str">
        <f>LEFT(BP7,4)</f>
        <v>2020</v>
      </c>
      <c r="BR7" s="37">
        <f>'[28]CPI Forecast'!AA585</f>
        <v>2.4420382944883023</v>
      </c>
      <c r="BS7" s="37">
        <v>2.2067968343759898</v>
      </c>
      <c r="BT7" s="35">
        <v>0</v>
      </c>
    </row>
    <row r="8" spans="1:82" x14ac:dyDescent="0.35">
      <c r="A8" s="2">
        <v>43983</v>
      </c>
      <c r="B8" s="3">
        <f>'[24]CPI Forecast'!D299</f>
        <v>0.60315195537972155</v>
      </c>
      <c r="C8" s="3" t="e">
        <f>NA()</f>
        <v>#N/A</v>
      </c>
      <c r="D8" s="3" t="e">
        <f>NA()</f>
        <v>#N/A</v>
      </c>
      <c r="E8" s="3" t="e">
        <f>NA()</f>
        <v>#N/A</v>
      </c>
      <c r="F8">
        <v>2</v>
      </c>
      <c r="H8" s="2">
        <f t="shared" si="2"/>
        <v>43871</v>
      </c>
      <c r="I8" s="5">
        <f>HAVERW!C13</f>
        <v>124.73</v>
      </c>
      <c r="J8" s="5">
        <f>HAVERW!D13</f>
        <v>129.69999999999999</v>
      </c>
      <c r="L8" s="2">
        <f>+L3+7</f>
        <v>43838</v>
      </c>
      <c r="M8" s="5">
        <f>HAVERD!BA12/HAVERD!BB12</f>
        <v>51.385601954347656</v>
      </c>
      <c r="O8">
        <v>6</v>
      </c>
      <c r="Q8" s="3">
        <f>'[25]Impulse responses'!DK14</f>
        <v>0.55128786583636147</v>
      </c>
      <c r="R8" s="3">
        <f>'[25]Impulse responses'!EN14</f>
        <v>0.77910151851588938</v>
      </c>
      <c r="U8" s="2">
        <v>40330</v>
      </c>
      <c r="V8" t="e">
        <f>NA()</f>
        <v>#N/A</v>
      </c>
      <c r="W8" s="3">
        <f>((HAVERM!J144/HAVERM!J132)-1)*100</f>
        <v>1.9209039548022666</v>
      </c>
      <c r="X8" s="3">
        <f>((HAVERM!K141/HAVERM!K129)-1)*100</f>
        <v>-0.78037904124861335</v>
      </c>
      <c r="Y8" s="18">
        <v>0</v>
      </c>
      <c r="Z8" s="3">
        <f>HAVERM!H144/HAVERM!I144</f>
        <v>64.968498069236503</v>
      </c>
      <c r="AA8" s="3">
        <f t="shared" si="0"/>
        <v>106.67739297440923</v>
      </c>
      <c r="AD8" s="2">
        <v>44348</v>
      </c>
      <c r="AE8" s="3">
        <f>'BoE MPR - Chart 2.21'!D12</f>
        <v>2.2999999999999998</v>
      </c>
      <c r="AF8" s="3">
        <f>HAVERM!L270</f>
        <v>2.383</v>
      </c>
      <c r="AJ8" s="2">
        <f>+AJ3+7</f>
        <v>43838</v>
      </c>
      <c r="AK8" s="2"/>
      <c r="AL8" s="3">
        <f>IF(HAVERD!H12="",AL7,AVERAGE(HAVERD!H12:Q12))</f>
        <v>37.963000000000001</v>
      </c>
      <c r="AZ8" s="33">
        <v>45444</v>
      </c>
      <c r="BA8" s="5">
        <f>'[26]CPI Forecast'!V347</f>
        <v>-0.9077721777819292</v>
      </c>
      <c r="BB8" s="5">
        <f>'[26]CPI Forecast'!AN347</f>
        <v>2.9929786980840145</v>
      </c>
      <c r="BC8" s="39">
        <v>0.85340363559993171</v>
      </c>
      <c r="BD8" s="39">
        <v>2.5013808608161763</v>
      </c>
      <c r="BF8" s="35">
        <v>0</v>
      </c>
      <c r="BI8" s="2">
        <v>43983</v>
      </c>
      <c r="BJ8" s="37">
        <f>'[27]CPI Forecast'!D299</f>
        <v>0.60315195537972155</v>
      </c>
      <c r="BK8" s="35" t="e">
        <f>NA()</f>
        <v>#N/A</v>
      </c>
      <c r="BL8" s="35" t="e">
        <f>NA()</f>
        <v>#N/A</v>
      </c>
      <c r="BM8" s="37">
        <v>2</v>
      </c>
      <c r="BP8" s="17">
        <v>20202</v>
      </c>
      <c r="BQ8" s="35" t="str">
        <f t="shared" ref="BQ8:BQ38" si="3">LEFT(BP8,4)</f>
        <v>2020</v>
      </c>
      <c r="BR8" s="37">
        <f>'[28]CPI Forecast'!AA586</f>
        <v>1.9124297366974741</v>
      </c>
      <c r="BS8" s="37">
        <v>-1.1173184357541801</v>
      </c>
      <c r="BT8" s="35">
        <v>0</v>
      </c>
    </row>
    <row r="9" spans="1:82" x14ac:dyDescent="0.35">
      <c r="A9" s="2">
        <v>44013</v>
      </c>
      <c r="B9" s="3">
        <f>'[24]CPI Forecast'!D300</f>
        <v>1.040306070459196</v>
      </c>
      <c r="C9" s="3" t="e">
        <f>NA()</f>
        <v>#N/A</v>
      </c>
      <c r="D9" s="3" t="e">
        <f>NA()</f>
        <v>#N/A</v>
      </c>
      <c r="E9" s="3" t="e">
        <f>NA()</f>
        <v>#N/A</v>
      </c>
      <c r="F9">
        <v>2</v>
      </c>
      <c r="H9" s="2">
        <f t="shared" si="2"/>
        <v>43878</v>
      </c>
      <c r="I9" s="5">
        <f>HAVERW!C14</f>
        <v>123.8</v>
      </c>
      <c r="J9" s="5">
        <f>HAVERW!D14</f>
        <v>128.19999999999999</v>
      </c>
      <c r="L9" s="2">
        <f t="shared" ref="L9:L72" si="4">+L4+7</f>
        <v>43839</v>
      </c>
      <c r="M9" s="5">
        <f>HAVERD!BA13/HAVERD!BB13</f>
        <v>51.023066901678291</v>
      </c>
      <c r="O9">
        <v>7</v>
      </c>
      <c r="Q9" s="3">
        <f>'[25]Impulse responses'!DK15</f>
        <v>0.51601219896545292</v>
      </c>
      <c r="R9" s="3">
        <f>'[25]Impulse responses'!EN15</f>
        <v>0.90810456825725261</v>
      </c>
      <c r="U9" s="2">
        <v>40360</v>
      </c>
      <c r="V9" t="e">
        <f>NA()</f>
        <v>#N/A</v>
      </c>
      <c r="W9" s="3">
        <f>((HAVERM!J145/HAVERM!J133)-1)*100</f>
        <v>3.287981859410416</v>
      </c>
      <c r="X9" s="3">
        <f>((HAVERM!K142/HAVERM!K130)-1)*100</f>
        <v>-0.44493882091213299</v>
      </c>
      <c r="Y9" s="18">
        <v>0</v>
      </c>
      <c r="Z9" s="3">
        <f>HAVERM!H145/HAVERM!I145</f>
        <v>65.363749264657812</v>
      </c>
      <c r="AA9" s="3">
        <f t="shared" si="0"/>
        <v>107.3263900784</v>
      </c>
      <c r="AD9" s="2">
        <v>44378</v>
      </c>
      <c r="AE9" s="3">
        <f>'BoE MPR - Chart 2.21'!D13</f>
        <v>1.9</v>
      </c>
      <c r="AF9" s="3">
        <f>HAVERM!L271</f>
        <v>2.4380000000000002</v>
      </c>
      <c r="AJ9" s="2">
        <f t="shared" ref="AJ9:AJ72" si="5">+AJ4+7</f>
        <v>43839</v>
      </c>
      <c r="AK9" s="2"/>
      <c r="AL9" s="3">
        <f>IF(HAVERD!H13="",AL8,AVERAGE(HAVERD!H13:Q13))</f>
        <v>38.254999999999995</v>
      </c>
      <c r="AZ9" s="33">
        <v>45474</v>
      </c>
      <c r="BA9" s="5">
        <f>'[26]CPI Forecast'!V348</f>
        <v>-0.69584435557327184</v>
      </c>
      <c r="BB9" s="5">
        <f>'[26]CPI Forecast'!AN348</f>
        <v>2.9391016358870425</v>
      </c>
      <c r="BC9" s="39">
        <v>0.85340363559993171</v>
      </c>
      <c r="BD9" s="39">
        <v>2.5013808608161763</v>
      </c>
      <c r="BF9" s="35">
        <v>0</v>
      </c>
      <c r="BI9" s="2">
        <v>44013</v>
      </c>
      <c r="BJ9" s="37">
        <f>'[27]CPI Forecast'!D300</f>
        <v>1.040306070459196</v>
      </c>
      <c r="BK9" s="35" t="e">
        <f>NA()</f>
        <v>#N/A</v>
      </c>
      <c r="BL9" s="35" t="e">
        <f>NA()</f>
        <v>#N/A</v>
      </c>
      <c r="BM9" s="37">
        <v>2</v>
      </c>
      <c r="BP9" s="17">
        <v>20203</v>
      </c>
      <c r="BQ9" s="35" t="str">
        <f t="shared" si="3"/>
        <v>2020</v>
      </c>
      <c r="BR9" s="37">
        <f>'[28]CPI Forecast'!AA587</f>
        <v>1.3977683595527424</v>
      </c>
      <c r="BS9" s="37">
        <v>1.4751076505905101</v>
      </c>
      <c r="BT9" s="35">
        <v>0</v>
      </c>
    </row>
    <row r="10" spans="1:82" x14ac:dyDescent="0.35">
      <c r="A10" s="2">
        <v>44044</v>
      </c>
      <c r="B10" s="3">
        <f>'[24]CPI Forecast'!D301</f>
        <v>0.21960784313725945</v>
      </c>
      <c r="C10" s="3" t="e">
        <f>NA()</f>
        <v>#N/A</v>
      </c>
      <c r="D10" s="3" t="e">
        <f>NA()</f>
        <v>#N/A</v>
      </c>
      <c r="E10" s="3" t="e">
        <f>NA()</f>
        <v>#N/A</v>
      </c>
      <c r="F10">
        <v>2</v>
      </c>
      <c r="H10" s="2">
        <f t="shared" si="2"/>
        <v>43885</v>
      </c>
      <c r="I10" s="5">
        <f>HAVERW!C15</f>
        <v>123.45</v>
      </c>
      <c r="J10" s="5">
        <f>HAVERW!D15</f>
        <v>127.67</v>
      </c>
      <c r="L10" s="2">
        <f t="shared" si="4"/>
        <v>43840</v>
      </c>
      <c r="M10" s="5">
        <f>HAVERD!BA14/HAVERD!BB14</f>
        <v>51.117746133823303</v>
      </c>
      <c r="O10">
        <v>8</v>
      </c>
      <c r="Q10" s="3">
        <f>'[25]Impulse responses'!DK16</f>
        <v>0.48109182101842851</v>
      </c>
      <c r="R10" s="3">
        <f>'[25]Impulse responses'!EN16</f>
        <v>1.0283775235118597</v>
      </c>
      <c r="U10" s="2">
        <v>40391</v>
      </c>
      <c r="V10" t="e">
        <f>NA()</f>
        <v>#N/A</v>
      </c>
      <c r="W10" s="3">
        <f>((HAVERM!J146/HAVERM!J134)-1)*100</f>
        <v>4.1095890410959068</v>
      </c>
      <c r="X10" s="3">
        <f>((HAVERM!K143/HAVERM!K131)-1)*100</f>
        <v>0.11148272017835748</v>
      </c>
      <c r="Y10" s="18">
        <v>0</v>
      </c>
      <c r="Z10" s="3">
        <f>HAVERM!H146/HAVERM!I146</f>
        <v>68.837803320561932</v>
      </c>
      <c r="AA10" s="3">
        <f t="shared" si="0"/>
        <v>113.03073973630767</v>
      </c>
      <c r="AD10" s="2">
        <v>44409</v>
      </c>
      <c r="AE10" s="3">
        <f>'BoE MPR - Chart 2.21'!D14</f>
        <v>4.5</v>
      </c>
      <c r="AF10" s="3">
        <f>HAVERM!L272</f>
        <v>2.6469999999999998</v>
      </c>
      <c r="AJ10" s="2">
        <f t="shared" si="5"/>
        <v>43840</v>
      </c>
      <c r="AK10" s="2"/>
      <c r="AL10" s="3">
        <f>IF(HAVERD!H14="",AL9,AVERAGE(HAVERD!H14:Q14))</f>
        <v>37.688000000000002</v>
      </c>
      <c r="AZ10" s="33">
        <v>45505</v>
      </c>
      <c r="BA10" s="5">
        <f>'[26]CPI Forecast'!V349</f>
        <v>-0.52653144333976165</v>
      </c>
      <c r="BB10" s="5">
        <f>'[26]CPI Forecast'!AN349</f>
        <v>2.4618948548832176</v>
      </c>
      <c r="BC10" s="39">
        <v>0.85340363559993171</v>
      </c>
      <c r="BD10" s="39">
        <v>2.5013808608161763</v>
      </c>
      <c r="BF10" s="35">
        <v>0</v>
      </c>
      <c r="BI10" s="2">
        <v>44044</v>
      </c>
      <c r="BJ10" s="37">
        <f>'[27]CPI Forecast'!D301</f>
        <v>0.21960784313725945</v>
      </c>
      <c r="BK10" s="35" t="e">
        <f>NA()</f>
        <v>#N/A</v>
      </c>
      <c r="BL10" s="35" t="e">
        <f>NA()</f>
        <v>#N/A</v>
      </c>
      <c r="BM10" s="37">
        <v>2</v>
      </c>
      <c r="BP10" s="17">
        <v>20204</v>
      </c>
      <c r="BQ10" s="35" t="str">
        <f t="shared" si="3"/>
        <v>2020</v>
      </c>
      <c r="BR10" s="37">
        <f>'[28]CPI Forecast'!AA588</f>
        <v>1.4487675892902674</v>
      </c>
      <c r="BS10" s="37">
        <v>4.5482547356026197</v>
      </c>
      <c r="BT10" s="35">
        <v>0</v>
      </c>
    </row>
    <row r="11" spans="1:82" x14ac:dyDescent="0.35">
      <c r="A11" s="2">
        <v>44075</v>
      </c>
      <c r="B11" s="3">
        <f>'[24]CPI Forecast'!D302</f>
        <v>0.53190018344564383</v>
      </c>
      <c r="C11" s="3" t="e">
        <f>NA()</f>
        <v>#N/A</v>
      </c>
      <c r="D11" s="3" t="e">
        <f>NA()</f>
        <v>#N/A</v>
      </c>
      <c r="E11" s="3" t="e">
        <f>NA()</f>
        <v>#N/A</v>
      </c>
      <c r="F11">
        <v>2</v>
      </c>
      <c r="H11" s="2">
        <f t="shared" si="2"/>
        <v>43892</v>
      </c>
      <c r="I11" s="5">
        <f>HAVERW!C16</f>
        <v>122.43</v>
      </c>
      <c r="J11" s="5">
        <f>HAVERW!D16</f>
        <v>126.62</v>
      </c>
      <c r="L11" s="2">
        <f t="shared" si="4"/>
        <v>43843</v>
      </c>
      <c r="M11" s="5">
        <f>HAVERD!BA15/HAVERD!BB15</f>
        <v>49.418291085599812</v>
      </c>
      <c r="O11">
        <v>9</v>
      </c>
      <c r="P11" t="s">
        <v>2245</v>
      </c>
      <c r="Q11" s="3">
        <f>'[25]Impulse responses'!DK17</f>
        <v>0.44783231388484795</v>
      </c>
      <c r="R11" s="3">
        <f>'[25]Impulse responses'!EN17</f>
        <v>1.1403356019830717</v>
      </c>
      <c r="U11" s="2">
        <v>40422</v>
      </c>
      <c r="V11" t="e">
        <f>NA()</f>
        <v>#N/A</v>
      </c>
      <c r="W11" s="3">
        <f>((HAVERM!J147/HAVERM!J135)-1)*100</f>
        <v>5.1843317972350311</v>
      </c>
      <c r="X11" s="3">
        <f>((HAVERM!K144/HAVERM!K132)-1)*100</f>
        <v>-0.33444816053511683</v>
      </c>
      <c r="Y11" s="18">
        <v>0</v>
      </c>
      <c r="Z11" s="3">
        <f>HAVERM!H147/HAVERM!I147</f>
        <v>73.244318911285134</v>
      </c>
      <c r="AA11" s="3">
        <f t="shared" si="0"/>
        <v>120.26617859189707</v>
      </c>
      <c r="AD11" s="2">
        <v>44440</v>
      </c>
      <c r="AE11" s="3">
        <f>'BoE MPR - Chart 2.21'!D15</f>
        <v>3</v>
      </c>
      <c r="AF11" s="3">
        <f>HAVERM!L273</f>
        <v>2.7360000000000002</v>
      </c>
      <c r="AJ11" s="2">
        <f t="shared" si="5"/>
        <v>43843</v>
      </c>
      <c r="AK11" s="2"/>
      <c r="AL11" s="3">
        <f>IF(HAVERD!H15="",AL10,AVERAGE(HAVERD!H15:Q15))</f>
        <v>38.188000000000002</v>
      </c>
      <c r="AZ11" s="33">
        <v>45536</v>
      </c>
      <c r="BA11" s="5">
        <f>'[26]CPI Forecast'!V350</f>
        <v>-0.56232676160662409</v>
      </c>
      <c r="BB11" s="5">
        <f>'[26]CPI Forecast'!AN350</f>
        <v>2.6235909526265422</v>
      </c>
      <c r="BC11" s="39">
        <v>0.85340363559993171</v>
      </c>
      <c r="BD11" s="39">
        <v>2.5013808608161763</v>
      </c>
      <c r="BF11" s="35">
        <v>0</v>
      </c>
      <c r="BI11" s="2">
        <v>44075</v>
      </c>
      <c r="BJ11" s="37">
        <f>'[27]CPI Forecast'!D302</f>
        <v>0.53190018344564383</v>
      </c>
      <c r="BK11" s="35" t="e">
        <f>NA()</f>
        <v>#N/A</v>
      </c>
      <c r="BL11" s="35" t="e">
        <f>NA()</f>
        <v>#N/A</v>
      </c>
      <c r="BM11" s="37">
        <v>2</v>
      </c>
      <c r="BP11" s="17">
        <v>20211</v>
      </c>
      <c r="BQ11" s="35" t="str">
        <f t="shared" si="3"/>
        <v>2021</v>
      </c>
      <c r="BR11" s="37">
        <f>'[28]CPI Forecast'!AA589</f>
        <v>1.5594582651586419</v>
      </c>
      <c r="BS11" s="37">
        <v>4.1949478220202199</v>
      </c>
      <c r="BT11" s="35">
        <v>0</v>
      </c>
    </row>
    <row r="12" spans="1:82" x14ac:dyDescent="0.35">
      <c r="A12" s="2">
        <v>44105</v>
      </c>
      <c r="B12" s="3">
        <f>'[24]CPI Forecast'!D303</f>
        <v>0.69715045522538155</v>
      </c>
      <c r="C12" s="3" t="e">
        <f>NA()</f>
        <v>#N/A</v>
      </c>
      <c r="D12" s="3" t="e">
        <f>NA()</f>
        <v>#N/A</v>
      </c>
      <c r="E12" s="3" t="e">
        <f>NA()</f>
        <v>#N/A</v>
      </c>
      <c r="F12">
        <v>2</v>
      </c>
      <c r="H12" s="2">
        <f t="shared" si="2"/>
        <v>43899</v>
      </c>
      <c r="I12" s="5">
        <f>HAVERW!C17</f>
        <v>122.24</v>
      </c>
      <c r="J12" s="5">
        <f>HAVERW!D17</f>
        <v>126.25</v>
      </c>
      <c r="L12" s="2">
        <f t="shared" si="4"/>
        <v>43844</v>
      </c>
      <c r="M12" s="5">
        <f>HAVERD!BA16/HAVERD!BB16</f>
        <v>49.538816295157574</v>
      </c>
      <c r="O12">
        <v>10</v>
      </c>
      <c r="Q12" s="3">
        <f>'[25]Impulse responses'!DK18</f>
        <v>0.41661096065555175</v>
      </c>
      <c r="R12" s="3">
        <f>'[25]Impulse responses'!EN18</f>
        <v>1.2444883421469597</v>
      </c>
      <c r="U12" s="2">
        <v>40452</v>
      </c>
      <c r="V12" t="e">
        <f>NA()</f>
        <v>#N/A</v>
      </c>
      <c r="W12" s="3">
        <f>((HAVERM!J148/HAVERM!J136)-1)*100</f>
        <v>4.5610034207525629</v>
      </c>
      <c r="X12" s="3">
        <f>((HAVERM!K145/HAVERM!K133)-1)*100</f>
        <v>0.44792833146696243</v>
      </c>
      <c r="Y12" s="18">
        <v>0</v>
      </c>
      <c r="Z12" s="3">
        <f>HAVERM!H148/HAVERM!I148</f>
        <v>75.715546589332988</v>
      </c>
      <c r="AA12" s="3">
        <f t="shared" si="0"/>
        <v>124.32390093387589</v>
      </c>
      <c r="AD12" s="2">
        <v>44470</v>
      </c>
      <c r="AE12" s="3">
        <f>'BoE MPR - Chart 2.21'!D16</f>
        <v>3.3</v>
      </c>
      <c r="AF12" s="3">
        <f>HAVERM!L274</f>
        <v>2.944</v>
      </c>
      <c r="AJ12" s="2">
        <f t="shared" si="5"/>
        <v>43844</v>
      </c>
      <c r="AK12" s="2"/>
      <c r="AL12" s="3">
        <f>IF(HAVERD!H16="",AL11,AVERAGE(HAVERD!H16:Q16))</f>
        <v>36.646000000000001</v>
      </c>
      <c r="AZ12" s="33">
        <v>45566</v>
      </c>
      <c r="BA12" s="5">
        <f>'[26]CPI Forecast'!V351</f>
        <v>-0.29943167429894446</v>
      </c>
      <c r="BB12" s="5">
        <f>'[26]CPI Forecast'!AN351</f>
        <v>2.7310614985862403</v>
      </c>
      <c r="BC12" s="39">
        <v>0.85340363559993171</v>
      </c>
      <c r="BD12" s="39">
        <v>2.5013808608161763</v>
      </c>
      <c r="BF12" s="35">
        <v>0</v>
      </c>
      <c r="BI12" s="2">
        <v>44105</v>
      </c>
      <c r="BJ12" s="37">
        <f>'[27]CPI Forecast'!D303</f>
        <v>0.69715045522538155</v>
      </c>
      <c r="BK12" s="35" t="e">
        <f>NA()</f>
        <v>#N/A</v>
      </c>
      <c r="BL12" s="35" t="e">
        <f>NA()</f>
        <v>#N/A</v>
      </c>
      <c r="BM12" s="37">
        <v>2</v>
      </c>
      <c r="BP12" s="17">
        <v>20212</v>
      </c>
      <c r="BQ12" s="35" t="str">
        <f t="shared" si="3"/>
        <v>2021</v>
      </c>
      <c r="BR12" s="37">
        <f>'[28]CPI Forecast'!AA590</f>
        <v>1.8670632040735713</v>
      </c>
      <c r="BS12" s="37">
        <v>8.8512241054613892</v>
      </c>
      <c r="BT12" s="35">
        <v>0</v>
      </c>
    </row>
    <row r="13" spans="1:82" x14ac:dyDescent="0.35">
      <c r="A13" s="2">
        <v>44136</v>
      </c>
      <c r="B13" s="3">
        <f>'[24]CPI Forecast'!D304</f>
        <v>0.31506508581378156</v>
      </c>
      <c r="C13" s="3" t="e">
        <f>NA()</f>
        <v>#N/A</v>
      </c>
      <c r="D13" s="3" t="e">
        <f>NA()</f>
        <v>#N/A</v>
      </c>
      <c r="E13" s="3" t="e">
        <f>NA()</f>
        <v>#N/A</v>
      </c>
      <c r="F13">
        <v>2</v>
      </c>
      <c r="H13" s="2">
        <f t="shared" si="2"/>
        <v>43906</v>
      </c>
      <c r="I13" s="5">
        <f>HAVERW!C18</f>
        <v>120.33</v>
      </c>
      <c r="J13" s="5">
        <f>HAVERW!D18</f>
        <v>124.36</v>
      </c>
      <c r="L13" s="2">
        <f t="shared" si="4"/>
        <v>43845</v>
      </c>
      <c r="M13" s="5">
        <f>HAVERD!BA17/HAVERD!BB17</f>
        <v>48.598633187437606</v>
      </c>
      <c r="O13">
        <v>11</v>
      </c>
      <c r="Q13" s="3">
        <f>'[25]Impulse responses'!DK19</f>
        <v>0.38746865197270108</v>
      </c>
      <c r="R13" s="3">
        <f>'[25]Impulse responses'!EN19</f>
        <v>1.3413555051401349</v>
      </c>
      <c r="U13" s="2">
        <v>40483</v>
      </c>
      <c r="V13" t="e">
        <f>NA()</f>
        <v>#N/A</v>
      </c>
      <c r="W13" s="3">
        <f>((HAVERM!J149/HAVERM!J137)-1)*100</f>
        <v>5.5555555555555358</v>
      </c>
      <c r="X13" s="3">
        <f>((HAVERM!K146/HAVERM!K134)-1)*100</f>
        <v>1.3513513513513598</v>
      </c>
      <c r="Y13" s="18">
        <v>0</v>
      </c>
      <c r="Z13" s="3">
        <f>HAVERM!H149/HAVERM!I149</f>
        <v>77.814673266086089</v>
      </c>
      <c r="AA13" s="3">
        <f t="shared" si="0"/>
        <v>127.77063847674499</v>
      </c>
      <c r="AD13" s="2">
        <v>44501</v>
      </c>
      <c r="AE13" s="3">
        <f>'BoE MPR - Chart 2.21'!D17</f>
        <v>3.7</v>
      </c>
      <c r="AF13" s="3">
        <f>HAVERM!L275</f>
        <v>3.1850000000000001</v>
      </c>
      <c r="AJ13" s="2">
        <f t="shared" si="5"/>
        <v>43845</v>
      </c>
      <c r="AK13" s="2"/>
      <c r="AL13" s="3">
        <f>IF(HAVERD!H17="",AL12,AVERAGE(HAVERD!H17:Q17))</f>
        <v>36.35</v>
      </c>
      <c r="AZ13" s="33">
        <v>45597</v>
      </c>
      <c r="BA13" s="5">
        <f>'[26]CPI Forecast'!V352</f>
        <v>0.32758672329495919</v>
      </c>
      <c r="BB13" s="5">
        <f>'[26]CPI Forecast'!AN352</f>
        <v>3.2433226790109737</v>
      </c>
      <c r="BC13" s="39">
        <v>0.85340363559993171</v>
      </c>
      <c r="BD13" s="39">
        <v>2.5013808608161763</v>
      </c>
      <c r="BF13" s="35">
        <v>0</v>
      </c>
      <c r="BI13" s="2">
        <v>44136</v>
      </c>
      <c r="BJ13" s="37">
        <f>'[27]CPI Forecast'!D304</f>
        <v>0.31506508581378156</v>
      </c>
      <c r="BK13" s="35" t="e">
        <f>NA()</f>
        <v>#N/A</v>
      </c>
      <c r="BL13" s="35" t="e">
        <f>NA()</f>
        <v>#N/A</v>
      </c>
      <c r="BM13" s="37">
        <v>2</v>
      </c>
      <c r="BP13" s="17">
        <v>20213</v>
      </c>
      <c r="BQ13" s="35" t="str">
        <f t="shared" si="3"/>
        <v>2021</v>
      </c>
      <c r="BR13" s="37">
        <f>'[28]CPI Forecast'!AA591</f>
        <v>2.4101613465023597</v>
      </c>
      <c r="BS13" s="37">
        <v>6.0569476715292296</v>
      </c>
      <c r="BT13" s="35">
        <v>0</v>
      </c>
    </row>
    <row r="14" spans="1:82" x14ac:dyDescent="0.35">
      <c r="A14" s="2">
        <v>44166</v>
      </c>
      <c r="B14" s="3">
        <f>'[24]CPI Forecast'!D305</f>
        <v>0.58876644676224554</v>
      </c>
      <c r="C14" s="3" t="e">
        <f>NA()</f>
        <v>#N/A</v>
      </c>
      <c r="D14" s="3" t="e">
        <f>NA()</f>
        <v>#N/A</v>
      </c>
      <c r="E14" s="3" t="e">
        <f>NA()</f>
        <v>#N/A</v>
      </c>
      <c r="F14">
        <v>2</v>
      </c>
      <c r="H14" s="2">
        <f t="shared" si="2"/>
        <v>43913</v>
      </c>
      <c r="I14" s="5">
        <f>HAVERW!C19</f>
        <v>119.64</v>
      </c>
      <c r="J14" s="5">
        <f>HAVERW!D19</f>
        <v>123.41</v>
      </c>
      <c r="L14" s="2">
        <f t="shared" si="4"/>
        <v>43846</v>
      </c>
      <c r="M14" s="5">
        <f>HAVERD!BA18/HAVERD!BB18</f>
        <v>49.460472947118696</v>
      </c>
      <c r="O14">
        <v>12</v>
      </c>
      <c r="Q14" s="3">
        <f>'[25]Impulse responses'!DK20</f>
        <v>0.3603282577757782</v>
      </c>
      <c r="R14" s="3">
        <f>'[25]Impulse responses'!EN20</f>
        <v>1.4314375695840795</v>
      </c>
      <c r="U14" s="2">
        <v>40513</v>
      </c>
      <c r="V14" t="e">
        <f>NA()</f>
        <v>#N/A</v>
      </c>
      <c r="W14" s="3">
        <f>((HAVERM!J150/HAVERM!J138)-1)*100</f>
        <v>6.1728395061728447</v>
      </c>
      <c r="X14" s="3">
        <f>((HAVERM!K147/HAVERM!K135)-1)*100</f>
        <v>0.89887640449437534</v>
      </c>
      <c r="Y14" s="18">
        <v>0</v>
      </c>
      <c r="Z14" s="3">
        <f>HAVERM!H150/HAVERM!I150</f>
        <v>82.932769339229637</v>
      </c>
      <c r="AA14" s="3">
        <f t="shared" si="0"/>
        <v>136.17448283672485</v>
      </c>
      <c r="AD14" s="2">
        <v>44531</v>
      </c>
      <c r="AE14" s="3">
        <f>'BoE MPR - Chart 2.21'!D18</f>
        <v>3.4</v>
      </c>
      <c r="AF14" s="3">
        <f>HAVERM!L276</f>
        <v>3.28</v>
      </c>
      <c r="AJ14" s="2">
        <f t="shared" si="5"/>
        <v>43846</v>
      </c>
      <c r="AK14" s="2"/>
      <c r="AL14" s="3">
        <f>IF(HAVERD!H18="",AL13,AVERAGE(HAVERD!H18:Q18))</f>
        <v>35.638999999999996</v>
      </c>
      <c r="AZ14" s="33">
        <v>45627</v>
      </c>
      <c r="BA14" s="5">
        <f>'[26]CPI Forecast'!V353</f>
        <v>0.53109472927570511</v>
      </c>
      <c r="BB14" s="5">
        <f>'[26]CPI Forecast'!AN353</f>
        <v>2.8256460391344218</v>
      </c>
      <c r="BC14" s="39">
        <v>0.85340363559993171</v>
      </c>
      <c r="BD14" s="39">
        <v>2.5013808608161763</v>
      </c>
      <c r="BF14" s="35">
        <v>0</v>
      </c>
      <c r="BI14" s="2">
        <v>44166</v>
      </c>
      <c r="BJ14" s="37">
        <f>'[27]CPI Forecast'!D305</f>
        <v>0.58876644676224554</v>
      </c>
      <c r="BK14" s="35" t="e">
        <f>NA()</f>
        <v>#N/A</v>
      </c>
      <c r="BL14" s="35" t="e">
        <f>NA()</f>
        <v>#N/A</v>
      </c>
      <c r="BM14" s="37">
        <v>2</v>
      </c>
      <c r="BP14" s="17">
        <v>20214</v>
      </c>
      <c r="BQ14" s="35" t="str">
        <f t="shared" si="3"/>
        <v>2021</v>
      </c>
      <c r="BR14" s="37">
        <f>'[28]CPI Forecast'!AA592</f>
        <v>3.323720323398538</v>
      </c>
      <c r="BS14" s="37">
        <v>4.5267548500881798</v>
      </c>
      <c r="BT14" s="35">
        <v>0</v>
      </c>
    </row>
    <row r="15" spans="1:82" x14ac:dyDescent="0.35">
      <c r="A15" s="2">
        <v>44197</v>
      </c>
      <c r="B15" s="3">
        <f>'[24]CPI Forecast'!D306</f>
        <v>0.70058042811194099</v>
      </c>
      <c r="C15" s="3" t="e">
        <f>NA()</f>
        <v>#N/A</v>
      </c>
      <c r="D15" s="3" t="e">
        <f>NA()</f>
        <v>#N/A</v>
      </c>
      <c r="E15" s="3" t="e">
        <f>NA()</f>
        <v>#N/A</v>
      </c>
      <c r="F15">
        <v>2</v>
      </c>
      <c r="H15" s="2">
        <f t="shared" si="2"/>
        <v>43920</v>
      </c>
      <c r="I15" s="5">
        <f>HAVERW!C20</f>
        <v>112.45</v>
      </c>
      <c r="J15" s="5">
        <f>HAVERW!D20</f>
        <v>118.6</v>
      </c>
      <c r="L15" s="2">
        <f t="shared" si="4"/>
        <v>43847</v>
      </c>
      <c r="M15" s="5">
        <f>HAVERD!BA19/HAVERD!BB19</f>
        <v>49.159567119502647</v>
      </c>
      <c r="O15">
        <v>13</v>
      </c>
      <c r="P15" t="s">
        <v>2246</v>
      </c>
      <c r="Q15" s="3">
        <f>'[25]Impulse responses'!DK21</f>
        <v>0.33507513716177034</v>
      </c>
      <c r="R15" s="3">
        <f>'[25]Impulse responses'!EN21</f>
        <v>1.5152063538745222</v>
      </c>
      <c r="U15" s="2">
        <v>40544</v>
      </c>
      <c r="V15" t="e">
        <f>NA()</f>
        <v>#N/A</v>
      </c>
      <c r="W15" s="3">
        <f>((HAVERM!J151/HAVERM!J139)-1)*100</f>
        <v>6.2992125984251857</v>
      </c>
      <c r="X15" s="3">
        <f>((HAVERM!K148/HAVERM!K136)-1)*100</f>
        <v>2.0270270270270174</v>
      </c>
      <c r="Y15" s="18">
        <v>0</v>
      </c>
      <c r="Z15" s="3">
        <f>HAVERM!H151/HAVERM!I151</f>
        <v>84.710351377018057</v>
      </c>
      <c r="AA15" s="3">
        <f t="shared" si="0"/>
        <v>139.09324844197744</v>
      </c>
      <c r="AD15" s="2">
        <v>44562</v>
      </c>
      <c r="AE15" s="3">
        <f>'BoE MPR - Chart 2.21'!D19</f>
        <v>3.5</v>
      </c>
      <c r="AF15" s="3">
        <f>HAVERM!L277</f>
        <v>3.21</v>
      </c>
      <c r="AJ15" s="2">
        <f t="shared" si="5"/>
        <v>43847</v>
      </c>
      <c r="AK15" s="2"/>
      <c r="AL15" s="3">
        <f>IF(HAVERD!H19="",AL14,AVERAGE(HAVERD!H19:Q19))</f>
        <v>34.805999999999997</v>
      </c>
      <c r="AZ15" s="34">
        <v>45658</v>
      </c>
      <c r="BA15" s="5">
        <f>'[26]CPI Forecast'!V354</f>
        <v>0.67591702026135181</v>
      </c>
      <c r="BB15" s="5">
        <f>'[26]CPI Forecast'!AN354</f>
        <v>3.1140093642812117</v>
      </c>
      <c r="BC15" s="39">
        <v>0.85340363559993171</v>
      </c>
      <c r="BD15" s="39">
        <v>2.5013808608161763</v>
      </c>
      <c r="BF15" s="35">
        <v>0</v>
      </c>
      <c r="BI15" s="2">
        <v>44197</v>
      </c>
      <c r="BJ15" s="37">
        <f>'[27]CPI Forecast'!D306</f>
        <v>0.70058042811194099</v>
      </c>
      <c r="BK15" s="35" t="e">
        <f>NA()</f>
        <v>#N/A</v>
      </c>
      <c r="BL15" s="35" t="e">
        <f>NA()</f>
        <v>#N/A</v>
      </c>
      <c r="BM15" s="37">
        <v>2</v>
      </c>
      <c r="BP15" s="17">
        <v>20221</v>
      </c>
      <c r="BQ15" s="35" t="str">
        <f t="shared" si="3"/>
        <v>2022</v>
      </c>
      <c r="BR15" s="37">
        <f>'[28]CPI Forecast'!AA593</f>
        <v>3.5740429872966883</v>
      </c>
      <c r="BS15" s="37">
        <v>6.9863765541740603</v>
      </c>
      <c r="BT15" s="35">
        <v>0</v>
      </c>
    </row>
    <row r="16" spans="1:82" x14ac:dyDescent="0.35">
      <c r="A16" s="2">
        <v>44228</v>
      </c>
      <c r="B16" s="3">
        <f>'[24]CPI Forecast'!D307</f>
        <v>0.41421588932151199</v>
      </c>
      <c r="C16" s="3" t="e">
        <f>NA()</f>
        <v>#N/A</v>
      </c>
      <c r="D16" s="3" t="e">
        <f>NA()</f>
        <v>#N/A</v>
      </c>
      <c r="E16" s="3" t="e">
        <f>NA()</f>
        <v>#N/A</v>
      </c>
      <c r="F16">
        <v>2</v>
      </c>
      <c r="H16" s="2">
        <f t="shared" si="2"/>
        <v>43927</v>
      </c>
      <c r="I16" s="5">
        <f>HAVERW!C21</f>
        <v>110.23</v>
      </c>
      <c r="J16" s="5">
        <f>HAVERW!D21</f>
        <v>116.83</v>
      </c>
      <c r="L16" s="2">
        <f t="shared" si="4"/>
        <v>43850</v>
      </c>
      <c r="M16" s="5">
        <f>HAVERD!BA20/HAVERD!BB20</f>
        <v>49.723034312971222</v>
      </c>
      <c r="O16">
        <v>14</v>
      </c>
      <c r="Q16" s="3">
        <f>'[25]Impulse responses'!DK22</f>
        <v>0.31158663908380901</v>
      </c>
      <c r="R16" s="3">
        <f>'[25]Impulse responses'!EN22</f>
        <v>1.5931030136454745</v>
      </c>
      <c r="U16" s="2">
        <v>40575</v>
      </c>
      <c r="V16" t="e">
        <f>NA()</f>
        <v>#N/A</v>
      </c>
      <c r="W16" s="3">
        <f>((HAVERM!J152/HAVERM!J140)-1)*100</f>
        <v>6.2291434927697287</v>
      </c>
      <c r="X16" s="3">
        <f>((HAVERM!K149/HAVERM!K137)-1)*100</f>
        <v>2.4663677130044803</v>
      </c>
      <c r="Y16" s="18">
        <v>0</v>
      </c>
      <c r="Z16" s="3">
        <f>HAVERM!H152/HAVERM!I152</f>
        <v>85.368877867327953</v>
      </c>
      <c r="AA16" s="3">
        <f t="shared" si="0"/>
        <v>140.17454001063862</v>
      </c>
      <c r="AD16" s="2">
        <v>44593</v>
      </c>
      <c r="AE16" s="3">
        <f>'BoE MPR - Chart 2.21'!D20</f>
        <v>3.7</v>
      </c>
      <c r="AF16" s="3">
        <f>HAVERM!L278</f>
        <v>3.14</v>
      </c>
      <c r="AJ16" s="2">
        <f t="shared" si="5"/>
        <v>43850</v>
      </c>
      <c r="AK16" s="2"/>
      <c r="AL16" s="3">
        <f>IF(HAVERD!H20="",AL15,AVERAGE(HAVERD!H20:Q20))</f>
        <v>33.851999999999997</v>
      </c>
      <c r="AZ16" s="34">
        <v>45689</v>
      </c>
      <c r="BA16" s="5">
        <f>'[26]CPI Forecast'!V355</f>
        <v>0.73139249863038991</v>
      </c>
      <c r="BB16" s="5">
        <f>'[26]CPI Forecast'!AN355</f>
        <v>3.3016893437099348</v>
      </c>
      <c r="BC16" s="39">
        <v>0.85340363559993171</v>
      </c>
      <c r="BD16" s="39">
        <v>2.5013808608161763</v>
      </c>
      <c r="BF16" s="35">
        <v>0</v>
      </c>
      <c r="BI16" s="2">
        <v>44228</v>
      </c>
      <c r="BJ16" s="37">
        <f>'[27]CPI Forecast'!D307</f>
        <v>0.41421588932151199</v>
      </c>
      <c r="BK16" s="35" t="e">
        <f>NA()</f>
        <v>#N/A</v>
      </c>
      <c r="BL16" s="35" t="e">
        <f>NA()</f>
        <v>#N/A</v>
      </c>
      <c r="BM16" s="37">
        <v>2</v>
      </c>
      <c r="BP16" s="17">
        <v>20222</v>
      </c>
      <c r="BQ16" s="35" t="str">
        <f t="shared" si="3"/>
        <v>2022</v>
      </c>
      <c r="BR16" s="37">
        <f>'[28]CPI Forecast'!AA594</f>
        <v>4.9399229990811033</v>
      </c>
      <c r="BS16" s="37">
        <v>5.1326470588235198</v>
      </c>
      <c r="BT16" s="35">
        <v>0</v>
      </c>
    </row>
    <row r="17" spans="1:72" x14ac:dyDescent="0.35">
      <c r="A17" s="2">
        <v>44256</v>
      </c>
      <c r="B17" s="3">
        <f>'[24]CPI Forecast'!D308</f>
        <v>0.71432516523370904</v>
      </c>
      <c r="C17" s="3" t="e">
        <f>NA()</f>
        <v>#N/A</v>
      </c>
      <c r="D17" s="3" t="e">
        <f>NA()</f>
        <v>#N/A</v>
      </c>
      <c r="E17" s="3" t="e">
        <f>NA()</f>
        <v>#N/A</v>
      </c>
      <c r="F17">
        <v>2</v>
      </c>
      <c r="H17" s="2">
        <f t="shared" si="2"/>
        <v>43934</v>
      </c>
      <c r="I17" s="5">
        <f>HAVERW!C22</f>
        <v>109.27</v>
      </c>
      <c r="J17" s="5">
        <f>HAVERW!D22</f>
        <v>116.15</v>
      </c>
      <c r="L17" s="2">
        <f t="shared" si="4"/>
        <v>43851</v>
      </c>
      <c r="M17" s="5">
        <f>HAVERD!BA21/HAVERD!BB21</f>
        <v>48.751723081635774</v>
      </c>
      <c r="O17">
        <v>15</v>
      </c>
      <c r="Q17" s="3">
        <f>'[25]Impulse responses'!DK23</f>
        <v>0.28974269143115777</v>
      </c>
      <c r="R17" s="3">
        <f>'[25]Impulse responses'!EN23</f>
        <v>1.665538686503264</v>
      </c>
      <c r="U17" s="2">
        <v>40603</v>
      </c>
      <c r="V17" t="e">
        <f>NA()</f>
        <v>#N/A</v>
      </c>
      <c r="W17" s="3">
        <f>((HAVERM!J153/HAVERM!J141)-1)*100</f>
        <v>4.5504994450610514</v>
      </c>
      <c r="X17" s="3">
        <f>((HAVERM!K150/HAVERM!K138)-1)*100</f>
        <v>2.8985507246376718</v>
      </c>
      <c r="Y17" s="18">
        <v>0</v>
      </c>
      <c r="Z17" s="3">
        <f>HAVERM!H153/HAVERM!I153</f>
        <v>83.111578686799945</v>
      </c>
      <c r="AA17" s="3">
        <f t="shared" si="0"/>
        <v>136.46808536110407</v>
      </c>
      <c r="AD17" s="2">
        <v>44621</v>
      </c>
      <c r="AE17" s="3">
        <f>'BoE MPR - Chart 2.21'!D21</f>
        <v>4.4000000000000004</v>
      </c>
      <c r="AF17" s="3">
        <f>HAVERM!L279</f>
        <v>3.42</v>
      </c>
      <c r="AJ17" s="2">
        <f t="shared" si="5"/>
        <v>43851</v>
      </c>
      <c r="AK17" s="2"/>
      <c r="AL17" s="3">
        <f>IF(HAVERD!H21="",AL16,AVERAGE(HAVERD!H21:Q21))</f>
        <v>33.968999999999994</v>
      </c>
      <c r="AZ17" s="34">
        <v>45717</v>
      </c>
      <c r="BA17" s="5">
        <f>'[26]CPI Forecast'!V356</f>
        <v>0.74696703672778586</v>
      </c>
      <c r="BB17" s="5">
        <f>'[26]CPI Forecast'!AN356</f>
        <v>2.8692497084723989</v>
      </c>
      <c r="BC17" s="39">
        <v>0.85340363559993171</v>
      </c>
      <c r="BD17" s="39">
        <v>2.5013808608161763</v>
      </c>
      <c r="BF17" s="35">
        <v>0</v>
      </c>
      <c r="BI17" s="2">
        <v>44256</v>
      </c>
      <c r="BJ17" s="37">
        <f>'[27]CPI Forecast'!D308</f>
        <v>0.71432516523370904</v>
      </c>
      <c r="BK17" s="35" t="e">
        <f>NA()</f>
        <v>#N/A</v>
      </c>
      <c r="BL17" s="35" t="e">
        <f>NA()</f>
        <v>#N/A</v>
      </c>
      <c r="BM17" s="37">
        <v>2</v>
      </c>
      <c r="BP17" s="17">
        <v>20223</v>
      </c>
      <c r="BQ17" s="35" t="str">
        <f t="shared" si="3"/>
        <v>2022</v>
      </c>
      <c r="BR17" s="37">
        <f>'[28]CPI Forecast'!AA595</f>
        <v>5.9272667529450151</v>
      </c>
      <c r="BS17" s="37">
        <v>5.8823468942120503</v>
      </c>
      <c r="BT17" s="35">
        <v>0</v>
      </c>
    </row>
    <row r="18" spans="1:72" x14ac:dyDescent="0.35">
      <c r="A18" s="2">
        <v>44287</v>
      </c>
      <c r="B18" s="3">
        <f>'[24]CPI Forecast'!D309</f>
        <v>1.5259222378963599</v>
      </c>
      <c r="C18" s="3" t="e">
        <f>NA()</f>
        <v>#N/A</v>
      </c>
      <c r="D18" s="3" t="e">
        <f>NA()</f>
        <v>#N/A</v>
      </c>
      <c r="E18" s="3" t="e">
        <f>NA()</f>
        <v>#N/A</v>
      </c>
      <c r="F18">
        <v>2</v>
      </c>
      <c r="H18" s="2">
        <f t="shared" si="2"/>
        <v>43941</v>
      </c>
      <c r="I18" s="5">
        <f>HAVERW!C23</f>
        <v>108.63</v>
      </c>
      <c r="J18" s="5">
        <f>HAVERW!D23</f>
        <v>115.73</v>
      </c>
      <c r="L18" s="2">
        <f t="shared" si="4"/>
        <v>43852</v>
      </c>
      <c r="M18" s="5">
        <f>HAVERD!BA22/HAVERD!BB22</f>
        <v>47.264287344950915</v>
      </c>
      <c r="O18">
        <v>16</v>
      </c>
      <c r="Q18" s="3">
        <f>'[25]Impulse responses'!DK24</f>
        <v>0.26942937441216736</v>
      </c>
      <c r="R18" s="3">
        <f>'[25]Impulse responses'!EN24</f>
        <v>1.7328960301063059</v>
      </c>
      <c r="U18" s="2">
        <v>40634</v>
      </c>
      <c r="V18" t="e">
        <f>NA()</f>
        <v>#N/A</v>
      </c>
      <c r="W18" s="3">
        <f>((HAVERM!J154/HAVERM!J142)-1)*100</f>
        <v>4.31415929203538</v>
      </c>
      <c r="X18" s="3">
        <f>((HAVERM!K151/HAVERM!K139)-1)*100</f>
        <v>5.0505050505050608</v>
      </c>
      <c r="Y18" s="18">
        <v>0</v>
      </c>
      <c r="Z18" s="3">
        <f>HAVERM!H154/HAVERM!I154</f>
        <v>83.389415723462832</v>
      </c>
      <c r="AA18" s="3">
        <f t="shared" si="0"/>
        <v>136.92429000833707</v>
      </c>
      <c r="AD18" s="2">
        <v>44652</v>
      </c>
      <c r="AE18" s="3">
        <f>'BoE MPR - Chart 2.21'!D22</f>
        <v>5.3</v>
      </c>
      <c r="AF18" s="3">
        <f>HAVERM!L280</f>
        <v>4.0170000000000003</v>
      </c>
      <c r="AJ18" s="2">
        <f t="shared" si="5"/>
        <v>43852</v>
      </c>
      <c r="AK18" s="2"/>
      <c r="AL18" s="3">
        <f>IF(HAVERD!H22="",AL17,AVERAGE(HAVERD!H22:Q22))</f>
        <v>33.107999999999997</v>
      </c>
      <c r="AZ18" s="34">
        <v>45748</v>
      </c>
      <c r="BA18" s="5">
        <f>'[26]CPI Forecast'!V357</f>
        <v>0.94314358415223953</v>
      </c>
      <c r="BB18" s="5">
        <f>'[26]CPI Forecast'!AN357</f>
        <v>3.0382418532550082</v>
      </c>
      <c r="BC18" s="39">
        <v>0.85340363559993171</v>
      </c>
      <c r="BD18" s="39">
        <v>2.5013808608161763</v>
      </c>
      <c r="BF18" s="35">
        <v>0</v>
      </c>
      <c r="BI18" s="2">
        <v>44287</v>
      </c>
      <c r="BJ18" s="37">
        <f>'[27]CPI Forecast'!D309</f>
        <v>1.5259222378963599</v>
      </c>
      <c r="BK18" s="35" t="e">
        <f>NA()</f>
        <v>#N/A</v>
      </c>
      <c r="BL18" s="35" t="e">
        <f>NA()</f>
        <v>#N/A</v>
      </c>
      <c r="BM18" s="37">
        <v>2</v>
      </c>
      <c r="BP18" s="17">
        <v>20224</v>
      </c>
      <c r="BQ18" s="35" t="str">
        <f t="shared" si="3"/>
        <v>2022</v>
      </c>
      <c r="BR18" s="37">
        <f>'[28]CPI Forecast'!AA596</f>
        <v>6.4758868348203213</v>
      </c>
      <c r="BS18" s="37">
        <v>6.3554439620110204</v>
      </c>
      <c r="BT18" s="35">
        <v>0</v>
      </c>
    </row>
    <row r="19" spans="1:72" x14ac:dyDescent="0.35">
      <c r="A19" s="2">
        <v>44317</v>
      </c>
      <c r="B19" s="3">
        <f>'[24]CPI Forecast'!D310</f>
        <v>2.1149484631128646</v>
      </c>
      <c r="C19" s="3" t="e">
        <f>NA()</f>
        <v>#N/A</v>
      </c>
      <c r="D19" s="3" t="e">
        <f>NA()</f>
        <v>#N/A</v>
      </c>
      <c r="E19" s="3" t="e">
        <f>NA()</f>
        <v>#N/A</v>
      </c>
      <c r="F19">
        <v>2</v>
      </c>
      <c r="H19" s="2">
        <f t="shared" si="2"/>
        <v>43948</v>
      </c>
      <c r="I19" s="5">
        <f>HAVERW!C24</f>
        <v>107.88</v>
      </c>
      <c r="J19" s="5">
        <f>HAVERW!D24</f>
        <v>115.22</v>
      </c>
      <c r="L19" s="2">
        <f t="shared" si="4"/>
        <v>43853</v>
      </c>
      <c r="M19" s="5">
        <f>HAVERD!BA23/HAVERD!BB23</f>
        <v>46.699191949992375</v>
      </c>
      <c r="O19">
        <v>17</v>
      </c>
      <c r="P19" s="35" t="s">
        <v>2247</v>
      </c>
      <c r="Q19" s="3">
        <f>'[25]Impulse responses'!DK25</f>
        <v>0.25053989940408256</v>
      </c>
      <c r="R19" s="3">
        <f>'[25]Impulse responses'!EN25</f>
        <v>1.7955310049573265</v>
      </c>
      <c r="U19" s="2">
        <v>40664</v>
      </c>
      <c r="V19" t="e">
        <f>NA()</f>
        <v>#N/A</v>
      </c>
      <c r="W19" s="3">
        <f>((HAVERM!J155/HAVERM!J143)-1)*100</f>
        <v>5.75858250276855</v>
      </c>
      <c r="X19" s="3">
        <f>((HAVERM!K152/HAVERM!K140)-1)*100</f>
        <v>5.8295964125560484</v>
      </c>
      <c r="Y19" s="18">
        <v>0</v>
      </c>
      <c r="Z19" s="3">
        <f>HAVERM!H155/HAVERM!I155</f>
        <v>82.822461991172148</v>
      </c>
      <c r="AA19" s="3">
        <f t="shared" si="0"/>
        <v>135.99335966678251</v>
      </c>
      <c r="AD19" s="2">
        <v>44682</v>
      </c>
      <c r="AE19" s="3">
        <f>'BoE MPR - Chart 2.21'!D23</f>
        <v>5.4</v>
      </c>
      <c r="AF19" s="3">
        <f>HAVERM!L281</f>
        <v>4.4109999999999996</v>
      </c>
      <c r="AJ19" s="2">
        <f t="shared" si="5"/>
        <v>43853</v>
      </c>
      <c r="AK19" s="2"/>
      <c r="AL19" s="3">
        <f>IF(HAVERD!H23="",AL18,AVERAGE(HAVERD!H23:Q23))</f>
        <v>32.613</v>
      </c>
      <c r="AZ19" s="34">
        <v>45778</v>
      </c>
      <c r="BA19" s="5">
        <f>'[26]CPI Forecast'!V358</f>
        <v>1.1539395915018291</v>
      </c>
      <c r="BB19" s="5">
        <f>'[26]CPI Forecast'!AN358</f>
        <v>3.4199924478184318</v>
      </c>
      <c r="BC19" s="39">
        <v>0.85340363559993171</v>
      </c>
      <c r="BD19" s="39">
        <v>2.5013808608161763</v>
      </c>
      <c r="BF19" s="35">
        <v>0</v>
      </c>
      <c r="BI19" s="2">
        <v>44317</v>
      </c>
      <c r="BJ19" s="37">
        <f>'[27]CPI Forecast'!D310</f>
        <v>2.1149484631128646</v>
      </c>
      <c r="BK19" s="35" t="e">
        <f>NA()</f>
        <v>#N/A</v>
      </c>
      <c r="BL19" s="35" t="e">
        <f>NA()</f>
        <v>#N/A</v>
      </c>
      <c r="BM19" s="37">
        <v>2</v>
      </c>
      <c r="BP19" s="17">
        <v>20231</v>
      </c>
      <c r="BQ19" s="35" t="str">
        <f t="shared" si="3"/>
        <v>2023</v>
      </c>
      <c r="BR19" s="37">
        <f>'[28]CPI Forecast'!AA597</f>
        <v>6.3958967255551835</v>
      </c>
      <c r="BS19" s="37">
        <v>6.3087994636856299</v>
      </c>
      <c r="BT19" s="35">
        <v>0</v>
      </c>
    </row>
    <row r="20" spans="1:72" x14ac:dyDescent="0.35">
      <c r="A20" s="2">
        <v>44348</v>
      </c>
      <c r="B20" s="3">
        <f>'[24]CPI Forecast'!D311</f>
        <v>2.5141825683341779</v>
      </c>
      <c r="C20" s="3" t="e">
        <f>NA()</f>
        <v>#N/A</v>
      </c>
      <c r="D20" s="3" t="e">
        <f>NA()</f>
        <v>#N/A</v>
      </c>
      <c r="E20" s="3" t="e">
        <f>NA()</f>
        <v>#N/A</v>
      </c>
      <c r="F20">
        <v>2</v>
      </c>
      <c r="H20" s="2">
        <f t="shared" si="2"/>
        <v>43955</v>
      </c>
      <c r="I20" s="5">
        <f>HAVERW!C25</f>
        <v>107.56</v>
      </c>
      <c r="J20" s="5">
        <f>HAVERW!D25</f>
        <v>114.94</v>
      </c>
      <c r="L20" s="2">
        <f t="shared" si="4"/>
        <v>43854</v>
      </c>
      <c r="M20" s="5">
        <f>HAVERD!BA24/HAVERD!BB24</f>
        <v>45.412106834009343</v>
      </c>
      <c r="O20">
        <v>18</v>
      </c>
      <c r="Q20" s="3">
        <f>'[25]Impulse responses'!DK26</f>
        <v>0.23297464046924038</v>
      </c>
      <c r="R20" s="3">
        <f>'[25]Impulse responses'!EN26</f>
        <v>1.8537746650746367</v>
      </c>
      <c r="U20" s="2">
        <v>40695</v>
      </c>
      <c r="V20" t="e">
        <f>NA()</f>
        <v>#N/A</v>
      </c>
      <c r="W20" s="3">
        <f>((HAVERM!J156/HAVERM!J144)-1)*100</f>
        <v>6.984478935698446</v>
      </c>
      <c r="X20" s="3">
        <f>((HAVERM!K153/HAVERM!K141)-1)*100</f>
        <v>6.7415730337078594</v>
      </c>
      <c r="Y20" s="18">
        <v>0</v>
      </c>
      <c r="Z20" s="3">
        <f>HAVERM!H156/HAVERM!I156</f>
        <v>83.138028863944754</v>
      </c>
      <c r="AA20" s="3">
        <f t="shared" si="0"/>
        <v>136.51151619335931</v>
      </c>
      <c r="AD20" s="2">
        <v>44713</v>
      </c>
      <c r="AE20" s="3">
        <f>'BoE MPR - Chart 2.21'!D24</f>
        <v>5.5</v>
      </c>
      <c r="AF20" s="3">
        <f>HAVERM!L282</f>
        <v>4.7430000000000003</v>
      </c>
      <c r="AJ20" s="2">
        <f t="shared" si="5"/>
        <v>43854</v>
      </c>
      <c r="AK20" s="2"/>
      <c r="AL20" s="3">
        <f>IF(HAVERD!H24="",AL19,AVERAGE(HAVERD!H24:Q24))</f>
        <v>32.741999999999997</v>
      </c>
      <c r="AZ20" s="34">
        <v>45809</v>
      </c>
      <c r="BA20" s="5">
        <f>'[26]CPI Forecast'!V359</f>
        <v>1.5126527860043426</v>
      </c>
      <c r="BB20" s="5">
        <f>'[26]CPI Forecast'!AN359</f>
        <v>3.4488504135548048</v>
      </c>
      <c r="BC20" s="39">
        <v>0.85340363559993171</v>
      </c>
      <c r="BD20" s="39">
        <v>2.5013808608161763</v>
      </c>
      <c r="BF20" s="35">
        <v>0</v>
      </c>
      <c r="BI20" s="2">
        <v>44348</v>
      </c>
      <c r="BJ20" s="37">
        <f>'[27]CPI Forecast'!D311</f>
        <v>2.5141825683341779</v>
      </c>
      <c r="BK20" s="35" t="e">
        <f>NA()</f>
        <v>#N/A</v>
      </c>
      <c r="BL20" s="35" t="e">
        <f>NA()</f>
        <v>#N/A</v>
      </c>
      <c r="BM20" s="37">
        <v>2</v>
      </c>
      <c r="BP20" s="17">
        <v>20232</v>
      </c>
      <c r="BQ20" s="35" t="str">
        <f t="shared" si="3"/>
        <v>2023</v>
      </c>
      <c r="BR20" s="37">
        <f>'[28]CPI Forecast'!AA598</f>
        <v>7.1599977831966477</v>
      </c>
      <c r="BS20" s="37">
        <v>8.1733292280126602</v>
      </c>
      <c r="BT20" s="35">
        <v>0</v>
      </c>
    </row>
    <row r="21" spans="1:72" x14ac:dyDescent="0.35">
      <c r="A21" s="2">
        <v>44378</v>
      </c>
      <c r="B21" s="3">
        <f>'[24]CPI Forecast'!D312</f>
        <v>2.0399369223998765</v>
      </c>
      <c r="C21" s="3" t="e">
        <f>NA()</f>
        <v>#N/A</v>
      </c>
      <c r="D21" s="3" t="e">
        <f>NA()</f>
        <v>#N/A</v>
      </c>
      <c r="E21" s="3" t="e">
        <f>NA()</f>
        <v>#N/A</v>
      </c>
      <c r="F21">
        <v>2</v>
      </c>
      <c r="H21" s="2">
        <f t="shared" si="2"/>
        <v>43962</v>
      </c>
      <c r="I21" s="5">
        <f>HAVERW!C26</f>
        <v>107.45</v>
      </c>
      <c r="J21" s="5">
        <f>HAVERW!D26</f>
        <v>114.83</v>
      </c>
      <c r="L21" s="2">
        <f t="shared" si="4"/>
        <v>43857</v>
      </c>
      <c r="M21" s="5">
        <f>HAVERD!BA25/HAVERD!BB25</f>
        <v>44.837622549019606</v>
      </c>
      <c r="O21">
        <v>19</v>
      </c>
      <c r="Q21" s="3">
        <f>'[25]Impulse responses'!DK27</f>
        <v>0.21664083316082205</v>
      </c>
      <c r="R21" s="3">
        <f>'[25]Impulse responses'!EN27</f>
        <v>1.9079348733648422</v>
      </c>
      <c r="U21" s="2">
        <v>40725</v>
      </c>
      <c r="V21" t="e">
        <f>NA()</f>
        <v>#N/A</v>
      </c>
      <c r="W21" s="3">
        <f>((HAVERM!J157/HAVERM!J145)-1)*100</f>
        <v>6.1470911086717983</v>
      </c>
      <c r="X21" s="3">
        <f>((HAVERM!K154/HAVERM!K142)-1)*100</f>
        <v>6.815642458100557</v>
      </c>
      <c r="Y21" s="18">
        <v>0</v>
      </c>
      <c r="Z21" s="3">
        <f>HAVERM!H157/HAVERM!I157</f>
        <v>82.378445339114279</v>
      </c>
      <c r="AA21" s="3">
        <f t="shared" si="0"/>
        <v>135.26429034416586</v>
      </c>
      <c r="AD21" s="2">
        <v>44743</v>
      </c>
      <c r="AE21" s="3">
        <f>'BoE MPR - Chart 2.21'!D25</f>
        <v>5.7</v>
      </c>
      <c r="AF21" s="3">
        <f>HAVERM!L283</f>
        <v>4.6820000000000004</v>
      </c>
      <c r="AJ21" s="2">
        <f t="shared" si="5"/>
        <v>43857</v>
      </c>
      <c r="AK21" s="2"/>
      <c r="AL21" s="3">
        <f>IF(HAVERD!H25="",AL20,AVERAGE(HAVERD!H25:Q25))</f>
        <v>32.896000000000001</v>
      </c>
      <c r="AZ21" s="34">
        <v>45839</v>
      </c>
      <c r="BA21" s="5">
        <f>'[26]CPI Forecast'!V360</f>
        <v>1.1535604598230664</v>
      </c>
      <c r="BB21" s="5">
        <f>'[26]CPI Forecast'!AN360</f>
        <v>3.4288316008338926</v>
      </c>
      <c r="BC21" s="39">
        <v>0.85340363559993171</v>
      </c>
      <c r="BD21" s="39">
        <v>2.5013808608161763</v>
      </c>
      <c r="BF21" s="35">
        <v>0</v>
      </c>
      <c r="BI21" s="2">
        <v>44378</v>
      </c>
      <c r="BJ21" s="37">
        <f>'[27]CPI Forecast'!D312</f>
        <v>2.0399369223998765</v>
      </c>
      <c r="BK21" s="35" t="e">
        <f>NA()</f>
        <v>#N/A</v>
      </c>
      <c r="BL21" s="35" t="e">
        <f>NA()</f>
        <v>#N/A</v>
      </c>
      <c r="BM21" s="37">
        <v>2</v>
      </c>
      <c r="BP21" s="17">
        <v>20233</v>
      </c>
      <c r="BQ21" s="35" t="str">
        <f t="shared" si="3"/>
        <v>2023</v>
      </c>
      <c r="BR21" s="37">
        <f>'[28]CPI Forecast'!AA599</f>
        <v>7.0600784211285017</v>
      </c>
      <c r="BS21" s="37">
        <v>7.7130582524271798</v>
      </c>
      <c r="BT21" s="35">
        <v>0</v>
      </c>
    </row>
    <row r="22" spans="1:72" x14ac:dyDescent="0.35">
      <c r="A22" s="2">
        <v>44409</v>
      </c>
      <c r="B22" s="3">
        <f>'[24]CPI Forecast'!D313</f>
        <v>3.1966707484371026</v>
      </c>
      <c r="C22" s="3" t="e">
        <f>NA()</f>
        <v>#N/A</v>
      </c>
      <c r="D22" s="3" t="e">
        <f>NA()</f>
        <v>#N/A</v>
      </c>
      <c r="E22" s="3" t="e">
        <f>NA()</f>
        <v>#N/A</v>
      </c>
      <c r="F22">
        <v>2</v>
      </c>
      <c r="H22" s="2">
        <f t="shared" si="2"/>
        <v>43969</v>
      </c>
      <c r="I22" s="5">
        <f>HAVERW!C27</f>
        <v>105.09</v>
      </c>
      <c r="J22" s="5">
        <f>HAVERW!D27</f>
        <v>112.22</v>
      </c>
      <c r="L22" s="2">
        <f t="shared" si="4"/>
        <v>43858</v>
      </c>
      <c r="M22" s="5">
        <f>HAVERD!BA26/HAVERD!BB26</f>
        <v>45.72903027035354</v>
      </c>
      <c r="O22">
        <v>20</v>
      </c>
      <c r="Q22" s="3">
        <f>'[25]Impulse responses'!DK28</f>
        <v>0.20145216971988561</v>
      </c>
      <c r="R22" s="3">
        <f>'[25]Impulse responses'!EN28</f>
        <v>1.9582979157948137</v>
      </c>
      <c r="U22" s="2">
        <v>40756</v>
      </c>
      <c r="V22" t="e">
        <f>NA()</f>
        <v>#N/A</v>
      </c>
      <c r="W22" s="3">
        <f>((HAVERM!J158/HAVERM!J146)-1)*100</f>
        <v>6.25</v>
      </c>
      <c r="X22" s="3">
        <f>((HAVERM!K155/HAVERM!K143)-1)*100</f>
        <v>7.0155902004454207</v>
      </c>
      <c r="Y22" s="18">
        <v>0</v>
      </c>
      <c r="Z22" s="3">
        <f>HAVERM!H158/HAVERM!I158</f>
        <v>81.172008808416919</v>
      </c>
      <c r="AA22" s="3">
        <f t="shared" si="0"/>
        <v>133.28333791785715</v>
      </c>
      <c r="AD22" s="2">
        <v>44774</v>
      </c>
      <c r="AE22" s="3">
        <f>'BoE MPR - Chart 2.21'!D26</f>
        <v>6</v>
      </c>
      <c r="AF22" s="3">
        <f>HAVERM!L284</f>
        <v>4.8330000000000002</v>
      </c>
      <c r="AJ22" s="2">
        <f t="shared" si="5"/>
        <v>43858</v>
      </c>
      <c r="AK22" s="2"/>
      <c r="AL22" s="3">
        <f>IF(HAVERD!H26="",AL21,AVERAGE(HAVERD!H26:Q26))</f>
        <v>33.713999999999999</v>
      </c>
      <c r="AZ22" s="34">
        <v>45870</v>
      </c>
      <c r="BA22" s="5">
        <f>'[26]CPI Forecast'!V361</f>
        <v>1.2150544769566451</v>
      </c>
      <c r="BB22" s="5">
        <f>'[26]CPI Forecast'!AN361</f>
        <v>3.5305889071625796</v>
      </c>
      <c r="BC22" s="39">
        <v>0.85340363559993171</v>
      </c>
      <c r="BD22" s="39">
        <v>2.5013808608161763</v>
      </c>
      <c r="BF22" s="35">
        <v>0</v>
      </c>
      <c r="BI22" s="2">
        <v>44409</v>
      </c>
      <c r="BJ22" s="37">
        <f>'[27]CPI Forecast'!D313</f>
        <v>3.1966707484371026</v>
      </c>
      <c r="BK22" s="35" t="e">
        <f>NA()</f>
        <v>#N/A</v>
      </c>
      <c r="BL22" s="35" t="e">
        <f>NA()</f>
        <v>#N/A</v>
      </c>
      <c r="BM22" s="37">
        <v>2</v>
      </c>
      <c r="BP22" s="17">
        <v>20234</v>
      </c>
      <c r="BQ22" s="35" t="str">
        <f t="shared" si="3"/>
        <v>2023</v>
      </c>
      <c r="BR22" s="37">
        <f>'[28]CPI Forecast'!AA600</f>
        <v>6.4104318428784168</v>
      </c>
      <c r="BS22" s="37">
        <v>5.9228030630778896</v>
      </c>
      <c r="BT22" s="35">
        <v>0</v>
      </c>
    </row>
    <row r="23" spans="1:72" x14ac:dyDescent="0.35">
      <c r="A23" s="2">
        <v>44440</v>
      </c>
      <c r="B23" s="3">
        <f>'[24]CPI Forecast'!D314</f>
        <v>3.0800689553990734</v>
      </c>
      <c r="C23" s="3" t="e">
        <f>NA()</f>
        <v>#N/A</v>
      </c>
      <c r="D23" s="3" t="e">
        <f>NA()</f>
        <v>#N/A</v>
      </c>
      <c r="E23" s="3" t="e">
        <f>NA()</f>
        <v>#N/A</v>
      </c>
      <c r="F23">
        <v>2</v>
      </c>
      <c r="H23" s="2">
        <f t="shared" si="2"/>
        <v>43976</v>
      </c>
      <c r="I23" s="5">
        <f>HAVERW!C28</f>
        <v>104.87</v>
      </c>
      <c r="J23" s="5">
        <f>HAVERW!D28</f>
        <v>111.7</v>
      </c>
      <c r="L23" s="2">
        <f t="shared" si="4"/>
        <v>43859</v>
      </c>
      <c r="M23" s="5">
        <f>HAVERD!BA27/HAVERD!BB27</f>
        <v>45.738461538461536</v>
      </c>
      <c r="O23">
        <v>21</v>
      </c>
      <c r="P23" s="35" t="s">
        <v>2248</v>
      </c>
      <c r="Q23" s="3">
        <f>'[25]Impulse responses'!DK29</f>
        <v>0.18732837542593272</v>
      </c>
      <c r="R23" s="3">
        <f>'[25]Impulse responses'!EN29</f>
        <v>2.005130009651297</v>
      </c>
      <c r="U23" s="2">
        <v>40787</v>
      </c>
      <c r="V23" t="e">
        <f>NA()</f>
        <v>#N/A</v>
      </c>
      <c r="W23" s="3">
        <f>((HAVERM!J159/HAVERM!J147)-1)*100</f>
        <v>6.3526834611171923</v>
      </c>
      <c r="X23" s="3">
        <f>((HAVERM!K156/HAVERM!K144)-1)*100</f>
        <v>7.9418344519015527</v>
      </c>
      <c r="Y23" s="18">
        <v>0</v>
      </c>
      <c r="Z23" s="3">
        <f>HAVERM!H159/HAVERM!I159</f>
        <v>82.430463156560847</v>
      </c>
      <c r="AA23" s="3">
        <f t="shared" si="0"/>
        <v>135.34970289514564</v>
      </c>
      <c r="AD23" s="2">
        <v>44805</v>
      </c>
      <c r="AE23" s="3">
        <f>'BoE MPR - Chart 2.21'!D27</f>
        <v>5.9</v>
      </c>
      <c r="AF23" s="3">
        <f>HAVERM!L285</f>
        <v>5.0869999999999997</v>
      </c>
      <c r="AJ23" s="2">
        <f t="shared" si="5"/>
        <v>43859</v>
      </c>
      <c r="AK23" s="2"/>
      <c r="AL23" s="3">
        <f>IF(HAVERD!H27="",AL22,AVERAGE(HAVERD!H27:Q27))</f>
        <v>32.498000000000005</v>
      </c>
      <c r="AZ23" s="34">
        <v>45901</v>
      </c>
      <c r="BA23" s="5">
        <f>'[26]CPI Forecast'!V362</f>
        <v>1.3320920932939018</v>
      </c>
      <c r="BB23" s="5">
        <f>'[26]CPI Forecast'!AN362</f>
        <v>3.3390454003529468</v>
      </c>
      <c r="BC23" s="39">
        <v>0.85340363559993171</v>
      </c>
      <c r="BD23" s="39">
        <v>2.5013808608161763</v>
      </c>
      <c r="BF23" s="35">
        <v>0</v>
      </c>
      <c r="BI23" s="2">
        <v>44440</v>
      </c>
      <c r="BJ23" s="37">
        <f>'[27]CPI Forecast'!D314</f>
        <v>3.0800689553990734</v>
      </c>
      <c r="BK23" s="35" t="e">
        <f>NA()</f>
        <v>#N/A</v>
      </c>
      <c r="BL23" s="35" t="e">
        <f>NA()</f>
        <v>#N/A</v>
      </c>
      <c r="BM23" s="37">
        <v>2</v>
      </c>
      <c r="BP23" s="17">
        <v>20241</v>
      </c>
      <c r="BQ23" s="35" t="str">
        <f t="shared" si="3"/>
        <v>2024</v>
      </c>
      <c r="BR23" s="37">
        <f>'[28]CPI Forecast'!AA601</f>
        <v>6.2048303662659121</v>
      </c>
      <c r="BS23" s="37">
        <v>5.9344094708177701</v>
      </c>
      <c r="BT23" s="35">
        <v>0</v>
      </c>
    </row>
    <row r="24" spans="1:72" x14ac:dyDescent="0.35">
      <c r="A24" s="2">
        <v>44470</v>
      </c>
      <c r="B24" s="3">
        <f>'[24]CPI Forecast'!D315</f>
        <v>4.2062116585513509</v>
      </c>
      <c r="C24" s="3" t="e">
        <f>NA()</f>
        <v>#N/A</v>
      </c>
      <c r="D24" s="3" t="e">
        <f>NA()</f>
        <v>#N/A</v>
      </c>
      <c r="E24" s="3" t="e">
        <f>NA()</f>
        <v>#N/A</v>
      </c>
      <c r="F24">
        <v>2</v>
      </c>
      <c r="H24" s="2">
        <f t="shared" si="2"/>
        <v>43983</v>
      </c>
      <c r="I24" s="5">
        <f>HAVERW!C29</f>
        <v>105.17</v>
      </c>
      <c r="J24" s="5">
        <f>HAVERW!D29</f>
        <v>111.76</v>
      </c>
      <c r="L24" s="2">
        <f t="shared" si="4"/>
        <v>43860</v>
      </c>
      <c r="M24" s="5">
        <f>HAVERD!BA28/HAVERD!BB28</f>
        <v>44.061068702290072</v>
      </c>
      <c r="O24">
        <v>22</v>
      </c>
      <c r="Q24" s="3">
        <f>'[25]Impulse responses'!DK30</f>
        <v>0.17419479670735172</v>
      </c>
      <c r="R24" s="3">
        <f>'[25]Impulse responses'!EN30</f>
        <v>2.0486787088281351</v>
      </c>
      <c r="U24" s="2">
        <v>40817</v>
      </c>
      <c r="V24" t="e">
        <f>NA()</f>
        <v>#N/A</v>
      </c>
      <c r="W24" s="3">
        <f>((HAVERM!J160/HAVERM!J148)-1)*100</f>
        <v>4.9073064340239947</v>
      </c>
      <c r="X24" s="3">
        <f>((HAVERM!K157/HAVERM!K145)-1)*100</f>
        <v>8.026755852842804</v>
      </c>
      <c r="Y24" s="18">
        <v>0</v>
      </c>
      <c r="Z24" s="3">
        <f>HAVERM!H160/HAVERM!I160</f>
        <v>79.695431472081211</v>
      </c>
      <c r="AA24" s="3">
        <f t="shared" si="0"/>
        <v>130.85881795131081</v>
      </c>
      <c r="AD24" s="2">
        <v>44835</v>
      </c>
      <c r="AE24" s="3">
        <f>'BoE MPR - Chart 2.21'!D28</f>
        <v>6.2</v>
      </c>
      <c r="AF24" s="3">
        <f>HAVERM!L286</f>
        <v>5.5730000000000004</v>
      </c>
      <c r="AJ24" s="2">
        <f t="shared" si="5"/>
        <v>43860</v>
      </c>
      <c r="AK24" s="2"/>
      <c r="AL24" s="3">
        <f>IF(HAVERD!H28="",AL23,AVERAGE(HAVERD!H28:Q28))</f>
        <v>31.610000000000003</v>
      </c>
      <c r="AZ24" s="34">
        <v>45931</v>
      </c>
      <c r="BA24" s="5">
        <f>'[26]CPI Forecast'!V363</f>
        <v>0.96235043851911062</v>
      </c>
      <c r="BB24" s="5">
        <f>'[26]CPI Forecast'!AN363</f>
        <v>3.3689461362311324</v>
      </c>
      <c r="BC24" s="39">
        <v>0.85340363559993171</v>
      </c>
      <c r="BD24" s="39">
        <v>2.5013808608161763</v>
      </c>
      <c r="BF24" s="35">
        <v>0</v>
      </c>
      <c r="BI24" s="2">
        <v>44470</v>
      </c>
      <c r="BJ24" s="37">
        <f>'[27]CPI Forecast'!D315</f>
        <v>4.2062116585513509</v>
      </c>
      <c r="BK24" s="35" t="e">
        <f>NA()</f>
        <v>#N/A</v>
      </c>
      <c r="BL24" s="35" t="e">
        <f>NA()</f>
        <v>#N/A</v>
      </c>
      <c r="BM24" s="37">
        <v>2</v>
      </c>
      <c r="BP24" s="17">
        <v>20242</v>
      </c>
      <c r="BQ24" s="35" t="str">
        <f t="shared" si="3"/>
        <v>2024</v>
      </c>
      <c r="BR24" s="37">
        <f>'[28]CPI Forecast'!AA602</f>
        <v>5.7581861765261033</v>
      </c>
      <c r="BS24" s="37">
        <v>4.5638947547613897</v>
      </c>
      <c r="BT24" s="35">
        <v>0</v>
      </c>
    </row>
    <row r="25" spans="1:72" x14ac:dyDescent="0.35">
      <c r="A25" s="2">
        <v>44501</v>
      </c>
      <c r="B25" s="3">
        <f>'[24]CPI Forecast'!D316</f>
        <v>5.129900542744581</v>
      </c>
      <c r="C25" s="3" t="e">
        <f>NA()</f>
        <v>#N/A</v>
      </c>
      <c r="D25" s="3" t="e">
        <f>NA()</f>
        <v>#N/A</v>
      </c>
      <c r="E25" s="3" t="e">
        <f>NA()</f>
        <v>#N/A</v>
      </c>
      <c r="F25">
        <v>2</v>
      </c>
      <c r="H25" s="2">
        <f t="shared" si="2"/>
        <v>43990</v>
      </c>
      <c r="I25" s="5">
        <f>HAVERW!C30</f>
        <v>105.74</v>
      </c>
      <c r="J25" s="5">
        <f>HAVERW!D30</f>
        <v>111.98</v>
      </c>
      <c r="L25" s="2">
        <f t="shared" si="4"/>
        <v>43861</v>
      </c>
      <c r="M25" s="5">
        <f>HAVERD!BA29/HAVERD!BB29</f>
        <v>43.834888838303364</v>
      </c>
      <c r="O25">
        <v>23</v>
      </c>
      <c r="Q25" s="3">
        <f>'[25]Impulse responses'!DK31</f>
        <v>0.16198201129053377</v>
      </c>
      <c r="R25" s="3">
        <f>'[25]Impulse responses'!EN31</f>
        <v>2.0891742116507683</v>
      </c>
      <c r="U25" s="2">
        <v>40848</v>
      </c>
      <c r="V25" t="e">
        <f>NA()</f>
        <v>#N/A</v>
      </c>
      <c r="W25" s="3">
        <f>((HAVERM!J161/HAVERM!J149)-1)*100</f>
        <v>3.9742212674543476</v>
      </c>
      <c r="X25" s="3">
        <f>((HAVERM!K158/HAVERM!K146)-1)*100</f>
        <v>7.5555555555555598</v>
      </c>
      <c r="Y25" s="18">
        <v>0</v>
      </c>
      <c r="Z25" s="3">
        <f>HAVERM!H161/HAVERM!I161</f>
        <v>79.663376360415086</v>
      </c>
      <c r="AA25" s="3">
        <f t="shared" si="0"/>
        <v>130.80618389256438</v>
      </c>
      <c r="AD25" s="2">
        <v>44866</v>
      </c>
      <c r="AE25" s="3">
        <f>'BoE MPR - Chart 2.21'!D29</f>
        <v>6.7</v>
      </c>
      <c r="AF25" s="3">
        <f>HAVERM!L287</f>
        <v>5.899</v>
      </c>
      <c r="AJ25" s="2">
        <f t="shared" si="5"/>
        <v>43861</v>
      </c>
      <c r="AK25" s="2"/>
      <c r="AL25" s="3">
        <f>IF(HAVERD!H29="",AL24,AVERAGE(HAVERD!H29:Q29))</f>
        <v>32.048000000000002</v>
      </c>
      <c r="AZ25" s="34">
        <v>45962</v>
      </c>
      <c r="BA25" s="5">
        <f>'[26]CPI Forecast'!V364</f>
        <v>1.1550219597647571</v>
      </c>
      <c r="BB25" s="5">
        <f>'[26]CPI Forecast'!AN364</f>
        <v>3.0784852269003071</v>
      </c>
      <c r="BC25" s="39">
        <v>0.85340363559993171</v>
      </c>
      <c r="BD25" s="39">
        <v>2.5013808608161763</v>
      </c>
      <c r="BF25" s="35">
        <v>0</v>
      </c>
      <c r="BI25" s="2">
        <v>44501</v>
      </c>
      <c r="BJ25" s="37">
        <f>'[27]CPI Forecast'!D316</f>
        <v>5.129900542744581</v>
      </c>
      <c r="BK25" s="35" t="e">
        <f>NA()</f>
        <v>#N/A</v>
      </c>
      <c r="BL25" s="35" t="e">
        <f>NA()</f>
        <v>#N/A</v>
      </c>
      <c r="BM25" s="37">
        <v>2</v>
      </c>
      <c r="BP25" s="17">
        <v>20243</v>
      </c>
      <c r="BQ25" s="35" t="str">
        <f t="shared" si="3"/>
        <v>2024</v>
      </c>
      <c r="BR25" s="37">
        <f>'[28]CPI Forecast'!AA603</f>
        <v>5.2248194810509796</v>
      </c>
      <c r="BS25" s="37">
        <v>4.4066046866998096</v>
      </c>
      <c r="BT25" s="35">
        <v>0</v>
      </c>
    </row>
    <row r="26" spans="1:72" x14ac:dyDescent="0.35">
      <c r="A26" s="2">
        <v>44531</v>
      </c>
      <c r="B26" s="3">
        <f>'[24]CPI Forecast'!D317</f>
        <v>5.3860457447490573</v>
      </c>
      <c r="C26" s="3" t="e">
        <f>NA()</f>
        <v>#N/A</v>
      </c>
      <c r="D26" s="3" t="e">
        <f>NA()</f>
        <v>#N/A</v>
      </c>
      <c r="E26" s="3" t="e">
        <f>NA()</f>
        <v>#N/A</v>
      </c>
      <c r="F26">
        <v>2</v>
      </c>
      <c r="H26" s="2">
        <f t="shared" si="2"/>
        <v>43997</v>
      </c>
      <c r="I26" s="5">
        <f>HAVERW!C31</f>
        <v>106.37</v>
      </c>
      <c r="J26" s="5">
        <f>HAVERW!D31</f>
        <v>112.53</v>
      </c>
      <c r="L26" s="2">
        <f t="shared" si="4"/>
        <v>43864</v>
      </c>
      <c r="M26" s="5">
        <f>HAVERD!BA30/HAVERD!BB30</f>
        <v>41.496964573887652</v>
      </c>
      <c r="O26">
        <v>24</v>
      </c>
      <c r="Q26" s="3">
        <f>'[25]Impulse responses'!DK32</f>
        <v>0.15062546306626884</v>
      </c>
      <c r="R26" s="3">
        <f>'[25]Impulse responses'!EN32</f>
        <v>2.1268305774173357</v>
      </c>
      <c r="U26" s="2">
        <v>40878</v>
      </c>
      <c r="V26" t="e">
        <f>NA()</f>
        <v>#N/A</v>
      </c>
      <c r="W26" s="3">
        <f>((HAVERM!J162/HAVERM!J150)-1)*100</f>
        <v>3.6997885835095223</v>
      </c>
      <c r="X26" s="3">
        <f>((HAVERM!K159/HAVERM!K147)-1)*100</f>
        <v>8.129175946547873</v>
      </c>
      <c r="Y26" s="18">
        <v>0</v>
      </c>
      <c r="Z26" s="3">
        <f>HAVERM!H162/HAVERM!I162</f>
        <v>78.216233557908254</v>
      </c>
      <c r="AA26" s="3">
        <f t="shared" si="0"/>
        <v>128.42999503148602</v>
      </c>
      <c r="AD26" s="2">
        <v>44896</v>
      </c>
      <c r="AE26" s="3">
        <f>'BoE MPR - Chart 2.21'!D30</f>
        <v>6.8</v>
      </c>
      <c r="AF26" s="3">
        <f>HAVERM!L288</f>
        <v>6.0460000000000003</v>
      </c>
      <c r="AJ26" s="2">
        <f t="shared" si="5"/>
        <v>43864</v>
      </c>
      <c r="AK26" s="2"/>
      <c r="AL26" s="3">
        <f>IF(HAVERD!H30="",AL25,AVERAGE(HAVERD!H30:Q30))</f>
        <v>31.264000000000003</v>
      </c>
      <c r="AZ26" s="34">
        <v>45992</v>
      </c>
      <c r="BA26" s="5">
        <f>'[26]CPI Forecast'!V365</f>
        <v>1.1539155038117865</v>
      </c>
      <c r="BB26" s="5">
        <f>'[26]CPI Forecast'!AN365</f>
        <v>3.1671162710710687</v>
      </c>
      <c r="BC26" s="39">
        <v>0.85340363559993171</v>
      </c>
      <c r="BD26" s="39">
        <v>2.5013808608161763</v>
      </c>
      <c r="BF26" s="35">
        <v>0</v>
      </c>
      <c r="BI26" s="2">
        <v>44531</v>
      </c>
      <c r="BJ26" s="37">
        <f>'[27]CPI Forecast'!D317</f>
        <v>5.3860457447490573</v>
      </c>
      <c r="BK26" s="35" t="e">
        <f>NA()</f>
        <v>#N/A</v>
      </c>
      <c r="BL26" s="35" t="e">
        <f>NA()</f>
        <v>#N/A</v>
      </c>
      <c r="BM26" s="37">
        <v>2</v>
      </c>
      <c r="BP26" s="17">
        <v>20244</v>
      </c>
      <c r="BQ26" s="35" t="str">
        <f t="shared" si="3"/>
        <v>2024</v>
      </c>
      <c r="BR26" s="37">
        <f>'[28]CPI Forecast'!AA604</f>
        <v>4.7952959805545481</v>
      </c>
      <c r="BS26" s="37">
        <v>5.99101318067832</v>
      </c>
      <c r="BT26" s="35">
        <v>0</v>
      </c>
    </row>
    <row r="27" spans="1:72" x14ac:dyDescent="0.35">
      <c r="A27" s="2">
        <v>44562</v>
      </c>
      <c r="B27" s="3">
        <f>'[24]CPI Forecast'!D318</f>
        <v>5.4555133359032171</v>
      </c>
      <c r="C27" s="3" t="e">
        <f>NA()</f>
        <v>#N/A</v>
      </c>
      <c r="D27" s="3" t="e">
        <f>NA()</f>
        <v>#N/A</v>
      </c>
      <c r="E27" s="3" t="e">
        <f>NA()</f>
        <v>#N/A</v>
      </c>
      <c r="F27">
        <v>2</v>
      </c>
      <c r="H27" s="2">
        <f t="shared" si="2"/>
        <v>44004</v>
      </c>
      <c r="I27" s="5">
        <f>HAVERW!C32</f>
        <v>107.13</v>
      </c>
      <c r="J27" s="5">
        <f>HAVERW!D32</f>
        <v>112.98</v>
      </c>
      <c r="L27" s="2">
        <f t="shared" si="4"/>
        <v>43865</v>
      </c>
      <c r="M27" s="5">
        <f>HAVERD!BA31/HAVERD!BB31</f>
        <v>41.381957773512475</v>
      </c>
      <c r="O27">
        <v>25</v>
      </c>
      <c r="P27">
        <v>2031</v>
      </c>
      <c r="Q27" s="3">
        <f>'[25]Impulse responses'!DK33</f>
        <v>0.14006512155247611</v>
      </c>
      <c r="R27" s="3">
        <f>'[25]Impulse responses'!EN33</f>
        <v>2.1618468578054548</v>
      </c>
      <c r="U27" s="2">
        <v>40909</v>
      </c>
      <c r="V27" s="3">
        <f t="shared" ref="V27:V58" si="6">((AA15/AA3)-1)*100</f>
        <v>34.488084376754991</v>
      </c>
      <c r="W27" s="3">
        <f>((HAVERM!J163/HAVERM!J151)-1)*100</f>
        <v>3.4920634920634797</v>
      </c>
      <c r="X27" s="3">
        <f>((HAVERM!K160/HAVERM!K148)-1)*100</f>
        <v>7.3951434878587241</v>
      </c>
      <c r="Y27" s="18">
        <v>0</v>
      </c>
      <c r="Z27" s="3">
        <f>HAVERM!H163/HAVERM!I163</f>
        <v>78.787878787878796</v>
      </c>
      <c r="AA27" s="3">
        <f t="shared" si="0"/>
        <v>129.36862874862268</v>
      </c>
      <c r="AD27" s="2">
        <v>44927</v>
      </c>
      <c r="AE27" s="3">
        <f>'BoE MPR - Chart 2.21'!D31</f>
        <v>6.4</v>
      </c>
      <c r="AF27" s="3">
        <f>HAVERM!L289</f>
        <v>6.2720000000000002</v>
      </c>
      <c r="AJ27" s="2">
        <f t="shared" si="5"/>
        <v>43865</v>
      </c>
      <c r="AK27" s="2"/>
      <c r="AL27" s="3">
        <f>IF(HAVERD!H31="",AL26,AVERAGE(HAVERD!H31:Q31))</f>
        <v>31.946999999999996</v>
      </c>
      <c r="AZ27" s="34">
        <v>46023</v>
      </c>
      <c r="BA27" s="5">
        <f>'[26]CPI Forecast'!V366</f>
        <v>1.1718622952506363</v>
      </c>
      <c r="BB27" s="5">
        <f>'[26]CPI Forecast'!AN366</f>
        <v>3.2384129234523051</v>
      </c>
      <c r="BC27" s="39">
        <v>0.85340363559993171</v>
      </c>
      <c r="BD27" s="39">
        <v>2.5013808608161763</v>
      </c>
      <c r="BF27" s="35">
        <v>0</v>
      </c>
      <c r="BI27" s="2">
        <v>44562</v>
      </c>
      <c r="BJ27" s="37">
        <f>'[27]CPI Forecast'!D318</f>
        <v>5.4555133359032171</v>
      </c>
      <c r="BK27" s="35" t="e">
        <f>NA()</f>
        <v>#N/A</v>
      </c>
      <c r="BL27" s="35" t="e">
        <f>NA()</f>
        <v>#N/A</v>
      </c>
      <c r="BM27" s="37">
        <v>2</v>
      </c>
      <c r="BP27" s="17">
        <v>20251</v>
      </c>
      <c r="BQ27" s="35" t="str">
        <f t="shared" si="3"/>
        <v>2025</v>
      </c>
      <c r="BR27" s="37">
        <f>'[28]CPI Forecast'!AA605</f>
        <v>4.7054626188404391</v>
      </c>
      <c r="BS27" s="37">
        <v>5.6993958574641601</v>
      </c>
      <c r="BT27" s="35">
        <v>0</v>
      </c>
    </row>
    <row r="28" spans="1:72" x14ac:dyDescent="0.35">
      <c r="A28" s="2">
        <v>44593</v>
      </c>
      <c r="B28" s="3">
        <f>'[24]CPI Forecast'!D319</f>
        <v>6.1766080906415777</v>
      </c>
      <c r="C28" s="3" t="e">
        <f>NA()</f>
        <v>#N/A</v>
      </c>
      <c r="D28" s="3" t="e">
        <f>NA()</f>
        <v>#N/A</v>
      </c>
      <c r="E28" s="3" t="e">
        <f>NA()</f>
        <v>#N/A</v>
      </c>
      <c r="F28">
        <v>2</v>
      </c>
      <c r="H28" s="2">
        <f t="shared" si="2"/>
        <v>44011</v>
      </c>
      <c r="I28" s="5">
        <f>HAVERW!C33</f>
        <v>108.31</v>
      </c>
      <c r="J28" s="5">
        <f>HAVERW!D33</f>
        <v>114.1</v>
      </c>
      <c r="L28" s="2">
        <f t="shared" si="4"/>
        <v>43866</v>
      </c>
      <c r="M28" s="5">
        <f>HAVERD!BA32/HAVERD!BB32</f>
        <v>42.63709180529883</v>
      </c>
      <c r="O28">
        <v>26</v>
      </c>
      <c r="Q28" s="3">
        <f>'[25]Impulse responses'!DK34</f>
        <v>0.13024516484599932</v>
      </c>
      <c r="R28" s="3">
        <f>'[25]Impulse responses'!EN34</f>
        <v>2.1944081490169545</v>
      </c>
      <c r="U28" s="2">
        <v>40940</v>
      </c>
      <c r="V28" s="3">
        <f t="shared" si="6"/>
        <v>34.243205226417508</v>
      </c>
      <c r="W28" s="3">
        <f>((HAVERM!J164/HAVERM!J152)-1)*100</f>
        <v>3.6649214659685958</v>
      </c>
      <c r="X28" s="3">
        <f>((HAVERM!K161/HAVERM!K149)-1)*100</f>
        <v>6.7833698030634437</v>
      </c>
      <c r="Y28" s="18">
        <v>0</v>
      </c>
      <c r="Z28" s="3">
        <f>HAVERM!H164/HAVERM!I164</f>
        <v>79.293760283508419</v>
      </c>
      <c r="AA28" s="3">
        <f t="shared" si="0"/>
        <v>130.19927930560883</v>
      </c>
      <c r="AD28" s="2">
        <v>44958</v>
      </c>
      <c r="AE28" s="3">
        <f>'BoE MPR - Chart 2.21'!D32</f>
        <v>7.5</v>
      </c>
      <c r="AF28" s="3">
        <f>HAVERM!L290</f>
        <v>6.4640000000000004</v>
      </c>
      <c r="AJ28" s="2">
        <f t="shared" si="5"/>
        <v>43866</v>
      </c>
      <c r="AK28" s="2"/>
      <c r="AL28" s="3">
        <f>IF(HAVERD!H32="",AL27,AVERAGE(HAVERD!H32:Q32))</f>
        <v>32.545000000000002</v>
      </c>
      <c r="AZ28" s="34">
        <v>46054</v>
      </c>
      <c r="BA28" s="5">
        <f>'[26]CPI Forecast'!V367</f>
        <v>1.1652859349128741</v>
      </c>
      <c r="BB28" s="5">
        <f>'[26]CPI Forecast'!AN367</f>
        <v>3.2468110186335553</v>
      </c>
      <c r="BC28" s="39">
        <v>0.85340363559993171</v>
      </c>
      <c r="BD28" s="39">
        <v>2.5013808608161763</v>
      </c>
      <c r="BF28" s="35">
        <v>0</v>
      </c>
      <c r="BI28" s="2">
        <v>44593</v>
      </c>
      <c r="BJ28" s="37">
        <f>'[27]CPI Forecast'!D319</f>
        <v>6.1766080906415777</v>
      </c>
      <c r="BK28" s="35" t="e">
        <f>NA()</f>
        <v>#N/A</v>
      </c>
      <c r="BL28" s="35" t="e">
        <f>NA()</f>
        <v>#N/A</v>
      </c>
      <c r="BM28" s="37">
        <v>2</v>
      </c>
      <c r="BP28" s="17">
        <v>20252</v>
      </c>
      <c r="BQ28" s="35" t="str">
        <f t="shared" si="3"/>
        <v>2025</v>
      </c>
      <c r="BR28" s="37">
        <f>'[28]CPI Forecast'!AA606</f>
        <v>3.5468013247333063</v>
      </c>
      <c r="BS28" s="37">
        <v>5.5549469231303101</v>
      </c>
      <c r="BT28" s="35">
        <v>0</v>
      </c>
    </row>
    <row r="29" spans="1:72" x14ac:dyDescent="0.35">
      <c r="A29" s="2">
        <v>44621</v>
      </c>
      <c r="B29" s="3">
        <f>'[24]CPI Forecast'!D320</f>
        <v>7.0231240288821883</v>
      </c>
      <c r="C29" s="3" t="e">
        <f>NA()</f>
        <v>#N/A</v>
      </c>
      <c r="D29" s="3" t="e">
        <f>NA()</f>
        <v>#N/A</v>
      </c>
      <c r="E29" s="3" t="e">
        <f>NA()</f>
        <v>#N/A</v>
      </c>
      <c r="F29">
        <v>2</v>
      </c>
      <c r="H29" s="2">
        <f t="shared" si="2"/>
        <v>44018</v>
      </c>
      <c r="I29" s="5">
        <f>HAVERW!C34</f>
        <v>109.43</v>
      </c>
      <c r="J29" s="5">
        <f>HAVERW!D34</f>
        <v>115.05</v>
      </c>
      <c r="L29" s="2">
        <f t="shared" si="4"/>
        <v>43867</v>
      </c>
      <c r="M29" s="5">
        <f>HAVERD!BA33/HAVERD!BB33</f>
        <v>42.679248201717073</v>
      </c>
      <c r="O29">
        <v>27</v>
      </c>
      <c r="Q29" s="3">
        <f>'[25]Impulse responses'!DK35</f>
        <v>0.1211136846536835</v>
      </c>
      <c r="R29" s="3">
        <f>'[25]Impulse responses'!EN35</f>
        <v>2.2246865701803755</v>
      </c>
      <c r="U29" s="2">
        <v>40969</v>
      </c>
      <c r="V29" s="3">
        <f t="shared" si="6"/>
        <v>29.645450152580267</v>
      </c>
      <c r="W29" s="3">
        <f>((HAVERM!J165/HAVERM!J153)-1)*100</f>
        <v>4.5647558386411768</v>
      </c>
      <c r="X29" s="3">
        <f>((HAVERM!K162/HAVERM!K150)-1)*100</f>
        <v>5.8504875406284018</v>
      </c>
      <c r="Y29" s="18">
        <v>0</v>
      </c>
      <c r="Z29" s="3">
        <f>HAVERM!H165/HAVERM!I165</f>
        <v>79.441319598053468</v>
      </c>
      <c r="AA29" s="3">
        <f t="shared" si="0"/>
        <v>130.44156969945448</v>
      </c>
      <c r="AD29" s="2">
        <v>44986</v>
      </c>
      <c r="AE29" s="3">
        <f>'BoE MPR - Chart 2.21'!D33</f>
        <v>7.2</v>
      </c>
      <c r="AF29" s="3">
        <f>HAVERM!L291</f>
        <v>6.5739999999999998</v>
      </c>
      <c r="AJ29" s="2">
        <f t="shared" si="5"/>
        <v>43867</v>
      </c>
      <c r="AK29" s="2"/>
      <c r="AL29" s="3">
        <f>IF(HAVERD!H33="",AL28,AVERAGE(HAVERD!H33:Q33))</f>
        <v>32.332000000000001</v>
      </c>
      <c r="AZ29" s="34">
        <v>46082</v>
      </c>
      <c r="BA29" s="5">
        <f>'[26]CPI Forecast'!V368</f>
        <v>1.1586351202957257</v>
      </c>
      <c r="BB29" s="5">
        <f>'[26]CPI Forecast'!AN368</f>
        <v>3.2706631348779824</v>
      </c>
      <c r="BC29" s="39">
        <v>0.85340363559993171</v>
      </c>
      <c r="BD29" s="39">
        <v>2.5013808608161763</v>
      </c>
      <c r="BF29" s="35">
        <v>0</v>
      </c>
      <c r="BI29" s="2">
        <v>44621</v>
      </c>
      <c r="BJ29" s="37">
        <f>'[27]CPI Forecast'!D320</f>
        <v>7.0231240288821883</v>
      </c>
      <c r="BK29" s="35" t="e">
        <f>NA()</f>
        <v>#N/A</v>
      </c>
      <c r="BL29" s="35" t="e">
        <f>NA()</f>
        <v>#N/A</v>
      </c>
      <c r="BM29" s="37">
        <v>2</v>
      </c>
      <c r="BP29" s="17">
        <v>20253</v>
      </c>
      <c r="BQ29" s="35" t="str">
        <f t="shared" si="3"/>
        <v>2025</v>
      </c>
      <c r="BR29" s="37">
        <f>'[28]CPI Forecast'!AA607</f>
        <v>3.6082961474631414</v>
      </c>
      <c r="BS29" s="37">
        <v>5.2257410071942401</v>
      </c>
      <c r="BT29" s="35">
        <v>0</v>
      </c>
    </row>
    <row r="30" spans="1:72" x14ac:dyDescent="0.35">
      <c r="A30" s="2">
        <v>44652</v>
      </c>
      <c r="B30" s="3">
        <f>'[24]CPI Forecast'!D321</f>
        <v>9.010661677897458</v>
      </c>
      <c r="C30" s="3" t="e">
        <f>NA()</f>
        <v>#N/A</v>
      </c>
      <c r="D30" s="3" t="e">
        <f>NA()</f>
        <v>#N/A</v>
      </c>
      <c r="E30" s="3" t="e">
        <f>NA()</f>
        <v>#N/A</v>
      </c>
      <c r="F30">
        <v>2</v>
      </c>
      <c r="H30" s="2">
        <f t="shared" si="2"/>
        <v>44025</v>
      </c>
      <c r="I30" s="5">
        <f>HAVERW!C35</f>
        <v>111.24</v>
      </c>
      <c r="J30" s="5">
        <f>HAVERW!D35</f>
        <v>116.75</v>
      </c>
      <c r="L30" s="2">
        <f t="shared" si="4"/>
        <v>43868</v>
      </c>
      <c r="M30" s="5">
        <f>HAVERD!BA34/HAVERD!BB34</f>
        <v>42.143906020557999</v>
      </c>
      <c r="O30">
        <v>28</v>
      </c>
      <c r="Q30" s="3">
        <f>'[25]Impulse responses'!DK36</f>
        <v>0.11262241194606443</v>
      </c>
      <c r="R30" s="3">
        <f>'[25]Impulse responses'!EN36</f>
        <v>2.2528421731668917</v>
      </c>
      <c r="U30" s="2">
        <v>41000</v>
      </c>
      <c r="V30" s="3">
        <f t="shared" si="6"/>
        <v>31.739818454986633</v>
      </c>
      <c r="W30" s="3">
        <f>((HAVERM!J166/HAVERM!J154)-1)*100</f>
        <v>4.347826086956541</v>
      </c>
      <c r="X30" s="3">
        <f>((HAVERM!K163/HAVERM!K151)-1)*100</f>
        <v>4.9145299145299193</v>
      </c>
      <c r="Y30" s="18">
        <v>0</v>
      </c>
      <c r="Z30" s="3">
        <f>HAVERM!H166/HAVERM!I166</f>
        <v>77.682028225302872</v>
      </c>
      <c r="AA30" s="3">
        <f t="shared" si="0"/>
        <v>127.55283711820569</v>
      </c>
      <c r="AD30" s="2">
        <v>45017</v>
      </c>
      <c r="AE30" s="3">
        <f>'BoE MPR - Chart 2.21'!D34</f>
        <v>7.1</v>
      </c>
      <c r="AF30" s="3">
        <f>HAVERM!L292</f>
        <v>6.4219999999999997</v>
      </c>
      <c r="AJ30" s="2">
        <f t="shared" si="5"/>
        <v>43868</v>
      </c>
      <c r="AK30" s="2"/>
      <c r="AL30" s="3">
        <f>IF(HAVERD!H34="",AL29,AVERAGE(HAVERD!H34:Q34))</f>
        <v>32.474000000000004</v>
      </c>
      <c r="AZ30" s="34">
        <v>46113</v>
      </c>
      <c r="BA30" s="5">
        <f>'[26]CPI Forecast'!V369</f>
        <v>1.1595053904738695</v>
      </c>
      <c r="BB30" s="5">
        <f>'[26]CPI Forecast'!AN369</f>
        <v>3.1441456277731428</v>
      </c>
      <c r="BC30" s="39">
        <v>0.85340363559993171</v>
      </c>
      <c r="BD30" s="39">
        <v>2.5013808608161763</v>
      </c>
      <c r="BF30" s="35">
        <v>0</v>
      </c>
      <c r="BI30" s="2">
        <v>44652</v>
      </c>
      <c r="BJ30" s="37">
        <f>'[27]CPI Forecast'!D321</f>
        <v>9.010661677897458</v>
      </c>
      <c r="BK30" s="35" t="e">
        <f>NA()</f>
        <v>#N/A</v>
      </c>
      <c r="BL30" s="35" t="e">
        <f>NA()</f>
        <v>#N/A</v>
      </c>
      <c r="BM30" s="37">
        <v>2</v>
      </c>
      <c r="BP30" s="17">
        <v>20254</v>
      </c>
      <c r="BQ30" s="35" t="str">
        <f t="shared" si="3"/>
        <v>2025</v>
      </c>
      <c r="BR30" s="37">
        <f>'[28]CPI Forecast'!AA608</f>
        <v>3.8236673366688345</v>
      </c>
      <c r="BS30" s="37">
        <v>4.0656286356274798</v>
      </c>
      <c r="BT30" s="35">
        <v>0</v>
      </c>
    </row>
    <row r="31" spans="1:72" x14ac:dyDescent="0.35">
      <c r="A31" s="2">
        <v>44682</v>
      </c>
      <c r="B31" s="3">
        <f>'[24]CPI Forecast'!D322</f>
        <v>9.082701336222442</v>
      </c>
      <c r="C31" s="3" t="e">
        <f>NA()</f>
        <v>#N/A</v>
      </c>
      <c r="D31" s="3" t="e">
        <f>NA()</f>
        <v>#N/A</v>
      </c>
      <c r="E31" s="3" t="e">
        <f>NA()</f>
        <v>#N/A</v>
      </c>
      <c r="F31">
        <v>2</v>
      </c>
      <c r="H31" s="2">
        <f t="shared" si="2"/>
        <v>44032</v>
      </c>
      <c r="I31" s="5">
        <f>HAVERW!C36</f>
        <v>112.23</v>
      </c>
      <c r="J31" s="5">
        <f>HAVERW!D36</f>
        <v>117.35</v>
      </c>
      <c r="L31" s="2">
        <f t="shared" si="4"/>
        <v>43871</v>
      </c>
      <c r="M31" s="5">
        <f>HAVERD!BA35/HAVERD!BB35</f>
        <v>41.313936392478524</v>
      </c>
      <c r="O31">
        <v>29</v>
      </c>
      <c r="P31">
        <v>2032</v>
      </c>
      <c r="Q31" s="3">
        <f>'[25]Impulse responses'!DK37</f>
        <v>0.10472646182309574</v>
      </c>
      <c r="R31" s="3">
        <f>'[25]Impulse responses'!EN37</f>
        <v>2.2790237886226659</v>
      </c>
      <c r="U31" s="2">
        <v>41030</v>
      </c>
      <c r="V31" s="3">
        <f t="shared" si="6"/>
        <v>25.668480450713172</v>
      </c>
      <c r="W31" s="3">
        <f>((HAVERM!J167/HAVERM!J155)-1)*100</f>
        <v>3.3507853403141441</v>
      </c>
      <c r="X31" s="3">
        <f>((HAVERM!K164/HAVERM!K152)-1)*100</f>
        <v>4.237288135593209</v>
      </c>
      <c r="Y31" s="18">
        <v>0</v>
      </c>
      <c r="Z31" s="3">
        <f>HAVERM!H167/HAVERM!I167</f>
        <v>74.81923923294562</v>
      </c>
      <c r="AA31" s="3">
        <f t="shared" si="0"/>
        <v>122.85217640699378</v>
      </c>
      <c r="AD31" s="2">
        <v>45047</v>
      </c>
      <c r="AE31" s="3">
        <f>'BoE MPR - Chart 2.21'!D35</f>
        <v>7.2</v>
      </c>
      <c r="AF31" s="3">
        <f>HAVERM!L293</f>
        <v>6.1859999999999999</v>
      </c>
      <c r="AJ31" s="2">
        <f t="shared" si="5"/>
        <v>43871</v>
      </c>
      <c r="AK31" s="2"/>
      <c r="AL31" s="3">
        <f>IF(HAVERD!H35="",AL30,AVERAGE(HAVERD!H35:Q35))</f>
        <v>31.623000000000001</v>
      </c>
      <c r="AZ31" s="34">
        <v>46143</v>
      </c>
      <c r="BA31" s="5">
        <f>'[26]CPI Forecast'!V370</f>
        <v>1.1537379098287115</v>
      </c>
      <c r="BB31" s="5">
        <f>'[26]CPI Forecast'!AN370</f>
        <v>2.9827403649468565</v>
      </c>
      <c r="BC31" s="39">
        <v>0.85340363559993171</v>
      </c>
      <c r="BD31" s="39">
        <v>2.5013808608161763</v>
      </c>
      <c r="BF31" s="35">
        <v>0</v>
      </c>
      <c r="BI31" s="2">
        <v>44682</v>
      </c>
      <c r="BJ31" s="37">
        <f>'[27]CPI Forecast'!D322</f>
        <v>9.082701336222442</v>
      </c>
      <c r="BK31" s="35" t="e">
        <f>NA()</f>
        <v>#N/A</v>
      </c>
      <c r="BL31" s="35" t="e">
        <f>NA()</f>
        <v>#N/A</v>
      </c>
      <c r="BM31" s="37">
        <v>2</v>
      </c>
      <c r="BP31" s="17">
        <v>20261</v>
      </c>
      <c r="BQ31" s="35" t="str">
        <f t="shared" si="3"/>
        <v>2026</v>
      </c>
      <c r="BR31" s="37">
        <f>'[28]CPI Forecast'!AA609</f>
        <v>4.1016154409721839</v>
      </c>
      <c r="BS31" s="37">
        <v>3.4308592733386098</v>
      </c>
      <c r="BT31" s="35">
        <v>0</v>
      </c>
    </row>
    <row r="32" spans="1:72" x14ac:dyDescent="0.35">
      <c r="A32" s="2">
        <v>44713</v>
      </c>
      <c r="B32" s="3">
        <f>'[24]CPI Forecast'!D323</f>
        <v>9.4121134807841003</v>
      </c>
      <c r="C32" s="3" t="e">
        <f>NA()</f>
        <v>#N/A</v>
      </c>
      <c r="D32" s="3" t="e">
        <f>NA()</f>
        <v>#N/A</v>
      </c>
      <c r="E32" s="3" t="e">
        <f>NA()</f>
        <v>#N/A</v>
      </c>
      <c r="F32">
        <v>2</v>
      </c>
      <c r="H32" s="2">
        <f t="shared" si="2"/>
        <v>44039</v>
      </c>
      <c r="I32" s="5">
        <f>HAVERW!C37</f>
        <v>112.66</v>
      </c>
      <c r="J32" s="5">
        <f>HAVERW!D37</f>
        <v>117.76</v>
      </c>
      <c r="L32" s="2">
        <f t="shared" si="4"/>
        <v>43872</v>
      </c>
      <c r="M32" s="5">
        <f>HAVERD!BA36/HAVERD!BB36</f>
        <v>41.714947856315177</v>
      </c>
      <c r="O32">
        <v>30</v>
      </c>
      <c r="Q32" s="3">
        <f>'[25]Impulse responses'!DK38</f>
        <v>9.738409625862382E-2</v>
      </c>
      <c r="R32" s="3">
        <f>'[25]Impulse responses'!EN38</f>
        <v>2.3033698126873219</v>
      </c>
      <c r="U32" s="2">
        <v>41061</v>
      </c>
      <c r="V32" s="3">
        <f t="shared" si="6"/>
        <v>27.966678212793372</v>
      </c>
      <c r="W32" s="3">
        <f>((HAVERM!J168/HAVERM!J156)-1)*100</f>
        <v>2.1761658031087983</v>
      </c>
      <c r="X32" s="3">
        <f>((HAVERM!K165/HAVERM!K153)-1)*100</f>
        <v>4.2105263157894646</v>
      </c>
      <c r="Y32" s="18">
        <v>0</v>
      </c>
      <c r="Z32" s="3">
        <f>HAVERM!H168/HAVERM!I168</f>
        <v>74.369019330807276</v>
      </c>
      <c r="AA32" s="3">
        <f t="shared" si="0"/>
        <v>122.11292143184984</v>
      </c>
      <c r="AD32" s="2">
        <v>45078</v>
      </c>
      <c r="AE32" s="3">
        <f>'BoE MPR - Chart 2.21'!D36</f>
        <v>7.1</v>
      </c>
      <c r="AF32" s="3">
        <f>HAVERM!L294</f>
        <v>5.9039999999999999</v>
      </c>
      <c r="AJ32" s="2">
        <f t="shared" si="5"/>
        <v>43872</v>
      </c>
      <c r="AK32" s="2"/>
      <c r="AL32" s="3">
        <f>IF(HAVERD!H36="",AL31,AVERAGE(HAVERD!H36:Q36))</f>
        <v>31.566999999999997</v>
      </c>
      <c r="AZ32" s="34">
        <v>46174</v>
      </c>
      <c r="BA32" s="5">
        <f>'[26]CPI Forecast'!V371</f>
        <v>1.1555318794797209</v>
      </c>
      <c r="BB32" s="5">
        <f>'[26]CPI Forecast'!AN371</f>
        <v>2.829020418132</v>
      </c>
      <c r="BC32" s="39">
        <v>0.85340363559993171</v>
      </c>
      <c r="BD32" s="39">
        <v>2.5013808608161763</v>
      </c>
      <c r="BF32" s="35">
        <v>0</v>
      </c>
      <c r="BI32" s="2">
        <v>44713</v>
      </c>
      <c r="BJ32" s="37">
        <f>'[27]CPI Forecast'!D323</f>
        <v>9.4121134807841003</v>
      </c>
      <c r="BK32" s="35" t="e">
        <f>NA()</f>
        <v>#N/A</v>
      </c>
      <c r="BL32" s="35" t="e">
        <f>NA()</f>
        <v>#N/A</v>
      </c>
      <c r="BM32" s="37">
        <v>2</v>
      </c>
      <c r="BP32" s="17">
        <v>20262</v>
      </c>
      <c r="BQ32" s="35" t="str">
        <f t="shared" si="3"/>
        <v>2026</v>
      </c>
      <c r="BR32" s="37">
        <f>'[28]CPI Forecast'!AA610</f>
        <v>3.9247882091621777</v>
      </c>
      <c r="BS32" s="37">
        <v>2.9112589510640801</v>
      </c>
      <c r="BT32" s="35">
        <v>0</v>
      </c>
    </row>
    <row r="33" spans="1:77" x14ac:dyDescent="0.35">
      <c r="A33" s="2">
        <v>44743</v>
      </c>
      <c r="B33" s="3">
        <f>'[24]CPI Forecast'!D324</f>
        <v>10.100901192305267</v>
      </c>
      <c r="C33" s="3" t="e">
        <f>NA()</f>
        <v>#N/A</v>
      </c>
      <c r="D33" s="3" t="e">
        <f>NA()</f>
        <v>#N/A</v>
      </c>
      <c r="E33" s="3" t="e">
        <f>NA()</f>
        <v>#N/A</v>
      </c>
      <c r="F33">
        <v>2</v>
      </c>
      <c r="H33" s="2">
        <f t="shared" si="2"/>
        <v>44046</v>
      </c>
      <c r="I33" s="5">
        <f>HAVERW!C38</f>
        <v>112.91</v>
      </c>
      <c r="J33" s="5">
        <f>HAVERW!D38</f>
        <v>117.97</v>
      </c>
      <c r="L33" s="2">
        <f t="shared" si="4"/>
        <v>43873</v>
      </c>
      <c r="M33" s="5">
        <f>HAVERD!BA37/HAVERD!BB37</f>
        <v>42.805394990366082</v>
      </c>
      <c r="O33">
        <v>31</v>
      </c>
      <c r="Q33" s="3">
        <f>'[25]Impulse responses'!DK39</f>
        <v>9.0556503475440281E-2</v>
      </c>
      <c r="R33" s="3">
        <f>'[25]Impulse responses'!EN39</f>
        <v>2.326008938556182</v>
      </c>
      <c r="U33" s="2">
        <v>41091</v>
      </c>
      <c r="V33" s="3">
        <f t="shared" si="6"/>
        <v>26.030783524310962</v>
      </c>
      <c r="W33" s="3">
        <f>((HAVERM!J169/HAVERM!J157)-1)*100</f>
        <v>2.1716649431230639</v>
      </c>
      <c r="X33" s="3">
        <f>((HAVERM!K166/HAVERM!K154)-1)*100</f>
        <v>3.7656903765690419</v>
      </c>
      <c r="Y33" s="18">
        <v>0</v>
      </c>
      <c r="Z33" s="3">
        <f>HAVERM!H169/HAVERM!I169</f>
        <v>78.26031175829111</v>
      </c>
      <c r="AA33" s="3">
        <f t="shared" si="0"/>
        <v>128.50237083889405</v>
      </c>
      <c r="AD33" s="2">
        <v>45108</v>
      </c>
      <c r="AE33" s="3">
        <f>'BoE MPR - Chart 2.21'!D37</f>
        <v>6.7</v>
      </c>
      <c r="AF33" s="3">
        <f>HAVERM!L295</f>
        <v>5.7640000000000002</v>
      </c>
      <c r="AJ33" s="2">
        <f t="shared" si="5"/>
        <v>43873</v>
      </c>
      <c r="AK33" s="2"/>
      <c r="AL33" s="3">
        <f>IF(HAVERD!H37="",AL32,AVERAGE(HAVERD!H37:Q37))</f>
        <v>32.284000000000006</v>
      </c>
      <c r="AZ33" s="34">
        <v>46204</v>
      </c>
      <c r="BA33" s="5">
        <f>'[26]CPI Forecast'!V372</f>
        <v>1.1825362909688275</v>
      </c>
      <c r="BB33" s="5">
        <f>'[26]CPI Forecast'!AN372</f>
        <v>2.645987463030286</v>
      </c>
      <c r="BC33" s="39">
        <v>0.85340363559993171</v>
      </c>
      <c r="BD33" s="39">
        <v>2.5013808608161763</v>
      </c>
      <c r="BF33" s="35">
        <v>0</v>
      </c>
      <c r="BI33" s="2">
        <v>44743</v>
      </c>
      <c r="BJ33" s="37">
        <f>'[27]CPI Forecast'!D324</f>
        <v>10.100901192305267</v>
      </c>
      <c r="BK33" s="35" t="e">
        <f>NA()</f>
        <v>#N/A</v>
      </c>
      <c r="BL33" s="35" t="e">
        <f>NA()</f>
        <v>#N/A</v>
      </c>
      <c r="BM33" s="37">
        <v>2</v>
      </c>
      <c r="BP33" s="17">
        <v>20263</v>
      </c>
      <c r="BQ33" s="35" t="str">
        <f t="shared" si="3"/>
        <v>2026</v>
      </c>
      <c r="BR33" s="37">
        <f>'[28]CPI Forecast'!AA611</f>
        <v>3.753534085780097</v>
      </c>
      <c r="BS33" s="37">
        <v>2.7887560406274199</v>
      </c>
      <c r="BT33" s="35">
        <v>0</v>
      </c>
    </row>
    <row r="34" spans="1:77" x14ac:dyDescent="0.35">
      <c r="A34" s="2">
        <v>44774</v>
      </c>
      <c r="B34" s="3">
        <f>'[24]CPI Forecast'!D325</f>
        <v>9.8701878038988333</v>
      </c>
      <c r="C34" s="3" t="e">
        <f>NA()</f>
        <v>#N/A</v>
      </c>
      <c r="D34" s="3" t="e">
        <f>NA()</f>
        <v>#N/A</v>
      </c>
      <c r="E34" s="3" t="e">
        <f>NA()</f>
        <v>#N/A</v>
      </c>
      <c r="F34">
        <v>2</v>
      </c>
      <c r="H34" s="2">
        <f t="shared" si="2"/>
        <v>44053</v>
      </c>
      <c r="I34" s="5">
        <f>HAVERW!C39</f>
        <v>113.02</v>
      </c>
      <c r="J34" s="5">
        <f>HAVERW!D39</f>
        <v>118.01</v>
      </c>
      <c r="L34" s="2">
        <f t="shared" si="4"/>
        <v>43874</v>
      </c>
      <c r="M34" s="5">
        <f>HAVERD!BA38/HAVERD!BB38</f>
        <v>43.155878973573344</v>
      </c>
      <c r="O34">
        <v>32</v>
      </c>
      <c r="Q34" s="3">
        <f>'[25]Impulse responses'!DK40</f>
        <v>8.4207592787009802E-2</v>
      </c>
      <c r="R34" s="3">
        <f>'[25]Impulse responses'!EN40</f>
        <v>2.3470608367529344</v>
      </c>
      <c r="U34" s="2">
        <v>41122</v>
      </c>
      <c r="V34" s="3">
        <f t="shared" si="6"/>
        <v>17.917779029666892</v>
      </c>
      <c r="W34" s="3">
        <f>((HAVERM!J170/HAVERM!J158)-1)*100</f>
        <v>2.1671826625387025</v>
      </c>
      <c r="X34" s="3">
        <f>((HAVERM!K167/HAVERM!K155)-1)*100</f>
        <v>3.5379812695109258</v>
      </c>
      <c r="Y34" s="18">
        <v>0</v>
      </c>
      <c r="Z34" s="3">
        <f>HAVERM!H170/HAVERM!I170</f>
        <v>78.376487053883835</v>
      </c>
      <c r="AA34" s="3">
        <f t="shared" si="0"/>
        <v>128.69312909913049</v>
      </c>
      <c r="AD34" s="2">
        <v>45139</v>
      </c>
      <c r="AE34" s="3">
        <f>'BoE MPR - Chart 2.21'!D38</f>
        <v>6.5</v>
      </c>
      <c r="AF34" s="3">
        <f>HAVERM!L296</f>
        <v>5.65</v>
      </c>
      <c r="AJ34" s="2">
        <f t="shared" si="5"/>
        <v>43874</v>
      </c>
      <c r="AK34" s="2"/>
      <c r="AL34" s="3">
        <f>IF(HAVERD!H38="",AL33,AVERAGE(HAVERD!H38:Q38))</f>
        <v>32.695000000000007</v>
      </c>
      <c r="AZ34" s="34">
        <v>46235</v>
      </c>
      <c r="BA34" s="5">
        <f>'[26]CPI Forecast'!V373</f>
        <v>1.1625584294112645</v>
      </c>
      <c r="BB34" s="5">
        <f>'[26]CPI Forecast'!AN373</f>
        <v>2.5042718775820649</v>
      </c>
      <c r="BC34" s="39">
        <v>0.85340363559993171</v>
      </c>
      <c r="BD34" s="39">
        <v>2.5013808608161763</v>
      </c>
      <c r="BF34" s="35">
        <v>0</v>
      </c>
      <c r="BI34" s="2">
        <v>44774</v>
      </c>
      <c r="BJ34" s="37">
        <f>'[27]CPI Forecast'!D325</f>
        <v>9.8701878038988333</v>
      </c>
      <c r="BK34" s="35" t="e">
        <f>NA()</f>
        <v>#N/A</v>
      </c>
      <c r="BL34" s="35" t="e">
        <f>NA()</f>
        <v>#N/A</v>
      </c>
      <c r="BM34" s="37">
        <v>2</v>
      </c>
      <c r="BP34" s="17">
        <v>20264</v>
      </c>
      <c r="BQ34" s="35" t="str">
        <f t="shared" si="3"/>
        <v>2026</v>
      </c>
      <c r="BR34" s="37">
        <f>'[28]CPI Forecast'!AA612</f>
        <v>3.6773270054176965</v>
      </c>
      <c r="BS34" s="37">
        <v>2.7377057505739</v>
      </c>
      <c r="BT34" s="35">
        <v>0</v>
      </c>
    </row>
    <row r="35" spans="1:77" x14ac:dyDescent="0.35">
      <c r="A35" s="2">
        <v>44805</v>
      </c>
      <c r="B35" s="3">
        <f>'[24]CPI Forecast'!D326</f>
        <v>10.095627807676898</v>
      </c>
      <c r="C35" s="3" t="e">
        <f>NA()</f>
        <v>#N/A</v>
      </c>
      <c r="D35" s="3" t="e">
        <f>NA()</f>
        <v>#N/A</v>
      </c>
      <c r="E35" s="3" t="e">
        <f>NA()</f>
        <v>#N/A</v>
      </c>
      <c r="F35">
        <v>2</v>
      </c>
      <c r="H35" s="2">
        <f t="shared" si="2"/>
        <v>44060</v>
      </c>
      <c r="I35" s="5">
        <f>HAVERW!C40</f>
        <v>113.04</v>
      </c>
      <c r="J35" s="5">
        <f>HAVERW!D40</f>
        <v>118</v>
      </c>
      <c r="L35" s="2">
        <f t="shared" si="4"/>
        <v>43875</v>
      </c>
      <c r="M35" s="5">
        <f>HAVERD!BA39/HAVERD!BB39</f>
        <v>44.076521204671167</v>
      </c>
      <c r="O35">
        <v>33</v>
      </c>
      <c r="P35">
        <v>2033</v>
      </c>
      <c r="Q35" s="3">
        <f>'[25]Impulse responses'!DK41</f>
        <v>7.830380382231221E-2</v>
      </c>
      <c r="R35" s="3">
        <f>'[25]Impulse responses'!EN41</f>
        <v>2.3666367877085124</v>
      </c>
      <c r="U35" s="2">
        <v>41153</v>
      </c>
      <c r="V35" s="3">
        <f t="shared" si="6"/>
        <v>12.541783966074082</v>
      </c>
      <c r="W35" s="3">
        <f>((HAVERM!J171/HAVERM!J159)-1)*100</f>
        <v>1.9567456230690006</v>
      </c>
      <c r="X35" s="3">
        <f>((HAVERM!K168/HAVERM!K156)-1)*100</f>
        <v>2.9015544041450791</v>
      </c>
      <c r="Y35" s="18">
        <v>0</v>
      </c>
      <c r="Z35" s="3">
        <f>HAVERM!H171/HAVERM!I171</f>
        <v>77.624720774385708</v>
      </c>
      <c r="AA35" s="3">
        <f t="shared" ref="AA35:AA66" si="7">(Z35/AVERAGE($Z$63:$Z$74))*100</f>
        <v>127.45873906078504</v>
      </c>
      <c r="AD35" s="2">
        <v>45170</v>
      </c>
      <c r="AE35" s="3">
        <f>'BoE MPR - Chart 2.21'!D39</f>
        <v>6.6</v>
      </c>
      <c r="AF35" s="3">
        <f>HAVERM!L297</f>
        <v>5.492</v>
      </c>
      <c r="AJ35" s="2">
        <f t="shared" si="5"/>
        <v>43875</v>
      </c>
      <c r="AK35" s="2"/>
      <c r="AL35" s="3">
        <f>IF(HAVERD!H39="",AL34,AVERAGE(HAVERD!H39:Q39))</f>
        <v>33.107999999999997</v>
      </c>
      <c r="AZ35" s="34">
        <v>46266</v>
      </c>
      <c r="BA35" s="5">
        <f>'[26]CPI Forecast'!V374</f>
        <v>1.1374183761287515</v>
      </c>
      <c r="BB35" s="5">
        <f>'[26]CPI Forecast'!AN374</f>
        <v>2.3710296815577125</v>
      </c>
      <c r="BC35" s="39">
        <v>0.85340363559993171</v>
      </c>
      <c r="BD35" s="39">
        <v>2.5013808608161763</v>
      </c>
      <c r="BF35" s="35">
        <v>0</v>
      </c>
      <c r="BI35" s="2">
        <v>44805</v>
      </c>
      <c r="BJ35" s="37">
        <f>'[27]CPI Forecast'!D326</f>
        <v>10.095627807676898</v>
      </c>
      <c r="BK35" s="35" t="e">
        <f>NA()</f>
        <v>#N/A</v>
      </c>
      <c r="BL35" s="35" t="e">
        <f>NA()</f>
        <v>#N/A</v>
      </c>
      <c r="BM35" s="37">
        <v>2</v>
      </c>
      <c r="BP35" s="17">
        <v>20271</v>
      </c>
      <c r="BQ35" s="35" t="str">
        <f t="shared" si="3"/>
        <v>2027</v>
      </c>
      <c r="BR35" s="37">
        <f>'[28]CPI Forecast'!AA613</f>
        <v>3.6428280858969098</v>
      </c>
      <c r="BS35" s="37">
        <v>2.6525912529124298</v>
      </c>
      <c r="BT35" s="35">
        <v>0</v>
      </c>
    </row>
    <row r="36" spans="1:77" x14ac:dyDescent="0.35">
      <c r="A36" s="2">
        <v>44835</v>
      </c>
      <c r="B36" s="3">
        <f>'[24]CPI Forecast'!D327</f>
        <v>11.051566349876808</v>
      </c>
      <c r="C36" s="3" t="e">
        <f>NA()</f>
        <v>#N/A</v>
      </c>
      <c r="D36" s="3" t="e">
        <f>NA()</f>
        <v>#N/A</v>
      </c>
      <c r="E36" s="3" t="e">
        <f>NA()</f>
        <v>#N/A</v>
      </c>
      <c r="F36">
        <v>2</v>
      </c>
      <c r="H36" s="2">
        <f t="shared" si="2"/>
        <v>44067</v>
      </c>
      <c r="I36" s="5">
        <f>HAVERW!C41</f>
        <v>113.22</v>
      </c>
      <c r="J36" s="5">
        <f>HAVERW!D41</f>
        <v>118.14</v>
      </c>
      <c r="L36" s="2">
        <f t="shared" si="4"/>
        <v>43878</v>
      </c>
      <c r="M36" s="5">
        <f>HAVERD!BA40/HAVERD!BB40</f>
        <v>44.464093495309854</v>
      </c>
      <c r="O36">
        <v>34</v>
      </c>
      <c r="Q36" s="3">
        <f>'[25]Impulse responses'!DK42</f>
        <v>7.2813929125715118E-2</v>
      </c>
      <c r="R36" s="3">
        <f>'[25]Impulse responses'!EN42</f>
        <v>2.3848402699899411</v>
      </c>
      <c r="U36" s="2">
        <v>41183</v>
      </c>
      <c r="V36" s="3">
        <f t="shared" si="6"/>
        <v>5.2563641973482289</v>
      </c>
      <c r="W36" s="3">
        <f>((HAVERM!J172/HAVERM!J160)-1)*100</f>
        <v>3.4303534303534278</v>
      </c>
      <c r="X36" s="3">
        <f>((HAVERM!K169/HAVERM!K157)-1)*100</f>
        <v>2.6831785345717174</v>
      </c>
      <c r="Y36" s="18">
        <v>0</v>
      </c>
      <c r="Z36" s="3">
        <f>HAVERM!H172/HAVERM!I172</f>
        <v>77.119223832327876</v>
      </c>
      <c r="AA36" s="3">
        <f t="shared" si="7"/>
        <v>126.62871993554997</v>
      </c>
      <c r="AD36" s="2">
        <v>45200</v>
      </c>
      <c r="AE36" s="3">
        <f>'BoE MPR - Chart 2.21'!D40</f>
        <v>6.4</v>
      </c>
      <c r="AF36" s="3">
        <f>HAVERM!L298</f>
        <v>5.5449999999999999</v>
      </c>
      <c r="AJ36" s="2">
        <f t="shared" si="5"/>
        <v>43878</v>
      </c>
      <c r="AK36" s="2"/>
      <c r="AL36" s="3">
        <f>IF(HAVERD!H40="",AL35,AVERAGE(HAVERD!H40:Q40))</f>
        <v>34.342999999999996</v>
      </c>
      <c r="AZ36" s="34">
        <v>46296</v>
      </c>
      <c r="BA36" s="5">
        <f>'[26]CPI Forecast'!V375</f>
        <v>1.1367631086425467</v>
      </c>
      <c r="BB36" s="5">
        <f>'[26]CPI Forecast'!AN375</f>
        <v>2.2152761969882473</v>
      </c>
      <c r="BC36" s="39">
        <v>0.85340363559993171</v>
      </c>
      <c r="BD36" s="39">
        <v>2.5013808608161763</v>
      </c>
      <c r="BF36" s="35">
        <v>0</v>
      </c>
      <c r="BI36" s="2">
        <v>44835</v>
      </c>
      <c r="BJ36" s="37">
        <f>'[27]CPI Forecast'!D327</f>
        <v>11.051566349876808</v>
      </c>
      <c r="BK36" s="35" t="e">
        <f>NA()</f>
        <v>#N/A</v>
      </c>
      <c r="BL36" s="35" t="e">
        <f>NA()</f>
        <v>#N/A</v>
      </c>
      <c r="BM36" s="37">
        <v>2</v>
      </c>
      <c r="BP36" s="17">
        <v>20272</v>
      </c>
      <c r="BQ36" s="35" t="str">
        <f t="shared" si="3"/>
        <v>2027</v>
      </c>
      <c r="BR36" s="37">
        <f>'[28]CPI Forecast'!AA614</f>
        <v>3.5743154570800462</v>
      </c>
      <c r="BS36" s="37">
        <v>2.5922214562680401</v>
      </c>
      <c r="BT36" s="35">
        <v>0</v>
      </c>
      <c r="BY36" s="35"/>
    </row>
    <row r="37" spans="1:77" x14ac:dyDescent="0.35">
      <c r="A37" s="2">
        <v>44866</v>
      </c>
      <c r="B37" s="3">
        <f>'[24]CPI Forecast'!D328</f>
        <v>10.672012718712054</v>
      </c>
      <c r="C37" s="3" t="e">
        <f>NA()</f>
        <v>#N/A</v>
      </c>
      <c r="D37" s="3" t="e">
        <f>NA()</f>
        <v>#N/A</v>
      </c>
      <c r="E37" s="3" t="e">
        <f>NA()</f>
        <v>#N/A</v>
      </c>
      <c r="F37">
        <v>2</v>
      </c>
      <c r="H37" s="2">
        <f t="shared" si="2"/>
        <v>44074</v>
      </c>
      <c r="I37" s="5">
        <f>HAVERW!C42</f>
        <v>113.29</v>
      </c>
      <c r="J37" s="5">
        <f>HAVERW!D42</f>
        <v>118.18</v>
      </c>
      <c r="L37" s="2">
        <f t="shared" si="4"/>
        <v>43879</v>
      </c>
      <c r="M37" s="5">
        <f>HAVERD!BA41/HAVERD!BB41</f>
        <v>43.990181790289178</v>
      </c>
      <c r="O37">
        <v>35</v>
      </c>
      <c r="Q37" s="3">
        <f>'[25]Impulse responses'!DK43</f>
        <v>6.7708949194278056E-2</v>
      </c>
      <c r="R37" s="3">
        <f>'[25]Impulse responses'!EN43</f>
        <v>2.4017675072885107</v>
      </c>
      <c r="U37" s="2">
        <v>41214</v>
      </c>
      <c r="V37" s="3">
        <f t="shared" si="6"/>
        <v>2.3757769797572603</v>
      </c>
      <c r="W37" s="3">
        <f>((HAVERM!J173/HAVERM!J161)-1)*100</f>
        <v>3.9256198347107363</v>
      </c>
      <c r="X37" s="3">
        <f>((HAVERM!K170/HAVERM!K158)-1)*100</f>
        <v>3.0991735537190035</v>
      </c>
      <c r="Y37" s="18">
        <v>0</v>
      </c>
      <c r="Z37" s="3">
        <f>HAVERM!H173/HAVERM!I173</f>
        <v>77.376104254119412</v>
      </c>
      <c r="AA37" s="3">
        <f t="shared" si="7"/>
        <v>127.05051410529795</v>
      </c>
      <c r="AD37" s="2">
        <v>45231</v>
      </c>
      <c r="AE37" s="3">
        <f>'BoE MPR - Chart 2.21'!D41</f>
        <v>5.7</v>
      </c>
      <c r="AF37" s="3">
        <f>HAVERM!L299</f>
        <v>5.444</v>
      </c>
      <c r="AJ37" s="2">
        <f t="shared" si="5"/>
        <v>43879</v>
      </c>
      <c r="AK37" s="2"/>
      <c r="AL37" s="3">
        <f>IF(HAVERD!H41="",AL36,AVERAGE(HAVERD!H41:Q41))</f>
        <v>33.834999999999994</v>
      </c>
      <c r="AZ37" s="34">
        <v>46327</v>
      </c>
      <c r="BA37" s="5">
        <f>'[26]CPI Forecast'!V376</f>
        <v>1.1225308175947246</v>
      </c>
      <c r="BB37" s="5">
        <f>'[26]CPI Forecast'!AN376</f>
        <v>2.0715835847658237</v>
      </c>
      <c r="BC37" s="39">
        <v>0.85340363559993171</v>
      </c>
      <c r="BD37" s="39">
        <v>2.5013808608161763</v>
      </c>
      <c r="BF37" s="35">
        <v>0</v>
      </c>
      <c r="BI37" s="2">
        <v>44866</v>
      </c>
      <c r="BJ37" s="37">
        <f>'[27]CPI Forecast'!D328</f>
        <v>10.672012718712054</v>
      </c>
      <c r="BK37" s="35" t="e">
        <f>NA()</f>
        <v>#N/A</v>
      </c>
      <c r="BL37" s="35" t="e">
        <f>NA()</f>
        <v>#N/A</v>
      </c>
      <c r="BM37" s="37">
        <v>2</v>
      </c>
      <c r="BP37" s="17">
        <v>20273</v>
      </c>
      <c r="BQ37" s="35" t="str">
        <f t="shared" si="3"/>
        <v>2027</v>
      </c>
      <c r="BR37" s="37">
        <f>'[28]CPI Forecast'!AA615</f>
        <v>3.5209599870061892</v>
      </c>
      <c r="BS37" s="37">
        <v>2.5478114271179799</v>
      </c>
      <c r="BT37" s="35">
        <v>0</v>
      </c>
    </row>
    <row r="38" spans="1:77" x14ac:dyDescent="0.35">
      <c r="A38" s="2">
        <v>44896</v>
      </c>
      <c r="B38" s="3">
        <f>'[24]CPI Forecast'!D329</f>
        <v>10.5283743731041</v>
      </c>
      <c r="C38" s="3" t="e">
        <f>NA()</f>
        <v>#N/A</v>
      </c>
      <c r="D38" s="3" t="e">
        <f>NA()</f>
        <v>#N/A</v>
      </c>
      <c r="E38" s="3" t="e">
        <f>NA()</f>
        <v>#N/A</v>
      </c>
      <c r="F38">
        <v>2</v>
      </c>
      <c r="H38" s="2">
        <f t="shared" si="2"/>
        <v>44081</v>
      </c>
      <c r="I38" s="5">
        <f>HAVERW!C43</f>
        <v>113.37</v>
      </c>
      <c r="J38" s="5">
        <f>HAVERW!D43</f>
        <v>118.22</v>
      </c>
      <c r="L38" s="2">
        <f t="shared" si="4"/>
        <v>43880</v>
      </c>
      <c r="M38" s="5">
        <f>HAVERD!BA42/HAVERD!BB42</f>
        <v>46.112269322832219</v>
      </c>
      <c r="O38">
        <v>36</v>
      </c>
      <c r="Q38" s="3">
        <f>'[25]Impulse responses'!DK44</f>
        <v>6.2961879080549177E-2</v>
      </c>
      <c r="R38" s="3">
        <f>'[25]Impulse responses'!EN44</f>
        <v>2.4175079770586478</v>
      </c>
      <c r="U38" s="2">
        <v>41244</v>
      </c>
      <c r="V38" s="3">
        <f t="shared" si="6"/>
        <v>-5.6871798914959637</v>
      </c>
      <c r="W38" s="3">
        <f>((HAVERM!J174/HAVERM!J162)-1)*100</f>
        <v>3.771661569826712</v>
      </c>
      <c r="X38" s="3">
        <f>((HAVERM!K171/HAVERM!K159)-1)*100</f>
        <v>2.9866117404737436</v>
      </c>
      <c r="Y38" s="18">
        <v>0</v>
      </c>
      <c r="Z38" s="3">
        <f>HAVERM!H174/HAVERM!I174</f>
        <v>76.065411298315155</v>
      </c>
      <c r="AA38" s="3">
        <f t="shared" si="7"/>
        <v>124.89837404249222</v>
      </c>
      <c r="AD38" s="2">
        <v>45261</v>
      </c>
      <c r="AE38" s="3">
        <f>'BoE MPR - Chart 2.21'!D42</f>
        <v>5.8</v>
      </c>
      <c r="AF38" s="3">
        <f>HAVERM!L300</f>
        <v>5.2969999999999997</v>
      </c>
      <c r="AJ38" s="2">
        <f t="shared" si="5"/>
        <v>43880</v>
      </c>
      <c r="AK38" s="2"/>
      <c r="AL38" s="3">
        <f>IF(HAVERD!H42="",AL37,AVERAGE(HAVERD!H42:Q42))</f>
        <v>33.528999999999996</v>
      </c>
      <c r="AZ38" s="34">
        <v>46357</v>
      </c>
      <c r="BA38" s="5">
        <f>'[26]CPI Forecast'!V377</f>
        <v>1.1124769295390413</v>
      </c>
      <c r="BB38" s="5">
        <f>'[26]CPI Forecast'!AN377</f>
        <v>1.9244644445529202</v>
      </c>
      <c r="BC38" s="39">
        <v>0.85340363559993171</v>
      </c>
      <c r="BD38" s="39">
        <v>2.5013808608161763</v>
      </c>
      <c r="BF38" s="35">
        <v>0</v>
      </c>
      <c r="BI38" s="2">
        <v>44896</v>
      </c>
      <c r="BJ38" s="37">
        <f>'[27]CPI Forecast'!D329</f>
        <v>10.5283743731041</v>
      </c>
      <c r="BK38" s="35" t="e">
        <f>NA()</f>
        <v>#N/A</v>
      </c>
      <c r="BL38" s="35" t="e">
        <f>NA()</f>
        <v>#N/A</v>
      </c>
      <c r="BM38" s="37">
        <v>2</v>
      </c>
      <c r="BP38" s="17">
        <v>20274</v>
      </c>
      <c r="BQ38" s="35" t="str">
        <f t="shared" si="3"/>
        <v>2027</v>
      </c>
      <c r="BR38" s="37">
        <f>'[28]CPI Forecast'!AA616</f>
        <v>3.4518877587206509</v>
      </c>
      <c r="BS38" s="37">
        <v>2.5453631796910101</v>
      </c>
      <c r="BT38" s="35">
        <v>0</v>
      </c>
    </row>
    <row r="39" spans="1:77" x14ac:dyDescent="0.35">
      <c r="A39" s="2">
        <v>44927</v>
      </c>
      <c r="B39" s="3">
        <f>'[24]CPI Forecast'!D330</f>
        <v>10.051523960382269</v>
      </c>
      <c r="C39" s="3" t="e">
        <f>NA()</f>
        <v>#N/A</v>
      </c>
      <c r="D39" s="3" t="e">
        <f>NA()</f>
        <v>#N/A</v>
      </c>
      <c r="E39" s="3" t="e">
        <f>NA()</f>
        <v>#N/A</v>
      </c>
      <c r="F39">
        <v>2</v>
      </c>
      <c r="H39" s="2">
        <f t="shared" si="2"/>
        <v>44088</v>
      </c>
      <c r="I39" s="5">
        <f>HAVERW!C44</f>
        <v>113.32</v>
      </c>
      <c r="J39" s="5">
        <f>HAVERW!D44</f>
        <v>118.18</v>
      </c>
      <c r="L39" s="2">
        <f t="shared" si="4"/>
        <v>43881</v>
      </c>
      <c r="M39" s="5">
        <f>HAVERD!BA43/HAVERD!BB43</f>
        <v>46.362860026395467</v>
      </c>
      <c r="O39">
        <v>37</v>
      </c>
      <c r="P39">
        <v>2034</v>
      </c>
      <c r="Q39" s="3">
        <f>'[25]Impulse responses'!DK45</f>
        <v>5.8547625750017762E-2</v>
      </c>
      <c r="R39" s="3">
        <f>'[25]Impulse responses'!EN45</f>
        <v>2.4321448834961523</v>
      </c>
      <c r="U39" s="2">
        <v>41275</v>
      </c>
      <c r="V39" s="3">
        <f t="shared" si="6"/>
        <v>-6.9914390542193505</v>
      </c>
      <c r="W39" s="3">
        <f>((HAVERM!J175/HAVERM!J163)-1)*100</f>
        <v>4.1922290388548111</v>
      </c>
      <c r="X39" s="3">
        <f>((HAVERM!K172/HAVERM!K160)-1)*100</f>
        <v>3.1860226104830414</v>
      </c>
      <c r="Y39" s="18">
        <v>0</v>
      </c>
      <c r="Z39" s="3">
        <f>HAVERM!H175/HAVERM!I175</f>
        <v>77.332831985962287</v>
      </c>
      <c r="AA39" s="3">
        <f t="shared" si="7"/>
        <v>126.97946162767759</v>
      </c>
      <c r="AD39" s="2">
        <v>45292</v>
      </c>
      <c r="AE39" s="3">
        <f>'BoE MPR - Chart 2.21'!D43</f>
        <v>6.3</v>
      </c>
      <c r="AF39" s="3">
        <f>HAVERM!L301</f>
        <v>5.1749999999999998</v>
      </c>
      <c r="AJ39" s="2">
        <f t="shared" si="5"/>
        <v>43881</v>
      </c>
      <c r="AK39" s="2"/>
      <c r="AL39" s="3">
        <f>IF(HAVERD!H43="",AL38,AVERAGE(HAVERD!H43:Q43))</f>
        <v>33.237000000000002</v>
      </c>
      <c r="BI39" s="2">
        <v>44927</v>
      </c>
      <c r="BJ39" s="37">
        <f>'[27]CPI Forecast'!D330</f>
        <v>10.051523960382269</v>
      </c>
      <c r="BK39" s="35" t="e">
        <f>NA()</f>
        <v>#N/A</v>
      </c>
      <c r="BL39" s="35" t="e">
        <f>NA()</f>
        <v>#N/A</v>
      </c>
      <c r="BM39" s="37">
        <v>2</v>
      </c>
    </row>
    <row r="40" spans="1:77" x14ac:dyDescent="0.35">
      <c r="A40" s="2">
        <v>44958</v>
      </c>
      <c r="B40" s="3">
        <f>'[24]CPI Forecast'!D331</f>
        <v>10.416396867742407</v>
      </c>
      <c r="C40" s="3" t="e">
        <f>NA()</f>
        <v>#N/A</v>
      </c>
      <c r="D40" s="3" t="e">
        <f>NA()</f>
        <v>#N/A</v>
      </c>
      <c r="E40" s="3" t="e">
        <f>NA()</f>
        <v>#N/A</v>
      </c>
      <c r="F40">
        <v>2</v>
      </c>
      <c r="H40" s="2">
        <f t="shared" si="2"/>
        <v>44095</v>
      </c>
      <c r="I40" s="5">
        <f>HAVERW!C45</f>
        <v>113.31</v>
      </c>
      <c r="J40" s="5">
        <f>HAVERW!D45</f>
        <v>118.16</v>
      </c>
      <c r="L40" s="2">
        <f t="shared" si="4"/>
        <v>43882</v>
      </c>
      <c r="M40" s="5">
        <f>HAVERD!BA44/HAVERD!BB44</f>
        <v>45.20907267397007</v>
      </c>
      <c r="O40">
        <v>38</v>
      </c>
      <c r="Q40" s="3">
        <f>'[25]Impulse responses'!DK46</f>
        <v>5.4442855439221643E-2</v>
      </c>
      <c r="R40" s="3">
        <f>'[25]Impulse responses'!EN46</f>
        <v>2.4457555973559577</v>
      </c>
      <c r="U40" s="2">
        <v>41306</v>
      </c>
      <c r="V40" s="3">
        <f t="shared" si="6"/>
        <v>-7.1163142067544598</v>
      </c>
      <c r="W40" s="3">
        <f>((HAVERM!J176/HAVERM!J164)-1)*100</f>
        <v>3.6363636363636376</v>
      </c>
      <c r="X40" s="3">
        <f>((HAVERM!K173/HAVERM!K161)-1)*100</f>
        <v>3.2786885245901676</v>
      </c>
      <c r="Y40" s="18">
        <v>0</v>
      </c>
      <c r="Z40" s="3">
        <f>HAVERM!H176/HAVERM!I176</f>
        <v>79.661454968342156</v>
      </c>
      <c r="AA40" s="3">
        <f t="shared" si="7"/>
        <v>130.8030289928312</v>
      </c>
      <c r="AD40" s="2">
        <v>45323</v>
      </c>
      <c r="AE40" s="3">
        <f>'BoE MPR - Chart 2.21'!D44</f>
        <v>5.2</v>
      </c>
      <c r="AF40" s="3">
        <f>HAVERM!L302</f>
        <v>4.9770000000000003</v>
      </c>
      <c r="AJ40" s="2">
        <f t="shared" si="5"/>
        <v>43882</v>
      </c>
      <c r="AK40" s="2"/>
      <c r="AL40" s="3">
        <f>IF(HAVERD!H44="",AL39,AVERAGE(HAVERD!H44:Q44))</f>
        <v>32.786000000000001</v>
      </c>
      <c r="BI40" s="2">
        <v>44958</v>
      </c>
      <c r="BJ40" s="37">
        <f>'[27]CPI Forecast'!D331</f>
        <v>10.416396867742407</v>
      </c>
      <c r="BK40" s="35" t="e">
        <f>NA()</f>
        <v>#N/A</v>
      </c>
      <c r="BL40" s="35" t="e">
        <f>NA()</f>
        <v>#N/A</v>
      </c>
      <c r="BM40" s="37">
        <v>2</v>
      </c>
    </row>
    <row r="41" spans="1:77" x14ac:dyDescent="0.35">
      <c r="A41" s="2">
        <v>44986</v>
      </c>
      <c r="B41" s="3">
        <f>'[24]CPI Forecast'!D332</f>
        <v>10.056877380566043</v>
      </c>
      <c r="C41" s="3" t="e">
        <f>NA()</f>
        <v>#N/A</v>
      </c>
      <c r="D41" s="3" t="e">
        <f>NA()</f>
        <v>#N/A</v>
      </c>
      <c r="E41" s="3" t="e">
        <f>NA()</f>
        <v>#N/A</v>
      </c>
      <c r="F41">
        <v>2</v>
      </c>
      <c r="H41" s="2">
        <f t="shared" si="2"/>
        <v>44102</v>
      </c>
      <c r="I41" s="5">
        <f>HAVERW!C46</f>
        <v>113.3</v>
      </c>
      <c r="J41" s="5">
        <f>HAVERW!D46</f>
        <v>118.14</v>
      </c>
      <c r="L41" s="2">
        <f t="shared" si="4"/>
        <v>43885</v>
      </c>
      <c r="M41" s="5">
        <f>HAVERD!BA45/HAVERD!BB45</f>
        <v>43.361188486536676</v>
      </c>
      <c r="O41">
        <v>39</v>
      </c>
      <c r="Q41" s="3">
        <f>'[25]Impulse responses'!DK47</f>
        <v>5.0625870313367363E-2</v>
      </c>
      <c r="R41" s="3">
        <f>'[25]Impulse responses'!EN47</f>
        <v>2.4584120649342998</v>
      </c>
      <c r="U41" s="2">
        <v>41334</v>
      </c>
      <c r="V41" s="3">
        <f t="shared" si="6"/>
        <v>-4.4160622944939938</v>
      </c>
      <c r="W41" s="3">
        <f>((HAVERM!J177/HAVERM!J165)-1)*100</f>
        <v>3.7563451776649881</v>
      </c>
      <c r="X41" s="3">
        <f>((HAVERM!K174/HAVERM!K162)-1)*100</f>
        <v>3.377686796315249</v>
      </c>
      <c r="Y41" s="18">
        <v>0</v>
      </c>
      <c r="Z41" s="3">
        <f>HAVERM!H177/HAVERM!I177</f>
        <v>81.520297161050678</v>
      </c>
      <c r="AA41" s="3">
        <f t="shared" si="7"/>
        <v>133.85522267072193</v>
      </c>
      <c r="AD41" s="2">
        <v>45352</v>
      </c>
      <c r="AE41" s="3">
        <f>'BoE MPR - Chart 2.21'!D45</f>
        <v>5.0999999999999996</v>
      </c>
      <c r="AF41" s="3">
        <f>HAVERM!L303</f>
        <v>4.8170000000000002</v>
      </c>
      <c r="AJ41" s="2">
        <f t="shared" si="5"/>
        <v>43885</v>
      </c>
      <c r="AK41" s="2"/>
      <c r="AL41" s="3">
        <f>IF(HAVERD!H45="",AL40,AVERAGE(HAVERD!H45:Q45))</f>
        <v>31.309000000000008</v>
      </c>
      <c r="BI41" s="2">
        <v>44986</v>
      </c>
      <c r="BJ41" s="37">
        <f>'[27]CPI Forecast'!D332</f>
        <v>10.056877380566043</v>
      </c>
      <c r="BK41" s="35" t="e">
        <f>NA()</f>
        <v>#N/A</v>
      </c>
      <c r="BL41" s="35" t="e">
        <f>NA()</f>
        <v>#N/A</v>
      </c>
      <c r="BM41" s="37">
        <v>2</v>
      </c>
    </row>
    <row r="42" spans="1:77" x14ac:dyDescent="0.35">
      <c r="A42" s="2">
        <v>45017</v>
      </c>
      <c r="B42" s="3">
        <f>'[24]CPI Forecast'!D333</f>
        <v>8.6582358625745712</v>
      </c>
      <c r="C42" s="3" t="e">
        <f>NA()</f>
        <v>#N/A</v>
      </c>
      <c r="D42" s="3" t="e">
        <f>NA()</f>
        <v>#N/A</v>
      </c>
      <c r="E42" s="3" t="e">
        <f>NA()</f>
        <v>#N/A</v>
      </c>
      <c r="F42">
        <v>2</v>
      </c>
      <c r="H42" s="2">
        <f t="shared" si="2"/>
        <v>44109</v>
      </c>
      <c r="I42" s="5">
        <f>HAVERW!C47</f>
        <v>113.26</v>
      </c>
      <c r="J42" s="5">
        <f>HAVERW!D47</f>
        <v>118.11</v>
      </c>
      <c r="L42" s="2">
        <f t="shared" si="4"/>
        <v>43886</v>
      </c>
      <c r="M42" s="5">
        <f>HAVERD!BA46/HAVERD!BB46</f>
        <v>43.569452980946522</v>
      </c>
      <c r="O42">
        <v>40</v>
      </c>
      <c r="Q42" s="3">
        <f>'[25]Impulse responses'!DK48</f>
        <v>4.707649377147597E-2</v>
      </c>
      <c r="R42" s="3">
        <f>'[25]Impulse responses'!EN48</f>
        <v>2.4701811883771687</v>
      </c>
      <c r="U42" s="2">
        <v>41365</v>
      </c>
      <c r="V42" s="3">
        <f t="shared" si="6"/>
        <v>-6.8442588890260225</v>
      </c>
      <c r="W42" s="3">
        <f>((HAVERM!J178/HAVERM!J166)-1)*100</f>
        <v>4.57317073170731</v>
      </c>
      <c r="X42" s="3">
        <f>((HAVERM!K175/HAVERM!K163)-1)*100</f>
        <v>3.4623217922606919</v>
      </c>
      <c r="Y42" s="18">
        <v>0</v>
      </c>
      <c r="Z42" s="3">
        <f>HAVERM!H178/HAVERM!I178</f>
        <v>80.242883259336637</v>
      </c>
      <c r="AA42" s="3">
        <f t="shared" si="7"/>
        <v>131.75772636352858</v>
      </c>
      <c r="AD42" s="2">
        <v>45383</v>
      </c>
      <c r="AE42" s="3">
        <f>'BoE MPR - Chart 2.21'!D46</f>
        <v>5.0999999999999996</v>
      </c>
      <c r="AF42" s="3">
        <f>HAVERM!L304</f>
        <v>4.5199999999999996</v>
      </c>
      <c r="AJ42" s="2">
        <f t="shared" si="5"/>
        <v>43886</v>
      </c>
      <c r="AK42" s="2"/>
      <c r="AL42" s="3">
        <f>IF(HAVERD!H46="",AL41,AVERAGE(HAVERD!H46:Q46))</f>
        <v>30.931000000000001</v>
      </c>
      <c r="BI42" s="2">
        <v>45017</v>
      </c>
      <c r="BJ42" s="37">
        <f>'[27]CPI Forecast'!D333</f>
        <v>8.6582358625745712</v>
      </c>
      <c r="BK42" s="35" t="e">
        <f>NA()</f>
        <v>#N/A</v>
      </c>
      <c r="BL42" s="35" t="e">
        <f>NA()</f>
        <v>#N/A</v>
      </c>
      <c r="BM42" s="37">
        <v>2</v>
      </c>
    </row>
    <row r="43" spans="1:77" x14ac:dyDescent="0.35">
      <c r="A43" s="2">
        <v>45047</v>
      </c>
      <c r="B43" s="3">
        <f>'[24]CPI Forecast'!D334</f>
        <v>8.6806820062903522</v>
      </c>
      <c r="C43" s="3" t="e">
        <f>NA()</f>
        <v>#N/A</v>
      </c>
      <c r="D43" s="3" t="e">
        <f>NA()</f>
        <v>#N/A</v>
      </c>
      <c r="E43" s="3" t="e">
        <f>NA()</f>
        <v>#N/A</v>
      </c>
      <c r="F43">
        <v>2</v>
      </c>
      <c r="H43" s="2">
        <f t="shared" si="2"/>
        <v>44116</v>
      </c>
      <c r="I43" s="5">
        <f>HAVERW!C48</f>
        <v>113.19</v>
      </c>
      <c r="J43" s="5">
        <f>HAVERW!D48</f>
        <v>118.05</v>
      </c>
      <c r="L43" s="2">
        <f t="shared" si="4"/>
        <v>43887</v>
      </c>
      <c r="M43" s="5">
        <f>HAVERD!BA47/HAVERD!BB47</f>
        <v>42.548579391499572</v>
      </c>
      <c r="Q43" s="3"/>
      <c r="R43" s="3"/>
      <c r="U43" s="2">
        <v>41395</v>
      </c>
      <c r="V43" s="3">
        <f t="shared" si="6"/>
        <v>-9.6631065604878774</v>
      </c>
      <c r="W43" s="3">
        <f>((HAVERM!J179/HAVERM!J167)-1)*100</f>
        <v>4.2553191489361764</v>
      </c>
      <c r="X43" s="3">
        <f>((HAVERM!K176/HAVERM!K164)-1)*100</f>
        <v>3.4552845528455167</v>
      </c>
      <c r="Y43" s="18">
        <v>0</v>
      </c>
      <c r="Z43" s="3">
        <f>HAVERM!H179/HAVERM!I179</f>
        <v>79.947661105659151</v>
      </c>
      <c r="AA43" s="3">
        <f t="shared" si="7"/>
        <v>131.27297558986837</v>
      </c>
      <c r="AD43" s="2">
        <v>45413</v>
      </c>
      <c r="AE43" s="3">
        <f>'BoE MPR - Chart 2.21'!D47</f>
        <v>4.8</v>
      </c>
      <c r="AF43" s="3">
        <f>HAVERM!L305</f>
        <v>4.444</v>
      </c>
      <c r="AJ43" s="2">
        <f t="shared" si="5"/>
        <v>43887</v>
      </c>
      <c r="AK43" s="2"/>
      <c r="AL43" s="3">
        <f>IF(HAVERD!H47="",AL42,AVERAGE(HAVERD!H47:Q47))</f>
        <v>31.204000000000001</v>
      </c>
      <c r="BI43" s="2">
        <v>45047</v>
      </c>
      <c r="BJ43" s="37">
        <f>'[27]CPI Forecast'!D334</f>
        <v>8.6806820062903522</v>
      </c>
      <c r="BK43" s="35" t="e">
        <f>NA()</f>
        <v>#N/A</v>
      </c>
      <c r="BL43" s="35" t="e">
        <f>NA()</f>
        <v>#N/A</v>
      </c>
      <c r="BM43" s="37">
        <v>2</v>
      </c>
    </row>
    <row r="44" spans="1:77" x14ac:dyDescent="0.35">
      <c r="A44" s="2">
        <v>45078</v>
      </c>
      <c r="B44" s="3">
        <f>'[24]CPI Forecast'!D335</f>
        <v>7.9496842952270885</v>
      </c>
      <c r="C44" s="3" t="e">
        <f>NA()</f>
        <v>#N/A</v>
      </c>
      <c r="D44" s="3" t="e">
        <f>NA()</f>
        <v>#N/A</v>
      </c>
      <c r="E44" s="3" t="e">
        <f>NA()</f>
        <v>#N/A</v>
      </c>
      <c r="F44">
        <v>2</v>
      </c>
      <c r="H44" s="2">
        <f t="shared" si="2"/>
        <v>44123</v>
      </c>
      <c r="I44" s="5">
        <f>HAVERW!C49</f>
        <v>113.18</v>
      </c>
      <c r="J44" s="5">
        <f>HAVERW!D49</f>
        <v>118.08</v>
      </c>
      <c r="L44" s="2">
        <f t="shared" si="4"/>
        <v>43888</v>
      </c>
      <c r="M44" s="5">
        <f>HAVERD!BA48/HAVERD!BB48</f>
        <v>40.542220150703017</v>
      </c>
      <c r="U44" s="2">
        <v>41426</v>
      </c>
      <c r="V44" s="3">
        <f t="shared" si="6"/>
        <v>-10.547531199576476</v>
      </c>
      <c r="W44" s="3">
        <f>((HAVERM!J180/HAVERM!J168)-1)*100</f>
        <v>3.8539553752535705</v>
      </c>
      <c r="X44" s="3">
        <f>((HAVERM!K177/HAVERM!K165)-1)*100</f>
        <v>3.3333333333333215</v>
      </c>
      <c r="Y44" s="18">
        <v>0</v>
      </c>
      <c r="Z44" s="3">
        <f>HAVERM!H180/HAVERM!I180</f>
        <v>78.110867037084901</v>
      </c>
      <c r="AA44" s="3">
        <f t="shared" si="7"/>
        <v>128.25698463287344</v>
      </c>
      <c r="AD44" s="2">
        <v>45444</v>
      </c>
      <c r="AE44" s="3">
        <f>'BoE MPR - Chart 2.21'!D48</f>
        <v>4.5999999999999996</v>
      </c>
      <c r="AF44" s="3">
        <f>HAVERM!L306</f>
        <v>4.3639999999999999</v>
      </c>
      <c r="AJ44" s="2">
        <f t="shared" si="5"/>
        <v>43888</v>
      </c>
      <c r="AK44" s="2"/>
      <c r="AL44" s="3">
        <f>IF(HAVERD!H48="",AL43,AVERAGE(HAVERD!H48:Q48))</f>
        <v>30.916999999999994</v>
      </c>
      <c r="BI44" s="2">
        <v>45078</v>
      </c>
      <c r="BJ44" s="37">
        <f>'[27]CPI Forecast'!D335</f>
        <v>7.9496842952270885</v>
      </c>
      <c r="BK44" s="35" t="e">
        <f>NA()</f>
        <v>#N/A</v>
      </c>
      <c r="BL44" s="35" t="e">
        <f>NA()</f>
        <v>#N/A</v>
      </c>
      <c r="BM44" s="37">
        <v>2</v>
      </c>
    </row>
    <row r="45" spans="1:77" x14ac:dyDescent="0.35">
      <c r="A45" s="2">
        <v>45108</v>
      </c>
      <c r="B45" s="3">
        <f>'[24]CPI Forecast'!D336</f>
        <v>6.827214193032427</v>
      </c>
      <c r="C45" s="3" t="e">
        <f>NA()</f>
        <v>#N/A</v>
      </c>
      <c r="D45" s="3" t="e">
        <f>NA()</f>
        <v>#N/A</v>
      </c>
      <c r="E45" s="3" t="e">
        <f>NA()</f>
        <v>#N/A</v>
      </c>
      <c r="F45">
        <v>2</v>
      </c>
      <c r="H45" s="2">
        <f t="shared" si="2"/>
        <v>44130</v>
      </c>
      <c r="I45" s="5">
        <f>HAVERW!C50</f>
        <v>113.14</v>
      </c>
      <c r="J45" s="5">
        <f>HAVERW!D50</f>
        <v>118.08</v>
      </c>
      <c r="L45" s="2">
        <f t="shared" si="4"/>
        <v>43889</v>
      </c>
      <c r="M45" s="5">
        <f>HAVERD!BA49/HAVERD!BB49</f>
        <v>40.161239824671256</v>
      </c>
      <c r="Q45" s="3"/>
      <c r="R45" s="3"/>
      <c r="U45" s="2">
        <v>41456</v>
      </c>
      <c r="V45" s="3">
        <f t="shared" si="6"/>
        <v>-4.9990426061947364</v>
      </c>
      <c r="W45" s="3">
        <f>((HAVERM!J181/HAVERM!J169)-1)*100</f>
        <v>3.8461538461538325</v>
      </c>
      <c r="X45" s="3">
        <f>((HAVERM!K178/HAVERM!K166)-1)*100</f>
        <v>3.7298387096774244</v>
      </c>
      <c r="Y45" s="18">
        <v>0</v>
      </c>
      <c r="Z45" s="3">
        <f>HAVERM!H181/HAVERM!I181</f>
        <v>77.774848404956487</v>
      </c>
      <c r="AA45" s="3">
        <f t="shared" si="7"/>
        <v>127.70524659472325</v>
      </c>
      <c r="AD45" s="2">
        <v>45474</v>
      </c>
      <c r="AE45" s="3">
        <f>'BoE MPR - Chart 2.21'!D49</f>
        <v>4.8</v>
      </c>
      <c r="AF45" s="3">
        <f>HAVERM!L307</f>
        <v>4.3070000000000004</v>
      </c>
      <c r="AJ45" s="2">
        <f t="shared" si="5"/>
        <v>43889</v>
      </c>
      <c r="AK45" s="2"/>
      <c r="AL45" s="3">
        <f>IF(HAVERD!H49="",AL44,AVERAGE(HAVERD!H49:Q49))</f>
        <v>32.132999999999996</v>
      </c>
      <c r="BI45" s="2">
        <v>45108</v>
      </c>
      <c r="BJ45" s="37">
        <f>'[27]CPI Forecast'!D336</f>
        <v>6.827214193032427</v>
      </c>
      <c r="BK45" s="35" t="e">
        <f>NA()</f>
        <v>#N/A</v>
      </c>
      <c r="BL45" s="35" t="e">
        <f>NA()</f>
        <v>#N/A</v>
      </c>
      <c r="BM45" s="37">
        <v>2</v>
      </c>
    </row>
    <row r="46" spans="1:77" x14ac:dyDescent="0.35">
      <c r="A46" s="2">
        <v>45139</v>
      </c>
      <c r="B46" s="3">
        <f>'[24]CPI Forecast'!D337</f>
        <v>6.6570305648488093</v>
      </c>
      <c r="C46" s="3" t="e">
        <f>NA()</f>
        <v>#N/A</v>
      </c>
      <c r="D46" s="3" t="e">
        <f>NA()</f>
        <v>#N/A</v>
      </c>
      <c r="E46" s="3" t="e">
        <f>NA()</f>
        <v>#N/A</v>
      </c>
      <c r="F46">
        <v>2</v>
      </c>
      <c r="H46" s="2">
        <f t="shared" si="2"/>
        <v>44137</v>
      </c>
      <c r="I46" s="5">
        <f>HAVERW!C51</f>
        <v>113.11</v>
      </c>
      <c r="J46" s="5">
        <f>HAVERW!D51</f>
        <v>118.06</v>
      </c>
      <c r="L46" s="2">
        <f t="shared" si="4"/>
        <v>43892</v>
      </c>
      <c r="M46" s="5">
        <f>HAVERD!BA50/HAVERD!BB50</f>
        <v>41.19861939127707</v>
      </c>
      <c r="Q46" s="3"/>
      <c r="R46" s="3"/>
      <c r="U46" s="2">
        <v>41487</v>
      </c>
      <c r="V46" s="3">
        <f t="shared" si="6"/>
        <v>-3.4439479761195879</v>
      </c>
      <c r="W46" s="3">
        <f>((HAVERM!J182/HAVERM!J170)-1)*100</f>
        <v>4.1414141414141348</v>
      </c>
      <c r="X46" s="3">
        <f>((HAVERM!K179/HAVERM!K167)-1)*100</f>
        <v>3.71859296482413</v>
      </c>
      <c r="Y46" s="18">
        <v>0</v>
      </c>
      <c r="Z46" s="3">
        <f>HAVERM!H182/HAVERM!I182</f>
        <v>74.933900818984981</v>
      </c>
      <c r="AA46" s="3">
        <f t="shared" si="7"/>
        <v>123.04044917666677</v>
      </c>
      <c r="AD46" s="2">
        <v>45505</v>
      </c>
      <c r="AE46" s="3">
        <f>'BoE MPR - Chart 2.21'!D50</f>
        <v>4.8</v>
      </c>
      <c r="AF46" s="3">
        <f>HAVERM!L308</f>
        <v>4.2640000000000002</v>
      </c>
      <c r="AJ46" s="2">
        <f t="shared" si="5"/>
        <v>43892</v>
      </c>
      <c r="AK46" s="2"/>
      <c r="AL46" s="3">
        <f>IF(HAVERD!H50="",AL45,AVERAGE(HAVERD!H50:Q50))</f>
        <v>32.870999999999995</v>
      </c>
      <c r="BI46" s="2">
        <v>45139</v>
      </c>
      <c r="BJ46" s="37">
        <f>'[27]CPI Forecast'!D337</f>
        <v>6.6570305648488093</v>
      </c>
      <c r="BK46" s="35" t="e">
        <f>NA()</f>
        <v>#N/A</v>
      </c>
      <c r="BL46" s="35" t="e">
        <f>NA()</f>
        <v>#N/A</v>
      </c>
      <c r="BM46" s="37">
        <v>2</v>
      </c>
    </row>
    <row r="47" spans="1:77" x14ac:dyDescent="0.35">
      <c r="A47" s="2">
        <v>45170</v>
      </c>
      <c r="B47" s="3">
        <f>'[24]CPI Forecast'!D338</f>
        <v>6.6521767234414053</v>
      </c>
      <c r="C47" s="3" t="e">
        <f>NA()</f>
        <v>#N/A</v>
      </c>
      <c r="D47" s="3" t="e">
        <f>NA()</f>
        <v>#N/A</v>
      </c>
      <c r="E47" s="3" t="e">
        <f>NA()</f>
        <v>#N/A</v>
      </c>
      <c r="F47">
        <v>2</v>
      </c>
      <c r="H47" s="2">
        <f t="shared" si="2"/>
        <v>44144</v>
      </c>
      <c r="I47" s="5">
        <f>HAVERW!C52</f>
        <v>112.5</v>
      </c>
      <c r="J47" s="5">
        <f>HAVERW!D52</f>
        <v>117.28</v>
      </c>
      <c r="L47" s="2">
        <f t="shared" si="4"/>
        <v>43893</v>
      </c>
      <c r="M47" s="5">
        <f>HAVERD!BA51/HAVERD!BB51</f>
        <v>40.75200873703097</v>
      </c>
      <c r="Q47" s="3"/>
      <c r="R47" s="3"/>
      <c r="U47" s="2">
        <v>41518</v>
      </c>
      <c r="V47" s="3">
        <f t="shared" si="6"/>
        <v>-5.8300562657855775</v>
      </c>
      <c r="W47" s="3">
        <f>((HAVERM!J183/HAVERM!J171)-1)*100</f>
        <v>4.2424242424242475</v>
      </c>
      <c r="X47" s="3">
        <f>((HAVERM!K180/HAVERM!K168)-1)*100</f>
        <v>4.2296072507552962</v>
      </c>
      <c r="Y47" s="18">
        <v>0</v>
      </c>
      <c r="Z47" s="3">
        <f>HAVERM!H183/HAVERM!I183</f>
        <v>73.36905137094233</v>
      </c>
      <c r="AA47" s="3">
        <f t="shared" si="7"/>
        <v>120.47098759950774</v>
      </c>
      <c r="AD47" s="2">
        <v>45536</v>
      </c>
      <c r="AE47" s="3">
        <f>'BoE MPR - Chart 2.21'!D51</f>
        <v>4.5999999999999996</v>
      </c>
      <c r="AF47" s="3">
        <f>HAVERM!L309</f>
        <v>4.1029999999999998</v>
      </c>
      <c r="AJ47" s="2">
        <f t="shared" si="5"/>
        <v>43893</v>
      </c>
      <c r="AK47" s="2"/>
      <c r="AL47" s="3">
        <f>IF(HAVERD!H51="",AL46,AVERAGE(HAVERD!H51:Q51))</f>
        <v>34.091999999999999</v>
      </c>
      <c r="BI47" s="2">
        <v>45170</v>
      </c>
      <c r="BJ47" s="37">
        <f>'[27]CPI Forecast'!D338</f>
        <v>6.6521767234414053</v>
      </c>
      <c r="BK47" s="35" t="e">
        <f>NA()</f>
        <v>#N/A</v>
      </c>
      <c r="BL47" s="35" t="e">
        <f>NA()</f>
        <v>#N/A</v>
      </c>
      <c r="BM47" s="37">
        <v>2</v>
      </c>
    </row>
    <row r="48" spans="1:77" x14ac:dyDescent="0.35">
      <c r="A48" s="2">
        <v>45200</v>
      </c>
      <c r="B48" s="3">
        <f>'[24]CPI Forecast'!D339</f>
        <v>4.5998779705068937</v>
      </c>
      <c r="C48" s="3" t="e">
        <f>NA()</f>
        <v>#N/A</v>
      </c>
      <c r="D48" s="3" t="e">
        <f>NA()</f>
        <v>#N/A</v>
      </c>
      <c r="E48" s="3" t="e">
        <f>NA()</f>
        <v>#N/A</v>
      </c>
      <c r="F48">
        <v>2</v>
      </c>
      <c r="H48" s="2">
        <f t="shared" si="2"/>
        <v>44151</v>
      </c>
      <c r="I48" s="5">
        <f>HAVERW!C53</f>
        <v>112.35</v>
      </c>
      <c r="J48" s="5">
        <f>HAVERW!D53</f>
        <v>117.07</v>
      </c>
      <c r="L48" s="2">
        <f t="shared" si="4"/>
        <v>43894</v>
      </c>
      <c r="M48" s="5">
        <f>HAVERD!BA52/HAVERD!BB52</f>
        <v>40.449262928008736</v>
      </c>
      <c r="Q48" s="3"/>
      <c r="R48" s="3"/>
      <c r="U48" s="2">
        <v>41548</v>
      </c>
      <c r="V48" s="3">
        <f t="shared" si="6"/>
        <v>-3.2325662740853689</v>
      </c>
      <c r="W48" s="3">
        <f>((HAVERM!J184/HAVERM!J172)-1)*100</f>
        <v>3.9195979899497635</v>
      </c>
      <c r="X48" s="3">
        <f>((HAVERM!K181/HAVERM!K169)-1)*100</f>
        <v>4.2211055276381915</v>
      </c>
      <c r="Y48" s="18">
        <v>0</v>
      </c>
      <c r="Z48" s="3">
        <f>HAVERM!H184/HAVERM!I184</f>
        <v>73.754194109606075</v>
      </c>
      <c r="AA48" s="3">
        <f t="shared" si="7"/>
        <v>121.10338675455496</v>
      </c>
      <c r="AD48" s="2">
        <v>45566</v>
      </c>
      <c r="AE48" s="3">
        <f>'BoE MPR - Chart 2.21'!D52</f>
        <v>4.2</v>
      </c>
      <c r="AF48" s="3">
        <f>HAVERM!L310</f>
        <v>4</v>
      </c>
      <c r="AJ48" s="2">
        <f t="shared" si="5"/>
        <v>43894</v>
      </c>
      <c r="AK48" s="2"/>
      <c r="AL48" s="3">
        <f>IF(HAVERD!H52="",AL47,AVERAGE(HAVERD!H52:Q52))</f>
        <v>33.780999999999992</v>
      </c>
      <c r="BI48" s="2">
        <v>45200</v>
      </c>
      <c r="BJ48" s="37">
        <f>'[27]CPI Forecast'!D339</f>
        <v>4.5998779705068937</v>
      </c>
      <c r="BK48" s="35" t="e">
        <f>NA()</f>
        <v>#N/A</v>
      </c>
      <c r="BL48" s="35" t="e">
        <f>NA()</f>
        <v>#N/A</v>
      </c>
      <c r="BM48" s="37">
        <v>2</v>
      </c>
    </row>
    <row r="49" spans="1:65" x14ac:dyDescent="0.35">
      <c r="A49" s="2">
        <v>45231</v>
      </c>
      <c r="B49" s="3">
        <f>'[24]CPI Forecast'!D340</f>
        <v>3.9409916807425782</v>
      </c>
      <c r="C49" s="3" t="e">
        <f>NA()</f>
        <v>#N/A</v>
      </c>
      <c r="D49" s="3" t="e">
        <f>NA()</f>
        <v>#N/A</v>
      </c>
      <c r="E49" s="3" t="e">
        <f>NA()</f>
        <v>#N/A</v>
      </c>
      <c r="F49">
        <v>2</v>
      </c>
      <c r="H49" s="2">
        <f t="shared" si="2"/>
        <v>44158</v>
      </c>
      <c r="I49" s="5">
        <f>HAVERW!C54</f>
        <v>112.42</v>
      </c>
      <c r="J49" s="5">
        <f>HAVERW!D54</f>
        <v>117.13</v>
      </c>
      <c r="L49" s="2">
        <f t="shared" si="4"/>
        <v>43895</v>
      </c>
      <c r="M49" s="5">
        <f>HAVERD!BA53/HAVERD!BB53</f>
        <v>39.691998142702367</v>
      </c>
      <c r="Q49" s="3"/>
      <c r="R49" s="3"/>
      <c r="U49" s="2">
        <v>41579</v>
      </c>
      <c r="V49" s="3">
        <f t="shared" si="6"/>
        <v>-2.8711714350990403</v>
      </c>
      <c r="W49" s="3">
        <f>((HAVERM!J185/HAVERM!J173)-1)*100</f>
        <v>2.7833001988071704</v>
      </c>
      <c r="X49" s="3">
        <f>((HAVERM!K182/HAVERM!K170)-1)*100</f>
        <v>3.7074148296593279</v>
      </c>
      <c r="Y49" s="18">
        <v>0</v>
      </c>
      <c r="Z49" s="3">
        <f>HAVERM!H185/HAVERM!I185</f>
        <v>73.646299056135121</v>
      </c>
      <c r="AA49" s="3">
        <f t="shared" si="7"/>
        <v>120.92622453961737</v>
      </c>
      <c r="AD49" s="2">
        <v>45597</v>
      </c>
      <c r="AE49" s="3">
        <f>'BoE MPR - Chart 2.21'!D53</f>
        <v>4.5999999999999996</v>
      </c>
      <c r="AF49" s="3">
        <f>HAVERM!L311</f>
        <v>3.9020000000000001</v>
      </c>
      <c r="AJ49" s="2">
        <f t="shared" si="5"/>
        <v>43895</v>
      </c>
      <c r="AK49" s="2"/>
      <c r="AL49" s="3">
        <f>IF(HAVERD!H53="",AL48,AVERAGE(HAVERD!H53:Q53))</f>
        <v>33.383000000000003</v>
      </c>
      <c r="BI49" s="2">
        <v>45231</v>
      </c>
      <c r="BJ49" s="37">
        <f>'[27]CPI Forecast'!D340</f>
        <v>3.9409916807425782</v>
      </c>
      <c r="BK49" s="35" t="e">
        <f>NA()</f>
        <v>#N/A</v>
      </c>
      <c r="BL49" s="35" t="e">
        <f>NA()</f>
        <v>#N/A</v>
      </c>
      <c r="BM49" s="37">
        <v>2</v>
      </c>
    </row>
    <row r="50" spans="1:65" x14ac:dyDescent="0.35">
      <c r="A50" s="2">
        <v>45261</v>
      </c>
      <c r="B50" s="3">
        <f>'[24]CPI Forecast'!D341</f>
        <v>3.993268535119987</v>
      </c>
      <c r="C50" s="3" t="e">
        <f>NA()</f>
        <v>#N/A</v>
      </c>
      <c r="D50" s="3" t="e">
        <f>NA()</f>
        <v>#N/A</v>
      </c>
      <c r="E50" s="3" t="e">
        <f>NA()</f>
        <v>#N/A</v>
      </c>
      <c r="F50">
        <v>2</v>
      </c>
      <c r="H50" s="2">
        <f t="shared" si="2"/>
        <v>44165</v>
      </c>
      <c r="I50" s="5">
        <f>HAVERW!C55</f>
        <v>112.61</v>
      </c>
      <c r="J50" s="5">
        <f>HAVERW!D55</f>
        <v>117.41</v>
      </c>
      <c r="L50" s="2">
        <f t="shared" si="4"/>
        <v>43896</v>
      </c>
      <c r="M50" s="5">
        <f>HAVERD!BA54/HAVERD!BB54</f>
        <v>34.998848722081512</v>
      </c>
      <c r="Q50" s="3"/>
      <c r="R50" s="3"/>
      <c r="U50" s="2">
        <v>41609</v>
      </c>
      <c r="V50" s="3">
        <f t="shared" si="6"/>
        <v>-2.7498412564198715</v>
      </c>
      <c r="W50" s="3">
        <f>((HAVERM!J186/HAVERM!J174)-1)*100</f>
        <v>1.9646365422396839</v>
      </c>
      <c r="X50" s="3">
        <f>((HAVERM!K183/HAVERM!K171)-1)*100</f>
        <v>3.6000000000000032</v>
      </c>
      <c r="Y50" s="18">
        <v>0</v>
      </c>
      <c r="Z50" s="3">
        <f>HAVERM!H186/HAVERM!I186</f>
        <v>72.18320610687023</v>
      </c>
      <c r="AA50" s="3">
        <f t="shared" si="7"/>
        <v>118.52384575381743</v>
      </c>
      <c r="AD50" s="2">
        <v>45627</v>
      </c>
      <c r="AE50" s="3">
        <f>'BoE MPR - Chart 2.21'!D54</f>
        <v>4.4000000000000004</v>
      </c>
      <c r="AF50" s="3">
        <f>HAVERM!L312</f>
        <v>3.867</v>
      </c>
      <c r="AJ50" s="2">
        <f t="shared" si="5"/>
        <v>43896</v>
      </c>
      <c r="AK50" s="2"/>
      <c r="AL50" s="3">
        <f>IF(HAVERD!H54="",AL49,AVERAGE(HAVERD!H54:Q54))</f>
        <v>32.557000000000002</v>
      </c>
      <c r="BI50" s="2">
        <v>45261</v>
      </c>
      <c r="BJ50" s="37">
        <f>'[27]CPI Forecast'!D341</f>
        <v>3.993268535119987</v>
      </c>
      <c r="BK50" s="35" t="e">
        <f>NA()</f>
        <v>#N/A</v>
      </c>
      <c r="BL50" s="35" t="e">
        <f>NA()</f>
        <v>#N/A</v>
      </c>
      <c r="BM50" s="37">
        <v>2</v>
      </c>
    </row>
    <row r="51" spans="1:65" x14ac:dyDescent="0.35">
      <c r="A51" s="2">
        <v>45292</v>
      </c>
      <c r="B51" s="3">
        <f>'[24]CPI Forecast'!D342</f>
        <v>3.9811146171913947</v>
      </c>
      <c r="C51" s="3" t="e">
        <f>NA()</f>
        <v>#N/A</v>
      </c>
      <c r="D51" s="3" t="e">
        <f>NA()</f>
        <v>#N/A</v>
      </c>
      <c r="E51" s="3" t="e">
        <f>NA()</f>
        <v>#N/A</v>
      </c>
      <c r="F51">
        <v>2</v>
      </c>
      <c r="H51" s="2">
        <f t="shared" si="2"/>
        <v>44172</v>
      </c>
      <c r="I51" s="5">
        <f>HAVERW!C56</f>
        <v>113.17</v>
      </c>
      <c r="J51" s="5">
        <f>HAVERW!D56</f>
        <v>117.99</v>
      </c>
      <c r="L51" s="2">
        <f t="shared" si="4"/>
        <v>43899</v>
      </c>
      <c r="M51" s="5">
        <f>HAVERD!BA55/HAVERD!BB55</f>
        <v>26.948893974065598</v>
      </c>
      <c r="Q51" s="3"/>
      <c r="R51" s="3"/>
      <c r="U51" s="2">
        <v>41640</v>
      </c>
      <c r="V51" s="3">
        <f t="shared" si="6"/>
        <v>-1.8467901716632595</v>
      </c>
      <c r="W51" s="3">
        <f>((HAVERM!J187/HAVERM!J175)-1)*100</f>
        <v>1.9627085377821318</v>
      </c>
      <c r="X51" s="3">
        <f>((HAVERM!K184/HAVERM!K172)-1)*100</f>
        <v>3.0876494023904355</v>
      </c>
      <c r="Y51" s="18">
        <v>0</v>
      </c>
      <c r="Z51" s="3">
        <f>HAVERM!H187/HAVERM!I187</f>
        <v>70.5525197328476</v>
      </c>
      <c r="AA51" s="3">
        <f t="shared" si="7"/>
        <v>115.84628083682887</v>
      </c>
      <c r="AD51" s="2">
        <v>45658</v>
      </c>
      <c r="AE51" s="3"/>
      <c r="AF51" s="3">
        <f>HAVERM!L313</f>
        <v>3.69</v>
      </c>
      <c r="AJ51" s="2">
        <f t="shared" si="5"/>
        <v>43899</v>
      </c>
      <c r="AK51" s="2"/>
      <c r="AL51" s="3">
        <f>IF(HAVERD!H55="",AL50,AVERAGE(HAVERD!H55:Q55))</f>
        <v>31.410000000000004</v>
      </c>
      <c r="BI51" s="2">
        <v>45292</v>
      </c>
      <c r="BJ51" s="37">
        <f>'[27]CPI Forecast'!D342</f>
        <v>3.9811146171913947</v>
      </c>
      <c r="BK51" s="35" t="e">
        <f>NA()</f>
        <v>#N/A</v>
      </c>
      <c r="BL51" s="35" t="e">
        <f>NA()</f>
        <v>#N/A</v>
      </c>
      <c r="BM51" s="37">
        <v>2</v>
      </c>
    </row>
    <row r="52" spans="1:65" x14ac:dyDescent="0.35">
      <c r="A52" s="2">
        <v>45323</v>
      </c>
      <c r="B52" s="5">
        <f>'[24]CPI Forecast'!D343</f>
        <v>3.4114721796515868</v>
      </c>
      <c r="C52" s="3" t="e">
        <f>NA()</f>
        <v>#N/A</v>
      </c>
      <c r="D52" s="3" t="e">
        <f>NA()</f>
        <v>#N/A</v>
      </c>
      <c r="E52" s="3" t="e">
        <f>NA()</f>
        <v>#N/A</v>
      </c>
      <c r="F52" s="5">
        <v>2</v>
      </c>
      <c r="H52" s="2">
        <f t="shared" si="2"/>
        <v>44179</v>
      </c>
      <c r="I52" s="5">
        <f>HAVERW!C57</f>
        <v>113.82</v>
      </c>
      <c r="J52" s="5">
        <f>HAVERW!D57</f>
        <v>118.57</v>
      </c>
      <c r="L52" s="2">
        <f t="shared" si="4"/>
        <v>43900</v>
      </c>
      <c r="M52" s="5">
        <f>HAVERD!BA56/HAVERD!BB56</f>
        <v>27.505412929167957</v>
      </c>
      <c r="Q52" s="3"/>
      <c r="R52" s="3"/>
      <c r="U52" s="2">
        <v>41671</v>
      </c>
      <c r="V52" s="3">
        <f t="shared" si="6"/>
        <v>0.46371200396988499</v>
      </c>
      <c r="W52" s="3">
        <f>((HAVERM!J188/HAVERM!J176)-1)*100</f>
        <v>1.8518518518518601</v>
      </c>
      <c r="X52" s="3">
        <f>((HAVERM!K185/HAVERM!K173)-1)*100</f>
        <v>2.7777777777777679</v>
      </c>
      <c r="Y52" s="18">
        <v>0</v>
      </c>
      <c r="Z52" s="3">
        <f>HAVERM!H188/HAVERM!I188</f>
        <v>71.588096818977476</v>
      </c>
      <c r="AA52" s="3">
        <f t="shared" si="7"/>
        <v>117.54668437170264</v>
      </c>
      <c r="AD52" s="2">
        <v>45689</v>
      </c>
      <c r="AE52" s="3"/>
      <c r="AF52" s="3">
        <f>HAVERM!L314</f>
        <v>3.5249999999999999</v>
      </c>
      <c r="AJ52" s="2">
        <f t="shared" si="5"/>
        <v>43900</v>
      </c>
      <c r="AK52" s="2"/>
      <c r="AL52" s="3">
        <f>IF(HAVERD!H56="",AL51,AVERAGE(HAVERD!H56:Q56))</f>
        <v>32.732999999999997</v>
      </c>
      <c r="BI52" s="2">
        <v>45323</v>
      </c>
      <c r="BJ52" s="37">
        <f>'[27]CPI Forecast'!D343</f>
        <v>3.4114721796515868</v>
      </c>
      <c r="BK52" s="35" t="e">
        <f>NA()</f>
        <v>#N/A</v>
      </c>
      <c r="BL52" s="35" t="e">
        <f>NA()</f>
        <v>#N/A</v>
      </c>
      <c r="BM52" s="37">
        <v>2</v>
      </c>
    </row>
    <row r="53" spans="1:65" x14ac:dyDescent="0.35">
      <c r="A53" s="2">
        <v>45352</v>
      </c>
      <c r="B53" s="5">
        <f>'[24]CPI Forecast'!D344</f>
        <v>3.228059284550322</v>
      </c>
      <c r="C53" s="3" t="e">
        <f>NA()</f>
        <v>#N/A</v>
      </c>
      <c r="D53" s="3" t="e">
        <f>NA()</f>
        <v>#N/A</v>
      </c>
      <c r="E53" s="3" t="e">
        <f>NA()</f>
        <v>#N/A</v>
      </c>
      <c r="F53" s="5">
        <v>2</v>
      </c>
      <c r="H53" s="2">
        <f t="shared" si="2"/>
        <v>44186</v>
      </c>
      <c r="I53" s="5">
        <f>HAVERW!C58</f>
        <v>114.43</v>
      </c>
      <c r="J53" s="5">
        <f>HAVERW!D58</f>
        <v>119.17</v>
      </c>
      <c r="L53" s="2">
        <f t="shared" si="4"/>
        <v>43901</v>
      </c>
      <c r="M53" s="5">
        <f>HAVERD!BA57/HAVERD!BB57</f>
        <v>26.732365950182359</v>
      </c>
      <c r="Q53" s="3"/>
      <c r="R53" s="3"/>
      <c r="U53" s="2">
        <v>41699</v>
      </c>
      <c r="V53" s="3">
        <f t="shared" si="6"/>
        <v>2.6169977708277559</v>
      </c>
      <c r="W53" s="3">
        <f>((HAVERM!J189/HAVERM!J177)-1)*100</f>
        <v>1.6634050880626194</v>
      </c>
      <c r="X53" s="3">
        <f>((HAVERM!K186/HAVERM!K174)-1)*100</f>
        <v>2.1782178217821802</v>
      </c>
      <c r="Y53" s="18">
        <v>0</v>
      </c>
      <c r="Z53" s="3">
        <f>HAVERM!H189/HAVERM!I189</f>
        <v>73.456864396582844</v>
      </c>
      <c r="AA53" s="3">
        <f t="shared" si="7"/>
        <v>120.61517539702373</v>
      </c>
      <c r="AD53" s="2">
        <v>45717</v>
      </c>
      <c r="AE53" s="3"/>
      <c r="AF53" s="3">
        <f>HAVERM!L315</f>
        <v>3.5430000000000001</v>
      </c>
      <c r="AJ53" s="2">
        <f t="shared" si="5"/>
        <v>43901</v>
      </c>
      <c r="AK53" s="2"/>
      <c r="AL53" s="3">
        <f>IF(HAVERD!H57="",AL52,AVERAGE(HAVERD!H57:Q57))</f>
        <v>33.003</v>
      </c>
      <c r="BI53" s="2">
        <v>45352</v>
      </c>
      <c r="BJ53" s="37">
        <f>'[27]CPI Forecast'!D344</f>
        <v>3.228059284550322</v>
      </c>
      <c r="BK53" s="35" t="e">
        <f>NA()</f>
        <v>#N/A</v>
      </c>
      <c r="BL53" s="35" t="e">
        <f>NA()</f>
        <v>#N/A</v>
      </c>
      <c r="BM53" s="37">
        <v>2</v>
      </c>
    </row>
    <row r="54" spans="1:65" x14ac:dyDescent="0.35">
      <c r="A54" s="2">
        <v>45383</v>
      </c>
      <c r="B54" s="5">
        <f>'[24]CPI Forecast'!D345</f>
        <v>2.3330700994410813</v>
      </c>
      <c r="C54" s="3" t="e">
        <f>NA()</f>
        <v>#N/A</v>
      </c>
      <c r="D54" s="3" t="e">
        <f>NA()</f>
        <v>#N/A</v>
      </c>
      <c r="E54" s="3" t="e">
        <f>NA()</f>
        <v>#N/A</v>
      </c>
      <c r="F54" s="5">
        <v>2</v>
      </c>
      <c r="H54" s="2">
        <f t="shared" si="2"/>
        <v>44193</v>
      </c>
      <c r="I54" s="5">
        <f>HAVERW!C59</f>
        <v>114.91</v>
      </c>
      <c r="J54" s="5">
        <f>HAVERW!D59</f>
        <v>119.65</v>
      </c>
      <c r="L54" s="2">
        <f t="shared" si="4"/>
        <v>43902</v>
      </c>
      <c r="M54" s="5">
        <f>HAVERD!BA58/HAVERD!BB58</f>
        <v>24.736842105263158</v>
      </c>
      <c r="Q54" s="3"/>
      <c r="R54" s="3"/>
      <c r="U54" s="2">
        <v>41730</v>
      </c>
      <c r="V54" s="3">
        <f t="shared" si="6"/>
        <v>3.2965862150334813</v>
      </c>
      <c r="W54" s="3">
        <f>((HAVERM!J190/HAVERM!J178)-1)*100</f>
        <v>0.48590864917394949</v>
      </c>
      <c r="X54" s="3">
        <f>((HAVERM!K187/HAVERM!K175)-1)*100</f>
        <v>1.4763779527559029</v>
      </c>
      <c r="Y54" s="18">
        <v>0</v>
      </c>
      <c r="Z54" s="3">
        <f>HAVERM!H190/HAVERM!I190</f>
        <v>72.567640207848058</v>
      </c>
      <c r="AA54" s="3">
        <f t="shared" si="7"/>
        <v>119.15508133539221</v>
      </c>
      <c r="AD54" s="2">
        <v>45748</v>
      </c>
      <c r="AE54" s="3"/>
      <c r="AF54" s="3">
        <f>HAVERM!L316</f>
        <v>3.5110000000000001</v>
      </c>
      <c r="AJ54" s="2">
        <f t="shared" si="5"/>
        <v>43902</v>
      </c>
      <c r="AK54" s="2"/>
      <c r="AL54" s="3">
        <f>IF(HAVERD!H58="",AL53,AVERAGE(HAVERD!H58:Q58))</f>
        <v>32.441000000000003</v>
      </c>
      <c r="BI54" s="2">
        <v>45383</v>
      </c>
      <c r="BJ54" s="37">
        <f>'[27]CPI Forecast'!D345</f>
        <v>2.3330700994410813</v>
      </c>
      <c r="BK54" s="35" t="e">
        <f>NA()</f>
        <v>#N/A</v>
      </c>
      <c r="BL54" s="35" t="e">
        <f>NA()</f>
        <v>#N/A</v>
      </c>
      <c r="BM54" s="37">
        <v>2</v>
      </c>
    </row>
    <row r="55" spans="1:65" x14ac:dyDescent="0.35">
      <c r="A55" s="2">
        <v>45413</v>
      </c>
      <c r="B55" s="5">
        <f>'[24]CPI Forecast'!D346</f>
        <v>1.9899777622079284</v>
      </c>
      <c r="C55" s="3" t="e">
        <f>NA()</f>
        <v>#N/A</v>
      </c>
      <c r="D55" s="3" t="e">
        <f>NA()</f>
        <v>#N/A</v>
      </c>
      <c r="E55" s="3" t="e">
        <f>NA()</f>
        <v>#N/A</v>
      </c>
      <c r="F55" s="5">
        <v>2</v>
      </c>
      <c r="H55" s="2">
        <f t="shared" si="2"/>
        <v>44200</v>
      </c>
      <c r="I55" s="5">
        <f>HAVERW!C60</f>
        <v>115.39</v>
      </c>
      <c r="J55" s="5">
        <f>HAVERW!D60</f>
        <v>119.97</v>
      </c>
      <c r="L55" s="2">
        <f t="shared" si="4"/>
        <v>43903</v>
      </c>
      <c r="M55" s="5">
        <f>HAVERD!BA59/HAVERD!BB59</f>
        <v>25.995486055134613</v>
      </c>
      <c r="Q55" s="3"/>
      <c r="R55" s="3"/>
      <c r="U55" s="2">
        <v>41760</v>
      </c>
      <c r="V55" s="3">
        <f t="shared" si="6"/>
        <v>6.8544159567654139</v>
      </c>
      <c r="W55" s="3">
        <f>((HAVERM!J191/HAVERM!J179)-1)*100</f>
        <v>-0.58309037900875493</v>
      </c>
      <c r="X55" s="3">
        <f>((HAVERM!K188/HAVERM!K176)-1)*100</f>
        <v>1.3752455795677854</v>
      </c>
      <c r="Y55" s="18">
        <v>0</v>
      </c>
      <c r="Z55" s="3">
        <f>HAVERM!H191/HAVERM!I191</f>
        <v>71.954405129422952</v>
      </c>
      <c r="AA55" s="3">
        <f t="shared" si="7"/>
        <v>118.14815765097623</v>
      </c>
      <c r="AD55" s="2">
        <v>45778</v>
      </c>
      <c r="AE55" s="3"/>
      <c r="AF55" s="3">
        <f>HAVERM!L317</f>
        <v>3.6659999999999999</v>
      </c>
      <c r="AJ55" s="2">
        <f t="shared" si="5"/>
        <v>43903</v>
      </c>
      <c r="AK55" s="2"/>
      <c r="AL55" s="3">
        <f>IF(HAVERD!H59="",AL54,AVERAGE(HAVERD!H59:Q59))</f>
        <v>33.012</v>
      </c>
      <c r="BI55" s="2">
        <v>45413</v>
      </c>
      <c r="BJ55" s="37">
        <f>'[27]CPI Forecast'!D346</f>
        <v>1.9899777622079284</v>
      </c>
      <c r="BK55" s="35" t="e">
        <f>NA()</f>
        <v>#N/A</v>
      </c>
      <c r="BL55" s="35" t="e">
        <f>NA()</f>
        <v>#N/A</v>
      </c>
      <c r="BM55" s="37">
        <v>2</v>
      </c>
    </row>
    <row r="56" spans="1:65" x14ac:dyDescent="0.35">
      <c r="A56" s="2">
        <v>45444</v>
      </c>
      <c r="B56" s="5">
        <f>'[24]CPI Forecast'!D347</f>
        <v>1.9753105200307042</v>
      </c>
      <c r="C56" s="3" t="e">
        <f>NA()</f>
        <v>#N/A</v>
      </c>
      <c r="D56" s="3" t="e">
        <f>NA()</f>
        <v>#N/A</v>
      </c>
      <c r="E56" s="3" t="e">
        <f>NA()</f>
        <v>#N/A</v>
      </c>
      <c r="F56" s="5">
        <v>2</v>
      </c>
      <c r="H56" s="2">
        <f t="shared" si="2"/>
        <v>44207</v>
      </c>
      <c r="I56" s="5">
        <f>HAVERW!C61</f>
        <v>116.14</v>
      </c>
      <c r="J56" s="5">
        <f>HAVERW!D61</f>
        <v>120.61</v>
      </c>
      <c r="L56" s="2">
        <f t="shared" si="4"/>
        <v>43906</v>
      </c>
      <c r="M56" s="5">
        <f>HAVERD!BA60/HAVERD!BB60</f>
        <v>22.790584018897125</v>
      </c>
      <c r="Q56" s="3"/>
      <c r="R56" s="3"/>
      <c r="U56" s="2">
        <v>41791</v>
      </c>
      <c r="V56" s="3">
        <f t="shared" si="6"/>
        <v>5.0314603311268247</v>
      </c>
      <c r="W56" s="3">
        <f>((HAVERM!J192/HAVERM!J180)-1)*100</f>
        <v>0</v>
      </c>
      <c r="X56" s="3">
        <f>((HAVERM!K189/HAVERM!K177)-1)*100</f>
        <v>1.1730205278592365</v>
      </c>
      <c r="Y56" s="18">
        <v>0</v>
      </c>
      <c r="Z56" s="3">
        <f>HAVERM!H192/HAVERM!I192</f>
        <v>70.507512125872466</v>
      </c>
      <c r="AA56" s="3">
        <f t="shared" si="7"/>
        <v>115.7723789563974</v>
      </c>
      <c r="AD56" s="2">
        <v>45809</v>
      </c>
      <c r="AE56" s="3"/>
      <c r="AF56" s="3">
        <f>HAVERM!L318</f>
        <v>3.7930000000000001</v>
      </c>
      <c r="AJ56" s="2">
        <f t="shared" si="5"/>
        <v>43906</v>
      </c>
      <c r="AK56" s="2"/>
      <c r="AL56" s="3">
        <f>IF(HAVERD!H60="",AL55,AVERAGE(HAVERD!H60:Q60))</f>
        <v>32.593000000000004</v>
      </c>
      <c r="BI56" s="2">
        <v>45444</v>
      </c>
      <c r="BJ56" s="37">
        <f>'[27]CPI Forecast'!D347</f>
        <v>1.9753105200307042</v>
      </c>
      <c r="BK56" s="35" t="e">
        <f>NA()</f>
        <v>#N/A</v>
      </c>
      <c r="BL56" s="35" t="e">
        <f>NA()</f>
        <v>#N/A</v>
      </c>
      <c r="BM56" s="37">
        <v>2</v>
      </c>
    </row>
    <row r="57" spans="1:65" x14ac:dyDescent="0.35">
      <c r="A57" s="2">
        <v>45474</v>
      </c>
      <c r="B57" s="5">
        <f>'[24]CPI Forecast'!D348</f>
        <v>2.2344448264008276</v>
      </c>
      <c r="C57" s="3" t="e">
        <f>NA()</f>
        <v>#N/A</v>
      </c>
      <c r="D57" s="3" t="e">
        <f>NA()</f>
        <v>#N/A</v>
      </c>
      <c r="E57" s="3" t="e">
        <f>NA()</f>
        <v>#N/A</v>
      </c>
      <c r="F57" s="5">
        <v>2</v>
      </c>
      <c r="H57" s="2">
        <f t="shared" si="2"/>
        <v>44214</v>
      </c>
      <c r="I57" s="5">
        <f>HAVERW!C62</f>
        <v>116.93</v>
      </c>
      <c r="J57" s="5">
        <f>HAVERW!D62</f>
        <v>121.52</v>
      </c>
      <c r="L57" s="2">
        <f t="shared" si="4"/>
        <v>43907</v>
      </c>
      <c r="M57" s="5">
        <f>HAVERD!BA61/HAVERD!BB61</f>
        <v>23.277296937416775</v>
      </c>
      <c r="Q57" s="3"/>
      <c r="R57" s="3"/>
      <c r="U57" s="2">
        <v>41821</v>
      </c>
      <c r="V57" s="3">
        <f t="shared" si="6"/>
        <v>-0.62031870615848472</v>
      </c>
      <c r="W57" s="3">
        <f>((HAVERM!J193/HAVERM!J181)-1)*100</f>
        <v>-0.38986354775827348</v>
      </c>
      <c r="X57" s="3">
        <f>((HAVERM!K190/HAVERM!K178)-1)*100</f>
        <v>0.58309037900874383</v>
      </c>
      <c r="Y57" s="18">
        <v>0</v>
      </c>
      <c r="Z57" s="3">
        <f>HAVERM!H193/HAVERM!I193</f>
        <v>68.135215888452748</v>
      </c>
      <c r="AA57" s="3">
        <f t="shared" si="7"/>
        <v>111.87710069859867</v>
      </c>
      <c r="AD57" s="2">
        <v>45839</v>
      </c>
      <c r="AE57" s="3"/>
      <c r="AF57" s="3">
        <f>HAVERM!L319</f>
        <v>3.9020000000000001</v>
      </c>
      <c r="AJ57" s="2">
        <f t="shared" si="5"/>
        <v>43907</v>
      </c>
      <c r="AK57" s="2"/>
      <c r="AL57" s="3">
        <f>IF(HAVERD!H61="",AL56,AVERAGE(HAVERD!H61:Q61))</f>
        <v>31.95</v>
      </c>
      <c r="BI57" s="2">
        <v>45474</v>
      </c>
      <c r="BJ57" s="37">
        <f>'[27]CPI Forecast'!D348</f>
        <v>2.2344448264008276</v>
      </c>
      <c r="BK57" s="35" t="e">
        <f>NA()</f>
        <v>#N/A</v>
      </c>
      <c r="BL57" s="35" t="e">
        <f>NA()</f>
        <v>#N/A</v>
      </c>
      <c r="BM57" s="37">
        <v>2</v>
      </c>
    </row>
    <row r="58" spans="1:65" x14ac:dyDescent="0.35">
      <c r="A58" s="2">
        <v>45505</v>
      </c>
      <c r="B58" s="5">
        <f>'[24]CPI Forecast'!D349</f>
        <v>2.2162837086778353</v>
      </c>
      <c r="C58" s="3" t="e">
        <f>NA()</f>
        <v>#N/A</v>
      </c>
      <c r="D58" s="3" t="e">
        <f>NA()</f>
        <v>#N/A</v>
      </c>
      <c r="E58" s="3" t="e">
        <f>NA()</f>
        <v>#N/A</v>
      </c>
      <c r="F58" s="5">
        <v>2</v>
      </c>
      <c r="H58" s="2">
        <f t="shared" si="2"/>
        <v>44221</v>
      </c>
      <c r="I58" s="5">
        <f>HAVERW!C63</f>
        <v>118.1</v>
      </c>
      <c r="J58" s="5">
        <f>HAVERW!D63</f>
        <v>122.7</v>
      </c>
      <c r="L58" s="2">
        <f t="shared" si="4"/>
        <v>43908</v>
      </c>
      <c r="M58" s="5">
        <f>HAVERD!BA62/HAVERD!BB62</f>
        <v>19.374309274844855</v>
      </c>
      <c r="Q58" s="3"/>
      <c r="R58" s="3"/>
      <c r="U58" s="2">
        <v>41852</v>
      </c>
      <c r="V58" s="3">
        <f t="shared" si="6"/>
        <v>-4.3923711872057574</v>
      </c>
      <c r="W58" s="3">
        <f>((HAVERM!J194/HAVERM!J182)-1)*100</f>
        <v>-1.066925315227929</v>
      </c>
      <c r="X58" s="3">
        <f>((HAVERM!K191/HAVERM!K179)-1)*100</f>
        <v>-0.19379844961240345</v>
      </c>
      <c r="Y58" s="18">
        <v>0</v>
      </c>
      <c r="Z58" s="3">
        <f>HAVERM!H194/HAVERM!I194</f>
        <v>67.508528338021421</v>
      </c>
      <c r="AA58" s="3">
        <f t="shared" si="7"/>
        <v>110.84808823753967</v>
      </c>
      <c r="AD58" s="2">
        <v>45870</v>
      </c>
      <c r="AE58" s="3"/>
      <c r="AF58" s="3"/>
      <c r="AJ58" s="2">
        <f t="shared" si="5"/>
        <v>43908</v>
      </c>
      <c r="AK58" s="2"/>
      <c r="AL58" s="3">
        <f>IF(HAVERD!H62="",AL57,AVERAGE(HAVERD!H62:Q62))</f>
        <v>31.285999999999994</v>
      </c>
      <c r="BI58" s="2">
        <v>45505</v>
      </c>
      <c r="BJ58" s="37">
        <f>'[27]CPI Forecast'!D349</f>
        <v>2.2162837086778353</v>
      </c>
      <c r="BK58" s="35" t="e">
        <f>NA()</f>
        <v>#N/A</v>
      </c>
      <c r="BL58" s="35" t="e">
        <f>NA()</f>
        <v>#N/A</v>
      </c>
      <c r="BM58" s="37">
        <v>2</v>
      </c>
    </row>
    <row r="59" spans="1:65" x14ac:dyDescent="0.35">
      <c r="A59" s="2">
        <v>45536</v>
      </c>
      <c r="B59" s="5">
        <f>'[24]CPI Forecast'!D350</f>
        <v>1.6803412198761913</v>
      </c>
      <c r="C59" s="3" t="e">
        <f>NA()</f>
        <v>#N/A</v>
      </c>
      <c r="D59" s="3" t="e">
        <f>NA()</f>
        <v>#N/A</v>
      </c>
      <c r="E59" s="3" t="e">
        <f>NA()</f>
        <v>#N/A</v>
      </c>
      <c r="F59" s="5">
        <v>2</v>
      </c>
      <c r="H59" s="2">
        <f t="shared" si="2"/>
        <v>44228</v>
      </c>
      <c r="I59" s="5">
        <f>HAVERW!C64</f>
        <v>119.14</v>
      </c>
      <c r="J59" s="5">
        <f>HAVERW!D64</f>
        <v>123.7</v>
      </c>
      <c r="L59" s="2">
        <f t="shared" si="4"/>
        <v>43909</v>
      </c>
      <c r="M59" s="5">
        <f>HAVERD!BA63/HAVERD!BB63</f>
        <v>20.569565963287015</v>
      </c>
      <c r="Q59" s="3"/>
      <c r="R59" s="3"/>
      <c r="U59" s="2">
        <v>41883</v>
      </c>
      <c r="V59" s="3">
        <f t="shared" ref="V59:V90" si="8">((AA47/AA35)-1)*100</f>
        <v>-5.48236355762538</v>
      </c>
      <c r="W59" s="3">
        <f>((HAVERM!J195/HAVERM!J183)-1)*100</f>
        <v>-1.3565891472868241</v>
      </c>
      <c r="X59" s="3">
        <f>((HAVERM!K192/HAVERM!K180)-1)*100</f>
        <v>-1.1594202898550732</v>
      </c>
      <c r="Y59" s="18">
        <v>0</v>
      </c>
      <c r="Z59" s="3">
        <f>HAVERM!H195/HAVERM!I195</f>
        <v>66.973321067157315</v>
      </c>
      <c r="AA59" s="3">
        <f t="shared" si="7"/>
        <v>109.96928515522298</v>
      </c>
      <c r="AD59" s="2">
        <v>45901</v>
      </c>
      <c r="AJ59" s="2">
        <f t="shared" si="5"/>
        <v>43909</v>
      </c>
      <c r="AK59" s="2"/>
      <c r="AL59" s="3">
        <f>IF(HAVERD!H63="",AL58,AVERAGE(HAVERD!H63:Q63))</f>
        <v>31.448999999999995</v>
      </c>
      <c r="BI59" s="2">
        <v>45536</v>
      </c>
      <c r="BJ59" s="37">
        <f>'[27]CPI Forecast'!D350</f>
        <v>1.6803412198761913</v>
      </c>
      <c r="BK59" s="35" t="e">
        <f>NA()</f>
        <v>#N/A</v>
      </c>
      <c r="BL59" s="35" t="e">
        <f>NA()</f>
        <v>#N/A</v>
      </c>
      <c r="BM59" s="37">
        <v>2</v>
      </c>
    </row>
    <row r="60" spans="1:65" x14ac:dyDescent="0.35">
      <c r="A60" s="2">
        <v>45566</v>
      </c>
      <c r="B60" s="5">
        <f>'[24]CPI Forecast'!D351</f>
        <v>2.2809914851064983</v>
      </c>
      <c r="C60" s="5">
        <f>'[29]CPI Forecast'!$F351</f>
        <v>2.1724579239602804</v>
      </c>
      <c r="D60" s="3" t="e">
        <f>NA()</f>
        <v>#N/A</v>
      </c>
      <c r="E60" s="5">
        <v>2.1819999999999999</v>
      </c>
      <c r="F60" s="5">
        <v>2</v>
      </c>
      <c r="H60" s="2">
        <f t="shared" si="2"/>
        <v>44235</v>
      </c>
      <c r="I60" s="5">
        <f>HAVERW!C65</f>
        <v>119.67</v>
      </c>
      <c r="J60" s="5">
        <f>HAVERW!D65</f>
        <v>124.09</v>
      </c>
      <c r="L60" s="2">
        <f t="shared" si="4"/>
        <v>43910</v>
      </c>
      <c r="M60" s="5">
        <f>HAVERD!BA64/HAVERD!BB64</f>
        <v>21.761349118473728</v>
      </c>
      <c r="Q60" s="3"/>
      <c r="R60" s="3"/>
      <c r="U60" s="2">
        <v>41913</v>
      </c>
      <c r="V60" s="3">
        <f t="shared" si="8"/>
        <v>-4.3634123315841933</v>
      </c>
      <c r="W60" s="3">
        <f>((HAVERM!J196/HAVERM!J184)-1)*100</f>
        <v>-1.4506769825918808</v>
      </c>
      <c r="X60" s="3">
        <f>((HAVERM!K193/HAVERM!K181)-1)*100</f>
        <v>-1.3500482160077154</v>
      </c>
      <c r="Y60" s="18">
        <v>0</v>
      </c>
      <c r="Z60" s="3">
        <f>HAVERM!H196/HAVERM!I196</f>
        <v>68.023400547672395</v>
      </c>
      <c r="AA60" s="3">
        <f t="shared" si="7"/>
        <v>111.69350142505104</v>
      </c>
      <c r="AD60" s="2">
        <v>45931</v>
      </c>
      <c r="AJ60" s="2">
        <f t="shared" si="5"/>
        <v>43910</v>
      </c>
      <c r="AK60" s="2"/>
      <c r="AL60" s="3">
        <f>IF(HAVERD!H64="",AL59,AVERAGE(HAVERD!H64:Q64))</f>
        <v>31.030999999999999</v>
      </c>
      <c r="BI60" s="2">
        <v>45566</v>
      </c>
      <c r="BJ60" s="37">
        <f>'[27]CPI Forecast'!D351</f>
        <v>2.2809914851064983</v>
      </c>
      <c r="BK60" s="37">
        <f>C60</f>
        <v>2.1724579239602804</v>
      </c>
      <c r="BL60" s="35" t="e">
        <f>NA()</f>
        <v>#N/A</v>
      </c>
      <c r="BM60" s="37">
        <v>2</v>
      </c>
    </row>
    <row r="61" spans="1:65" x14ac:dyDescent="0.35">
      <c r="A61" s="2">
        <v>45597</v>
      </c>
      <c r="B61" s="5">
        <f>'[24]CPI Forecast'!D352</f>
        <v>2.622126709546091</v>
      </c>
      <c r="C61" s="5">
        <f>'[29]CPI Forecast'!$F352</f>
        <v>2.5270521455582173</v>
      </c>
      <c r="D61" s="3" t="e">
        <f>NA()</f>
        <v>#N/A</v>
      </c>
      <c r="E61" s="5">
        <v>2.423</v>
      </c>
      <c r="F61" s="5">
        <v>2</v>
      </c>
      <c r="H61" s="2">
        <f t="shared" si="2"/>
        <v>44242</v>
      </c>
      <c r="I61" s="5">
        <f>HAVERW!C66</f>
        <v>120.53</v>
      </c>
      <c r="J61" s="5">
        <f>HAVERW!D66</f>
        <v>125.01</v>
      </c>
      <c r="L61" s="2">
        <f t="shared" si="4"/>
        <v>43913</v>
      </c>
      <c r="M61" s="5">
        <f>HAVERD!BA65/HAVERD!BB65</f>
        <v>20.666550643926211</v>
      </c>
      <c r="Q61" s="3"/>
      <c r="R61" s="3"/>
      <c r="U61" s="2">
        <v>41944</v>
      </c>
      <c r="V61" s="3">
        <f t="shared" si="8"/>
        <v>-4.820357956682364</v>
      </c>
      <c r="W61" s="3">
        <f>((HAVERM!J197/HAVERM!J185)-1)*100</f>
        <v>-1.6441005802707909</v>
      </c>
      <c r="X61" s="3">
        <f>((HAVERM!K194/HAVERM!K182)-1)*100</f>
        <v>-1.5458937198067568</v>
      </c>
      <c r="Y61" s="18">
        <v>0</v>
      </c>
      <c r="Z61" s="3">
        <f>HAVERM!H197/HAVERM!I197</f>
        <v>68.50443599493029</v>
      </c>
      <c r="AA61" s="3">
        <f t="shared" si="7"/>
        <v>112.48335510747825</v>
      </c>
      <c r="AD61" s="2">
        <v>45962</v>
      </c>
      <c r="AJ61" s="2">
        <f t="shared" si="5"/>
        <v>43913</v>
      </c>
      <c r="AK61" s="2"/>
      <c r="AL61" s="3">
        <f>IF(HAVERD!H65="",AL60,AVERAGE(HAVERD!H65:Q65))</f>
        <v>30.940999999999995</v>
      </c>
      <c r="BI61" s="2">
        <v>45597</v>
      </c>
      <c r="BJ61" s="37">
        <f>'[27]CPI Forecast'!D352</f>
        <v>2.622126709546091</v>
      </c>
      <c r="BK61" s="37">
        <f t="shared" ref="BK61:BK86" si="9">C61</f>
        <v>2.5270521455582173</v>
      </c>
      <c r="BL61" s="35" t="e">
        <f>NA()</f>
        <v>#N/A</v>
      </c>
      <c r="BM61" s="37">
        <v>2</v>
      </c>
    </row>
    <row r="62" spans="1:65" x14ac:dyDescent="0.35">
      <c r="A62" s="2">
        <v>45627</v>
      </c>
      <c r="B62" s="5">
        <f>'[24]CPI Forecast'!D353</f>
        <v>2.5029869481707712</v>
      </c>
      <c r="C62" s="5">
        <f>'[29]CPI Forecast'!$F353</f>
        <v>2.5354945530872808</v>
      </c>
      <c r="D62" s="3" t="e">
        <f>NA()</f>
        <v>#N/A</v>
      </c>
      <c r="E62" s="5">
        <v>2.4630000000000001</v>
      </c>
      <c r="F62" s="5">
        <v>2</v>
      </c>
      <c r="H62" s="2">
        <f t="shared" si="2"/>
        <v>44249</v>
      </c>
      <c r="I62" s="5">
        <f>HAVERW!C67</f>
        <v>121.27</v>
      </c>
      <c r="J62" s="5">
        <f>HAVERW!D67</f>
        <v>125.71</v>
      </c>
      <c r="L62" s="2">
        <f t="shared" si="4"/>
        <v>43914</v>
      </c>
      <c r="M62" s="5">
        <f>HAVERD!BA66/HAVERD!BB66</f>
        <v>20.812096500169893</v>
      </c>
      <c r="Q62" s="3"/>
      <c r="R62" s="3"/>
      <c r="U62" s="2">
        <v>41974</v>
      </c>
      <c r="V62" s="3">
        <f t="shared" si="8"/>
        <v>-5.1037720367008816</v>
      </c>
      <c r="W62" s="3">
        <f>((HAVERM!J198/HAVERM!J186)-1)*100</f>
        <v>-1.7341040462427681</v>
      </c>
      <c r="X62" s="3">
        <f>((HAVERM!K195/HAVERM!K183)-1)*100</f>
        <v>-1.9305019305019266</v>
      </c>
      <c r="Y62" s="18">
        <v>0</v>
      </c>
      <c r="Z62" s="3">
        <f>HAVERM!H198/HAVERM!I198</f>
        <v>67.26342710997443</v>
      </c>
      <c r="AA62" s="3">
        <f t="shared" si="7"/>
        <v>110.44563534421566</v>
      </c>
      <c r="AD62" s="2">
        <v>45992</v>
      </c>
      <c r="AJ62" s="2">
        <f t="shared" si="5"/>
        <v>43914</v>
      </c>
      <c r="AK62" s="2"/>
      <c r="AL62" s="3">
        <f>IF(HAVERD!H66="",AL61,AVERAGE(HAVERD!H66:Q66))</f>
        <v>31.065999999999995</v>
      </c>
      <c r="BI62" s="2">
        <v>45627</v>
      </c>
      <c r="BJ62" s="37">
        <f>'[27]CPI Forecast'!D353</f>
        <v>2.5029869481707712</v>
      </c>
      <c r="BK62" s="37">
        <f t="shared" si="9"/>
        <v>2.5354945530872808</v>
      </c>
      <c r="BL62" s="35" t="e">
        <f>NA()</f>
        <v>#N/A</v>
      </c>
      <c r="BM62" s="37">
        <v>2</v>
      </c>
    </row>
    <row r="63" spans="1:65" x14ac:dyDescent="0.35">
      <c r="A63" s="2">
        <v>45658</v>
      </c>
      <c r="B63" s="5">
        <f>'[24]CPI Forecast'!D354</f>
        <v>2.9299358991263791</v>
      </c>
      <c r="C63" s="5">
        <f>'[29]CPI Forecast'!$F354</f>
        <v>2.7277893340098558</v>
      </c>
      <c r="D63" s="5">
        <f>'BoE MPR - Chart 2.16'!M55</f>
        <v>2.8159999999999998</v>
      </c>
      <c r="E63" s="5">
        <v>2.4980000000000002</v>
      </c>
      <c r="F63" s="5">
        <v>2</v>
      </c>
      <c r="H63" s="2">
        <f t="shared" si="2"/>
        <v>44256</v>
      </c>
      <c r="I63" s="5">
        <f>HAVERW!C68</f>
        <v>122.17</v>
      </c>
      <c r="J63" s="5">
        <f>HAVERW!D68</f>
        <v>126.62</v>
      </c>
      <c r="L63" s="2">
        <f t="shared" si="4"/>
        <v>43915</v>
      </c>
      <c r="M63" s="5">
        <f>HAVERD!BA67/HAVERD!BB67</f>
        <v>21.7838619165037</v>
      </c>
      <c r="U63" s="2">
        <v>42005</v>
      </c>
      <c r="V63" s="3">
        <f t="shared" si="8"/>
        <v>-8.767701995376898</v>
      </c>
      <c r="W63" s="3">
        <f>((HAVERM!J199/HAVERM!J187)-1)*100</f>
        <v>-2.5024061597690217</v>
      </c>
      <c r="X63" s="3">
        <f>((HAVERM!K196/HAVERM!K184)-1)*100</f>
        <v>-2.6086956521739202</v>
      </c>
      <c r="Y63" s="18">
        <v>0</v>
      </c>
      <c r="Z63" s="3">
        <f>HAVERM!H199/HAVERM!I199</f>
        <v>66.697483986000137</v>
      </c>
      <c r="AA63" s="3">
        <f t="shared" si="7"/>
        <v>109.51636440781458</v>
      </c>
      <c r="AJ63" s="2">
        <f t="shared" si="5"/>
        <v>43915</v>
      </c>
      <c r="AK63" s="2"/>
      <c r="AL63" s="3">
        <f>IF(HAVERD!H67="",AL62,AVERAGE(HAVERD!H67:Q67))</f>
        <v>31.333999999999996</v>
      </c>
      <c r="BI63" s="2">
        <v>45658</v>
      </c>
      <c r="BJ63" s="37">
        <f>'[27]CPI Forecast'!D354</f>
        <v>2.9829405009088816</v>
      </c>
      <c r="BK63" s="37">
        <f t="shared" si="9"/>
        <v>2.7277893340098558</v>
      </c>
      <c r="BL63" s="37">
        <f>D63</f>
        <v>2.8159999999999998</v>
      </c>
      <c r="BM63" s="37">
        <v>2</v>
      </c>
    </row>
    <row r="64" spans="1:65" x14ac:dyDescent="0.35">
      <c r="A64" s="2">
        <v>45689</v>
      </c>
      <c r="B64" s="5">
        <f>'[24]CPI Forecast'!D355</f>
        <v>2.7893520771343105</v>
      </c>
      <c r="C64" s="5">
        <f>'[29]CPI Forecast'!$F355</f>
        <v>2.5098802148313837</v>
      </c>
      <c r="D64" s="5">
        <f>'BoE MPR - Chart 2.16'!M56</f>
        <v>2.8479999999999999</v>
      </c>
      <c r="E64" s="5">
        <v>2.4430000000000001</v>
      </c>
      <c r="F64" s="5">
        <v>2</v>
      </c>
      <c r="H64" s="2">
        <f t="shared" si="2"/>
        <v>44263</v>
      </c>
      <c r="I64" s="5">
        <f>HAVERW!C69</f>
        <v>122.94</v>
      </c>
      <c r="J64" s="5">
        <f>HAVERW!D69</f>
        <v>127.4</v>
      </c>
      <c r="L64" s="2">
        <f t="shared" si="4"/>
        <v>43916</v>
      </c>
      <c r="M64" s="5">
        <f>HAVERD!BA68/HAVERD!BB68</f>
        <v>19.406674907292956</v>
      </c>
      <c r="U64" s="2">
        <v>42036</v>
      </c>
      <c r="V64" s="3">
        <f t="shared" si="8"/>
        <v>-10.134585355706927</v>
      </c>
      <c r="W64" s="3">
        <f>((HAVERM!J200/HAVERM!J188)-1)*100</f>
        <v>-3.349282296650713</v>
      </c>
      <c r="X64" s="3">
        <f>((HAVERM!K197/HAVERM!K185)-1)*100</f>
        <v>-2.9922779922779918</v>
      </c>
      <c r="Y64" s="18">
        <v>0</v>
      </c>
      <c r="Z64" s="3">
        <f>HAVERM!H200/HAVERM!I200</f>
        <v>64.366766662319023</v>
      </c>
      <c r="AA64" s="3">
        <f t="shared" si="7"/>
        <v>105.68935816263981</v>
      </c>
      <c r="AJ64" s="2">
        <f t="shared" si="5"/>
        <v>43916</v>
      </c>
      <c r="AK64" s="2"/>
      <c r="AL64" s="3">
        <f>IF(HAVERD!H68="",AL63,AVERAGE(HAVERD!H68:Q68))</f>
        <v>30.874000000000002</v>
      </c>
      <c r="BI64" s="2">
        <v>45689</v>
      </c>
      <c r="BJ64" s="37">
        <f ca="1">'[27]CPI Forecast'!D355</f>
        <v>2.8572398414519862</v>
      </c>
      <c r="BK64" s="37">
        <f t="shared" si="9"/>
        <v>2.5098802148313837</v>
      </c>
      <c r="BL64" s="37">
        <f t="shared" ref="BL64:BL68" si="10">D64</f>
        <v>2.8479999999999999</v>
      </c>
      <c r="BM64" s="37">
        <v>2</v>
      </c>
    </row>
    <row r="65" spans="1:65" x14ac:dyDescent="0.35">
      <c r="A65" s="2">
        <v>45717</v>
      </c>
      <c r="B65" s="5">
        <f>'[24]CPI Forecast'!D356</f>
        <v>2.4927347958146662</v>
      </c>
      <c r="C65" s="5">
        <f>'[29]CPI Forecast'!$F356</f>
        <v>2.1565432092167214</v>
      </c>
      <c r="D65" s="5">
        <f>'BoE MPR - Chart 2.16'!M57</f>
        <v>2.7090000000000001</v>
      </c>
      <c r="E65" s="5">
        <v>2.3730000000000002</v>
      </c>
      <c r="F65" s="5">
        <v>2</v>
      </c>
      <c r="H65" s="2">
        <f t="shared" si="2"/>
        <v>44270</v>
      </c>
      <c r="I65" s="5">
        <f>HAVERW!C70</f>
        <v>123.9</v>
      </c>
      <c r="J65" s="5">
        <f>HAVERW!D70</f>
        <v>128.24</v>
      </c>
      <c r="L65" s="2">
        <f t="shared" si="4"/>
        <v>43917</v>
      </c>
      <c r="M65" s="5">
        <f>HAVERD!BA69/HAVERD!BB69</f>
        <v>18.116352455700302</v>
      </c>
      <c r="U65" s="2">
        <v>42064</v>
      </c>
      <c r="V65" s="3">
        <f t="shared" si="8"/>
        <v>-9.8913191502942972</v>
      </c>
      <c r="W65" s="3">
        <f>((HAVERM!J201/HAVERM!J189)-1)*100</f>
        <v>-2.8873917228103951</v>
      </c>
      <c r="X65" s="3">
        <f>((HAVERM!K198/HAVERM!K186)-1)*100</f>
        <v>-2.5193798449612448</v>
      </c>
      <c r="Y65" s="18">
        <v>0</v>
      </c>
      <c r="Z65" s="3">
        <f>HAVERM!H201/HAVERM!I201</f>
        <v>63.98341913485325</v>
      </c>
      <c r="AA65" s="3">
        <f t="shared" si="7"/>
        <v>105.05990672003985</v>
      </c>
      <c r="AJ65" s="2">
        <f t="shared" si="5"/>
        <v>43917</v>
      </c>
      <c r="AK65" s="2"/>
      <c r="AL65" s="3">
        <f>IF(HAVERD!H69="",AL64,AVERAGE(HAVERD!H69:Q69))</f>
        <v>29.685999999999996</v>
      </c>
      <c r="BI65" s="2">
        <v>45717</v>
      </c>
      <c r="BJ65" s="37">
        <f ca="1">'[27]CPI Forecast'!D356</f>
        <v>2.5714709759117271</v>
      </c>
      <c r="BK65" s="37">
        <f t="shared" si="9"/>
        <v>2.1565432092167214</v>
      </c>
      <c r="BL65" s="37">
        <f t="shared" si="10"/>
        <v>2.7090000000000001</v>
      </c>
      <c r="BM65" s="37">
        <v>2</v>
      </c>
    </row>
    <row r="66" spans="1:65" x14ac:dyDescent="0.35">
      <c r="A66" s="2">
        <v>45748</v>
      </c>
      <c r="B66" s="5">
        <f>'[24]CPI Forecast'!D357</f>
        <v>2.9477402103418759</v>
      </c>
      <c r="C66" s="5">
        <f>'[29]CPI Forecast'!$F357</f>
        <v>2.3019737374184723</v>
      </c>
      <c r="D66" s="5">
        <f>'BoE MPR - Chart 2.16'!M58</f>
        <v>3.5539999999999998</v>
      </c>
      <c r="E66" s="3" t="e">
        <f>NA()</f>
        <v>#N/A</v>
      </c>
      <c r="F66" s="5">
        <v>2</v>
      </c>
      <c r="H66" s="2">
        <f t="shared" si="2"/>
        <v>44277</v>
      </c>
      <c r="I66" s="5">
        <f>HAVERW!C71</f>
        <v>124.57</v>
      </c>
      <c r="J66" s="5">
        <f>HAVERW!D71</f>
        <v>129.02000000000001</v>
      </c>
      <c r="L66" s="2">
        <f t="shared" si="4"/>
        <v>43920</v>
      </c>
      <c r="M66" s="5">
        <f>HAVERD!BA70/HAVERD!BB70</f>
        <v>15.455863402061857</v>
      </c>
      <c r="U66" s="2">
        <v>42095</v>
      </c>
      <c r="V66" s="3">
        <f t="shared" si="8"/>
        <v>-9.5650140420340932</v>
      </c>
      <c r="W66" s="3">
        <f>((HAVERM!J202/HAVERM!J190)-1)*100</f>
        <v>-2.8046421663442955</v>
      </c>
      <c r="X66" s="3">
        <f>((HAVERM!K199/HAVERM!K187)-1)*100</f>
        <v>-2.3278370514063895</v>
      </c>
      <c r="Y66" s="18">
        <v>0</v>
      </c>
      <c r="Z66" s="3">
        <f>HAVERM!H202/HAVERM!I202</f>
        <v>63.2057192490145</v>
      </c>
      <c r="AA66" s="3">
        <f t="shared" si="7"/>
        <v>103.78293405169585</v>
      </c>
      <c r="AJ66" s="2">
        <f t="shared" si="5"/>
        <v>43920</v>
      </c>
      <c r="AK66" s="2"/>
      <c r="AL66" s="3">
        <f>IF(HAVERD!H70="",AL65,AVERAGE(HAVERD!H70:Q70))</f>
        <v>28.509999999999998</v>
      </c>
      <c r="BI66" s="2">
        <v>45748</v>
      </c>
      <c r="BJ66" s="37">
        <f ca="1">'[27]CPI Forecast'!D357</f>
        <v>3.1595639127070418</v>
      </c>
      <c r="BK66" s="37">
        <f t="shared" si="9"/>
        <v>2.3019737374184723</v>
      </c>
      <c r="BL66" s="37">
        <f t="shared" si="10"/>
        <v>3.5539999999999998</v>
      </c>
      <c r="BM66" s="37">
        <v>2</v>
      </c>
    </row>
    <row r="67" spans="1:65" x14ac:dyDescent="0.35">
      <c r="A67" s="2">
        <v>45778</v>
      </c>
      <c r="B67" s="5">
        <f>'[24]CPI Forecast'!D358</f>
        <v>2.9369169340834222</v>
      </c>
      <c r="C67" s="5">
        <f>'[29]CPI Forecast'!$F358</f>
        <v>2.2437680718698338</v>
      </c>
      <c r="D67" s="5">
        <f>'BoE MPR - Chart 2.16'!M59</f>
        <v>3.53</v>
      </c>
      <c r="E67" s="3" t="e">
        <f>NA()</f>
        <v>#N/A</v>
      </c>
      <c r="F67" s="5">
        <v>2</v>
      </c>
      <c r="H67" s="2">
        <f t="shared" si="2"/>
        <v>44284</v>
      </c>
      <c r="I67" s="5">
        <f>HAVERW!C72</f>
        <v>125.13</v>
      </c>
      <c r="J67" s="5">
        <f>HAVERW!D72</f>
        <v>129.32</v>
      </c>
      <c r="L67" s="2">
        <f t="shared" si="4"/>
        <v>43921</v>
      </c>
      <c r="M67" s="5">
        <f>HAVERD!BA71/HAVERD!BB71</f>
        <v>11.972909779891962</v>
      </c>
      <c r="U67" s="2">
        <v>42125</v>
      </c>
      <c r="V67" s="3">
        <f t="shared" si="8"/>
        <v>-9.998111096298711</v>
      </c>
      <c r="W67" s="3">
        <f>((HAVERM!J203/HAVERM!J191)-1)*100</f>
        <v>-1.85728250244378</v>
      </c>
      <c r="X67" s="3">
        <f>((HAVERM!K200/HAVERM!K188)-1)*100</f>
        <v>-2.4224806201550431</v>
      </c>
      <c r="Y67" s="18">
        <v>0</v>
      </c>
      <c r="Z67" s="3">
        <f>HAVERM!H203/HAVERM!I203</f>
        <v>61.409179056237882</v>
      </c>
      <c r="AA67" s="3">
        <f t="shared" ref="AA67:AA98" si="11">(Z67/AVERAGE($Z$63:$Z$74))*100</f>
        <v>100.83303941299093</v>
      </c>
      <c r="AJ67" s="2">
        <f t="shared" si="5"/>
        <v>43921</v>
      </c>
      <c r="AK67" s="2"/>
      <c r="AL67" s="3">
        <f>IF(HAVERD!H71="",AL66,AVERAGE(HAVERD!H71:Q71))</f>
        <v>29.709999999999997</v>
      </c>
      <c r="BI67" s="2">
        <v>45778</v>
      </c>
      <c r="BJ67" s="37">
        <f ca="1">'[27]CPI Forecast'!D358</f>
        <v>3.1485108401824391</v>
      </c>
      <c r="BK67" s="37">
        <f t="shared" si="9"/>
        <v>2.2437680718698338</v>
      </c>
      <c r="BL67" s="37">
        <f t="shared" si="10"/>
        <v>3.53</v>
      </c>
      <c r="BM67" s="37">
        <v>2</v>
      </c>
    </row>
    <row r="68" spans="1:65" x14ac:dyDescent="0.35">
      <c r="A68" s="2">
        <v>45809</v>
      </c>
      <c r="B68" s="5">
        <f>'[24]CPI Forecast'!D359</f>
        <v>3.0157487094142787</v>
      </c>
      <c r="C68" s="5">
        <f>'[29]CPI Forecast'!$F359</f>
        <v>2.2458627932359976</v>
      </c>
      <c r="D68" s="5">
        <f>'BoE MPR - Chart 2.16'!M60</f>
        <v>3.5489999999999999</v>
      </c>
      <c r="E68" s="5">
        <f>HAVERQ!C28</f>
        <v>2.6</v>
      </c>
      <c r="F68" s="5">
        <v>2</v>
      </c>
      <c r="H68" s="2">
        <f t="shared" si="2"/>
        <v>44291</v>
      </c>
      <c r="I68" s="5">
        <f>HAVERW!C73</f>
        <v>125.24</v>
      </c>
      <c r="J68" s="5">
        <f>HAVERW!D73</f>
        <v>129.35</v>
      </c>
      <c r="L68" s="2">
        <f t="shared" si="4"/>
        <v>43922</v>
      </c>
      <c r="M68" s="5">
        <f>HAVERD!BA72/HAVERD!BB72</f>
        <v>12.049259497746299</v>
      </c>
      <c r="U68" s="2">
        <v>42156</v>
      </c>
      <c r="V68" s="3">
        <f t="shared" si="8"/>
        <v>-9.7340551956779144</v>
      </c>
      <c r="W68" s="3">
        <f>((HAVERM!J204/HAVERM!J192)-1)*100</f>
        <v>-2.1484375</v>
      </c>
      <c r="X68" s="3">
        <f>((HAVERM!K201/HAVERM!K189)-1)*100</f>
        <v>-2.4154589371980673</v>
      </c>
      <c r="Y68" s="18">
        <v>0</v>
      </c>
      <c r="Z68" s="3">
        <f>HAVERM!H204/HAVERM!I204</f>
        <v>60.765673175745114</v>
      </c>
      <c r="AA68" s="3">
        <f t="shared" si="11"/>
        <v>99.776411481997158</v>
      </c>
      <c r="AJ68" s="2">
        <f t="shared" si="5"/>
        <v>43922</v>
      </c>
      <c r="AK68" s="2"/>
      <c r="AL68" s="3">
        <f>IF(HAVERD!H72="",AL67,AVERAGE(HAVERD!H72:Q72))</f>
        <v>29.592000000000002</v>
      </c>
      <c r="BI68" s="2">
        <v>45809</v>
      </c>
      <c r="BJ68" s="37">
        <f ca="1">'[27]CPI Forecast'!D359</f>
        <v>3.226793731093891</v>
      </c>
      <c r="BK68" s="37">
        <f t="shared" si="9"/>
        <v>2.2458627932359976</v>
      </c>
      <c r="BL68" s="37">
        <f t="shared" si="10"/>
        <v>3.5489999999999999</v>
      </c>
      <c r="BM68" s="37">
        <v>2</v>
      </c>
    </row>
    <row r="69" spans="1:65" x14ac:dyDescent="0.35">
      <c r="A69" s="2">
        <v>45839</v>
      </c>
      <c r="B69" s="5">
        <f>'[24]CPI Forecast'!D360</f>
        <v>3.331850169768269</v>
      </c>
      <c r="C69" s="5">
        <f>'[29]CPI Forecast'!$F360</f>
        <v>2.5231967832544777</v>
      </c>
      <c r="D69" s="3" t="e">
        <f>NA()</f>
        <v>#N/A</v>
      </c>
      <c r="E69" s="3" t="e">
        <f>NA()</f>
        <v>#N/A</v>
      </c>
      <c r="F69" s="5">
        <v>2</v>
      </c>
      <c r="H69" s="2">
        <f t="shared" ref="H69:H132" si="12">+H68+7</f>
        <v>44298</v>
      </c>
      <c r="I69" s="5">
        <f>HAVERW!C74</f>
        <v>125.4</v>
      </c>
      <c r="J69" s="5">
        <f>HAVERW!D74</f>
        <v>129.38999999999999</v>
      </c>
      <c r="L69" s="2">
        <f t="shared" si="4"/>
        <v>43923</v>
      </c>
      <c r="M69" s="5">
        <f>HAVERD!BA73/HAVERD!BB73</f>
        <v>16.352912660580106</v>
      </c>
      <c r="U69" s="2">
        <v>42186</v>
      </c>
      <c r="V69" s="3">
        <f t="shared" si="8"/>
        <v>-12.394280045796169</v>
      </c>
      <c r="W69" s="3">
        <f>((HAVERM!J205/HAVERM!J193)-1)*100</f>
        <v>-2.6418786692759322</v>
      </c>
      <c r="X69" s="3">
        <f>((HAVERM!K202/HAVERM!K190)-1)*100</f>
        <v>-2.5120772946859882</v>
      </c>
      <c r="Y69" s="18">
        <v>0</v>
      </c>
      <c r="Z69" s="3">
        <f>HAVERM!H205/HAVERM!I205</f>
        <v>60.282776349614394</v>
      </c>
      <c r="AA69" s="3">
        <f t="shared" si="11"/>
        <v>98.983501440697708</v>
      </c>
      <c r="AJ69" s="2">
        <f t="shared" si="5"/>
        <v>43923</v>
      </c>
      <c r="AK69" s="2"/>
      <c r="AL69" s="3">
        <f>IF(HAVERD!H73="",AL68,AVERAGE(HAVERD!H73:Q73))</f>
        <v>30.145999999999997</v>
      </c>
      <c r="BI69" s="2">
        <v>45839</v>
      </c>
      <c r="BJ69" s="37">
        <f ca="1">'[27]CPI Forecast'!D360</f>
        <v>3.3248184867905151</v>
      </c>
      <c r="BK69" s="37">
        <f t="shared" si="9"/>
        <v>2.5231967832544777</v>
      </c>
      <c r="BL69" s="37">
        <f>BL68+(BL71-BL68)/3</f>
        <v>3.5993333333333335</v>
      </c>
      <c r="BM69" s="37">
        <v>2</v>
      </c>
    </row>
    <row r="70" spans="1:65" x14ac:dyDescent="0.35">
      <c r="A70" s="2">
        <v>45870</v>
      </c>
      <c r="B70" s="5">
        <f>'[24]CPI Forecast'!D361</f>
        <v>3.4275243791342058</v>
      </c>
      <c r="C70" s="5">
        <f>'[29]CPI Forecast'!$F361</f>
        <v>2.586722575263134</v>
      </c>
      <c r="D70" s="3" t="e">
        <f>NA()</f>
        <v>#N/A</v>
      </c>
      <c r="E70" s="3" t="e">
        <f>NA()</f>
        <v>#N/A</v>
      </c>
      <c r="F70" s="5">
        <v>2</v>
      </c>
      <c r="H70" s="2">
        <f t="shared" si="12"/>
        <v>44305</v>
      </c>
      <c r="I70" s="5">
        <f>HAVERW!C75</f>
        <v>125.48</v>
      </c>
      <c r="J70" s="5">
        <f>HAVERW!D75</f>
        <v>129.49</v>
      </c>
      <c r="L70" s="2">
        <f t="shared" si="4"/>
        <v>43924</v>
      </c>
      <c r="M70" s="5">
        <f>HAVERD!BA74/HAVERD!BB74</f>
        <v>19.848262359275573</v>
      </c>
      <c r="U70" s="2">
        <v>42217</v>
      </c>
      <c r="V70" s="3">
        <f t="shared" si="8"/>
        <v>-9.9092298676679782</v>
      </c>
      <c r="W70" s="3">
        <f>((HAVERM!J206/HAVERM!J194)-1)*100</f>
        <v>-2.4509803921568651</v>
      </c>
      <c r="X70" s="3">
        <f>((HAVERM!K203/HAVERM!K191)-1)*100</f>
        <v>-2.0388349514563031</v>
      </c>
      <c r="Y70" s="18">
        <v>0</v>
      </c>
      <c r="Z70" s="3">
        <f>HAVERM!H206/HAVERM!I206</f>
        <v>57.434383623179102</v>
      </c>
      <c r="AA70" s="3">
        <f t="shared" si="11"/>
        <v>94.306479202942327</v>
      </c>
      <c r="AJ70" s="2">
        <f t="shared" si="5"/>
        <v>43924</v>
      </c>
      <c r="AK70" s="2"/>
      <c r="AL70" s="3">
        <f>IF(HAVERD!H74="",AL69,AVERAGE(HAVERD!H74:Q74))</f>
        <v>30.786000000000001</v>
      </c>
      <c r="BI70" s="2">
        <v>45870</v>
      </c>
      <c r="BJ70" s="37">
        <f ca="1">'[27]CPI Forecast'!D361</f>
        <v>3.4238930916763222</v>
      </c>
      <c r="BK70" s="37">
        <f t="shared" si="9"/>
        <v>2.586722575263134</v>
      </c>
      <c r="BL70" s="37">
        <f>BL68+(BL71-BL68)*2/3</f>
        <v>3.6496666666666666</v>
      </c>
      <c r="BM70" s="37">
        <v>2</v>
      </c>
    </row>
    <row r="71" spans="1:65" x14ac:dyDescent="0.35">
      <c r="A71" s="2">
        <v>45901</v>
      </c>
      <c r="B71" s="5">
        <f>'[24]CPI Forecast'!D362</f>
        <v>3.6316394299771515</v>
      </c>
      <c r="C71" s="5">
        <f>'[29]CPI Forecast'!$F362</f>
        <v>2.7292135530858852</v>
      </c>
      <c r="D71" s="5">
        <v>3.7</v>
      </c>
      <c r="E71" s="5">
        <f>HAVERQ!C29</f>
        <v>2.8</v>
      </c>
      <c r="F71" s="5">
        <v>2</v>
      </c>
      <c r="H71" s="2">
        <f t="shared" si="12"/>
        <v>44312</v>
      </c>
      <c r="I71" s="5">
        <f>HAVERW!C76</f>
        <v>125.8</v>
      </c>
      <c r="J71" s="5">
        <f>HAVERW!D76</f>
        <v>129.77000000000001</v>
      </c>
      <c r="L71" s="2">
        <f t="shared" si="4"/>
        <v>43927</v>
      </c>
      <c r="M71" s="5">
        <f>HAVERD!BA75/HAVERD!BB75</f>
        <v>18.425132598939207</v>
      </c>
      <c r="U71" s="2">
        <v>42248</v>
      </c>
      <c r="V71" s="3">
        <f t="shared" si="8"/>
        <v>-8.7172045764217447</v>
      </c>
      <c r="W71" s="3">
        <f>((HAVERM!J207/HAVERM!J195)-1)*100</f>
        <v>-2.2593320235756331</v>
      </c>
      <c r="X71" s="3">
        <f>((HAVERM!K204/HAVERM!K192)-1)*100</f>
        <v>-1.6617790811339184</v>
      </c>
      <c r="Y71" s="18">
        <v>0</v>
      </c>
      <c r="Z71" s="3">
        <f>HAVERM!H207/HAVERM!I207</f>
        <v>58.006002870938282</v>
      </c>
      <c r="AA71" s="3">
        <f t="shared" si="11"/>
        <v>95.245070257640222</v>
      </c>
      <c r="AJ71" s="2">
        <f t="shared" si="5"/>
        <v>43927</v>
      </c>
      <c r="AK71" s="2"/>
      <c r="AL71" s="3">
        <f>IF(HAVERD!H75="",AL70,AVERAGE(HAVERD!H75:Q75))</f>
        <v>32.040000000000006</v>
      </c>
      <c r="BI71" s="2">
        <v>45901</v>
      </c>
      <c r="BJ71" s="37">
        <f ca="1">'[27]CPI Forecast'!D362</f>
        <v>3.6342978116985059</v>
      </c>
      <c r="BK71" s="37">
        <f t="shared" si="9"/>
        <v>2.7292135530858852</v>
      </c>
      <c r="BL71" s="41">
        <f>HAVERQ!B29</f>
        <v>3.7</v>
      </c>
      <c r="BM71" s="37">
        <v>2</v>
      </c>
    </row>
    <row r="72" spans="1:65" x14ac:dyDescent="0.35">
      <c r="A72" s="2">
        <v>45931</v>
      </c>
      <c r="B72" s="5">
        <f>'[24]CPI Forecast'!D363</f>
        <v>3.2787191856370246</v>
      </c>
      <c r="C72" s="5">
        <f>'[29]CPI Forecast'!$F363</f>
        <v>2.4715661560503976</v>
      </c>
      <c r="D72" s="3" t="e">
        <f>NA()</f>
        <v>#N/A</v>
      </c>
      <c r="E72" s="3" t="e">
        <f>NA()</f>
        <v>#N/A</v>
      </c>
      <c r="F72" s="5">
        <v>2</v>
      </c>
      <c r="H72" s="2">
        <f t="shared" si="12"/>
        <v>44319</v>
      </c>
      <c r="I72" s="5">
        <f>HAVERW!C77</f>
        <v>126.09</v>
      </c>
      <c r="J72" s="5">
        <f>HAVERW!D77</f>
        <v>130</v>
      </c>
      <c r="L72" s="2">
        <f t="shared" si="4"/>
        <v>43928</v>
      </c>
      <c r="M72" s="5">
        <f>HAVERD!BA76/HAVERD!BB76</f>
        <v>17.961638491547465</v>
      </c>
      <c r="U72" s="2">
        <v>42278</v>
      </c>
      <c r="V72" s="3">
        <f t="shared" si="8"/>
        <v>-7.7701256601314661</v>
      </c>
      <c r="W72" s="3">
        <f>((HAVERM!J208/HAVERM!J196)-1)*100</f>
        <v>-2.7477919528950068</v>
      </c>
      <c r="X72" s="3">
        <f>((HAVERM!K205/HAVERM!K193)-1)*100</f>
        <v>-2.1505376344086002</v>
      </c>
      <c r="Y72" s="18">
        <v>0</v>
      </c>
      <c r="Z72" s="3">
        <f>HAVERM!H208/HAVERM!I208</f>
        <v>58.869548210443966</v>
      </c>
      <c r="AA72" s="3">
        <f t="shared" si="11"/>
        <v>96.662999996996277</v>
      </c>
      <c r="AJ72" s="2">
        <f t="shared" si="5"/>
        <v>43928</v>
      </c>
      <c r="AK72" s="2"/>
      <c r="AL72" s="3">
        <f>IF(HAVERD!H76="",AL71,AVERAGE(HAVERD!H76:Q76))</f>
        <v>32.214999999999996</v>
      </c>
      <c r="BI72" s="2">
        <v>45931</v>
      </c>
      <c r="BJ72" s="37">
        <f ca="1">'[27]CPI Forecast'!D363</f>
        <v>3.0912884460094547</v>
      </c>
      <c r="BK72" s="37">
        <f t="shared" si="9"/>
        <v>2.4715661560503976</v>
      </c>
      <c r="BL72" s="37">
        <f>BL71+(BL74-BL71)/3</f>
        <v>3.6333333333333333</v>
      </c>
      <c r="BM72" s="37">
        <v>2</v>
      </c>
    </row>
    <row r="73" spans="1:65" x14ac:dyDescent="0.35">
      <c r="A73" s="2">
        <v>45962</v>
      </c>
      <c r="B73" s="5">
        <f>'[24]CPI Forecast'!D364</f>
        <v>3.3443887095299107</v>
      </c>
      <c r="C73" s="5">
        <f>'[29]CPI Forecast'!$F364</f>
        <v>2.4910902110380606</v>
      </c>
      <c r="D73" s="3" t="e">
        <f>NA()</f>
        <v>#N/A</v>
      </c>
      <c r="E73" s="3" t="e">
        <f>NA()</f>
        <v>#N/A</v>
      </c>
      <c r="F73" s="5">
        <v>2</v>
      </c>
      <c r="H73" s="2">
        <f t="shared" si="12"/>
        <v>44326</v>
      </c>
      <c r="I73" s="5">
        <f>HAVERW!C78</f>
        <v>126.53</v>
      </c>
      <c r="J73" s="5">
        <f>HAVERW!D78</f>
        <v>130.43</v>
      </c>
      <c r="L73" s="2">
        <f t="shared" ref="L73:L136" si="13">+L68+7</f>
        <v>43929</v>
      </c>
      <c r="M73" s="5">
        <f>HAVERD!BA77/HAVERD!BB77</f>
        <v>20.373212698925599</v>
      </c>
      <c r="U73" s="2">
        <v>42309</v>
      </c>
      <c r="V73" s="3">
        <f t="shared" si="8"/>
        <v>-6.9818349694470978</v>
      </c>
      <c r="W73" s="3">
        <f>((HAVERM!J209/HAVERM!J197)-1)*100</f>
        <v>-2.4582104228121904</v>
      </c>
      <c r="X73" s="3">
        <f>((HAVERM!K206/HAVERM!K194)-1)*100</f>
        <v>-2.2571148184494683</v>
      </c>
      <c r="Y73" s="18">
        <v>0</v>
      </c>
      <c r="Z73" s="3">
        <f>HAVERM!H209/HAVERM!I209</f>
        <v>57.735352205398293</v>
      </c>
      <c r="AA73" s="3">
        <f t="shared" si="11"/>
        <v>94.800665534356853</v>
      </c>
      <c r="AJ73" s="2">
        <f t="shared" ref="AJ73:AJ136" si="14">+AJ68+7</f>
        <v>43929</v>
      </c>
      <c r="AK73" s="2"/>
      <c r="AL73" s="3">
        <f>IF(HAVERD!H77="",AL72,AVERAGE(HAVERD!H77:Q77))</f>
        <v>31.610000000000007</v>
      </c>
      <c r="BI73" s="2">
        <v>45962</v>
      </c>
      <c r="BJ73" s="37">
        <f ca="1">'[27]CPI Forecast'!D364</f>
        <v>3.1509898001800707</v>
      </c>
      <c r="BK73" s="37">
        <f t="shared" si="9"/>
        <v>2.4910902110380606</v>
      </c>
      <c r="BL73" s="37">
        <f>BL71+(BL74-BL71)*2/3</f>
        <v>3.5666666666666669</v>
      </c>
      <c r="BM73" s="37">
        <v>2</v>
      </c>
    </row>
    <row r="74" spans="1:65" x14ac:dyDescent="0.35">
      <c r="A74" s="2">
        <v>45992</v>
      </c>
      <c r="B74" s="5">
        <f>'[24]CPI Forecast'!D365</f>
        <v>3.4876174781230951</v>
      </c>
      <c r="C74" s="5">
        <f>'[29]CPI Forecast'!$F365</f>
        <v>2.529148023676786</v>
      </c>
      <c r="D74" s="5">
        <v>3.5</v>
      </c>
      <c r="E74" s="5">
        <f>HAVERQ!C30</f>
        <v>2.7</v>
      </c>
      <c r="F74" s="5">
        <v>2</v>
      </c>
      <c r="H74" s="2">
        <f t="shared" si="12"/>
        <v>44333</v>
      </c>
      <c r="I74" s="5">
        <f>HAVERW!C79</f>
        <v>127.19</v>
      </c>
      <c r="J74" s="5">
        <f>HAVERW!D79</f>
        <v>131.03</v>
      </c>
      <c r="L74" s="2">
        <f t="shared" si="13"/>
        <v>43930</v>
      </c>
      <c r="M74" s="5">
        <f>HAVERD!BA78/HAVERD!BB78</f>
        <v>16.222935044105853</v>
      </c>
      <c r="U74" s="2">
        <v>42339</v>
      </c>
      <c r="V74" s="3">
        <f t="shared" si="8"/>
        <v>-6.8156836780176588</v>
      </c>
      <c r="W74" s="3">
        <f>((HAVERM!J210/HAVERM!J198)-1)*100</f>
        <v>-2.9411764705882359</v>
      </c>
      <c r="X74" s="3">
        <f>((HAVERM!K207/HAVERM!K195)-1)*100</f>
        <v>-2.3622047244094446</v>
      </c>
      <c r="Y74" s="18">
        <v>0</v>
      </c>
      <c r="Z74" s="3">
        <f>HAVERM!H210/HAVERM!I210</f>
        <v>58.065807915637727</v>
      </c>
      <c r="AA74" s="3">
        <f t="shared" si="11"/>
        <v>95.343269330188505</v>
      </c>
      <c r="AJ74" s="2">
        <f t="shared" si="14"/>
        <v>43930</v>
      </c>
      <c r="AK74" s="2"/>
      <c r="AL74" s="3">
        <f>IF(HAVERD!H78="",AL73,AVERAGE(HAVERD!H78:Q78))</f>
        <v>31.882999999999999</v>
      </c>
      <c r="BI74" s="2">
        <v>45992</v>
      </c>
      <c r="BJ74" s="37">
        <f ca="1">'[27]CPI Forecast'!D365</f>
        <v>3.2925633947319843</v>
      </c>
      <c r="BK74" s="37">
        <f t="shared" si="9"/>
        <v>2.529148023676786</v>
      </c>
      <c r="BL74" s="41">
        <f>HAVERQ!B30</f>
        <v>3.5</v>
      </c>
      <c r="BM74" s="37">
        <v>2</v>
      </c>
    </row>
    <row r="75" spans="1:65" x14ac:dyDescent="0.35">
      <c r="A75" s="2">
        <v>46023</v>
      </c>
      <c r="B75" s="5">
        <f>'[24]CPI Forecast'!D366</f>
        <v>3.1644425195658243</v>
      </c>
      <c r="C75" s="5">
        <f>'[29]CPI Forecast'!$F366</f>
        <v>2.4333861986809646</v>
      </c>
      <c r="D75" s="3" t="e">
        <f>NA()</f>
        <v>#N/A</v>
      </c>
      <c r="E75" s="3" t="e">
        <f>NA()</f>
        <v>#N/A</v>
      </c>
      <c r="F75" s="5">
        <v>2</v>
      </c>
      <c r="H75" s="2">
        <f t="shared" si="12"/>
        <v>44340</v>
      </c>
      <c r="I75" s="5">
        <f>HAVERW!C80</f>
        <v>127.89</v>
      </c>
      <c r="J75" s="5">
        <f>HAVERW!D80</f>
        <v>131.52000000000001</v>
      </c>
      <c r="L75" s="2">
        <f t="shared" si="13"/>
        <v>43931</v>
      </c>
      <c r="M75" s="5" t="e">
        <f>HAVERD!BA79/HAVERD!BB79</f>
        <v>#N/A</v>
      </c>
      <c r="U75" s="2">
        <v>42370</v>
      </c>
      <c r="V75" s="3">
        <f t="shared" si="8"/>
        <v>-5.4640652969516257</v>
      </c>
      <c r="W75" s="3">
        <f>((HAVERM!J211/HAVERM!J199)-1)*100</f>
        <v>-2.6653504442250786</v>
      </c>
      <c r="X75" s="3">
        <f>((HAVERM!K208/HAVERM!K196)-1)*100</f>
        <v>-1.7857142857142794</v>
      </c>
      <c r="Y75" s="18">
        <v>0</v>
      </c>
      <c r="Z75" s="3">
        <f>HAVERM!H211/HAVERM!I211</f>
        <v>59.044439808053419</v>
      </c>
      <c r="AA75" s="3">
        <f t="shared" si="11"/>
        <v>96.950169629057399</v>
      </c>
      <c r="AJ75" s="2">
        <f t="shared" si="14"/>
        <v>43931</v>
      </c>
      <c r="AK75" s="2"/>
      <c r="AL75" s="3" t="e">
        <f>IF(HAVERD!H79="",AL74,AVERAGE(HAVERD!H79:Q79))</f>
        <v>#N/A</v>
      </c>
      <c r="BI75" s="2">
        <v>46023</v>
      </c>
      <c r="BJ75" s="37">
        <f ca="1">'[27]CPI Forecast'!D366</f>
        <v>3.1821506128603572</v>
      </c>
      <c r="BK75" s="37">
        <f t="shared" si="9"/>
        <v>2.4333861986809646</v>
      </c>
      <c r="BL75" s="37">
        <f>BL74+(BL77-BL74)/3</f>
        <v>3.3333333333333335</v>
      </c>
      <c r="BM75" s="37">
        <v>2</v>
      </c>
    </row>
    <row r="76" spans="1:65" x14ac:dyDescent="0.35">
      <c r="A76" s="2">
        <v>46054</v>
      </c>
      <c r="B76" s="5">
        <f>'[24]CPI Forecast'!D367</f>
        <v>3.0952067369270031</v>
      </c>
      <c r="C76" s="5">
        <f>'[29]CPI Forecast'!$F367</f>
        <v>2.4335495662943574</v>
      </c>
      <c r="D76" s="3" t="e">
        <f>NA()</f>
        <v>#N/A</v>
      </c>
      <c r="E76" s="3" t="e">
        <f>NA()</f>
        <v>#N/A</v>
      </c>
      <c r="F76" s="5">
        <v>2</v>
      </c>
      <c r="H76" s="2">
        <f t="shared" si="12"/>
        <v>44347</v>
      </c>
      <c r="I76" s="5">
        <f>HAVERW!C81</f>
        <v>128.15</v>
      </c>
      <c r="J76" s="5">
        <f>HAVERW!D81</f>
        <v>131.82</v>
      </c>
      <c r="L76" s="2">
        <f t="shared" si="13"/>
        <v>43934</v>
      </c>
      <c r="M76" s="5" t="e">
        <f>HAVERD!BA80/HAVERD!BB80</f>
        <v>#N/A</v>
      </c>
      <c r="U76" s="2">
        <v>42401</v>
      </c>
      <c r="V76" s="3">
        <f t="shared" si="8"/>
        <v>-10.087333617652671</v>
      </c>
      <c r="W76" s="3">
        <f>((HAVERM!J212/HAVERM!J200)-1)*100</f>
        <v>-2.1782178217821802</v>
      </c>
      <c r="X76" s="3">
        <f>((HAVERM!K209/HAVERM!K197)-1)*100</f>
        <v>-1.6915422885572129</v>
      </c>
      <c r="Y76" s="18">
        <v>0</v>
      </c>
      <c r="Z76" s="3">
        <f>HAVERM!H212/HAVERM!I212</f>
        <v>60.226636821488526</v>
      </c>
      <c r="AA76" s="3">
        <f t="shared" si="11"/>
        <v>98.89132109666545</v>
      </c>
      <c r="AJ76" s="2">
        <f t="shared" si="14"/>
        <v>43934</v>
      </c>
      <c r="AK76" s="2"/>
      <c r="AL76" s="3">
        <f>IF(HAVERD!H80="",AL75,AVERAGE(HAVERD!H80:Q80))</f>
        <v>31.882999999999999</v>
      </c>
      <c r="BI76" s="2">
        <v>46054</v>
      </c>
      <c r="BJ76" s="37">
        <f ca="1">'[27]CPI Forecast'!D367</f>
        <v>3.1074818612745636</v>
      </c>
      <c r="BK76" s="37">
        <f t="shared" si="9"/>
        <v>2.4335495662943574</v>
      </c>
      <c r="BL76" s="37">
        <f>BL74+(BL77-BL74)*2/3</f>
        <v>3.1666666666666665</v>
      </c>
      <c r="BM76" s="37">
        <v>2</v>
      </c>
    </row>
    <row r="77" spans="1:65" x14ac:dyDescent="0.35">
      <c r="A77" s="2">
        <v>46082</v>
      </c>
      <c r="B77" s="5">
        <f>'[24]CPI Forecast'!D368</f>
        <v>3.0577653734418009</v>
      </c>
      <c r="C77" s="5">
        <f>'[29]CPI Forecast'!$F368</f>
        <v>2.4283662678560303</v>
      </c>
      <c r="D77" s="5">
        <v>3</v>
      </c>
      <c r="E77" s="5">
        <f>HAVERQ!C31</f>
        <v>2.6</v>
      </c>
      <c r="F77" s="5">
        <v>2</v>
      </c>
      <c r="H77" s="2">
        <f t="shared" si="12"/>
        <v>44354</v>
      </c>
      <c r="I77" s="5">
        <f>HAVERW!C82</f>
        <v>128.69</v>
      </c>
      <c r="J77" s="5">
        <f>HAVERW!D82</f>
        <v>132.38</v>
      </c>
      <c r="L77" s="2">
        <f t="shared" si="13"/>
        <v>43935</v>
      </c>
      <c r="M77" s="5">
        <f>HAVERD!BA81/HAVERD!BB81</f>
        <v>17.262188343655708</v>
      </c>
      <c r="U77" s="2">
        <v>42430</v>
      </c>
      <c r="V77" s="3">
        <f t="shared" si="8"/>
        <v>-12.896609921414349</v>
      </c>
      <c r="W77" s="3">
        <f>((HAVERM!J213/HAVERM!J201)-1)*100</f>
        <v>-2.7750247770069514</v>
      </c>
      <c r="X77" s="3">
        <f>((HAVERM!K210/HAVERM!K198)-1)*100</f>
        <v>-1.9880715705765439</v>
      </c>
      <c r="Y77" s="18">
        <v>0</v>
      </c>
      <c r="Z77" s="3">
        <f>HAVERM!H213/HAVERM!I213</f>
        <v>61.333333333333336</v>
      </c>
      <c r="AA77" s="3">
        <f t="shared" si="11"/>
        <v>100.70850176431243</v>
      </c>
      <c r="AJ77" s="2">
        <f t="shared" si="14"/>
        <v>43935</v>
      </c>
      <c r="AK77" s="2"/>
      <c r="AL77" s="3">
        <f>IF(HAVERD!H81="",AL76,AVERAGE(HAVERD!H81:Q81))</f>
        <v>30.763000000000005</v>
      </c>
      <c r="BI77" s="2">
        <v>46082</v>
      </c>
      <c r="BJ77" s="37">
        <f ca="1">'[27]CPI Forecast'!D368</f>
        <v>3.0666555697266507</v>
      </c>
      <c r="BK77" s="37">
        <f t="shared" si="9"/>
        <v>2.4283662678560303</v>
      </c>
      <c r="BL77" s="41">
        <f>HAVERQ!B31</f>
        <v>3</v>
      </c>
      <c r="BM77" s="37">
        <v>2</v>
      </c>
    </row>
    <row r="78" spans="1:65" x14ac:dyDescent="0.35">
      <c r="A78" s="2">
        <v>46113</v>
      </c>
      <c r="B78" s="5">
        <f>'[24]CPI Forecast'!D369</f>
        <v>2.6569960581116936</v>
      </c>
      <c r="C78" s="5">
        <f>'[29]CPI Forecast'!$F369</f>
        <v>2.3493849432622449</v>
      </c>
      <c r="D78" s="3" t="e">
        <f>NA()</f>
        <v>#N/A</v>
      </c>
      <c r="E78" s="3" t="e">
        <f>NA()</f>
        <v>#N/A</v>
      </c>
      <c r="F78" s="5">
        <v>2</v>
      </c>
      <c r="H78" s="2">
        <f t="shared" si="12"/>
        <v>44361</v>
      </c>
      <c r="I78" s="5">
        <f>HAVERW!C83</f>
        <v>129.47</v>
      </c>
      <c r="J78" s="5">
        <f>HAVERW!D83</f>
        <v>133.16999999999999</v>
      </c>
      <c r="L78" s="2">
        <f t="shared" si="13"/>
        <v>43936</v>
      </c>
      <c r="M78" s="5">
        <f>HAVERD!BA82/HAVERD!BB82</f>
        <v>15.842534805568892</v>
      </c>
      <c r="U78" s="2">
        <v>42461</v>
      </c>
      <c r="V78" s="3">
        <f t="shared" si="8"/>
        <v>-12.900958239814841</v>
      </c>
      <c r="W78" s="3">
        <f>((HAVERM!J214/HAVERM!J202)-1)*100</f>
        <v>-2.4875621890547261</v>
      </c>
      <c r="X78" s="3">
        <f>((HAVERM!K211/HAVERM!K199)-1)*100</f>
        <v>-1.9860973187686204</v>
      </c>
      <c r="Y78" s="18">
        <v>0</v>
      </c>
      <c r="Z78" s="3">
        <f>HAVERM!H214/HAVERM!I214</f>
        <v>62.255449972051423</v>
      </c>
      <c r="AA78" s="3">
        <f t="shared" si="11"/>
        <v>102.22260478285443</v>
      </c>
      <c r="AJ78" s="2">
        <f t="shared" si="14"/>
        <v>43936</v>
      </c>
      <c r="AK78" s="2"/>
      <c r="AL78" s="3">
        <f>IF(HAVERD!H82="",AL77,AVERAGE(HAVERD!H82:Q82))</f>
        <v>30.022999999999996</v>
      </c>
      <c r="BI78" s="2">
        <v>46113</v>
      </c>
      <c r="BJ78" s="37">
        <f ca="1">'[27]CPI Forecast'!D369</f>
        <v>2.5570556960941682</v>
      </c>
      <c r="BK78" s="37">
        <f t="shared" si="9"/>
        <v>2.3493849432622449</v>
      </c>
      <c r="BL78" s="37">
        <f>BL77+(BL80-BL77)/3</f>
        <v>2.8666666666666667</v>
      </c>
      <c r="BM78" s="37">
        <v>2</v>
      </c>
    </row>
    <row r="79" spans="1:65" x14ac:dyDescent="0.35">
      <c r="A79" s="2">
        <v>46143</v>
      </c>
      <c r="B79" s="5">
        <f>'[24]CPI Forecast'!D370</f>
        <v>2.596173311298311</v>
      </c>
      <c r="C79" s="5">
        <f>'[29]CPI Forecast'!$F370</f>
        <v>2.354891785330282</v>
      </c>
      <c r="D79" s="3" t="e">
        <f>NA()</f>
        <v>#N/A</v>
      </c>
      <c r="E79" s="3" t="e">
        <f>NA()</f>
        <v>#N/A</v>
      </c>
      <c r="F79" s="5">
        <v>2</v>
      </c>
      <c r="H79" s="2">
        <f t="shared" si="12"/>
        <v>44368</v>
      </c>
      <c r="I79" s="5">
        <f>HAVERW!C84</f>
        <v>130.1</v>
      </c>
      <c r="J79" s="5">
        <f>HAVERW!D84</f>
        <v>133.69</v>
      </c>
      <c r="L79" s="2">
        <f t="shared" si="13"/>
        <v>43937</v>
      </c>
      <c r="M79" s="5">
        <f>HAVERD!BA83/HAVERD!BB83</f>
        <v>15.010842502610233</v>
      </c>
      <c r="U79" s="2">
        <v>42491</v>
      </c>
      <c r="V79" s="3">
        <f t="shared" si="8"/>
        <v>-14.655428050885256</v>
      </c>
      <c r="W79" s="3">
        <f>((HAVERM!J215/HAVERM!J203)-1)*100</f>
        <v>-2.7888446215139528</v>
      </c>
      <c r="X79" s="3">
        <f>((HAVERM!K212/HAVERM!K200)-1)*100</f>
        <v>-1.8867924528301994</v>
      </c>
      <c r="Y79" s="18">
        <v>0</v>
      </c>
      <c r="Z79" s="3">
        <f>HAVERM!H215/HAVERM!I215</f>
        <v>62.405289984846398</v>
      </c>
      <c r="AA79" s="3">
        <f t="shared" si="11"/>
        <v>102.46864005230434</v>
      </c>
      <c r="AJ79" s="2">
        <f t="shared" si="14"/>
        <v>43937</v>
      </c>
      <c r="AK79" s="2"/>
      <c r="AL79" s="3">
        <f>IF(HAVERD!H83="",AL78,AVERAGE(HAVERD!H83:Q83))</f>
        <v>31.091000000000001</v>
      </c>
      <c r="BI79" s="2">
        <v>46143</v>
      </c>
      <c r="BJ79" s="37">
        <f ca="1">'[27]CPI Forecast'!D370</f>
        <v>2.5027802117380205</v>
      </c>
      <c r="BK79" s="37">
        <f t="shared" si="9"/>
        <v>2.354891785330282</v>
      </c>
      <c r="BL79" s="37">
        <f>BL77+(BL80-BL77)*2/3</f>
        <v>2.7333333333333334</v>
      </c>
      <c r="BM79" s="37">
        <v>2</v>
      </c>
    </row>
    <row r="80" spans="1:65" x14ac:dyDescent="0.35">
      <c r="A80" s="2">
        <v>46174</v>
      </c>
      <c r="B80" s="5">
        <f>'[24]CPI Forecast'!D371</f>
        <v>2.5446070008659172</v>
      </c>
      <c r="C80" s="5">
        <f>'[29]CPI Forecast'!$F371</f>
        <v>2.3739626863510388</v>
      </c>
      <c r="D80" s="5">
        <v>2.6</v>
      </c>
      <c r="E80" s="5">
        <f>HAVERQ!C32</f>
        <v>2.4</v>
      </c>
      <c r="F80" s="5">
        <v>2</v>
      </c>
      <c r="H80" s="2">
        <f t="shared" si="12"/>
        <v>44375</v>
      </c>
      <c r="I80" s="5">
        <f>HAVERW!C85</f>
        <v>130.72999999999999</v>
      </c>
      <c r="J80" s="5">
        <f>HAVERW!D85</f>
        <v>134.27000000000001</v>
      </c>
      <c r="L80" s="2">
        <f t="shared" si="13"/>
        <v>43938</v>
      </c>
      <c r="M80" s="5">
        <f>HAVERD!BA84/HAVERD!BB84</f>
        <v>15.794945617402432</v>
      </c>
      <c r="U80" s="2">
        <v>42522</v>
      </c>
      <c r="V80" s="3">
        <f t="shared" si="8"/>
        <v>-13.81673903446754</v>
      </c>
      <c r="W80" s="3">
        <f>((HAVERM!J216/HAVERM!J204)-1)*100</f>
        <v>-2.9940119760479056</v>
      </c>
      <c r="X80" s="3">
        <f>((HAVERM!K213/HAVERM!K201)-1)*100</f>
        <v>-1.8811881188118829</v>
      </c>
      <c r="Y80" s="18">
        <v>0</v>
      </c>
      <c r="Z80" s="3">
        <f>HAVERM!H216/HAVERM!I216</f>
        <v>66.014497853473145</v>
      </c>
      <c r="AA80" s="3">
        <f t="shared" si="11"/>
        <v>108.39491043826139</v>
      </c>
      <c r="AJ80" s="2">
        <f t="shared" si="14"/>
        <v>43938</v>
      </c>
      <c r="AK80" s="2"/>
      <c r="AL80" s="3">
        <f>IF(HAVERD!H84="",AL79,AVERAGE(HAVERD!H84:Q84))</f>
        <v>31.937999999999999</v>
      </c>
      <c r="BI80" s="2">
        <v>46174</v>
      </c>
      <c r="BJ80" s="37">
        <f ca="1">'[27]CPI Forecast'!D371</f>
        <v>2.4591563099128244</v>
      </c>
      <c r="BK80" s="37">
        <f t="shared" si="9"/>
        <v>2.3739626863510388</v>
      </c>
      <c r="BL80" s="41">
        <f>HAVERQ!B32</f>
        <v>2.6</v>
      </c>
      <c r="BM80" s="37">
        <v>2</v>
      </c>
    </row>
    <row r="81" spans="1:65" x14ac:dyDescent="0.35">
      <c r="A81" s="2">
        <v>46204</v>
      </c>
      <c r="B81" s="5">
        <f>'[24]CPI Forecast'!D372</f>
        <v>2.3487160702371668</v>
      </c>
      <c r="C81" s="5">
        <f>'[29]CPI Forecast'!$F372</f>
        <v>2.3063833668641953</v>
      </c>
      <c r="D81" s="3" t="e">
        <f>NA()</f>
        <v>#N/A</v>
      </c>
      <c r="E81" s="3" t="e">
        <f>NA()</f>
        <v>#N/A</v>
      </c>
      <c r="F81" s="5">
        <v>2</v>
      </c>
      <c r="H81" s="2">
        <f t="shared" si="12"/>
        <v>44382</v>
      </c>
      <c r="I81" s="5">
        <f>HAVERW!C86</f>
        <v>131.69999999999999</v>
      </c>
      <c r="J81" s="5">
        <f>HAVERW!D86</f>
        <v>134.13</v>
      </c>
      <c r="L81" s="2">
        <f t="shared" si="13"/>
        <v>43941</v>
      </c>
      <c r="M81" s="5">
        <f>HAVERD!BA85/HAVERD!BB85</f>
        <v>13.918063016114807</v>
      </c>
      <c r="U81" s="2">
        <v>42552</v>
      </c>
      <c r="V81" s="3">
        <f t="shared" si="8"/>
        <v>-11.524788520071528</v>
      </c>
      <c r="W81" s="3">
        <f>((HAVERM!J217/HAVERM!J205)-1)*100</f>
        <v>-2.6130653266331572</v>
      </c>
      <c r="X81" s="3">
        <f>((HAVERM!K214/HAVERM!K202)-1)*100</f>
        <v>-1.9821605550049526</v>
      </c>
      <c r="Y81" s="18">
        <v>0</v>
      </c>
      <c r="Z81" s="3">
        <f>HAVERM!H217/HAVERM!I217</f>
        <v>70.770869796819113</v>
      </c>
      <c r="AA81" s="3">
        <f t="shared" si="11"/>
        <v>116.20480868143829</v>
      </c>
      <c r="AJ81" s="2">
        <f t="shared" si="14"/>
        <v>43941</v>
      </c>
      <c r="AK81" s="2"/>
      <c r="AL81" s="3">
        <f>IF(HAVERD!H85="",AL80,AVERAGE(HAVERD!H85:Q85))</f>
        <v>31.747999999999998</v>
      </c>
      <c r="BI81" s="2">
        <v>46204</v>
      </c>
      <c r="BJ81" s="37">
        <f ca="1">'[27]CPI Forecast'!D372</f>
        <v>2.4907619767681854</v>
      </c>
      <c r="BK81" s="37">
        <f t="shared" si="9"/>
        <v>2.3063833668641953</v>
      </c>
      <c r="BL81" s="37">
        <f>BL80+(BL83-BL80)/3</f>
        <v>2.6</v>
      </c>
      <c r="BM81" s="37">
        <v>2</v>
      </c>
    </row>
    <row r="82" spans="1:65" x14ac:dyDescent="0.35">
      <c r="A82" s="2">
        <v>46235</v>
      </c>
      <c r="B82" s="5">
        <f>'[24]CPI Forecast'!D373</f>
        <v>2.3112168417464218</v>
      </c>
      <c r="C82" s="5">
        <f>'[29]CPI Forecast'!$F373</f>
        <v>2.3137370862963857</v>
      </c>
      <c r="D82" s="3" t="e">
        <f>NA()</f>
        <v>#N/A</v>
      </c>
      <c r="E82" s="3" t="e">
        <f>NA()</f>
        <v>#N/A</v>
      </c>
      <c r="F82" s="5">
        <v>2</v>
      </c>
      <c r="H82" s="2">
        <f t="shared" si="12"/>
        <v>44389</v>
      </c>
      <c r="I82" s="5">
        <f>HAVERW!C87</f>
        <v>132.47</v>
      </c>
      <c r="J82" s="5">
        <f>HAVERW!D87</f>
        <v>135.29</v>
      </c>
      <c r="L82" s="2">
        <f t="shared" si="13"/>
        <v>43942</v>
      </c>
      <c r="M82" s="5">
        <f>HAVERD!BA86/HAVERD!BB86</f>
        <v>7.4309459789782437</v>
      </c>
      <c r="U82" s="2">
        <v>42583</v>
      </c>
      <c r="V82" s="3">
        <f t="shared" si="8"/>
        <v>-14.92277340782805</v>
      </c>
      <c r="W82" s="3">
        <f>((HAVERM!J218/HAVERM!J206)-1)*100</f>
        <v>-2.2110552763819125</v>
      </c>
      <c r="X82" s="3">
        <f>((HAVERM!K215/HAVERM!K203)-1)*100</f>
        <v>-2.5768087215064517</v>
      </c>
      <c r="Y82" s="18">
        <v>0</v>
      </c>
      <c r="Z82" s="3">
        <f>HAVERM!H218/HAVERM!I218</f>
        <v>72.748091603053425</v>
      </c>
      <c r="AA82" s="3">
        <f t="shared" si="11"/>
        <v>119.45138007972503</v>
      </c>
      <c r="AJ82" s="2">
        <f t="shared" si="14"/>
        <v>43942</v>
      </c>
      <c r="AK82" s="2"/>
      <c r="AL82" s="3">
        <f>IF(HAVERD!H86="",AL81,AVERAGE(HAVERD!H86:Q86))</f>
        <v>31.249999999999993</v>
      </c>
      <c r="BI82" s="2">
        <v>46235</v>
      </c>
      <c r="BJ82" s="37">
        <f ca="1">'[27]CPI Forecast'!D373</f>
        <v>2.4624706839588839</v>
      </c>
      <c r="BK82" s="37">
        <f t="shared" si="9"/>
        <v>2.3137370862963857</v>
      </c>
      <c r="BL82" s="37">
        <f>BL80+(BL83-BL80)*2/3</f>
        <v>2.6</v>
      </c>
      <c r="BM82" s="37">
        <v>2</v>
      </c>
    </row>
    <row r="83" spans="1:65" x14ac:dyDescent="0.35">
      <c r="A83" s="2">
        <v>46266</v>
      </c>
      <c r="B83" s="5">
        <f>'[24]CPI Forecast'!D374</f>
        <v>2.2308695905112863</v>
      </c>
      <c r="C83" s="5">
        <f>'[29]CPI Forecast'!$F374</f>
        <v>2.2596957201219681</v>
      </c>
      <c r="D83" s="5">
        <v>2.6</v>
      </c>
      <c r="E83" s="5">
        <f>HAVERQ!C33</f>
        <v>2.2999999999999998</v>
      </c>
      <c r="F83" s="5">
        <v>2</v>
      </c>
      <c r="H83" s="2">
        <f t="shared" si="12"/>
        <v>44396</v>
      </c>
      <c r="I83" s="5">
        <f>HAVERW!C88</f>
        <v>133.19999999999999</v>
      </c>
      <c r="J83" s="5">
        <f>HAVERW!D88</f>
        <v>135.94999999999999</v>
      </c>
      <c r="L83" s="2">
        <f t="shared" si="13"/>
        <v>43943</v>
      </c>
      <c r="M83" s="5">
        <f>HAVERD!BA87/HAVERD!BB87</f>
        <v>11.168789033984913</v>
      </c>
      <c r="U83" s="2">
        <v>42614</v>
      </c>
      <c r="V83" s="3">
        <f t="shared" si="8"/>
        <v>-13.38938857045342</v>
      </c>
      <c r="W83" s="3">
        <f>((HAVERM!J219/HAVERM!J207)-1)*100</f>
        <v>-2.2110552763819125</v>
      </c>
      <c r="X83" s="3">
        <f>((HAVERM!K216/HAVERM!K204)-1)*100</f>
        <v>-2.4850894632206799</v>
      </c>
      <c r="Y83" s="18">
        <v>0</v>
      </c>
      <c r="Z83" s="3">
        <f>HAVERM!H219/HAVERM!I219</f>
        <v>73.124334195708414</v>
      </c>
      <c r="AA83" s="3">
        <f t="shared" si="11"/>
        <v>120.06916531569576</v>
      </c>
      <c r="AJ83" s="2">
        <f t="shared" si="14"/>
        <v>43943</v>
      </c>
      <c r="AK83" s="2"/>
      <c r="AL83" s="3">
        <f>IF(HAVERD!H87="",AL82,AVERAGE(HAVERD!H87:Q87))</f>
        <v>30.684000000000005</v>
      </c>
      <c r="BI83" s="2">
        <v>46266</v>
      </c>
      <c r="BJ83" s="37">
        <f ca="1">'[27]CPI Forecast'!D374</f>
        <v>2.3816083077648376</v>
      </c>
      <c r="BK83" s="37">
        <f t="shared" si="9"/>
        <v>2.2596957201219681</v>
      </c>
      <c r="BL83" s="41">
        <f>HAVERQ!B33</f>
        <v>2.6</v>
      </c>
      <c r="BM83" s="37">
        <v>2</v>
      </c>
    </row>
    <row r="84" spans="1:65" x14ac:dyDescent="0.35">
      <c r="A84" s="2">
        <v>46296</v>
      </c>
      <c r="B84" s="5">
        <f>'[24]CPI Forecast'!D375</f>
        <v>2.0481070811291024</v>
      </c>
      <c r="C84" s="5">
        <f>'[29]CPI Forecast'!$F375</f>
        <v>2.1786505520917432</v>
      </c>
      <c r="D84" s="3" t="e">
        <f>NA()</f>
        <v>#N/A</v>
      </c>
      <c r="E84" s="3" t="e">
        <f>NA()</f>
        <v>#N/A</v>
      </c>
      <c r="F84" s="5">
        <v>2</v>
      </c>
      <c r="H84" s="2">
        <f t="shared" si="12"/>
        <v>44403</v>
      </c>
      <c r="I84" s="5">
        <f>HAVERW!C89</f>
        <v>133.47999999999999</v>
      </c>
      <c r="J84" s="5">
        <f>HAVERW!D89</f>
        <v>136.19999999999999</v>
      </c>
      <c r="L84" s="2">
        <f t="shared" si="13"/>
        <v>43944</v>
      </c>
      <c r="M84" s="5">
        <f>HAVERD!BA88/HAVERD!BB88</f>
        <v>12.158889068302924</v>
      </c>
      <c r="U84" s="2">
        <v>42644</v>
      </c>
      <c r="V84" s="3">
        <f t="shared" si="8"/>
        <v>-13.456916683859699</v>
      </c>
      <c r="W84" s="3">
        <f>((HAVERM!J220/HAVERM!J208)-1)*100</f>
        <v>-2.3208879919273451</v>
      </c>
      <c r="X84" s="3">
        <f>((HAVERM!K217/HAVERM!K205)-1)*100</f>
        <v>-1.998001998001997</v>
      </c>
      <c r="Y84" s="18">
        <v>0</v>
      </c>
      <c r="Z84" s="3">
        <f>HAVERM!H220/HAVERM!I220</f>
        <v>77.784086300592094</v>
      </c>
      <c r="AA84" s="3">
        <f t="shared" si="11"/>
        <v>127.72041509410776</v>
      </c>
      <c r="AJ84" s="2">
        <f t="shared" si="14"/>
        <v>43944</v>
      </c>
      <c r="AK84" s="2"/>
      <c r="AL84" s="3">
        <f>IF(HAVERD!H88="",AL83,AVERAGE(HAVERD!H88:Q88))</f>
        <v>30.257999999999992</v>
      </c>
      <c r="BI84" s="2">
        <v>46296</v>
      </c>
      <c r="BJ84" s="37">
        <f ca="1">'[27]CPI Forecast'!D375</f>
        <v>2.3972490787038003</v>
      </c>
      <c r="BK84" s="37">
        <f t="shared" si="9"/>
        <v>2.1786505520917432</v>
      </c>
      <c r="BL84" s="37">
        <f>BL83+(BL86-BL83)/3</f>
        <v>2.5333333333333332</v>
      </c>
      <c r="BM84" s="37">
        <v>2</v>
      </c>
    </row>
    <row r="85" spans="1:65" x14ac:dyDescent="0.35">
      <c r="A85" s="2">
        <v>46327</v>
      </c>
      <c r="B85" s="5">
        <f>'[24]CPI Forecast'!D376</f>
        <v>2.0124743938161771</v>
      </c>
      <c r="C85" s="5">
        <f>'[29]CPI Forecast'!$F376</f>
        <v>2.1644149771334664</v>
      </c>
      <c r="D85" s="3" t="e">
        <f>NA()</f>
        <v>#N/A</v>
      </c>
      <c r="E85" s="3" t="e">
        <f>NA()</f>
        <v>#N/A</v>
      </c>
      <c r="F85" s="5">
        <v>2</v>
      </c>
      <c r="H85" s="2">
        <f t="shared" si="12"/>
        <v>44410</v>
      </c>
      <c r="I85" s="5">
        <f>HAVERW!C90</f>
        <v>134.21</v>
      </c>
      <c r="J85" s="5">
        <f>HAVERW!D90</f>
        <v>136.88999999999999</v>
      </c>
      <c r="L85" s="2">
        <f t="shared" si="13"/>
        <v>43945</v>
      </c>
      <c r="M85" s="5">
        <f>HAVERD!BA89/HAVERD!BB89</f>
        <v>12.862700599773058</v>
      </c>
      <c r="U85" s="2">
        <v>42675</v>
      </c>
      <c r="V85" s="3">
        <f t="shared" si="8"/>
        <v>-15.720272173803417</v>
      </c>
      <c r="W85" s="3">
        <f>((HAVERM!J221/HAVERM!J209)-1)*100</f>
        <v>-2.0161290322580627</v>
      </c>
      <c r="X85" s="3">
        <f>((HAVERM!K218/HAVERM!K206)-1)*100</f>
        <v>-1.3052208835341306</v>
      </c>
      <c r="Y85" s="18">
        <v>0</v>
      </c>
      <c r="Z85" s="3">
        <f>HAVERM!H221/HAVERM!I221</f>
        <v>77.226289115919869</v>
      </c>
      <c r="AA85" s="3">
        <f t="shared" si="11"/>
        <v>126.8045196795965</v>
      </c>
      <c r="AJ85" s="2">
        <f t="shared" si="14"/>
        <v>43945</v>
      </c>
      <c r="AK85" s="2"/>
      <c r="AL85" s="3">
        <f>IF(HAVERD!H89="",AL84,AVERAGE(HAVERD!H89:Q89))</f>
        <v>29.882999999999999</v>
      </c>
      <c r="BI85" s="2">
        <v>46327</v>
      </c>
      <c r="BJ85" s="37">
        <f ca="1">'[27]CPI Forecast'!D376</f>
        <v>2.3674135973869248</v>
      </c>
      <c r="BK85" s="37">
        <f t="shared" si="9"/>
        <v>2.1644149771334664</v>
      </c>
      <c r="BL85" s="37">
        <f>BL83+(BL86-BL83)*2/3</f>
        <v>2.4666666666666668</v>
      </c>
      <c r="BM85" s="37">
        <v>2</v>
      </c>
    </row>
    <row r="86" spans="1:65" x14ac:dyDescent="0.35">
      <c r="A86" s="2">
        <v>46357</v>
      </c>
      <c r="B86" s="5">
        <f>'[24]CPI Forecast'!D377</f>
        <v>1.9993262621935237</v>
      </c>
      <c r="C86" s="5">
        <f>'[29]CPI Forecast'!$F377</f>
        <v>2.17601622228627</v>
      </c>
      <c r="D86" s="5">
        <v>2.4</v>
      </c>
      <c r="E86" s="5">
        <f>HAVERQ!C34</f>
        <v>2.2000000000000002</v>
      </c>
      <c r="F86" s="5">
        <v>2</v>
      </c>
      <c r="H86" s="2">
        <f t="shared" si="12"/>
        <v>44417</v>
      </c>
      <c r="I86" s="5">
        <f>HAVERW!C91</f>
        <v>134.69999999999999</v>
      </c>
      <c r="J86" s="5">
        <f>HAVERW!D91</f>
        <v>137.31</v>
      </c>
      <c r="L86" s="2">
        <f t="shared" si="13"/>
        <v>43948</v>
      </c>
      <c r="M86" s="5">
        <f>HAVERD!BA90/HAVERD!BB90</f>
        <v>12.224997985333227</v>
      </c>
      <c r="U86" s="2">
        <v>42705</v>
      </c>
      <c r="V86" s="3">
        <f t="shared" si="8"/>
        <v>-13.674027015154566</v>
      </c>
      <c r="W86" s="3">
        <f>((HAVERM!J222/HAVERM!J210)-1)*100</f>
        <v>-1.1111111111111072</v>
      </c>
      <c r="X86" s="3">
        <f>((HAVERM!K219/HAVERM!K207)-1)*100</f>
        <v>-0.40322580645162365</v>
      </c>
      <c r="Y86" s="18">
        <v>0</v>
      </c>
      <c r="Z86" s="3">
        <f>HAVERM!H222/HAVERM!I222</f>
        <v>76.313260730301096</v>
      </c>
      <c r="AA86" s="3">
        <f t="shared" si="11"/>
        <v>125.3053394494233</v>
      </c>
      <c r="AJ86" s="2">
        <f t="shared" si="14"/>
        <v>43948</v>
      </c>
      <c r="AK86" s="2"/>
      <c r="AL86" s="3">
        <f>IF(HAVERD!H90="",AL85,AVERAGE(HAVERD!H90:Q90))</f>
        <v>29.627999999999997</v>
      </c>
      <c r="BI86" s="2">
        <v>46357</v>
      </c>
      <c r="BJ86" s="37">
        <f ca="1">'[27]CPI Forecast'!D377</f>
        <v>2.3588975039439353</v>
      </c>
      <c r="BK86" s="37">
        <f t="shared" si="9"/>
        <v>2.17601622228627</v>
      </c>
      <c r="BL86" s="41">
        <f>HAVERQ!B34</f>
        <v>2.4</v>
      </c>
      <c r="BM86" s="37">
        <v>2</v>
      </c>
    </row>
    <row r="87" spans="1:65" x14ac:dyDescent="0.35">
      <c r="H87" s="2">
        <f t="shared" si="12"/>
        <v>44424</v>
      </c>
      <c r="I87" s="5">
        <f>HAVERW!C92</f>
        <v>134.69999999999999</v>
      </c>
      <c r="J87" s="5">
        <f>HAVERW!D92</f>
        <v>136.77000000000001</v>
      </c>
      <c r="L87" s="2">
        <f t="shared" si="13"/>
        <v>43949</v>
      </c>
      <c r="M87" s="5">
        <f>HAVERD!BA91/HAVERD!BB91</f>
        <v>12.544226439369572</v>
      </c>
      <c r="U87" s="2">
        <v>42736</v>
      </c>
      <c r="V87" s="3">
        <f t="shared" si="8"/>
        <v>-11.474262176895744</v>
      </c>
      <c r="W87" s="3">
        <f>((HAVERM!J223/HAVERM!J211)-1)*100</f>
        <v>-0.50709939148072536</v>
      </c>
      <c r="X87" s="3">
        <f>((HAVERM!K220/HAVERM!K208)-1)*100</f>
        <v>0.30303030303029388</v>
      </c>
      <c r="Y87" s="18">
        <v>0</v>
      </c>
      <c r="Z87" s="3">
        <f>HAVERM!H223/HAVERM!I223</f>
        <v>79.183871751275191</v>
      </c>
      <c r="AA87" s="3">
        <f t="shared" si="11"/>
        <v>130.01884382557151</v>
      </c>
      <c r="AJ87" s="2">
        <f t="shared" si="14"/>
        <v>43949</v>
      </c>
      <c r="AK87" s="2"/>
      <c r="AL87" s="3">
        <f>IF(HAVERD!H91="",AL86,AVERAGE(HAVERD!H91:Q91))</f>
        <v>29.568000000000001</v>
      </c>
    </row>
    <row r="88" spans="1:65" x14ac:dyDescent="0.35">
      <c r="H88" s="2">
        <f t="shared" si="12"/>
        <v>44431</v>
      </c>
      <c r="I88" s="5">
        <f>HAVERW!C93</f>
        <v>134.68</v>
      </c>
      <c r="J88" s="5">
        <f>HAVERW!D93</f>
        <v>137.15</v>
      </c>
      <c r="L88" s="2">
        <f t="shared" si="13"/>
        <v>43950</v>
      </c>
      <c r="M88" s="5">
        <f>HAVERD!BA92/HAVERD!BB92</f>
        <v>14.361531038919265</v>
      </c>
      <c r="U88" s="2">
        <v>42767</v>
      </c>
      <c r="V88" s="3">
        <f t="shared" si="8"/>
        <v>-6.4320922978008959</v>
      </c>
      <c r="W88" s="3">
        <f>((HAVERM!J224/HAVERM!J212)-1)*100</f>
        <v>0.10121457489880026</v>
      </c>
      <c r="X88" s="3">
        <f>((HAVERM!K221/HAVERM!K209)-1)*100</f>
        <v>0.70850202429149078</v>
      </c>
      <c r="Y88" s="18">
        <v>0</v>
      </c>
      <c r="Z88" s="3">
        <f>HAVERM!H224/HAVERM!I224</f>
        <v>78.542834267413923</v>
      </c>
      <c r="AA88" s="3">
        <f t="shared" si="11"/>
        <v>128.96626896837969</v>
      </c>
      <c r="AJ88" s="2">
        <f t="shared" si="14"/>
        <v>43950</v>
      </c>
      <c r="AK88" s="2"/>
      <c r="AL88" s="3">
        <f>IF(HAVERD!H92="",AL87,AVERAGE(HAVERD!H92:Q92))</f>
        <v>29.421000000000003</v>
      </c>
    </row>
    <row r="89" spans="1:65" x14ac:dyDescent="0.35">
      <c r="H89" s="2">
        <f t="shared" si="12"/>
        <v>44438</v>
      </c>
      <c r="I89" s="5">
        <f>HAVERW!C94</f>
        <v>134.66</v>
      </c>
      <c r="J89" s="5">
        <f>HAVERW!D94</f>
        <v>137.11000000000001</v>
      </c>
      <c r="L89" s="2">
        <f t="shared" si="13"/>
        <v>43951</v>
      </c>
      <c r="M89" s="5">
        <f>HAVERD!BA93/HAVERD!BB93</f>
        <v>14.358201855228732</v>
      </c>
      <c r="U89" s="2">
        <v>42795</v>
      </c>
      <c r="V89" s="3">
        <f t="shared" si="8"/>
        <v>-4.1418321142459247</v>
      </c>
      <c r="W89" s="3">
        <f>((HAVERM!J225/HAVERM!J213)-1)*100</f>
        <v>1.2232415902140747</v>
      </c>
      <c r="X89" s="3">
        <f>((HAVERM!K222/HAVERM!K210)-1)*100</f>
        <v>1.1156186612576224</v>
      </c>
      <c r="Y89" s="18">
        <v>0</v>
      </c>
      <c r="Z89" s="3">
        <f>HAVERM!H225/HAVERM!I225</f>
        <v>77.907353417557502</v>
      </c>
      <c r="AA89" s="3">
        <f t="shared" si="11"/>
        <v>127.9228180288859</v>
      </c>
      <c r="AJ89" s="2">
        <f t="shared" si="14"/>
        <v>43951</v>
      </c>
      <c r="AK89" s="2"/>
      <c r="AL89" s="3">
        <f>IF(HAVERD!H93="",AL88,AVERAGE(HAVERD!H93:Q93))</f>
        <v>30.305</v>
      </c>
    </row>
    <row r="90" spans="1:65" x14ac:dyDescent="0.35">
      <c r="H90" s="2">
        <f t="shared" si="12"/>
        <v>44445</v>
      </c>
      <c r="I90" s="5">
        <f>HAVERW!C95</f>
        <v>134.76</v>
      </c>
      <c r="J90" s="5">
        <f>HAVERW!D95</f>
        <v>137.19</v>
      </c>
      <c r="L90" s="2">
        <f t="shared" si="13"/>
        <v>43952</v>
      </c>
      <c r="M90" s="5">
        <f>HAVERD!BA94/HAVERD!BB94</f>
        <v>14.736590420020722</v>
      </c>
      <c r="U90" s="2">
        <v>42826</v>
      </c>
      <c r="V90" s="3">
        <f t="shared" si="8"/>
        <v>-1.5034545738167204</v>
      </c>
      <c r="W90" s="3">
        <f>((HAVERM!J226/HAVERM!J214)-1)*100</f>
        <v>1.5306122448979664</v>
      </c>
      <c r="X90" s="3">
        <f>((HAVERM!K223/HAVERM!K211)-1)*100</f>
        <v>1.2158054711246313</v>
      </c>
      <c r="Y90" s="18">
        <v>0</v>
      </c>
      <c r="Z90" s="3">
        <f>HAVERM!H226/HAVERM!I226</f>
        <v>75.086942775845714</v>
      </c>
      <c r="AA90" s="3">
        <f t="shared" si="11"/>
        <v>123.29174199486008</v>
      </c>
      <c r="AJ90" s="2">
        <f t="shared" si="14"/>
        <v>43952</v>
      </c>
      <c r="AK90" s="2"/>
      <c r="AL90" s="3">
        <f>IF(HAVERD!H94="",AL89,AVERAGE(HAVERD!H94:Q94))</f>
        <v>30.062999999999999</v>
      </c>
    </row>
    <row r="91" spans="1:65" x14ac:dyDescent="0.35">
      <c r="A91" s="2"/>
      <c r="H91" s="2">
        <f t="shared" si="12"/>
        <v>44452</v>
      </c>
      <c r="I91" s="5">
        <f>HAVERW!C96</f>
        <v>134.75</v>
      </c>
      <c r="J91" s="5">
        <f>HAVERW!D96</f>
        <v>137.19</v>
      </c>
      <c r="L91" s="2">
        <f t="shared" si="13"/>
        <v>43955</v>
      </c>
      <c r="M91" s="5">
        <f>HAVERD!BA95/HAVERD!BB95</f>
        <v>16.423798405925449</v>
      </c>
      <c r="U91" s="2">
        <v>42856</v>
      </c>
      <c r="V91" s="3">
        <f t="shared" ref="V91:V122" si="15">((AA79/AA67)-1)*100</f>
        <v>1.6220880069025112</v>
      </c>
      <c r="W91" s="3">
        <f>((HAVERM!J227/HAVERM!J215)-1)*100</f>
        <v>2.0491803278688492</v>
      </c>
      <c r="X91" s="3">
        <f>((HAVERM!K224/HAVERM!K212)-1)*100</f>
        <v>1.5182186234817818</v>
      </c>
      <c r="Y91" s="18">
        <v>0</v>
      </c>
      <c r="Z91" s="3">
        <f>HAVERM!H227/HAVERM!I227</f>
        <v>75.233897780870649</v>
      </c>
      <c r="AA91" s="3">
        <f t="shared" si="11"/>
        <v>123.53304012066705</v>
      </c>
      <c r="AJ91" s="2">
        <f t="shared" si="14"/>
        <v>43955</v>
      </c>
      <c r="AK91" s="2"/>
      <c r="AL91" s="3">
        <f>IF(HAVERD!H95="",AL90,AVERAGE(HAVERD!H95:Q95))</f>
        <v>30.142999999999994</v>
      </c>
    </row>
    <row r="92" spans="1:65" x14ac:dyDescent="0.35">
      <c r="A92" s="17">
        <v>2024</v>
      </c>
      <c r="B92" s="3">
        <f>'[30]CPI Forecasts'!D656</f>
        <v>2.1317788249483272</v>
      </c>
      <c r="C92" s="3">
        <f>'[31]CPI Forecasts'!D656</f>
        <v>3.111940047964401</v>
      </c>
      <c r="H92" s="2">
        <f t="shared" si="12"/>
        <v>44459</v>
      </c>
      <c r="I92" s="5">
        <f>HAVERW!C97</f>
        <v>134.86000000000001</v>
      </c>
      <c r="J92" s="5">
        <f>HAVERW!D97</f>
        <v>137.35</v>
      </c>
      <c r="L92" s="2">
        <f t="shared" si="13"/>
        <v>43956</v>
      </c>
      <c r="M92" s="5">
        <f>HAVERD!BA96/HAVERD!BB96</f>
        <v>20.44323109041272</v>
      </c>
      <c r="U92" s="2">
        <v>42887</v>
      </c>
      <c r="V92" s="3">
        <f t="shared" si="15"/>
        <v>8.6378121123541263</v>
      </c>
      <c r="W92" s="3">
        <f>((HAVERM!J228/HAVERM!J216)-1)*100</f>
        <v>2.2633744855967031</v>
      </c>
      <c r="X92" s="3">
        <f>((HAVERM!K225/HAVERM!K213)-1)*100</f>
        <v>2.1190716448032276</v>
      </c>
      <c r="Y92" s="18">
        <v>0</v>
      </c>
      <c r="Z92" s="3">
        <f>HAVERM!H228/HAVERM!I228</f>
        <v>76.328728634980095</v>
      </c>
      <c r="AA92" s="3">
        <f t="shared" si="11"/>
        <v>125.33073753918941</v>
      </c>
      <c r="AJ92" s="2">
        <f t="shared" si="14"/>
        <v>43956</v>
      </c>
      <c r="AK92" s="2"/>
      <c r="AL92" s="3">
        <f>IF(HAVERD!H96="",AL91,AVERAGE(HAVERD!H96:Q96))</f>
        <v>30.146000000000004</v>
      </c>
    </row>
    <row r="93" spans="1:65" x14ac:dyDescent="0.35">
      <c r="A93" s="17">
        <v>2025</v>
      </c>
      <c r="B93" s="3">
        <f>'[30]CPI Forecasts'!D657</f>
        <v>1.5974636837424061</v>
      </c>
      <c r="C93" s="3">
        <f>'[31]CPI Forecasts'!D657</f>
        <v>1.3861131092452572</v>
      </c>
      <c r="H93" s="2">
        <f t="shared" si="12"/>
        <v>44466</v>
      </c>
      <c r="I93" s="5">
        <f>HAVERW!C98</f>
        <v>135.19</v>
      </c>
      <c r="J93" s="5">
        <f>HAVERW!D98</f>
        <v>137.94999999999999</v>
      </c>
      <c r="L93" s="2">
        <f t="shared" si="13"/>
        <v>43957</v>
      </c>
      <c r="M93" s="5">
        <f>HAVERD!BA97/HAVERD!BB97</f>
        <v>19.576120368872349</v>
      </c>
      <c r="U93" s="2">
        <v>42917</v>
      </c>
      <c r="V93" s="3">
        <f t="shared" si="15"/>
        <v>17.398159279158353</v>
      </c>
      <c r="W93" s="3">
        <f>((HAVERM!J229/HAVERM!J217)-1)*100</f>
        <v>2.5799793601651189</v>
      </c>
      <c r="X93" s="3">
        <f>((HAVERM!K226/HAVERM!K214)-1)*100</f>
        <v>2.5278058645096024</v>
      </c>
      <c r="Y93" s="18">
        <v>0</v>
      </c>
      <c r="Z93" s="3">
        <f>HAVERM!H229/HAVERM!I229</f>
        <v>76.958596275203931</v>
      </c>
      <c r="AA93" s="3">
        <f t="shared" si="11"/>
        <v>126.36497166457146</v>
      </c>
      <c r="AJ93" s="2">
        <f t="shared" si="14"/>
        <v>43957</v>
      </c>
      <c r="AK93" s="2"/>
      <c r="AL93" s="3">
        <f>IF(HAVERD!H97="",AL92,AVERAGE(HAVERD!H97:Q97))</f>
        <v>30.542000000000002</v>
      </c>
    </row>
    <row r="94" spans="1:65" x14ac:dyDescent="0.35">
      <c r="H94" s="2">
        <f t="shared" si="12"/>
        <v>44473</v>
      </c>
      <c r="I94" s="5">
        <f>HAVERW!C99</f>
        <v>136.1</v>
      </c>
      <c r="J94" s="5">
        <f>HAVERW!D99</f>
        <v>139.19999999999999</v>
      </c>
      <c r="L94" s="2">
        <f t="shared" si="13"/>
        <v>43958</v>
      </c>
      <c r="M94" s="5">
        <f>HAVERD!BA98/HAVERD!BB98</f>
        <v>19.72002929925938</v>
      </c>
      <c r="U94" s="2">
        <v>42948</v>
      </c>
      <c r="V94" s="3">
        <f t="shared" si="15"/>
        <v>26.66296217322699</v>
      </c>
      <c r="W94" s="3">
        <f>((HAVERM!J230/HAVERM!J218)-1)*100</f>
        <v>2.1582733812949728</v>
      </c>
      <c r="X94" s="3">
        <f>((HAVERM!K227/HAVERM!K215)-1)*100</f>
        <v>4.069175991861651</v>
      </c>
      <c r="Y94" s="18">
        <v>0</v>
      </c>
      <c r="Z94" s="3">
        <f>HAVERM!H230/HAVERM!I230</f>
        <v>76.57275183326901</v>
      </c>
      <c r="AA94" s="3">
        <f t="shared" si="11"/>
        <v>125.73142032226679</v>
      </c>
      <c r="AJ94" s="2">
        <f t="shared" si="14"/>
        <v>43958</v>
      </c>
      <c r="AK94" s="2"/>
      <c r="AL94" s="3">
        <f>IF(HAVERD!H98="",AL93,AVERAGE(HAVERD!H98:Q98))</f>
        <v>31.113</v>
      </c>
    </row>
    <row r="95" spans="1:65" x14ac:dyDescent="0.35">
      <c r="A95" t="s">
        <v>1322</v>
      </c>
      <c r="B95" s="3">
        <f>AVERAGE(B54:B56)</f>
        <v>2.0994527938932381</v>
      </c>
      <c r="E95" s="3" t="e">
        <f>E55</f>
        <v>#N/A</v>
      </c>
      <c r="H95" s="2">
        <f t="shared" si="12"/>
        <v>44480</v>
      </c>
      <c r="I95" s="5">
        <f>HAVERW!C100</f>
        <v>137.16999999999999</v>
      </c>
      <c r="J95" s="5">
        <f>HAVERW!D100</f>
        <v>140.66</v>
      </c>
      <c r="L95" s="2">
        <f t="shared" si="13"/>
        <v>43959</v>
      </c>
      <c r="M95" s="5" t="e">
        <f>HAVERD!BA99/HAVERD!BB99</f>
        <v>#N/A</v>
      </c>
      <c r="U95" s="2">
        <v>42979</v>
      </c>
      <c r="V95" s="3">
        <f t="shared" si="15"/>
        <v>26.063390988012024</v>
      </c>
      <c r="W95" s="3">
        <f>((HAVERM!J231/HAVERM!J219)-1)*100</f>
        <v>2.9804727646454365</v>
      </c>
      <c r="X95" s="3">
        <f>((HAVERM!K228/HAVERM!K216)-1)*100</f>
        <v>4.3832823649337493</v>
      </c>
      <c r="Y95" s="18">
        <v>0</v>
      </c>
      <c r="Z95" s="3">
        <f>HAVERM!H231/HAVERM!I231</f>
        <v>74.827379165415792</v>
      </c>
      <c r="AA95" s="3">
        <f t="shared" si="11"/>
        <v>122.86554206574702</v>
      </c>
      <c r="AJ95" s="2">
        <f t="shared" si="14"/>
        <v>43959</v>
      </c>
      <c r="AK95" s="2"/>
      <c r="AL95" s="3">
        <f>IF(HAVERD!H99="",AL94,AVERAGE(HAVERD!H99:Q99))</f>
        <v>31.113</v>
      </c>
    </row>
    <row r="96" spans="1:65" x14ac:dyDescent="0.35">
      <c r="A96" t="s">
        <v>1323</v>
      </c>
      <c r="B96" s="3">
        <f>AVERAGE(B57:B59)</f>
        <v>2.0436899183182846</v>
      </c>
      <c r="E96" s="3" t="e">
        <f>E58</f>
        <v>#N/A</v>
      </c>
      <c r="H96" s="2">
        <f t="shared" si="12"/>
        <v>44487</v>
      </c>
      <c r="I96" s="5">
        <f>HAVERW!C101</f>
        <v>139.46</v>
      </c>
      <c r="J96" s="5">
        <f>HAVERW!D101</f>
        <v>143.19</v>
      </c>
      <c r="L96" s="2">
        <f t="shared" si="13"/>
        <v>43962</v>
      </c>
      <c r="M96" s="5">
        <f>HAVERD!BA100/HAVERD!BB100</f>
        <v>20.658682634730539</v>
      </c>
      <c r="U96" s="2">
        <v>43009</v>
      </c>
      <c r="V96" s="3">
        <f t="shared" si="15"/>
        <v>32.129579154460927</v>
      </c>
      <c r="W96" s="3">
        <f>((HAVERM!J232/HAVERM!J220)-1)*100</f>
        <v>3.9256198347107363</v>
      </c>
      <c r="X96" s="3">
        <f>((HAVERM!K229/HAVERM!K217)-1)*100</f>
        <v>4.7910295616717669</v>
      </c>
      <c r="Y96" s="18">
        <v>0</v>
      </c>
      <c r="Z96" s="3">
        <f>HAVERM!H232/HAVERM!I232</f>
        <v>74.865499734788202</v>
      </c>
      <c r="AA96" s="3">
        <f t="shared" si="11"/>
        <v>122.9281355238106</v>
      </c>
      <c r="AJ96" s="2">
        <f t="shared" si="14"/>
        <v>43962</v>
      </c>
      <c r="AK96" s="2"/>
      <c r="AL96" s="3">
        <f>IF(HAVERD!H100="",AL95,AVERAGE(HAVERD!H100:Q100))</f>
        <v>31.265000000000004</v>
      </c>
    </row>
    <row r="97" spans="1:38" x14ac:dyDescent="0.35">
      <c r="A97" t="s">
        <v>1318</v>
      </c>
      <c r="B97" s="3">
        <f>AVERAGE(B60:B62)</f>
        <v>2.4687017142744536</v>
      </c>
      <c r="E97" s="3">
        <f>E61</f>
        <v>2.423</v>
      </c>
      <c r="H97" s="2">
        <f t="shared" si="12"/>
        <v>44494</v>
      </c>
      <c r="I97" s="5">
        <f>HAVERW!C102</f>
        <v>141.81</v>
      </c>
      <c r="J97" s="5">
        <f>HAVERW!D102</f>
        <v>145.9</v>
      </c>
      <c r="L97" s="2">
        <f t="shared" si="13"/>
        <v>43963</v>
      </c>
      <c r="M97" s="5">
        <f>HAVERD!BA101/HAVERD!BB101</f>
        <v>21.630170316301705</v>
      </c>
      <c r="U97" s="2">
        <v>43040</v>
      </c>
      <c r="V97" s="3">
        <f t="shared" si="15"/>
        <v>33.759102813092667</v>
      </c>
      <c r="W97" s="3">
        <f>((HAVERM!J233/HAVERM!J221)-1)*100</f>
        <v>4.0123456790123413</v>
      </c>
      <c r="X97" s="3">
        <f>((HAVERM!K230/HAVERM!K218)-1)*100</f>
        <v>5.0864699898270693</v>
      </c>
      <c r="Y97" s="18">
        <v>0</v>
      </c>
      <c r="Z97" s="3">
        <f>HAVERM!H233/HAVERM!I233</f>
        <v>74.740903245328681</v>
      </c>
      <c r="AA97" s="3">
        <f t="shared" si="11"/>
        <v>122.723549777421</v>
      </c>
      <c r="AJ97" s="2">
        <f t="shared" si="14"/>
        <v>43963</v>
      </c>
      <c r="AK97" s="2"/>
      <c r="AL97" s="3">
        <f>IF(HAVERD!H101="",AL96,AVERAGE(HAVERD!H101:Q101))</f>
        <v>30.685000000000002</v>
      </c>
    </row>
    <row r="98" spans="1:38" x14ac:dyDescent="0.35">
      <c r="H98" s="2">
        <f t="shared" si="12"/>
        <v>44501</v>
      </c>
      <c r="I98" s="5">
        <f>HAVERW!C103</f>
        <v>143.69999999999999</v>
      </c>
      <c r="J98" s="5">
        <f>HAVERW!D103</f>
        <v>147.47999999999999</v>
      </c>
      <c r="L98" s="2">
        <f t="shared" si="13"/>
        <v>43964</v>
      </c>
      <c r="M98" s="5">
        <f>HAVERD!BA102/HAVERD!BB102</f>
        <v>22.812039914935387</v>
      </c>
      <c r="U98" s="2">
        <v>43070</v>
      </c>
      <c r="V98" s="3">
        <f t="shared" si="15"/>
        <v>31.425469600241527</v>
      </c>
      <c r="W98" s="3">
        <f>((HAVERM!J234/HAVERM!J222)-1)*100</f>
        <v>3.9836567926455402</v>
      </c>
      <c r="X98" s="3">
        <f>((HAVERM!K231/HAVERM!K219)-1)*100</f>
        <v>5.1619433198380582</v>
      </c>
      <c r="Y98" s="18">
        <v>0</v>
      </c>
      <c r="Z98" s="3">
        <f>HAVERM!H234/HAVERM!I234</f>
        <v>71.929562751828087</v>
      </c>
      <c r="AA98" s="3">
        <f t="shared" si="11"/>
        <v>118.10736680378315</v>
      </c>
      <c r="AJ98" s="2">
        <f t="shared" si="14"/>
        <v>43964</v>
      </c>
      <c r="AK98" s="2"/>
      <c r="AL98" s="3">
        <f>IF(HAVERD!H102="",AL97,AVERAGE(HAVERD!H102:Q102))</f>
        <v>30.476999999999997</v>
      </c>
    </row>
    <row r="99" spans="1:38" x14ac:dyDescent="0.35">
      <c r="H99" s="2">
        <f t="shared" si="12"/>
        <v>44508</v>
      </c>
      <c r="I99" s="5">
        <f>HAVERW!C104</f>
        <v>144.9</v>
      </c>
      <c r="J99" s="5">
        <f>HAVERW!D104</f>
        <v>148.84</v>
      </c>
      <c r="L99" s="2">
        <f t="shared" si="13"/>
        <v>43965</v>
      </c>
      <c r="M99" s="5">
        <f>HAVERD!BA103/HAVERD!BB103</f>
        <v>24.485613574883189</v>
      </c>
      <c r="U99" s="2">
        <v>43101</v>
      </c>
      <c r="V99" s="3">
        <f t="shared" si="15"/>
        <v>34.108938976629631</v>
      </c>
      <c r="W99" s="3">
        <f>((HAVERM!J235/HAVERM!J223)-1)*100</f>
        <v>3.669724770642202</v>
      </c>
      <c r="X99" s="3">
        <f>((HAVERM!K232/HAVERM!K220)-1)*100</f>
        <v>4.9345417925478419</v>
      </c>
      <c r="Y99" s="18">
        <v>0</v>
      </c>
      <c r="Z99" s="3">
        <f>HAVERM!H235/HAVERM!I235</f>
        <v>69.910352805089644</v>
      </c>
      <c r="AA99" s="3">
        <f t="shared" ref="AA99:AA130" si="16">(Z99/AVERAGE($Z$63:$Z$74))*100</f>
        <v>114.79185144807187</v>
      </c>
      <c r="AJ99" s="2">
        <f t="shared" si="14"/>
        <v>43965</v>
      </c>
      <c r="AK99" s="2"/>
      <c r="AL99" s="3">
        <f>IF(HAVERD!H103="",AL98,AVERAGE(HAVERD!H103:Q103))</f>
        <v>31.038</v>
      </c>
    </row>
    <row r="100" spans="1:38" x14ac:dyDescent="0.35">
      <c r="H100" s="2">
        <f t="shared" si="12"/>
        <v>44515</v>
      </c>
      <c r="I100" s="5">
        <f>HAVERW!C105</f>
        <v>145.87</v>
      </c>
      <c r="J100" s="5">
        <f>HAVERW!D105</f>
        <v>149.76</v>
      </c>
      <c r="L100" s="2">
        <f t="shared" si="13"/>
        <v>43966</v>
      </c>
      <c r="M100" s="5">
        <f>HAVERD!BA104/HAVERD!BB104</f>
        <v>25.523668151080326</v>
      </c>
      <c r="U100" s="2">
        <v>43132</v>
      </c>
      <c r="V100" s="3">
        <f t="shared" si="15"/>
        <v>30.412120637276384</v>
      </c>
      <c r="W100" s="3">
        <f>((HAVERM!J236/HAVERM!J224)-1)*100</f>
        <v>3.0333670374115274</v>
      </c>
      <c r="X100" s="3">
        <f>((HAVERM!K233/HAVERM!K221)-1)*100</f>
        <v>4.9246231155778863</v>
      </c>
      <c r="Y100" s="18">
        <v>0</v>
      </c>
      <c r="Z100" s="3">
        <f>HAVERM!H236/HAVERM!I236</f>
        <v>70.052288518014478</v>
      </c>
      <c r="AA100" s="3">
        <f t="shared" si="16"/>
        <v>115.024907964303</v>
      </c>
      <c r="AJ100" s="2">
        <f t="shared" si="14"/>
        <v>43966</v>
      </c>
      <c r="AK100" s="2"/>
      <c r="AL100" s="3">
        <f>IF(HAVERD!H104="",AL99,AVERAGE(HAVERD!H104:Q104))</f>
        <v>31.437999999999999</v>
      </c>
    </row>
    <row r="101" spans="1:38" x14ac:dyDescent="0.35">
      <c r="H101" s="2">
        <f t="shared" si="12"/>
        <v>44522</v>
      </c>
      <c r="I101" s="5">
        <f>HAVERW!C106</f>
        <v>146.88999999999999</v>
      </c>
      <c r="J101" s="5">
        <f>HAVERW!D106</f>
        <v>150.72999999999999</v>
      </c>
      <c r="L101" s="2">
        <f t="shared" si="13"/>
        <v>43969</v>
      </c>
      <c r="M101" s="5">
        <f>HAVERD!BA105/HAVERD!BB105</f>
        <v>27.312992125984248</v>
      </c>
      <c r="U101" s="2">
        <v>43160</v>
      </c>
      <c r="V101" s="3">
        <f t="shared" si="15"/>
        <v>27.022858832974194</v>
      </c>
      <c r="W101" s="3">
        <f>((HAVERM!J237/HAVERM!J225)-1)*100</f>
        <v>3.0211480362537735</v>
      </c>
      <c r="X101" s="3">
        <f>((HAVERM!K234/HAVERM!K222)-1)*100</f>
        <v>5.4162487462387165</v>
      </c>
      <c r="Y101" s="18">
        <v>0</v>
      </c>
      <c r="Z101" s="3">
        <f>HAVERM!H237/HAVERM!I237</f>
        <v>70.722977809591981</v>
      </c>
      <c r="AA101" s="3">
        <f t="shared" si="16"/>
        <v>116.12617068774004</v>
      </c>
      <c r="AJ101" s="2">
        <f t="shared" si="14"/>
        <v>43969</v>
      </c>
      <c r="AK101" s="2"/>
      <c r="AL101" s="3">
        <f>IF(HAVERD!H105="",AL100,AVERAGE(HAVERD!H105:Q105))</f>
        <v>31.567</v>
      </c>
    </row>
    <row r="102" spans="1:38" x14ac:dyDescent="0.35">
      <c r="H102" s="2">
        <f t="shared" si="12"/>
        <v>44529</v>
      </c>
      <c r="I102" s="5">
        <f>HAVERW!C107</f>
        <v>147.53</v>
      </c>
      <c r="J102" s="5">
        <f>HAVERW!D107</f>
        <v>151.31</v>
      </c>
      <c r="L102" s="2">
        <f t="shared" si="13"/>
        <v>43970</v>
      </c>
      <c r="M102" s="5">
        <f>HAVERD!BA106/HAVERD!BB106</f>
        <v>26.985552199820422</v>
      </c>
      <c r="U102" s="2">
        <v>43191</v>
      </c>
      <c r="V102" s="3">
        <f t="shared" si="15"/>
        <v>20.611035354422434</v>
      </c>
      <c r="W102" s="3">
        <f>((HAVERM!J238/HAVERM!J226)-1)*100</f>
        <v>2.6130653266331683</v>
      </c>
      <c r="X102" s="3">
        <f>((HAVERM!K235/HAVERM!K223)-1)*100</f>
        <v>4.3043043043043072</v>
      </c>
      <c r="Y102" s="18">
        <v>0</v>
      </c>
      <c r="Z102" s="3">
        <f>HAVERM!H238/HAVERM!I238</f>
        <v>69.871476247958526</v>
      </c>
      <c r="AA102" s="3">
        <f t="shared" si="16"/>
        <v>114.72801666835835</v>
      </c>
      <c r="AJ102" s="2">
        <f t="shared" si="14"/>
        <v>43970</v>
      </c>
      <c r="AK102" s="2"/>
      <c r="AL102" s="3">
        <f>IF(HAVERD!H106="",AL101,AVERAGE(HAVERD!H106:Q106))</f>
        <v>31.520000000000003</v>
      </c>
    </row>
    <row r="103" spans="1:38" x14ac:dyDescent="0.35">
      <c r="H103" s="2">
        <f t="shared" si="12"/>
        <v>44536</v>
      </c>
      <c r="I103" s="5">
        <f>HAVERW!C108</f>
        <v>146.88999999999999</v>
      </c>
      <c r="J103" s="5">
        <f>HAVERW!D108</f>
        <v>150.61000000000001</v>
      </c>
      <c r="L103" s="2">
        <f t="shared" si="13"/>
        <v>43971</v>
      </c>
      <c r="M103" s="5">
        <f>HAVERD!BA107/HAVERD!BB107</f>
        <v>28.329258353708227</v>
      </c>
      <c r="U103" s="2">
        <v>43221</v>
      </c>
      <c r="V103" s="3">
        <f t="shared" si="15"/>
        <v>20.556923618397338</v>
      </c>
      <c r="W103" s="3">
        <f>((HAVERM!J239/HAVERM!J227)-1)*100</f>
        <v>2.3092369477911712</v>
      </c>
      <c r="X103" s="3">
        <f>((HAVERM!K236/HAVERM!K224)-1)*100</f>
        <v>3.7886340977068667</v>
      </c>
      <c r="Y103" s="18">
        <v>0</v>
      </c>
      <c r="Z103" s="3">
        <f>HAVERM!H239/HAVERM!I239</f>
        <v>73.185229214651898</v>
      </c>
      <c r="AA103" s="3">
        <f t="shared" si="16"/>
        <v>120.16915411117468</v>
      </c>
      <c r="AJ103" s="2">
        <f t="shared" si="14"/>
        <v>43971</v>
      </c>
      <c r="AK103" s="2"/>
      <c r="AL103" s="3">
        <f>IF(HAVERD!H107="",AL102,AVERAGE(HAVERD!H107:Q107))</f>
        <v>31.562000000000001</v>
      </c>
    </row>
    <row r="104" spans="1:38" x14ac:dyDescent="0.35">
      <c r="H104" s="2">
        <f t="shared" si="12"/>
        <v>44543</v>
      </c>
      <c r="I104" s="5">
        <f>HAVERW!C109</f>
        <v>146.22</v>
      </c>
      <c r="J104" s="5">
        <f>HAVERW!D109</f>
        <v>149.88</v>
      </c>
      <c r="L104" s="2">
        <f t="shared" si="13"/>
        <v>43972</v>
      </c>
      <c r="M104" s="5">
        <f>HAVERD!BA108/HAVERD!BB108</f>
        <v>28.480183426138225</v>
      </c>
      <c r="U104" s="2">
        <v>43252</v>
      </c>
      <c r="V104" s="3">
        <f t="shared" si="15"/>
        <v>15.62419031710367</v>
      </c>
      <c r="W104" s="3">
        <f>((HAVERM!J240/HAVERM!J228)-1)*100</f>
        <v>2.0120724346076369</v>
      </c>
      <c r="X104" s="3">
        <f>((HAVERM!K237/HAVERM!K225)-1)*100</f>
        <v>3.063241106719361</v>
      </c>
      <c r="Y104" s="18">
        <v>0</v>
      </c>
      <c r="Z104" s="3">
        <f>HAVERM!H240/HAVERM!I240</f>
        <v>72.847682119205302</v>
      </c>
      <c r="AA104" s="3">
        <f t="shared" si="16"/>
        <v>119.6149063569792</v>
      </c>
      <c r="AJ104" s="2">
        <f t="shared" si="14"/>
        <v>43972</v>
      </c>
      <c r="AK104" s="2"/>
      <c r="AL104" s="3">
        <f>IF(HAVERD!H108="",AL103,AVERAGE(HAVERD!H108:Q108))</f>
        <v>30.655000000000001</v>
      </c>
    </row>
    <row r="105" spans="1:38" x14ac:dyDescent="0.35">
      <c r="H105" s="2">
        <f t="shared" si="12"/>
        <v>44550</v>
      </c>
      <c r="I105" s="5">
        <f>HAVERW!C110</f>
        <v>145.16</v>
      </c>
      <c r="J105" s="5">
        <f>HAVERW!D110</f>
        <v>148.88999999999999</v>
      </c>
      <c r="L105" s="2">
        <f t="shared" si="13"/>
        <v>43973</v>
      </c>
      <c r="M105" s="5">
        <f>HAVERD!BA109/HAVERD!BB109</f>
        <v>27.727645611156682</v>
      </c>
      <c r="U105" s="2">
        <v>43282</v>
      </c>
      <c r="V105" s="3">
        <f t="shared" si="15"/>
        <v>8.743324048651079</v>
      </c>
      <c r="W105" s="3">
        <f>((HAVERM!J241/HAVERM!J229)-1)*100</f>
        <v>2.3138832997987802</v>
      </c>
      <c r="X105" s="3">
        <f>((HAVERM!K238/HAVERM!K226)-1)*100</f>
        <v>3.0571992110453694</v>
      </c>
      <c r="Y105" s="18">
        <v>0</v>
      </c>
      <c r="Z105" s="3">
        <f>HAVERM!H241/HAVERM!I241</f>
        <v>72.139114587288333</v>
      </c>
      <c r="AA105" s="3">
        <f t="shared" si="16"/>
        <v>118.45144807646517</v>
      </c>
      <c r="AJ105" s="2">
        <f t="shared" si="14"/>
        <v>43973</v>
      </c>
      <c r="AK105" s="2"/>
      <c r="AL105" s="3">
        <f>IF(HAVERD!H109="",AL104,AVERAGE(HAVERD!H109:Q109))</f>
        <v>30.017000000000003</v>
      </c>
    </row>
    <row r="106" spans="1:38" x14ac:dyDescent="0.35">
      <c r="H106" s="2">
        <f t="shared" si="12"/>
        <v>44557</v>
      </c>
      <c r="I106" s="5">
        <f>HAVERW!C111</f>
        <v>144.91999999999999</v>
      </c>
      <c r="J106" s="5">
        <f>HAVERW!D111</f>
        <v>148.82</v>
      </c>
      <c r="L106" s="2">
        <f t="shared" si="13"/>
        <v>43976</v>
      </c>
      <c r="M106" s="5" t="e">
        <f>HAVERD!BA110/HAVERD!BB110</f>
        <v>#N/A</v>
      </c>
      <c r="U106" s="2">
        <v>43313</v>
      </c>
      <c r="V106" s="3">
        <f t="shared" si="15"/>
        <v>5.2574028348189028</v>
      </c>
      <c r="W106" s="3">
        <f>((HAVERM!J242/HAVERM!J230)-1)*100</f>
        <v>2.5150905432595572</v>
      </c>
      <c r="X106" s="3">
        <f>((HAVERM!K239/HAVERM!K227)-1)*100</f>
        <v>2.0527859237536639</v>
      </c>
      <c r="Y106" s="18">
        <v>0</v>
      </c>
      <c r="Z106" s="3">
        <f>HAVERM!H242/HAVERM!I242</f>
        <v>74.378881987577643</v>
      </c>
      <c r="AA106" s="3">
        <f t="shared" si="16"/>
        <v>122.129115780547</v>
      </c>
      <c r="AJ106" s="2">
        <f t="shared" si="14"/>
        <v>43976</v>
      </c>
      <c r="AK106" s="2"/>
      <c r="AL106" s="3">
        <f>IF(HAVERD!H110="",AL105,AVERAGE(HAVERD!H110:Q110))</f>
        <v>30.017000000000003</v>
      </c>
    </row>
    <row r="107" spans="1:38" x14ac:dyDescent="0.35">
      <c r="H107" s="2">
        <f t="shared" si="12"/>
        <v>44564</v>
      </c>
      <c r="I107" s="5">
        <f>HAVERW!C112</f>
        <v>145.04</v>
      </c>
      <c r="J107" s="5">
        <f>HAVERW!D112</f>
        <v>148.85</v>
      </c>
      <c r="L107" s="2">
        <f t="shared" si="13"/>
        <v>43977</v>
      </c>
      <c r="M107" s="5">
        <f>HAVERD!BA111/HAVERD!BB111</f>
        <v>27.46097225592494</v>
      </c>
      <c r="U107" s="2">
        <v>43344</v>
      </c>
      <c r="V107" s="3">
        <f t="shared" si="15"/>
        <v>2.3289715912480968</v>
      </c>
      <c r="W107" s="3">
        <f>((HAVERM!J243/HAVERM!J231)-1)*100</f>
        <v>1.4970059880239583</v>
      </c>
      <c r="X107" s="3">
        <f>((HAVERM!K240/HAVERM!K228)-1)*100</f>
        <v>2.05078125</v>
      </c>
      <c r="Y107" s="18">
        <v>0</v>
      </c>
      <c r="Z107" s="3">
        <f>HAVERM!H243/HAVERM!I243</f>
        <v>71.964477109171639</v>
      </c>
      <c r="AA107" s="3">
        <f t="shared" si="16"/>
        <v>118.16469570516577</v>
      </c>
      <c r="AJ107" s="2">
        <f t="shared" si="14"/>
        <v>43977</v>
      </c>
      <c r="AK107" s="2"/>
      <c r="AL107" s="3">
        <f>IF(HAVERD!H111="",AL106,AVERAGE(HAVERD!H111:Q111))</f>
        <v>30.499999999999993</v>
      </c>
    </row>
    <row r="108" spans="1:38" x14ac:dyDescent="0.35">
      <c r="H108" s="2">
        <f t="shared" si="12"/>
        <v>44571</v>
      </c>
      <c r="I108" s="5">
        <f>HAVERW!C113</f>
        <v>144.82</v>
      </c>
      <c r="J108" s="5">
        <f>HAVERW!D113</f>
        <v>148.65</v>
      </c>
      <c r="L108" s="2">
        <f t="shared" si="13"/>
        <v>43978</v>
      </c>
      <c r="M108" s="5">
        <f>HAVERD!BA112/HAVERD!BB112</f>
        <v>26.790537775231233</v>
      </c>
      <c r="U108" s="2">
        <v>43374</v>
      </c>
      <c r="V108" s="3">
        <f t="shared" si="15"/>
        <v>-3.7521641052967847</v>
      </c>
      <c r="W108" s="3">
        <f>((HAVERM!J244/HAVERM!J232)-1)*100</f>
        <v>0.89463220675944921</v>
      </c>
      <c r="X108" s="3">
        <f>((HAVERM!K241/HAVERM!K229)-1)*100</f>
        <v>1.3618677042801508</v>
      </c>
      <c r="Y108" s="18">
        <v>0</v>
      </c>
      <c r="Z108" s="3">
        <f>HAVERM!H244/HAVERM!I244</f>
        <v>71.626191208115586</v>
      </c>
      <c r="AA108" s="3">
        <f t="shared" si="16"/>
        <v>117.60923484217642</v>
      </c>
      <c r="AJ108" s="2">
        <f t="shared" si="14"/>
        <v>43978</v>
      </c>
      <c r="AK108" s="2"/>
      <c r="AL108" s="3">
        <f>IF(HAVERD!H112="",AL107,AVERAGE(HAVERD!H112:Q112))</f>
        <v>30.064999999999998</v>
      </c>
    </row>
    <row r="109" spans="1:38" x14ac:dyDescent="0.35">
      <c r="H109" s="2">
        <f t="shared" si="12"/>
        <v>44578</v>
      </c>
      <c r="I109" s="5">
        <f>HAVERW!C114</f>
        <v>144.80000000000001</v>
      </c>
      <c r="J109" s="5">
        <f>HAVERW!D114</f>
        <v>148.69999999999999</v>
      </c>
      <c r="L109" s="2">
        <f t="shared" si="13"/>
        <v>43979</v>
      </c>
      <c r="M109" s="5">
        <f>HAVERD!BA113/HAVERD!BB113</f>
        <v>27.574454272498578</v>
      </c>
      <c r="U109" s="2">
        <v>43405</v>
      </c>
      <c r="V109" s="3">
        <f t="shared" si="15"/>
        <v>-3.218315808054073</v>
      </c>
      <c r="W109" s="3">
        <f>((HAVERM!J245/HAVERM!J233)-1)*100</f>
        <v>0.49455984174084922</v>
      </c>
      <c r="X109" s="3">
        <f>((HAVERM!K242/HAVERM!K230)-1)*100</f>
        <v>1.0648596321394033</v>
      </c>
      <c r="Y109" s="18">
        <v>0</v>
      </c>
      <c r="Z109" s="3">
        <f>HAVERM!H245/HAVERM!I245</f>
        <v>71.234788000930166</v>
      </c>
      <c r="AA109" s="3">
        <f t="shared" si="16"/>
        <v>116.96655608269724</v>
      </c>
      <c r="AJ109" s="2">
        <f t="shared" si="14"/>
        <v>43979</v>
      </c>
      <c r="AK109" s="2"/>
      <c r="AL109" s="3">
        <f>IF(HAVERD!H113="",AL108,AVERAGE(HAVERD!H113:Q113))</f>
        <v>29.628999999999998</v>
      </c>
    </row>
    <row r="110" spans="1:38" x14ac:dyDescent="0.35">
      <c r="H110" s="2">
        <f t="shared" si="12"/>
        <v>44585</v>
      </c>
      <c r="I110" s="5">
        <f>HAVERW!C115</f>
        <v>144.87</v>
      </c>
      <c r="J110" s="5">
        <f>HAVERW!D115</f>
        <v>148.81</v>
      </c>
      <c r="L110" s="2">
        <f t="shared" si="13"/>
        <v>43980</v>
      </c>
      <c r="M110" s="5">
        <f>HAVERD!BA114/HAVERD!BB114</f>
        <v>27.611578266494181</v>
      </c>
      <c r="U110" s="2">
        <v>43435</v>
      </c>
      <c r="V110" s="3">
        <f t="shared" si="15"/>
        <v>-5.7443463121900296</v>
      </c>
      <c r="W110" s="3">
        <f>((HAVERM!J246/HAVERM!J234)-1)*100</f>
        <v>0.68762278978389269</v>
      </c>
      <c r="X110" s="3">
        <f>((HAVERM!K243/HAVERM!K231)-1)*100</f>
        <v>1.1549566891241536</v>
      </c>
      <c r="Y110" s="18">
        <v>0</v>
      </c>
      <c r="Z110" s="3">
        <f>HAVERM!H246/HAVERM!I246</f>
        <v>72.65834781235192</v>
      </c>
      <c r="AA110" s="3">
        <f t="shared" si="16"/>
        <v>119.30402199215658</v>
      </c>
      <c r="AJ110" s="2">
        <f t="shared" si="14"/>
        <v>43980</v>
      </c>
      <c r="AK110" s="2"/>
      <c r="AL110" s="3">
        <f>IF(HAVERD!H114="",AL109,AVERAGE(HAVERD!H114:Q114))</f>
        <v>30.725999999999999</v>
      </c>
    </row>
    <row r="111" spans="1:38" x14ac:dyDescent="0.35">
      <c r="H111" s="2">
        <f t="shared" si="12"/>
        <v>44592</v>
      </c>
      <c r="I111" s="5">
        <f>HAVERW!C116</f>
        <v>145.74</v>
      </c>
      <c r="J111" s="5">
        <f>HAVERW!D116</f>
        <v>149.68</v>
      </c>
      <c r="L111" s="2">
        <f t="shared" si="13"/>
        <v>43983</v>
      </c>
      <c r="M111" s="5">
        <f>HAVERD!BA115/HAVERD!BB115</f>
        <v>29.436743850652995</v>
      </c>
      <c r="U111" s="2">
        <v>43466</v>
      </c>
      <c r="V111" s="3">
        <f t="shared" si="15"/>
        <v>-11.711373466701192</v>
      </c>
      <c r="W111" s="3">
        <f>((HAVERM!J247/HAVERM!J235)-1)*100</f>
        <v>0.88495575221239076</v>
      </c>
      <c r="X111" s="3">
        <f>((HAVERM!K244/HAVERM!K232)-1)*100</f>
        <v>0.67178502879079449</v>
      </c>
      <c r="Y111" s="18">
        <v>0</v>
      </c>
      <c r="Z111" s="3">
        <f>HAVERM!H247/HAVERM!I247</f>
        <v>72.164948453608247</v>
      </c>
      <c r="AA111" s="3">
        <f t="shared" si="16"/>
        <v>118.49386693470198</v>
      </c>
      <c r="AJ111" s="2">
        <f t="shared" si="14"/>
        <v>43983</v>
      </c>
      <c r="AK111" s="2"/>
      <c r="AL111" s="3">
        <f>IF(HAVERD!H115="",AL110,AVERAGE(HAVERD!H115:Q115))</f>
        <v>30.131999999999994</v>
      </c>
    </row>
    <row r="112" spans="1:38" x14ac:dyDescent="0.35">
      <c r="H112" s="2">
        <f t="shared" si="12"/>
        <v>44599</v>
      </c>
      <c r="I112" s="5">
        <f>HAVERW!C117</f>
        <v>146.33000000000001</v>
      </c>
      <c r="J112" s="5">
        <f>HAVERW!D117</f>
        <v>150.30000000000001</v>
      </c>
      <c r="L112" s="2">
        <f t="shared" si="13"/>
        <v>43984</v>
      </c>
      <c r="M112" s="5">
        <f>HAVERD!BA116/HAVERD!BB116</f>
        <v>30.039022059409092</v>
      </c>
      <c r="U112" s="2">
        <v>43497</v>
      </c>
      <c r="V112" s="3">
        <f t="shared" si="15"/>
        <v>-10.810083222222143</v>
      </c>
      <c r="W112" s="3">
        <f>((HAVERM!J248/HAVERM!J236)-1)*100</f>
        <v>1.0794896957801781</v>
      </c>
      <c r="X112" s="3">
        <f>((HAVERM!K245/HAVERM!K233)-1)*100</f>
        <v>0.47892720306512704</v>
      </c>
      <c r="Y112" s="18">
        <v>0</v>
      </c>
      <c r="Z112" s="3">
        <f>HAVERM!H248/HAVERM!I248</f>
        <v>72.05961435046477</v>
      </c>
      <c r="AA112" s="3">
        <f t="shared" si="16"/>
        <v>118.32090976548024</v>
      </c>
      <c r="AJ112" s="2">
        <f t="shared" si="14"/>
        <v>43984</v>
      </c>
      <c r="AK112" s="2"/>
      <c r="AL112" s="3">
        <f>IF(HAVERD!H116="",AL111,AVERAGE(HAVERD!H116:Q116))</f>
        <v>30.65900000000001</v>
      </c>
    </row>
    <row r="113" spans="8:38" x14ac:dyDescent="0.35">
      <c r="H113" s="2">
        <f t="shared" si="12"/>
        <v>44606</v>
      </c>
      <c r="I113" s="5">
        <f>HAVERW!C118</f>
        <v>146.94999999999999</v>
      </c>
      <c r="J113" s="5">
        <f>HAVERW!D118</f>
        <v>151.1</v>
      </c>
      <c r="L113" s="2">
        <f t="shared" si="13"/>
        <v>43985</v>
      </c>
      <c r="M113" s="5">
        <f>HAVERD!BA117/HAVERD!BB117</f>
        <v>30.150035722791138</v>
      </c>
      <c r="U113" s="2">
        <v>43525</v>
      </c>
      <c r="V113" s="3">
        <f t="shared" si="15"/>
        <v>-9.2216912689353734</v>
      </c>
      <c r="W113" s="3">
        <f>((HAVERM!J249/HAVERM!J237)-1)*100</f>
        <v>0.782013685239491</v>
      </c>
      <c r="X113" s="3">
        <f>((HAVERM!K246/HAVERM!K234)-1)*100</f>
        <v>0</v>
      </c>
      <c r="Y113" s="18">
        <v>0</v>
      </c>
      <c r="Z113" s="3">
        <f>HAVERM!H249/HAVERM!I249</f>
        <v>70.641853399164447</v>
      </c>
      <c r="AA113" s="3">
        <f t="shared" si="16"/>
        <v>115.99296550571825</v>
      </c>
      <c r="AJ113" s="2">
        <f t="shared" si="14"/>
        <v>43985</v>
      </c>
      <c r="AK113" s="2"/>
      <c r="AL113" s="3">
        <f>IF(HAVERD!H117="",AL112,AVERAGE(HAVERD!H117:Q117))</f>
        <v>30.770000000000003</v>
      </c>
    </row>
    <row r="114" spans="8:38" x14ac:dyDescent="0.35">
      <c r="H114" s="2">
        <f t="shared" si="12"/>
        <v>44613</v>
      </c>
      <c r="I114" s="5">
        <f>HAVERW!C119</f>
        <v>147.77000000000001</v>
      </c>
      <c r="J114" s="5">
        <f>HAVERW!D119</f>
        <v>151.94999999999999</v>
      </c>
      <c r="L114" s="2">
        <f t="shared" si="13"/>
        <v>43986</v>
      </c>
      <c r="M114" s="5">
        <f>HAVERD!BA118/HAVERD!BB118</f>
        <v>30.467200761481717</v>
      </c>
      <c r="U114" s="2">
        <v>43556</v>
      </c>
      <c r="V114" s="3">
        <f t="shared" si="15"/>
        <v>-6.9459034221924902</v>
      </c>
      <c r="W114" s="3">
        <f>((HAVERM!J250/HAVERM!J238)-1)*100</f>
        <v>0.68560235063663821</v>
      </c>
      <c r="X114" s="3">
        <f>((HAVERM!K247/HAVERM!K235)-1)*100</f>
        <v>0.95969289827255722</v>
      </c>
      <c r="Y114" s="18">
        <v>0</v>
      </c>
      <c r="Z114" s="3">
        <f>HAVERM!H250/HAVERM!I250</f>
        <v>71.72445535440319</v>
      </c>
      <c r="AA114" s="3">
        <f t="shared" si="16"/>
        <v>117.77058323809666</v>
      </c>
      <c r="AJ114" s="2">
        <f t="shared" si="14"/>
        <v>43986</v>
      </c>
      <c r="AK114" s="2"/>
      <c r="AL114" s="3">
        <f>IF(HAVERD!H118="",AL113,AVERAGE(HAVERD!H118:Q118))</f>
        <v>31.237000000000005</v>
      </c>
    </row>
    <row r="115" spans="8:38" x14ac:dyDescent="0.35">
      <c r="H115" s="2">
        <f t="shared" si="12"/>
        <v>44620</v>
      </c>
      <c r="I115" s="5">
        <f>HAVERW!C120</f>
        <v>149.22</v>
      </c>
      <c r="J115" s="5">
        <f>HAVERW!D120</f>
        <v>153.36000000000001</v>
      </c>
      <c r="L115" s="2">
        <f t="shared" si="13"/>
        <v>43987</v>
      </c>
      <c r="M115" s="5">
        <f>HAVERD!BA119/HAVERD!BB119</f>
        <v>32.220039292730846</v>
      </c>
      <c r="U115" s="2">
        <v>43586</v>
      </c>
      <c r="V115" s="3">
        <f t="shared" si="15"/>
        <v>-2.7230658342144998</v>
      </c>
      <c r="W115" s="3">
        <f>((HAVERM!J251/HAVERM!J239)-1)*100</f>
        <v>0.98135426889107702</v>
      </c>
      <c r="X115" s="3">
        <f>((HAVERM!K248/HAVERM!K236)-1)*100</f>
        <v>0.96061479346782885</v>
      </c>
      <c r="Y115" s="18">
        <v>0</v>
      </c>
      <c r="Z115" s="3">
        <f>HAVERM!H251/HAVERM!I251</f>
        <v>73.35877268125536</v>
      </c>
      <c r="AA115" s="3">
        <f t="shared" si="16"/>
        <v>120.45411013040217</v>
      </c>
      <c r="AJ115" s="2">
        <f t="shared" si="14"/>
        <v>43987</v>
      </c>
      <c r="AK115" s="2"/>
      <c r="AL115" s="3">
        <f>IF(HAVERD!H119="",AL114,AVERAGE(HAVERD!H119:Q119))</f>
        <v>31.999000000000002</v>
      </c>
    </row>
    <row r="116" spans="8:38" x14ac:dyDescent="0.35">
      <c r="H116" s="2">
        <f t="shared" si="12"/>
        <v>44627</v>
      </c>
      <c r="I116" s="5">
        <f>HAVERW!C121</f>
        <v>152.94999999999999</v>
      </c>
      <c r="J116" s="5">
        <f>HAVERW!D121</f>
        <v>158.56</v>
      </c>
      <c r="L116" s="2">
        <f t="shared" si="13"/>
        <v>43990</v>
      </c>
      <c r="M116" s="5">
        <f>HAVERD!BA120/HAVERD!BB120</f>
        <v>31.233265081115132</v>
      </c>
      <c r="U116" s="2">
        <v>43617</v>
      </c>
      <c r="V116" s="3">
        <f t="shared" si="15"/>
        <v>-4.5605980579368595</v>
      </c>
      <c r="W116" s="3">
        <f>((HAVERM!J252/HAVERM!J240)-1)*100</f>
        <v>1.6765285996055201</v>
      </c>
      <c r="X116" s="3">
        <f>((HAVERM!K249/HAVERM!K237)-1)*100</f>
        <v>1.1505273250239645</v>
      </c>
      <c r="Y116" s="18">
        <v>0</v>
      </c>
      <c r="Z116" s="3">
        <f>HAVERM!H252/HAVERM!I252</f>
        <v>75.242527013171383</v>
      </c>
      <c r="AA116" s="3">
        <f t="shared" si="16"/>
        <v>123.54720920310808</v>
      </c>
      <c r="AJ116" s="2">
        <f t="shared" si="14"/>
        <v>43990</v>
      </c>
      <c r="AK116" s="2"/>
      <c r="AL116" s="3">
        <f>IF(HAVERD!H120="",AL115,AVERAGE(HAVERD!H120:Q120))</f>
        <v>31.359999999999996</v>
      </c>
    </row>
    <row r="117" spans="8:38" x14ac:dyDescent="0.35">
      <c r="H117" s="2">
        <f t="shared" si="12"/>
        <v>44634</v>
      </c>
      <c r="I117" s="5">
        <f>HAVERW!C122</f>
        <v>159.96</v>
      </c>
      <c r="J117" s="5">
        <f>HAVERW!D122</f>
        <v>169.48</v>
      </c>
      <c r="L117" s="2">
        <f t="shared" si="13"/>
        <v>43991</v>
      </c>
      <c r="M117" s="5">
        <f>HAVERD!BA121/HAVERD!BB121</f>
        <v>31.795315202012265</v>
      </c>
      <c r="U117" s="2">
        <v>43647</v>
      </c>
      <c r="V117" s="3">
        <f t="shared" si="15"/>
        <v>-6.2624345052775254</v>
      </c>
      <c r="W117" s="3">
        <f>((HAVERM!J253/HAVERM!J241)-1)*100</f>
        <v>1.3765978367748177</v>
      </c>
      <c r="X117" s="3">
        <f>((HAVERM!K250/HAVERM!K238)-1)*100</f>
        <v>1.2440191387559807</v>
      </c>
      <c r="Y117" s="18">
        <v>0</v>
      </c>
      <c r="Z117" s="3">
        <f>HAVERM!H253/HAVERM!I253</f>
        <v>76.269147485764705</v>
      </c>
      <c r="AA117" s="3">
        <f t="shared" si="16"/>
        <v>125.23290609999032</v>
      </c>
      <c r="AJ117" s="2">
        <f t="shared" si="14"/>
        <v>43991</v>
      </c>
      <c r="AK117" s="2"/>
      <c r="AL117" s="3">
        <f>IF(HAVERD!H121="",AL116,AVERAGE(HAVERD!H121:Q121))</f>
        <v>30.841000000000001</v>
      </c>
    </row>
    <row r="118" spans="8:38" x14ac:dyDescent="0.35">
      <c r="H118" s="2">
        <f t="shared" si="12"/>
        <v>44641</v>
      </c>
      <c r="I118" s="5">
        <f>HAVERW!C123</f>
        <v>165.37</v>
      </c>
      <c r="J118" s="5">
        <f>HAVERW!D123</f>
        <v>177.47</v>
      </c>
      <c r="L118" s="2">
        <f t="shared" si="13"/>
        <v>43992</v>
      </c>
      <c r="M118" s="5">
        <f>HAVERD!BA122/HAVERD!BB122</f>
        <v>32.285378283026262</v>
      </c>
      <c r="U118" s="2">
        <v>43678</v>
      </c>
      <c r="V118" s="3">
        <f t="shared" si="15"/>
        <v>-2.8650790172310092</v>
      </c>
      <c r="W118" s="3">
        <f>((HAVERM!J254/HAVERM!J242)-1)*100</f>
        <v>1.7664376840039298</v>
      </c>
      <c r="X118" s="3">
        <f>((HAVERM!K251/HAVERM!K239)-1)*100</f>
        <v>1.8199233716474916</v>
      </c>
      <c r="Y118" s="18">
        <v>0</v>
      </c>
      <c r="Z118" s="3">
        <f>HAVERM!H254/HAVERM!I254</f>
        <v>77.169888934594809</v>
      </c>
      <c r="AA118" s="3">
        <f t="shared" si="16"/>
        <v>126.71191134654514</v>
      </c>
      <c r="AJ118" s="2">
        <f t="shared" si="14"/>
        <v>43992</v>
      </c>
      <c r="AK118" s="2"/>
      <c r="AL118" s="3">
        <f>IF(HAVERD!H122="",AL117,AVERAGE(HAVERD!H122:Q122))</f>
        <v>31.078000000000003</v>
      </c>
    </row>
    <row r="119" spans="8:38" x14ac:dyDescent="0.35">
      <c r="H119" s="2">
        <f t="shared" si="12"/>
        <v>44648</v>
      </c>
      <c r="I119" s="5">
        <f>HAVERW!C124</f>
        <v>162.65</v>
      </c>
      <c r="J119" s="5">
        <f>HAVERW!D124</f>
        <v>176.44</v>
      </c>
      <c r="L119" s="2">
        <f t="shared" si="13"/>
        <v>43993</v>
      </c>
      <c r="M119" s="5">
        <f>HAVERD!BA123/HAVERD!BB123</f>
        <v>29.861605377619611</v>
      </c>
      <c r="U119" s="2">
        <v>43709</v>
      </c>
      <c r="V119" s="3">
        <f t="shared" si="15"/>
        <v>-3.8260087259174513</v>
      </c>
      <c r="W119" s="3">
        <f>((HAVERM!J255/HAVERM!J243)-1)*100</f>
        <v>1.7699115044247815</v>
      </c>
      <c r="X119" s="3">
        <f>((HAVERM!K252/HAVERM!K240)-1)*100</f>
        <v>1.9138755980861344</v>
      </c>
      <c r="Y119" s="18">
        <v>0</v>
      </c>
      <c r="Z119" s="3">
        <f>HAVERM!H255/HAVERM!I255</f>
        <v>75.441152663105072</v>
      </c>
      <c r="AA119" s="3">
        <f t="shared" si="16"/>
        <v>123.87334982729479</v>
      </c>
      <c r="AJ119" s="2">
        <f t="shared" si="14"/>
        <v>43993</v>
      </c>
      <c r="AK119" s="2"/>
      <c r="AL119" s="3">
        <f>IF(HAVERD!H123="",AL118,AVERAGE(HAVERD!H123:Q123))</f>
        <v>30.950000000000006</v>
      </c>
    </row>
    <row r="120" spans="8:38" x14ac:dyDescent="0.35">
      <c r="H120" s="2">
        <f t="shared" si="12"/>
        <v>44655</v>
      </c>
      <c r="I120" s="5">
        <f>HAVERW!C125</f>
        <v>161.91</v>
      </c>
      <c r="J120" s="5">
        <f>HAVERW!D125</f>
        <v>176</v>
      </c>
      <c r="L120" s="2">
        <f t="shared" si="13"/>
        <v>43994</v>
      </c>
      <c r="M120" s="5">
        <f>HAVERD!BA124/HAVERD!BB124</f>
        <v>30.736103357524524</v>
      </c>
      <c r="U120" s="2">
        <v>43739</v>
      </c>
      <c r="V120" s="3">
        <f t="shared" si="15"/>
        <v>-4.3268375128035164</v>
      </c>
      <c r="W120" s="3">
        <f>((HAVERM!J256/HAVERM!J244)-1)*100</f>
        <v>1.2807881773398977</v>
      </c>
      <c r="X120" s="3">
        <f>((HAVERM!K253/HAVERM!K241)-1)*100</f>
        <v>2.1113243761996081</v>
      </c>
      <c r="Y120" s="18">
        <v>0</v>
      </c>
      <c r="Z120" s="3">
        <f>HAVERM!H256/HAVERM!I256</f>
        <v>75.116628449434657</v>
      </c>
      <c r="AA120" s="3">
        <f t="shared" si="16"/>
        <v>123.3404854684091</v>
      </c>
      <c r="AJ120" s="2">
        <f t="shared" si="14"/>
        <v>43994</v>
      </c>
      <c r="AK120" s="2"/>
      <c r="AL120" s="3">
        <f>IF(HAVERD!H124="",AL119,AVERAGE(HAVERD!H124:Q124))</f>
        <v>30.824999999999999</v>
      </c>
    </row>
    <row r="121" spans="8:38" x14ac:dyDescent="0.35">
      <c r="H121" s="2">
        <f t="shared" si="12"/>
        <v>44662</v>
      </c>
      <c r="I121" s="5">
        <f>HAVERW!C126</f>
        <v>161.78</v>
      </c>
      <c r="J121" s="5">
        <f>HAVERW!D126</f>
        <v>176.22</v>
      </c>
      <c r="L121" s="2">
        <f t="shared" si="13"/>
        <v>43997</v>
      </c>
      <c r="M121" s="5">
        <f>HAVERD!BA125/HAVERD!BB125</f>
        <v>31.403774185842821</v>
      </c>
      <c r="U121" s="2">
        <v>43770</v>
      </c>
      <c r="V121" s="3">
        <f t="shared" si="15"/>
        <v>-4.691026054221048</v>
      </c>
      <c r="W121" s="3">
        <f>((HAVERM!J257/HAVERM!J245)-1)*100</f>
        <v>2.0669291338582862</v>
      </c>
      <c r="X121" s="3">
        <f>((HAVERM!K254/HAVERM!K242)-1)*100</f>
        <v>1.5325670498084198</v>
      </c>
      <c r="Y121" s="18">
        <v>0</v>
      </c>
      <c r="Z121" s="3">
        <f>HAVERM!H257/HAVERM!I257</f>
        <v>76.224481875339592</v>
      </c>
      <c r="AA121" s="3">
        <f t="shared" si="16"/>
        <v>125.15956577325716</v>
      </c>
      <c r="AJ121" s="2">
        <f t="shared" si="14"/>
        <v>43997</v>
      </c>
      <c r="AK121" s="2"/>
      <c r="AL121" s="3">
        <f>IF(HAVERD!H125="",AL120,AVERAGE(HAVERD!H125:Q125))</f>
        <v>30.503000000000004</v>
      </c>
    </row>
    <row r="122" spans="8:38" x14ac:dyDescent="0.35">
      <c r="H122" s="2">
        <f t="shared" si="12"/>
        <v>44669</v>
      </c>
      <c r="I122" s="5">
        <f>HAVERW!C127</f>
        <v>161.66999999999999</v>
      </c>
      <c r="J122" s="5">
        <f>HAVERW!D127</f>
        <v>175.93</v>
      </c>
      <c r="L122" s="2">
        <f t="shared" si="13"/>
        <v>43998</v>
      </c>
      <c r="M122" s="5">
        <f>HAVERD!BA126/HAVERD!BB126</f>
        <v>32.384963840101726</v>
      </c>
      <c r="U122" s="2">
        <v>43800</v>
      </c>
      <c r="V122" s="3">
        <f t="shared" si="15"/>
        <v>1.0131926743921715</v>
      </c>
      <c r="W122" s="3">
        <f>((HAVERM!J258/HAVERM!J246)-1)*100</f>
        <v>1.7560975609756113</v>
      </c>
      <c r="X122" s="3">
        <f>((HAVERM!K255/HAVERM!K243)-1)*100</f>
        <v>0.57088487155090295</v>
      </c>
      <c r="Y122" s="18">
        <v>0</v>
      </c>
      <c r="Z122" s="3">
        <f>HAVERM!H258/HAVERM!I258</f>
        <v>76.89960329569729</v>
      </c>
      <c r="AA122" s="3">
        <f t="shared" si="16"/>
        <v>126.26810599205962</v>
      </c>
      <c r="AJ122" s="2">
        <f t="shared" si="14"/>
        <v>43998</v>
      </c>
      <c r="AK122" s="2"/>
      <c r="AL122" s="3">
        <f>IF(HAVERD!H126="",AL121,AVERAGE(HAVERD!H126:Q126))</f>
        <v>30.762000000000008</v>
      </c>
    </row>
    <row r="123" spans="8:38" x14ac:dyDescent="0.35">
      <c r="H123" s="2">
        <f t="shared" si="12"/>
        <v>44676</v>
      </c>
      <c r="I123" s="5">
        <f>HAVERW!C128</f>
        <v>161.84</v>
      </c>
      <c r="J123" s="5">
        <f>HAVERW!D128</f>
        <v>176.33</v>
      </c>
      <c r="L123" s="2">
        <f t="shared" si="13"/>
        <v>43999</v>
      </c>
      <c r="M123" s="5">
        <f>HAVERD!BA127/HAVERD!BB127</f>
        <v>32.259864487843764</v>
      </c>
      <c r="U123" s="2">
        <v>43831</v>
      </c>
      <c r="V123" s="3">
        <f t="shared" ref="V123:V154" si="17">((AA111/AA99)-1)*100</f>
        <v>3.2249810765573317</v>
      </c>
      <c r="W123" s="3">
        <f>((HAVERM!J259/HAVERM!J247)-1)*100</f>
        <v>1.4619883040935644</v>
      </c>
      <c r="X123" s="3">
        <f>((HAVERM!K256/HAVERM!K244)-1)*100</f>
        <v>0.76263107721639134</v>
      </c>
      <c r="Y123" s="18">
        <v>0</v>
      </c>
      <c r="Z123" s="3">
        <f>HAVERM!H259/HAVERM!I259</f>
        <v>78.417871624206256</v>
      </c>
      <c r="AA123" s="3">
        <f t="shared" si="16"/>
        <v>128.76108200250002</v>
      </c>
      <c r="AJ123" s="2">
        <f t="shared" si="14"/>
        <v>43999</v>
      </c>
      <c r="AK123" s="2"/>
      <c r="AL123" s="3">
        <f>IF(HAVERD!H127="",AL122,AVERAGE(HAVERD!H127:Q127))</f>
        <v>30.949000000000002</v>
      </c>
    </row>
    <row r="124" spans="8:38" x14ac:dyDescent="0.35">
      <c r="H124" s="2">
        <f t="shared" si="12"/>
        <v>44683</v>
      </c>
      <c r="I124" s="5">
        <f>HAVERW!C129</f>
        <v>162.47999999999999</v>
      </c>
      <c r="J124" s="5">
        <f>HAVERW!D129</f>
        <v>177.06</v>
      </c>
      <c r="L124" s="2">
        <f t="shared" si="13"/>
        <v>44000</v>
      </c>
      <c r="M124" s="5">
        <f>HAVERD!BA128/HAVERD!BB128</f>
        <v>33.615136876006439</v>
      </c>
      <c r="U124" s="2">
        <v>43862</v>
      </c>
      <c r="V124" s="3">
        <f t="shared" si="17"/>
        <v>2.8654678882248152</v>
      </c>
      <c r="W124" s="3">
        <f>((HAVERM!J260/HAVERM!J248)-1)*100</f>
        <v>1.2621359223300876</v>
      </c>
      <c r="X124" s="3">
        <f>((HAVERM!K257/HAVERM!K245)-1)*100</f>
        <v>0.47664442326025291</v>
      </c>
      <c r="Y124" s="18">
        <v>0</v>
      </c>
      <c r="Z124" s="3">
        <f>HAVERM!H260/HAVERM!I260</f>
        <v>76.869645751331319</v>
      </c>
      <c r="AA124" s="3">
        <f t="shared" si="16"/>
        <v>126.21891611038079</v>
      </c>
      <c r="AJ124" s="2">
        <f t="shared" si="14"/>
        <v>44000</v>
      </c>
      <c r="AK124" s="2"/>
      <c r="AL124" s="3">
        <f>IF(HAVERD!H128="",AL123,AVERAGE(HAVERD!H128:Q128))</f>
        <v>32.001999999999995</v>
      </c>
    </row>
    <row r="125" spans="8:38" x14ac:dyDescent="0.35">
      <c r="H125" s="2">
        <f t="shared" si="12"/>
        <v>44690</v>
      </c>
      <c r="I125" s="5">
        <f>HAVERW!C130</f>
        <v>163.68</v>
      </c>
      <c r="J125" s="5">
        <f>HAVERW!D130</f>
        <v>178.39</v>
      </c>
      <c r="L125" s="2">
        <f t="shared" si="13"/>
        <v>44001</v>
      </c>
      <c r="M125" s="5">
        <f>HAVERD!BA129/HAVERD!BB129</f>
        <v>34.244802200469216</v>
      </c>
      <c r="U125" s="2">
        <v>43891</v>
      </c>
      <c r="V125" s="3">
        <f t="shared" si="17"/>
        <v>-0.11470728883326009</v>
      </c>
      <c r="W125" s="3">
        <f>((HAVERM!J261/HAVERM!J249)-1)*100</f>
        <v>1.3579049466537318</v>
      </c>
      <c r="X125" s="3">
        <f>((HAVERM!K258/HAVERM!K246)-1)*100</f>
        <v>0.66603235014273121</v>
      </c>
      <c r="Y125" s="18">
        <v>0</v>
      </c>
      <c r="Z125" s="3">
        <f>HAVERM!H261/HAVERM!I261</f>
        <v>76.99773536072469</v>
      </c>
      <c r="AA125" s="3">
        <f t="shared" si="16"/>
        <v>126.42923751234136</v>
      </c>
      <c r="AJ125" s="2">
        <f t="shared" si="14"/>
        <v>44001</v>
      </c>
      <c r="AK125" s="2"/>
      <c r="AL125" s="3">
        <f>IF(HAVERD!H129="",AL124,AVERAGE(HAVERD!H129:Q129))</f>
        <v>32.739000000000004</v>
      </c>
    </row>
    <row r="126" spans="8:38" x14ac:dyDescent="0.35">
      <c r="H126" s="2">
        <f t="shared" si="12"/>
        <v>44697</v>
      </c>
      <c r="I126" s="5">
        <f>HAVERW!C131</f>
        <v>165.09</v>
      </c>
      <c r="J126" s="5">
        <f>HAVERW!D131</f>
        <v>179.67</v>
      </c>
      <c r="L126" s="2">
        <f t="shared" si="13"/>
        <v>44004</v>
      </c>
      <c r="M126" s="5">
        <f>HAVERD!BA130/HAVERD!BB130</f>
        <v>34.70437017994859</v>
      </c>
      <c r="U126" s="2">
        <v>43922</v>
      </c>
      <c r="V126" s="3">
        <f t="shared" si="17"/>
        <v>2.6519821906565211</v>
      </c>
      <c r="W126" s="3">
        <f>((HAVERM!J262/HAVERM!J250)-1)*100</f>
        <v>1.3618677042801508</v>
      </c>
      <c r="X126" s="3">
        <f>((HAVERM!K259/HAVERM!K247)-1)*100</f>
        <v>0.95057034220531467</v>
      </c>
      <c r="Y126" s="18">
        <v>0</v>
      </c>
      <c r="Z126" s="3">
        <f>HAVERM!H262/HAVERM!I262</f>
        <v>74.456083803384359</v>
      </c>
      <c r="AA126" s="3">
        <f t="shared" si="16"/>
        <v>122.25588011538468</v>
      </c>
      <c r="AJ126" s="2">
        <f t="shared" si="14"/>
        <v>44004</v>
      </c>
      <c r="AK126" s="2"/>
      <c r="AL126" s="3">
        <f>IF(HAVERD!H130="",AL125,AVERAGE(HAVERD!H130:Q130))</f>
        <v>32.352999999999994</v>
      </c>
    </row>
    <row r="127" spans="8:38" x14ac:dyDescent="0.35">
      <c r="H127" s="2">
        <f t="shared" si="12"/>
        <v>44704</v>
      </c>
      <c r="I127" s="5">
        <f>HAVERW!C132</f>
        <v>167.59</v>
      </c>
      <c r="J127" s="5">
        <f>HAVERW!D132</f>
        <v>181.16</v>
      </c>
      <c r="L127" s="2">
        <f t="shared" si="13"/>
        <v>44005</v>
      </c>
      <c r="M127" s="5">
        <f>HAVERD!BA131/HAVERD!BB131</f>
        <v>34.121405750798722</v>
      </c>
      <c r="U127" s="2">
        <v>43952</v>
      </c>
      <c r="V127" s="3">
        <f t="shared" si="17"/>
        <v>0.23712908802193677</v>
      </c>
      <c r="W127" s="3">
        <f>((HAVERM!J263/HAVERM!J251)-1)*100</f>
        <v>1.8464528668610258</v>
      </c>
      <c r="X127" s="3">
        <f>((HAVERM!K260/HAVERM!K248)-1)*100</f>
        <v>1.2369172216936342</v>
      </c>
      <c r="Y127" s="18">
        <v>0</v>
      </c>
      <c r="Z127" s="3">
        <f>HAVERM!H263/HAVERM!I263</f>
        <v>74.146341463414643</v>
      </c>
      <c r="AA127" s="3">
        <f t="shared" si="16"/>
        <v>121.74728739270009</v>
      </c>
      <c r="AJ127" s="2">
        <f t="shared" si="14"/>
        <v>44005</v>
      </c>
      <c r="AK127" s="2"/>
      <c r="AL127" s="3">
        <f>IF(HAVERD!H131="",AL126,AVERAGE(HAVERD!H131:Q131))</f>
        <v>32.975000000000001</v>
      </c>
    </row>
    <row r="128" spans="8:38" x14ac:dyDescent="0.35">
      <c r="H128" s="2">
        <f t="shared" si="12"/>
        <v>44711</v>
      </c>
      <c r="I128" s="5">
        <f>HAVERW!C133</f>
        <v>170.36</v>
      </c>
      <c r="J128" s="5">
        <f>HAVERW!D133</f>
        <v>182.25</v>
      </c>
      <c r="L128" s="2">
        <f t="shared" si="13"/>
        <v>44006</v>
      </c>
      <c r="M128" s="5">
        <f>HAVERD!BA132/HAVERD!BB132</f>
        <v>32.449799196787147</v>
      </c>
      <c r="U128" s="2">
        <v>43983</v>
      </c>
      <c r="V128" s="3">
        <f t="shared" si="17"/>
        <v>3.2874688998989043</v>
      </c>
      <c r="W128" s="3">
        <f>((HAVERM!J264/HAVERM!J252)-1)*100</f>
        <v>1.0669253152279401</v>
      </c>
      <c r="X128" s="3">
        <f>((HAVERM!K261/HAVERM!K249)-1)*100</f>
        <v>1.3270142180094924</v>
      </c>
      <c r="Y128" s="18">
        <v>0</v>
      </c>
      <c r="Z128" s="3">
        <f>HAVERM!H264/HAVERM!I264</f>
        <v>74.325403161424234</v>
      </c>
      <c r="AA128" s="3">
        <f t="shared" si="16"/>
        <v>122.04130427307922</v>
      </c>
      <c r="AJ128" s="2">
        <f t="shared" si="14"/>
        <v>44006</v>
      </c>
      <c r="AK128" s="2"/>
      <c r="AL128" s="3">
        <f>IF(HAVERD!H132="",AL127,AVERAGE(HAVERD!H132:Q132))</f>
        <v>32.590000000000003</v>
      </c>
    </row>
    <row r="129" spans="8:38" x14ac:dyDescent="0.35">
      <c r="H129" s="2">
        <f t="shared" si="12"/>
        <v>44718</v>
      </c>
      <c r="I129" s="5">
        <f>HAVERW!C134</f>
        <v>174.99</v>
      </c>
      <c r="J129" s="5">
        <f>HAVERW!D134</f>
        <v>184.94</v>
      </c>
      <c r="L129" s="2">
        <f t="shared" si="13"/>
        <v>44007</v>
      </c>
      <c r="M129" s="5">
        <f>HAVERD!BA133/HAVERD!BB133</f>
        <v>33.193615992261812</v>
      </c>
      <c r="U129" s="2">
        <v>44013</v>
      </c>
      <c r="V129" s="3">
        <f t="shared" si="17"/>
        <v>5.7250950778984455</v>
      </c>
      <c r="W129" s="3">
        <f>((HAVERM!J265/HAVERM!J253)-1)*100</f>
        <v>0.77594568380214834</v>
      </c>
      <c r="X129" s="3">
        <f>((HAVERM!K262/HAVERM!K250)-1)*100</f>
        <v>0.85066162570888171</v>
      </c>
      <c r="Y129" s="18">
        <v>0</v>
      </c>
      <c r="Z129" s="3">
        <f>HAVERM!H265/HAVERM!I265</f>
        <v>73.910645339216771</v>
      </c>
      <c r="AA129" s="3">
        <f t="shared" si="16"/>
        <v>121.36027755238015</v>
      </c>
      <c r="AJ129" s="2">
        <f t="shared" si="14"/>
        <v>44007</v>
      </c>
      <c r="AK129" s="2"/>
      <c r="AL129" s="3">
        <f>IF(HAVERD!H133="",AL128,AVERAGE(HAVERD!H133:Q133))</f>
        <v>31.95</v>
      </c>
    </row>
    <row r="130" spans="8:38" x14ac:dyDescent="0.35">
      <c r="H130" s="2">
        <f t="shared" si="12"/>
        <v>44725</v>
      </c>
      <c r="I130" s="5">
        <f>HAVERW!C135</f>
        <v>182.53</v>
      </c>
      <c r="J130" s="5">
        <f>HAVERW!D135</f>
        <v>190.43</v>
      </c>
      <c r="L130" s="2">
        <f t="shared" si="13"/>
        <v>44008</v>
      </c>
      <c r="M130" s="5">
        <f>HAVERD!BA134/HAVERD!BB134</f>
        <v>33.254870129870127</v>
      </c>
      <c r="U130" s="2">
        <v>44044</v>
      </c>
      <c r="V130" s="3">
        <f t="shared" si="17"/>
        <v>3.7524185258435372</v>
      </c>
      <c r="W130" s="3">
        <f>((HAVERM!J266/HAVERM!J254)-1)*100</f>
        <v>0.38572806171648377</v>
      </c>
      <c r="X130" s="3">
        <f>((HAVERM!K263/HAVERM!K251)-1)*100</f>
        <v>0.28222013170271509</v>
      </c>
      <c r="Y130" s="18">
        <v>0</v>
      </c>
      <c r="Z130" s="3">
        <f>HAVERM!H266/HAVERM!I266</f>
        <v>72.908730763370414</v>
      </c>
      <c r="AA130" s="3">
        <f t="shared" si="16"/>
        <v>119.71514740298916</v>
      </c>
      <c r="AJ130" s="2">
        <f t="shared" si="14"/>
        <v>44008</v>
      </c>
      <c r="AK130" s="2"/>
      <c r="AL130" s="3">
        <f>IF(HAVERD!H134="",AL129,AVERAGE(HAVERD!H134:Q134))</f>
        <v>32.150999999999996</v>
      </c>
    </row>
    <row r="131" spans="8:38" x14ac:dyDescent="0.35">
      <c r="H131" s="2">
        <f t="shared" si="12"/>
        <v>44732</v>
      </c>
      <c r="I131" s="5">
        <f>HAVERW!C136</f>
        <v>186.85</v>
      </c>
      <c r="J131" s="5">
        <f>HAVERW!D136</f>
        <v>194.87</v>
      </c>
      <c r="L131" s="2">
        <f t="shared" si="13"/>
        <v>44011</v>
      </c>
      <c r="M131" s="5">
        <f>HAVERD!BA135/HAVERD!BB135</f>
        <v>33.893055102706228</v>
      </c>
      <c r="U131" s="2">
        <v>44075</v>
      </c>
      <c r="V131" s="3">
        <f t="shared" si="17"/>
        <v>4.8310995835615378</v>
      </c>
      <c r="W131" s="3">
        <f>((HAVERM!J267/HAVERM!J255)-1)*100</f>
        <v>-9.6618357487920914E-2</v>
      </c>
      <c r="X131" s="3">
        <f>((HAVERM!K264/HAVERM!K252)-1)*100</f>
        <v>0.1877934272300541</v>
      </c>
      <c r="Y131" s="18">
        <v>0</v>
      </c>
      <c r="Z131" s="3">
        <f>HAVERM!H267/HAVERM!I267</f>
        <v>75.5634455078728</v>
      </c>
      <c r="AA131" s="3">
        <f t="shared" ref="AA131:AA162" si="18">(Z131/AVERAGE($Z$63:$Z$74))*100</f>
        <v>124.07415302033371</v>
      </c>
      <c r="AJ131" s="2">
        <f t="shared" si="14"/>
        <v>44011</v>
      </c>
      <c r="AK131" s="2"/>
      <c r="AL131" s="3">
        <f>IF(HAVERD!H135="",AL130,AVERAGE(HAVERD!H135:Q135))</f>
        <v>33.253</v>
      </c>
    </row>
    <row r="132" spans="8:38" x14ac:dyDescent="0.35">
      <c r="H132" s="2">
        <f t="shared" si="12"/>
        <v>44739</v>
      </c>
      <c r="I132" s="5">
        <f>HAVERW!C137</f>
        <v>190.93</v>
      </c>
      <c r="J132" s="5">
        <f>HAVERW!D137</f>
        <v>198.93</v>
      </c>
      <c r="L132" s="2">
        <f t="shared" si="13"/>
        <v>44012</v>
      </c>
      <c r="M132" s="5">
        <f>HAVERD!BA136/HAVERD!BB136</f>
        <v>33.692046282061654</v>
      </c>
      <c r="U132" s="2">
        <v>44105</v>
      </c>
      <c r="V132" s="3">
        <f t="shared" si="17"/>
        <v>4.8731297622364611</v>
      </c>
      <c r="W132" s="3">
        <f>((HAVERM!J268/HAVERM!J256)-1)*100</f>
        <v>0.58365758754863606</v>
      </c>
      <c r="X132" s="3">
        <f>((HAVERM!K265/HAVERM!K253)-1)*100</f>
        <v>0.28195488721804995</v>
      </c>
      <c r="Y132" s="18">
        <v>0</v>
      </c>
      <c r="Z132" s="3">
        <f>HAVERM!H268/HAVERM!I268</f>
        <v>78.013092029264541</v>
      </c>
      <c r="AA132" s="3">
        <f t="shared" si="18"/>
        <v>128.0964393956846</v>
      </c>
      <c r="AJ132" s="2">
        <f t="shared" si="14"/>
        <v>44012</v>
      </c>
      <c r="AK132" s="2"/>
      <c r="AL132" s="3">
        <f>IF(HAVERD!H136="",AL131,AVERAGE(HAVERD!H136:Q136))</f>
        <v>33.216999999999999</v>
      </c>
    </row>
    <row r="133" spans="8:38" x14ac:dyDescent="0.35">
      <c r="H133" s="2">
        <f t="shared" ref="H133:H196" si="19">+H132+7</f>
        <v>44746</v>
      </c>
      <c r="I133" s="5">
        <f>HAVERW!C138</f>
        <v>191.55</v>
      </c>
      <c r="J133" s="5">
        <f>HAVERW!D138</f>
        <v>199.22</v>
      </c>
      <c r="L133" s="2">
        <f t="shared" si="13"/>
        <v>44013</v>
      </c>
      <c r="M133" s="5">
        <f>HAVERD!BA137/HAVERD!BB137</f>
        <v>33.857762080590781</v>
      </c>
      <c r="U133" s="2">
        <v>44136</v>
      </c>
      <c r="V133" s="3">
        <f t="shared" si="17"/>
        <v>7.0045746108548634</v>
      </c>
      <c r="W133" s="3">
        <f>((HAVERM!J269/HAVERM!J257)-1)*100</f>
        <v>-0.57859209257474786</v>
      </c>
      <c r="X133" s="3">
        <f>((HAVERM!K266/HAVERM!K254)-1)*100</f>
        <v>0.7547169811320753</v>
      </c>
      <c r="Y133" s="18">
        <v>0</v>
      </c>
      <c r="Z133" s="3">
        <f>HAVERM!H269/HAVERM!I269</f>
        <v>79.881880820776857</v>
      </c>
      <c r="AA133" s="3">
        <f t="shared" si="18"/>
        <v>131.16496525395328</v>
      </c>
      <c r="AJ133" s="2">
        <f t="shared" si="14"/>
        <v>44013</v>
      </c>
      <c r="AK133" s="2"/>
      <c r="AL133" s="3">
        <f>IF(HAVERD!H137="",AL132,AVERAGE(HAVERD!H137:Q137))</f>
        <v>32.942999999999998</v>
      </c>
    </row>
    <row r="134" spans="8:38" x14ac:dyDescent="0.35">
      <c r="H134" s="2">
        <f t="shared" si="19"/>
        <v>44753</v>
      </c>
      <c r="I134" s="5">
        <f>HAVERW!C139</f>
        <v>190.63</v>
      </c>
      <c r="J134" s="5">
        <f>HAVERW!D139</f>
        <v>198.74</v>
      </c>
      <c r="L134" s="2">
        <f t="shared" si="13"/>
        <v>44014</v>
      </c>
      <c r="M134" s="5">
        <f>HAVERD!BA138/HAVERD!BB138</f>
        <v>34.646237766725491</v>
      </c>
      <c r="U134" s="2">
        <v>44166</v>
      </c>
      <c r="V134" s="3">
        <f t="shared" si="17"/>
        <v>5.8372583619694662</v>
      </c>
      <c r="W134" s="3">
        <f>((HAVERM!J270/HAVERM!J258)-1)*100</f>
        <v>-1.4381591562799612</v>
      </c>
      <c r="X134" s="3">
        <f>((HAVERM!K267/HAVERM!K255)-1)*100</f>
        <v>1.2298959318826741</v>
      </c>
      <c r="Y134" s="18">
        <v>0</v>
      </c>
      <c r="Z134" s="3">
        <f>HAVERM!H270/HAVERM!I270</f>
        <v>80.777248362120318</v>
      </c>
      <c r="AA134" s="3">
        <f t="shared" si="18"/>
        <v>132.6351466172755</v>
      </c>
      <c r="AJ134" s="2">
        <f t="shared" si="14"/>
        <v>44014</v>
      </c>
      <c r="AK134" s="2"/>
      <c r="AL134" s="3">
        <f>IF(HAVERD!H138="",AL133,AVERAGE(HAVERD!H138:Q138))</f>
        <v>33.249000000000002</v>
      </c>
    </row>
    <row r="135" spans="8:38" x14ac:dyDescent="0.35">
      <c r="H135" s="2">
        <f t="shared" si="19"/>
        <v>44760</v>
      </c>
      <c r="I135" s="5">
        <f>HAVERW!C140</f>
        <v>188.92</v>
      </c>
      <c r="J135" s="5">
        <f>HAVERW!D140</f>
        <v>197.53</v>
      </c>
      <c r="L135" s="2">
        <f t="shared" si="13"/>
        <v>44015</v>
      </c>
      <c r="M135" s="5">
        <f>HAVERD!BA139/HAVERD!BB139</f>
        <v>34.424125761950599</v>
      </c>
      <c r="U135" s="2">
        <v>44197</v>
      </c>
      <c r="V135" s="3">
        <f t="shared" si="17"/>
        <v>8.6647649649715284</v>
      </c>
      <c r="W135" s="3">
        <f>((HAVERM!J271/HAVERM!J259)-1)*100</f>
        <v>-0.67243035542746687</v>
      </c>
      <c r="X135" s="3">
        <f>((HAVERM!K268/HAVERM!K256)-1)*100</f>
        <v>0.94607379375590828</v>
      </c>
      <c r="Y135" s="18">
        <v>0</v>
      </c>
      <c r="Z135" s="3">
        <f>HAVERM!H271/HAVERM!I271</f>
        <v>83.253869287757652</v>
      </c>
      <c r="AA135" s="3">
        <f t="shared" si="18"/>
        <v>136.70172459867356</v>
      </c>
      <c r="AJ135" s="2">
        <f t="shared" si="14"/>
        <v>44015</v>
      </c>
      <c r="AK135" s="2"/>
      <c r="AL135" s="3">
        <f>IF(HAVERD!H139="",AL134,AVERAGE(HAVERD!H139:Q139))</f>
        <v>33.537999999999997</v>
      </c>
    </row>
    <row r="136" spans="8:38" x14ac:dyDescent="0.35">
      <c r="H136" s="2">
        <f t="shared" si="19"/>
        <v>44767</v>
      </c>
      <c r="I136" s="5">
        <f>HAVERW!C141</f>
        <v>186.6</v>
      </c>
      <c r="J136" s="5">
        <f>HAVERW!D141</f>
        <v>195.88</v>
      </c>
      <c r="L136" s="2">
        <f t="shared" si="13"/>
        <v>44018</v>
      </c>
      <c r="M136" s="5">
        <f>HAVERD!BA140/HAVERD!BB140</f>
        <v>34.15940522823567</v>
      </c>
      <c r="U136" s="2">
        <v>44228</v>
      </c>
      <c r="V136" s="3">
        <f t="shared" si="17"/>
        <v>6.6750723608827167</v>
      </c>
      <c r="W136" s="3">
        <f>((HAVERM!J272/HAVERM!J260)-1)*100</f>
        <v>-0.67114093959731447</v>
      </c>
      <c r="X136" s="3">
        <f>((HAVERM!K269/HAVERM!K257)-1)*100</f>
        <v>1.802656546489545</v>
      </c>
      <c r="Y136" s="18">
        <v>0</v>
      </c>
      <c r="Z136" s="3">
        <f>HAVERM!H272/HAVERM!I272</f>
        <v>83.994232155731794</v>
      </c>
      <c r="AA136" s="3">
        <f t="shared" si="18"/>
        <v>137.91739038990625</v>
      </c>
      <c r="AJ136" s="2">
        <f t="shared" si="14"/>
        <v>44018</v>
      </c>
      <c r="AK136" s="2"/>
      <c r="AL136" s="3">
        <f>IF(HAVERD!H140="",AL135,AVERAGE(HAVERD!H140:Q140))</f>
        <v>34.692999999999998</v>
      </c>
    </row>
    <row r="137" spans="8:38" x14ac:dyDescent="0.35">
      <c r="H137" s="2">
        <f t="shared" si="19"/>
        <v>44774</v>
      </c>
      <c r="I137" s="5">
        <f>HAVERW!C142</f>
        <v>182.77</v>
      </c>
      <c r="J137" s="5">
        <f>HAVERW!D142</f>
        <v>193.04</v>
      </c>
      <c r="L137" s="2">
        <f t="shared" ref="L137:L200" si="20">+L132+7</f>
        <v>44019</v>
      </c>
      <c r="M137" s="5">
        <f>HAVERD!BA141/HAVERD!BB141</f>
        <v>34.417495029821076</v>
      </c>
      <c r="U137" s="2">
        <v>44256</v>
      </c>
      <c r="V137" s="3">
        <f t="shared" si="17"/>
        <v>8.9973318305312411</v>
      </c>
      <c r="W137" s="3">
        <f>((HAVERM!J273/HAVERM!J261)-1)*100</f>
        <v>-1.4354066985645897</v>
      </c>
      <c r="X137" s="3">
        <f>((HAVERM!K270/HAVERM!K258)-1)*100</f>
        <v>1.4177693761814769</v>
      </c>
      <c r="Y137" s="18">
        <v>0</v>
      </c>
      <c r="Z137" s="3">
        <f>HAVERM!H273/HAVERM!I273</f>
        <v>85.936936286889392</v>
      </c>
      <c r="AA137" s="3">
        <f t="shared" si="18"/>
        <v>141.10728423371421</v>
      </c>
      <c r="AJ137" s="2">
        <f t="shared" ref="AJ137:AJ200" si="21">+AJ132+7</f>
        <v>44019</v>
      </c>
      <c r="AK137" s="2"/>
      <c r="AL137" s="3">
        <f>IF(HAVERD!H141="",AL136,AVERAGE(HAVERD!H141:Q141))</f>
        <v>34.823</v>
      </c>
    </row>
    <row r="138" spans="8:38" x14ac:dyDescent="0.35">
      <c r="H138" s="2">
        <f t="shared" si="19"/>
        <v>44781</v>
      </c>
      <c r="I138" s="5">
        <f>HAVERW!C143</f>
        <v>177.64</v>
      </c>
      <c r="J138" s="5">
        <f>HAVERW!D143</f>
        <v>188.49</v>
      </c>
      <c r="L138" s="2">
        <f t="shared" si="20"/>
        <v>44020</v>
      </c>
      <c r="M138" s="5">
        <f>HAVERD!BA142/HAVERD!BB142</f>
        <v>34.669736424261671</v>
      </c>
      <c r="U138" s="2">
        <v>44287</v>
      </c>
      <c r="V138" s="3">
        <f t="shared" si="17"/>
        <v>3.8085035787078558</v>
      </c>
      <c r="W138" s="3">
        <f>((HAVERM!J274/HAVERM!J262)-1)*100</f>
        <v>-0.38387715930903177</v>
      </c>
      <c r="X138" s="3">
        <f>((HAVERM!K271/HAVERM!K259)-1)*100</f>
        <v>1.5065913370998052</v>
      </c>
      <c r="Y138" s="18">
        <v>0</v>
      </c>
      <c r="Z138" s="3">
        <f>HAVERM!H274/HAVERM!I274</f>
        <v>88.209796272214987</v>
      </c>
      <c r="AA138" s="3">
        <f t="shared" si="18"/>
        <v>144.83928951375006</v>
      </c>
      <c r="AJ138" s="2">
        <f t="shared" si="21"/>
        <v>44020</v>
      </c>
      <c r="AK138" s="2"/>
      <c r="AL138" s="3">
        <f>IF(HAVERD!H142="",AL137,AVERAGE(HAVERD!H142:Q142))</f>
        <v>34.750999999999998</v>
      </c>
    </row>
    <row r="139" spans="8:38" x14ac:dyDescent="0.35">
      <c r="H139" s="2">
        <f t="shared" si="19"/>
        <v>44788</v>
      </c>
      <c r="I139" s="5">
        <f>HAVERW!C144</f>
        <v>174.19</v>
      </c>
      <c r="J139" s="5">
        <f>HAVERW!D144</f>
        <v>185.16</v>
      </c>
      <c r="L139" s="2">
        <f t="shared" si="20"/>
        <v>44021</v>
      </c>
      <c r="M139" s="5">
        <f>HAVERD!BA143/HAVERD!BB143</f>
        <v>33.571145461751883</v>
      </c>
      <c r="U139" s="2">
        <v>44317</v>
      </c>
      <c r="V139" s="3">
        <f t="shared" si="17"/>
        <v>1.0735850033659622</v>
      </c>
      <c r="W139" s="3">
        <f>((HAVERM!J275/HAVERM!J263)-1)*100</f>
        <v>-1.2404580152671763</v>
      </c>
      <c r="X139" s="3">
        <f>((HAVERM!K272/HAVERM!K260)-1)*100</f>
        <v>1.8796992481203034</v>
      </c>
      <c r="Y139" s="18">
        <v>0</v>
      </c>
      <c r="Z139" s="3">
        <f>HAVERM!H275/HAVERM!I275</f>
        <v>91.121992761337026</v>
      </c>
      <c r="AA139" s="3">
        <f t="shared" si="18"/>
        <v>149.62107666477348</v>
      </c>
      <c r="AJ139" s="2">
        <f t="shared" si="21"/>
        <v>44021</v>
      </c>
      <c r="AK139" s="2"/>
      <c r="AL139" s="3">
        <f>IF(HAVERD!H143="",AL138,AVERAGE(HAVERD!H143:Q143))</f>
        <v>34.509</v>
      </c>
    </row>
    <row r="140" spans="8:38" x14ac:dyDescent="0.35">
      <c r="H140" s="2">
        <f t="shared" si="19"/>
        <v>44795</v>
      </c>
      <c r="I140" s="5">
        <f>HAVERW!C145</f>
        <v>171.14</v>
      </c>
      <c r="J140" s="5">
        <f>HAVERW!D145</f>
        <v>182.92</v>
      </c>
      <c r="L140" s="2">
        <f t="shared" si="20"/>
        <v>44022</v>
      </c>
      <c r="M140" s="5">
        <f>HAVERD!BA144/HAVERD!BB144</f>
        <v>34.173116411309429</v>
      </c>
      <c r="U140" s="2">
        <v>44348</v>
      </c>
      <c r="V140" s="3">
        <f t="shared" si="17"/>
        <v>-1.2188902847276806</v>
      </c>
      <c r="W140" s="3">
        <f>((HAVERM!J276/HAVERM!J264)-1)*100</f>
        <v>-0.57581573896353655</v>
      </c>
      <c r="X140" s="3">
        <f>((HAVERM!K273/HAVERM!K261)-1)*100</f>
        <v>1.7773620205799645</v>
      </c>
      <c r="Y140" s="18">
        <v>0</v>
      </c>
      <c r="Z140" s="3">
        <f>HAVERM!H276/HAVERM!I276</f>
        <v>89.399016183075503</v>
      </c>
      <c r="AA140" s="3">
        <f t="shared" si="18"/>
        <v>146.79197248371284</v>
      </c>
      <c r="AJ140" s="2">
        <f t="shared" si="21"/>
        <v>44022</v>
      </c>
      <c r="AK140" s="2"/>
      <c r="AL140" s="3">
        <f>IF(HAVERD!H144="",AL139,AVERAGE(HAVERD!H144:Q144))</f>
        <v>34.109000000000002</v>
      </c>
    </row>
    <row r="141" spans="8:38" x14ac:dyDescent="0.35">
      <c r="H141" s="2">
        <f t="shared" si="19"/>
        <v>44802</v>
      </c>
      <c r="I141" s="5">
        <f>HAVERW!C146</f>
        <v>170.12</v>
      </c>
      <c r="J141" s="5">
        <f>HAVERW!D146</f>
        <v>183.2</v>
      </c>
      <c r="L141" s="2">
        <f t="shared" si="20"/>
        <v>44025</v>
      </c>
      <c r="M141" s="5">
        <f>HAVERD!BA145/HAVERD!BB145</f>
        <v>33.956731912195899</v>
      </c>
      <c r="U141" s="2">
        <v>44378</v>
      </c>
      <c r="V141" s="3">
        <f t="shared" si="17"/>
        <v>-3.0923410373613125</v>
      </c>
      <c r="W141" s="3">
        <f>((HAVERM!J277/HAVERM!J265)-1)*100</f>
        <v>-0.57747834456208791</v>
      </c>
      <c r="X141" s="3">
        <f>((HAVERM!K274/HAVERM!K262)-1)*100</f>
        <v>2.0618556701030855</v>
      </c>
      <c r="Y141" s="18">
        <v>0</v>
      </c>
      <c r="Z141" s="3">
        <f>HAVERM!H277/HAVERM!I277</f>
        <v>90.099225030781483</v>
      </c>
      <c r="AA141" s="3">
        <f t="shared" si="18"/>
        <v>147.94170591808108</v>
      </c>
      <c r="AJ141" s="2">
        <f t="shared" si="21"/>
        <v>44025</v>
      </c>
      <c r="AK141" s="2"/>
      <c r="AL141" s="3">
        <f>IF(HAVERD!H145="",AL140,AVERAGE(HAVERD!H145:Q145))</f>
        <v>34.33</v>
      </c>
    </row>
    <row r="142" spans="8:38" x14ac:dyDescent="0.35">
      <c r="H142" s="2">
        <f t="shared" si="19"/>
        <v>44809</v>
      </c>
      <c r="I142" s="5">
        <f>HAVERW!C147</f>
        <v>168.93</v>
      </c>
      <c r="J142" s="5">
        <f>HAVERW!D147</f>
        <v>182.82</v>
      </c>
      <c r="L142" s="2">
        <f t="shared" si="20"/>
        <v>44026</v>
      </c>
      <c r="M142" s="5">
        <f>HAVERD!BA146/HAVERD!BB146</f>
        <v>34.293695131683961</v>
      </c>
      <c r="U142" s="2">
        <v>44409</v>
      </c>
      <c r="V142" s="3">
        <f t="shared" si="17"/>
        <v>-5.5217886536495282</v>
      </c>
      <c r="W142" s="3">
        <f>((HAVERM!J278/HAVERM!J266)-1)*100</f>
        <v>0.28818443804035088</v>
      </c>
      <c r="X142" s="3">
        <f>((HAVERM!K275/HAVERM!K263)-1)*100</f>
        <v>2.5328330206378924</v>
      </c>
      <c r="Y142" s="18">
        <v>0</v>
      </c>
      <c r="Z142" s="3">
        <f>HAVERM!H278/HAVERM!I278</f>
        <v>92.760344952532805</v>
      </c>
      <c r="AA142" s="3">
        <f t="shared" si="18"/>
        <v>152.31122874962574</v>
      </c>
      <c r="AJ142" s="2">
        <f t="shared" si="21"/>
        <v>44026</v>
      </c>
      <c r="AK142" s="2"/>
      <c r="AL142" s="3">
        <f>IF(HAVERD!H146="",AL141,AVERAGE(HAVERD!H146:Q146))</f>
        <v>34.186999999999998</v>
      </c>
    </row>
    <row r="143" spans="8:38" x14ac:dyDescent="0.35">
      <c r="H143" s="2">
        <f t="shared" si="19"/>
        <v>44816</v>
      </c>
      <c r="I143" s="5">
        <f>HAVERW!C148</f>
        <v>167.61</v>
      </c>
      <c r="J143" s="5">
        <f>HAVERW!D148</f>
        <v>182.22</v>
      </c>
      <c r="L143" s="2">
        <f t="shared" si="20"/>
        <v>44027</v>
      </c>
      <c r="M143" s="5">
        <f>HAVERD!BA147/HAVERD!BB147</f>
        <v>34.825318862394042</v>
      </c>
      <c r="U143" s="2">
        <v>44440</v>
      </c>
      <c r="V143" s="3">
        <f t="shared" si="17"/>
        <v>0.16210362706658987</v>
      </c>
      <c r="W143" s="3">
        <f>((HAVERM!J279/HAVERM!J267)-1)*100</f>
        <v>0.77369439071566237</v>
      </c>
      <c r="X143" s="3">
        <f>((HAVERM!K276/HAVERM!K264)-1)*100</f>
        <v>2.8116213683224034</v>
      </c>
      <c r="Y143" s="18">
        <v>0</v>
      </c>
      <c r="Z143" s="3">
        <f>HAVERM!H279/HAVERM!I279</f>
        <v>94.007136095536296</v>
      </c>
      <c r="AA143" s="3">
        <f t="shared" si="18"/>
        <v>154.35844290220558</v>
      </c>
      <c r="AJ143" s="2">
        <f t="shared" si="21"/>
        <v>44027</v>
      </c>
      <c r="AK143" s="2"/>
      <c r="AL143" s="3">
        <f>IF(HAVERD!H147="",AL142,AVERAGE(HAVERD!H147:Q147))</f>
        <v>34.216999999999999</v>
      </c>
    </row>
    <row r="144" spans="8:38" x14ac:dyDescent="0.35">
      <c r="H144" s="2">
        <f t="shared" si="19"/>
        <v>44823</v>
      </c>
      <c r="I144" s="5">
        <f>HAVERW!C149</f>
        <v>165.47</v>
      </c>
      <c r="J144" s="5">
        <f>HAVERW!D149</f>
        <v>181.13</v>
      </c>
      <c r="L144" s="2">
        <f t="shared" si="20"/>
        <v>44028</v>
      </c>
      <c r="M144" s="5">
        <f>HAVERD!BA148/HAVERD!BB148</f>
        <v>34.698737794713026</v>
      </c>
      <c r="U144" s="2">
        <v>44470</v>
      </c>
      <c r="V144" s="3">
        <f t="shared" si="17"/>
        <v>3.8559552520114115</v>
      </c>
      <c r="W144" s="3">
        <f>((HAVERM!J280/HAVERM!J268)-1)*100</f>
        <v>1.2572533849129597</v>
      </c>
      <c r="X144" s="3">
        <f>((HAVERM!K277/HAVERM!K265)-1)*100</f>
        <v>2.9053420805998043</v>
      </c>
      <c r="Y144" s="18">
        <v>0</v>
      </c>
      <c r="Z144" s="3">
        <f>HAVERM!H280/HAVERM!I280</f>
        <v>97.327686915887867</v>
      </c>
      <c r="AA144" s="3">
        <f t="shared" si="18"/>
        <v>159.81074232856207</v>
      </c>
      <c r="AJ144" s="2">
        <f t="shared" si="21"/>
        <v>44028</v>
      </c>
      <c r="AK144" s="2"/>
      <c r="AL144" s="3">
        <f>IF(HAVERD!H148="",AL143,AVERAGE(HAVERD!H148:Q148))</f>
        <v>33.875999999999998</v>
      </c>
    </row>
    <row r="145" spans="8:38" x14ac:dyDescent="0.35">
      <c r="H145" s="2">
        <f t="shared" si="19"/>
        <v>44830</v>
      </c>
      <c r="I145" s="5">
        <f>HAVERW!C150</f>
        <v>164</v>
      </c>
      <c r="J145" s="5">
        <f>HAVERW!D150</f>
        <v>180.46</v>
      </c>
      <c r="L145" s="2">
        <f t="shared" si="20"/>
        <v>44029</v>
      </c>
      <c r="M145" s="5">
        <f>HAVERD!BA149/HAVERD!BB149</f>
        <v>34.723994894703253</v>
      </c>
      <c r="U145" s="2">
        <v>44501</v>
      </c>
      <c r="V145" s="3">
        <f t="shared" si="17"/>
        <v>4.7981945635507284</v>
      </c>
      <c r="W145" s="3">
        <f>((HAVERM!J281/HAVERM!J269)-1)*100</f>
        <v>2.5218234723569433</v>
      </c>
      <c r="X145" s="3">
        <f>((HAVERM!K278/HAVERM!K266)-1)*100</f>
        <v>2.9026217228464546</v>
      </c>
      <c r="Y145" s="18">
        <v>0</v>
      </c>
      <c r="Z145" s="3">
        <f>HAVERM!H281/HAVERM!I281</f>
        <v>100.68411659726354</v>
      </c>
      <c r="AA145" s="3">
        <f t="shared" si="18"/>
        <v>165.32195435826773</v>
      </c>
      <c r="AJ145" s="2">
        <f t="shared" si="21"/>
        <v>44029</v>
      </c>
      <c r="AK145" s="2"/>
      <c r="AL145" s="3">
        <f>IF(HAVERD!H149="",AL144,AVERAGE(HAVERD!H149:Q149))</f>
        <v>33.719000000000008</v>
      </c>
    </row>
    <row r="146" spans="8:38" x14ac:dyDescent="0.35">
      <c r="H146" s="2">
        <f t="shared" si="19"/>
        <v>44837</v>
      </c>
      <c r="I146" s="5">
        <f>HAVERW!C151</f>
        <v>162.66999999999999</v>
      </c>
      <c r="J146" s="5">
        <f>HAVERW!D151</f>
        <v>180.04</v>
      </c>
      <c r="L146" s="2">
        <f t="shared" si="20"/>
        <v>44032</v>
      </c>
      <c r="M146" s="5">
        <f>HAVERD!BA150/HAVERD!BB150</f>
        <v>34.23736854590021</v>
      </c>
      <c r="U146" s="2">
        <v>44531</v>
      </c>
      <c r="V146" s="3">
        <f t="shared" si="17"/>
        <v>5.0424773343921592</v>
      </c>
      <c r="W146" s="3">
        <f>((HAVERM!J282/HAVERM!J270)-1)*100</f>
        <v>4.182879377431914</v>
      </c>
      <c r="X146" s="3">
        <f>((HAVERM!K279/HAVERM!K267)-1)*100</f>
        <v>3.0841121495327029</v>
      </c>
      <c r="Y146" s="18">
        <v>0</v>
      </c>
      <c r="Z146" s="3">
        <f>HAVERM!H282/HAVERM!I282</f>
        <v>100.51875798812118</v>
      </c>
      <c r="AA146" s="3">
        <f t="shared" si="18"/>
        <v>165.05043776401951</v>
      </c>
      <c r="AJ146" s="2">
        <f t="shared" si="21"/>
        <v>44032</v>
      </c>
      <c r="AK146" s="2"/>
      <c r="AL146" s="3">
        <f>IF(HAVERD!H150="",AL145,AVERAGE(HAVERD!H150:Q150))</f>
        <v>32.155000000000001</v>
      </c>
    </row>
    <row r="147" spans="8:38" x14ac:dyDescent="0.35">
      <c r="H147" s="2">
        <f t="shared" si="19"/>
        <v>44844</v>
      </c>
      <c r="I147" s="5">
        <f>HAVERW!C152</f>
        <v>162.09</v>
      </c>
      <c r="J147" s="5">
        <f>HAVERW!D152</f>
        <v>180.76</v>
      </c>
      <c r="L147" s="2">
        <f t="shared" si="20"/>
        <v>44033</v>
      </c>
      <c r="M147" s="5">
        <f>HAVERD!BA151/HAVERD!BB151</f>
        <v>34.755667111145975</v>
      </c>
      <c r="U147" s="2">
        <v>44562</v>
      </c>
      <c r="V147" s="3">
        <f t="shared" si="17"/>
        <v>6.1669585814907668</v>
      </c>
      <c r="W147" s="3">
        <f>((HAVERM!J283/HAVERM!J271)-1)*100</f>
        <v>4.2553191489361541</v>
      </c>
      <c r="X147" s="3">
        <f>((HAVERM!K280/HAVERM!K268)-1)*100</f>
        <v>3.9362699156513692</v>
      </c>
      <c r="Y147" s="18">
        <v>0</v>
      </c>
      <c r="Z147" s="3">
        <f>HAVERM!H283/HAVERM!I283</f>
        <v>100.06636678711008</v>
      </c>
      <c r="AA147" s="3">
        <f t="shared" si="18"/>
        <v>164.30761754556539</v>
      </c>
      <c r="AJ147" s="2">
        <f t="shared" si="21"/>
        <v>44033</v>
      </c>
      <c r="AK147" s="2"/>
      <c r="AL147" s="3">
        <f>IF(HAVERD!H151="",AL146,AVERAGE(HAVERD!H151:Q151))</f>
        <v>31.992000000000001</v>
      </c>
    </row>
    <row r="148" spans="8:38" x14ac:dyDescent="0.35">
      <c r="H148" s="2">
        <f t="shared" si="19"/>
        <v>44851</v>
      </c>
      <c r="I148" s="5">
        <f>HAVERW!C153</f>
        <v>162.81</v>
      </c>
      <c r="J148" s="5">
        <f>HAVERW!D153</f>
        <v>181.86</v>
      </c>
      <c r="L148" s="2">
        <f t="shared" si="20"/>
        <v>44034</v>
      </c>
      <c r="M148" s="5">
        <f>HAVERD!BA152/HAVERD!BB152</f>
        <v>34.542884071630532</v>
      </c>
      <c r="U148" s="2">
        <v>44593</v>
      </c>
      <c r="V148" s="3">
        <f t="shared" si="17"/>
        <v>9.2684002050017043</v>
      </c>
      <c r="W148" s="3">
        <f>((HAVERM!J284/HAVERM!J272)-1)*100</f>
        <v>5.1158301158301223</v>
      </c>
      <c r="X148" s="3">
        <f>((HAVERM!K281/HAVERM!K269)-1)*100</f>
        <v>4.0074557315936676</v>
      </c>
      <c r="Y148" s="18">
        <v>0</v>
      </c>
      <c r="Z148" s="3">
        <f>HAVERM!H284/HAVERM!I284</f>
        <v>104.6683409661693</v>
      </c>
      <c r="AA148" s="3">
        <f t="shared" si="18"/>
        <v>171.86399675313774</v>
      </c>
      <c r="AJ148" s="2">
        <f t="shared" si="21"/>
        <v>44034</v>
      </c>
      <c r="AK148" s="2"/>
      <c r="AL148" s="3">
        <f>IF(HAVERD!H152="",AL147,AVERAGE(HAVERD!H152:Q152))</f>
        <v>31.958999999999996</v>
      </c>
    </row>
    <row r="149" spans="8:38" x14ac:dyDescent="0.35">
      <c r="H149" s="2">
        <f t="shared" si="19"/>
        <v>44858</v>
      </c>
      <c r="I149" s="5">
        <f>HAVERW!C154</f>
        <v>164.62</v>
      </c>
      <c r="J149" s="5">
        <f>HAVERW!D154</f>
        <v>187.3</v>
      </c>
      <c r="L149" s="2">
        <f t="shared" si="20"/>
        <v>44035</v>
      </c>
      <c r="M149" s="5">
        <f>HAVERD!BA153/HAVERD!BB153</f>
        <v>33.704691667974267</v>
      </c>
      <c r="U149" s="2">
        <v>44621</v>
      </c>
      <c r="V149" s="3">
        <f t="shared" si="17"/>
        <v>11.609693303687019</v>
      </c>
      <c r="W149" s="3">
        <f>((HAVERM!J285/HAVERM!J273)-1)*100</f>
        <v>5.8252427184465994</v>
      </c>
      <c r="X149" s="3">
        <f>((HAVERM!K282/HAVERM!K270)-1)*100</f>
        <v>4.5666356011183629</v>
      </c>
      <c r="Y149" s="18">
        <v>0</v>
      </c>
      <c r="Z149" s="3">
        <f>HAVERM!H285/HAVERM!I285</f>
        <v>121.61238897745388</v>
      </c>
      <c r="AA149" s="3">
        <f t="shared" si="18"/>
        <v>199.68589385703527</v>
      </c>
      <c r="AJ149" s="2">
        <f t="shared" si="21"/>
        <v>44035</v>
      </c>
      <c r="AK149" s="2"/>
      <c r="AL149" s="3">
        <f>IF(HAVERD!H153="",AL148,AVERAGE(HAVERD!H153:Q153))</f>
        <v>32.107999999999997</v>
      </c>
    </row>
    <row r="150" spans="8:38" x14ac:dyDescent="0.35">
      <c r="H150" s="2">
        <f t="shared" si="19"/>
        <v>44865</v>
      </c>
      <c r="I150" s="5">
        <f>HAVERW!C155</f>
        <v>165.87</v>
      </c>
      <c r="J150" s="5">
        <f>HAVERW!D155</f>
        <v>189.77</v>
      </c>
      <c r="L150" s="2">
        <f t="shared" si="20"/>
        <v>44036</v>
      </c>
      <c r="M150" s="5">
        <f>HAVERD!BA154/HAVERD!BB154</f>
        <v>33.849401829697399</v>
      </c>
      <c r="U150" s="2">
        <v>44652</v>
      </c>
      <c r="V150" s="3">
        <f t="shared" si="17"/>
        <v>18.472248023613446</v>
      </c>
      <c r="W150" s="3">
        <f>((HAVERM!J286/HAVERM!J274)-1)*100</f>
        <v>6.6473988439306408</v>
      </c>
      <c r="X150" s="3">
        <f>((HAVERM!K283/HAVERM!K271)-1)*100</f>
        <v>5.3803339517625171</v>
      </c>
      <c r="Y150" s="18">
        <v>0</v>
      </c>
      <c r="Z150" s="3">
        <f>HAVERM!H286/HAVERM!I286</f>
        <v>122.9387628706356</v>
      </c>
      <c r="AA150" s="3">
        <f t="shared" si="18"/>
        <v>201.86378180640963</v>
      </c>
      <c r="AJ150" s="2">
        <f t="shared" si="21"/>
        <v>44036</v>
      </c>
      <c r="AK150" s="2"/>
      <c r="AL150" s="3">
        <f>IF(HAVERD!H154="",AL149,AVERAGE(HAVERD!H154:Q154))</f>
        <v>31.506999999999998</v>
      </c>
    </row>
    <row r="151" spans="8:38" x14ac:dyDescent="0.35">
      <c r="H151" s="2">
        <f t="shared" si="19"/>
        <v>44872</v>
      </c>
      <c r="I151" s="5">
        <f>HAVERW!C156</f>
        <v>165.62</v>
      </c>
      <c r="J151" s="5">
        <f>HAVERW!D156</f>
        <v>189.79</v>
      </c>
      <c r="L151" s="2">
        <f t="shared" si="20"/>
        <v>44039</v>
      </c>
      <c r="M151" s="5">
        <f>HAVERD!BA155/HAVERD!BB155</f>
        <v>33.648701046917409</v>
      </c>
      <c r="U151" s="2">
        <v>44682</v>
      </c>
      <c r="V151" s="3">
        <f t="shared" si="17"/>
        <v>22.894792868908475</v>
      </c>
      <c r="W151" s="3">
        <f>((HAVERM!J287/HAVERM!J275)-1)*100</f>
        <v>8.599033816425127</v>
      </c>
      <c r="X151" s="3">
        <f>((HAVERM!K284/HAVERM!K272)-1)*100</f>
        <v>5.8118081180811743</v>
      </c>
      <c r="Y151" s="18">
        <v>0</v>
      </c>
      <c r="Z151" s="3">
        <f>HAVERM!H287/HAVERM!I287</f>
        <v>127.54158964879852</v>
      </c>
      <c r="AA151" s="3">
        <f t="shared" si="18"/>
        <v>209.42156097015064</v>
      </c>
      <c r="AJ151" s="2">
        <f t="shared" si="21"/>
        <v>44039</v>
      </c>
      <c r="AK151" s="2"/>
      <c r="AL151" s="3">
        <f>IF(HAVERD!H155="",AL150,AVERAGE(HAVERD!H155:Q155))</f>
        <v>30.746000000000002</v>
      </c>
    </row>
    <row r="152" spans="8:38" x14ac:dyDescent="0.35">
      <c r="H152" s="2">
        <f t="shared" si="19"/>
        <v>44879</v>
      </c>
      <c r="I152" s="5">
        <f>HAVERW!C157</f>
        <v>164.4</v>
      </c>
      <c r="J152" s="5">
        <f>HAVERW!D157</f>
        <v>188.85</v>
      </c>
      <c r="L152" s="2">
        <f t="shared" si="20"/>
        <v>44040</v>
      </c>
      <c r="M152" s="5">
        <f>HAVERD!BA156/HAVERD!BB156</f>
        <v>33.297288947246464</v>
      </c>
      <c r="U152" s="2">
        <v>44713</v>
      </c>
      <c r="V152" s="3">
        <f t="shared" si="17"/>
        <v>20.280566778647003</v>
      </c>
      <c r="W152" s="3">
        <f>((HAVERM!J288/HAVERM!J276)-1)*100</f>
        <v>9.7490347490347684</v>
      </c>
      <c r="X152" s="3">
        <f>((HAVERM!K285/HAVERM!K273)-1)*100</f>
        <v>6.3419117647058876</v>
      </c>
      <c r="Y152" s="18">
        <v>0</v>
      </c>
      <c r="Z152" s="3">
        <f>HAVERM!H288/HAVERM!I288</f>
        <v>126.68836452400323</v>
      </c>
      <c r="AA152" s="3">
        <f t="shared" si="18"/>
        <v>208.02057688342558</v>
      </c>
      <c r="AJ152" s="2">
        <f t="shared" si="21"/>
        <v>44040</v>
      </c>
      <c r="AK152" s="2"/>
      <c r="AL152" s="3">
        <f>IF(HAVERD!H156="",AL151,AVERAGE(HAVERD!H156:Q156))</f>
        <v>31.193999999999999</v>
      </c>
    </row>
    <row r="153" spans="8:38" x14ac:dyDescent="0.35">
      <c r="H153" s="2">
        <f t="shared" si="19"/>
        <v>44886</v>
      </c>
      <c r="I153" s="5">
        <f>HAVERW!C158</f>
        <v>163.28</v>
      </c>
      <c r="J153" s="5">
        <f>HAVERW!D158</f>
        <v>187.57</v>
      </c>
      <c r="L153" s="2">
        <f t="shared" si="20"/>
        <v>44041</v>
      </c>
      <c r="M153" s="5">
        <f>HAVERD!BA157/HAVERD!BB157</f>
        <v>33.556995218263147</v>
      </c>
      <c r="U153" s="2">
        <v>44743</v>
      </c>
      <c r="V153" s="3">
        <f t="shared" si="17"/>
        <v>21.902906702094647</v>
      </c>
      <c r="W153" s="3">
        <f>((HAVERM!J289/HAVERM!J277)-1)*100</f>
        <v>12.584704743465625</v>
      </c>
      <c r="X153" s="3">
        <f>((HAVERM!K286/HAVERM!K274)-1)*100</f>
        <v>8.2644628099173509</v>
      </c>
      <c r="Y153" s="18">
        <v>0</v>
      </c>
      <c r="Z153" s="3">
        <f>HAVERM!H289/HAVERM!I289</f>
        <v>118.10826591041787</v>
      </c>
      <c r="AA153" s="3">
        <f t="shared" si="18"/>
        <v>193.93217129053042</v>
      </c>
      <c r="AJ153" s="2">
        <f t="shared" si="21"/>
        <v>44041</v>
      </c>
      <c r="AK153" s="2"/>
      <c r="AL153" s="3">
        <f>IF(HAVERD!H157="",AL152,AVERAGE(HAVERD!H157:Q157))</f>
        <v>31.661000000000001</v>
      </c>
    </row>
    <row r="154" spans="8:38" x14ac:dyDescent="0.35">
      <c r="H154" s="2">
        <f t="shared" si="19"/>
        <v>44893</v>
      </c>
      <c r="I154" s="5">
        <f>HAVERW!C159</f>
        <v>161.13</v>
      </c>
      <c r="J154" s="5">
        <f>HAVERW!D159</f>
        <v>185.57</v>
      </c>
      <c r="L154" s="2">
        <f t="shared" si="20"/>
        <v>44042</v>
      </c>
      <c r="M154" s="5">
        <f>HAVERD!BA158/HAVERD!BB158</f>
        <v>32.944963973631765</v>
      </c>
      <c r="U154" s="2">
        <v>44774</v>
      </c>
      <c r="V154" s="3">
        <f t="shared" si="17"/>
        <v>27.228034257779044</v>
      </c>
      <c r="W154" s="3">
        <f>((HAVERM!J290/HAVERM!J278)-1)*100</f>
        <v>13.026819923371647</v>
      </c>
      <c r="X154" s="3">
        <f>((HAVERM!K287/HAVERM!K275)-1)*100</f>
        <v>9.7895699908508771</v>
      </c>
      <c r="Y154" s="18">
        <v>0</v>
      </c>
      <c r="Z154" s="3">
        <f>HAVERM!H290/HAVERM!I290</f>
        <v>115.5929660805067</v>
      </c>
      <c r="AA154" s="3">
        <f t="shared" si="18"/>
        <v>189.80208307273071</v>
      </c>
      <c r="AJ154" s="2">
        <f t="shared" si="21"/>
        <v>44042</v>
      </c>
      <c r="AK154" s="2"/>
      <c r="AL154" s="3">
        <f>IF(HAVERD!H158="",AL153,AVERAGE(HAVERD!H158:Q158))</f>
        <v>31.081</v>
      </c>
    </row>
    <row r="155" spans="8:38" x14ac:dyDescent="0.35">
      <c r="H155" s="2">
        <f t="shared" si="19"/>
        <v>44900</v>
      </c>
      <c r="I155" s="5">
        <f>HAVERW!C160</f>
        <v>159.19999999999999</v>
      </c>
      <c r="J155" s="5">
        <f>HAVERW!D160</f>
        <v>183.56</v>
      </c>
      <c r="L155" s="2">
        <f t="shared" si="20"/>
        <v>44043</v>
      </c>
      <c r="M155" s="5">
        <f>HAVERD!BA159/HAVERD!BB159</f>
        <v>32.858448880085326</v>
      </c>
      <c r="U155" s="2">
        <v>44805</v>
      </c>
      <c r="V155" s="3">
        <f t="shared" ref="V155:V186" si="22">((AA143/AA131)-1)*100</f>
        <v>24.408218105594305</v>
      </c>
      <c r="W155" s="3">
        <f>((HAVERM!J291/HAVERM!J279)-1)*100</f>
        <v>14.491362763915539</v>
      </c>
      <c r="X155" s="3">
        <f>((HAVERM!K288/HAVERM!K276)-1)*100</f>
        <v>11.759343664539657</v>
      </c>
      <c r="Y155" s="18">
        <v>0</v>
      </c>
      <c r="Z155" s="3">
        <f>HAVERM!H291/HAVERM!I291</f>
        <v>121.22549885219848</v>
      </c>
      <c r="AA155" s="3">
        <f t="shared" si="18"/>
        <v>199.05062551689596</v>
      </c>
      <c r="AJ155" s="2">
        <f t="shared" si="21"/>
        <v>44043</v>
      </c>
      <c r="AK155" s="2"/>
      <c r="AL155" s="3">
        <f>IF(HAVERD!H159="",AL154,AVERAGE(HAVERD!H159:Q159))</f>
        <v>30.826000000000001</v>
      </c>
    </row>
    <row r="156" spans="8:38" x14ac:dyDescent="0.35">
      <c r="H156" s="2">
        <f t="shared" si="19"/>
        <v>44907</v>
      </c>
      <c r="I156" s="5">
        <f>HAVERW!C161</f>
        <v>155.97</v>
      </c>
      <c r="J156" s="5">
        <f>HAVERW!D161</f>
        <v>179.91</v>
      </c>
      <c r="L156" s="2">
        <f t="shared" si="20"/>
        <v>44046</v>
      </c>
      <c r="M156" s="5">
        <f>HAVERD!BA160/HAVERD!BB160</f>
        <v>33.578882750153468</v>
      </c>
      <c r="U156" s="2">
        <v>44835</v>
      </c>
      <c r="V156" s="3">
        <f t="shared" si="22"/>
        <v>24.758145567897728</v>
      </c>
      <c r="W156" s="3">
        <f>((HAVERM!J292/HAVERM!J280)-1)*100</f>
        <v>16.236867239732568</v>
      </c>
      <c r="X156" s="3">
        <f>((HAVERM!K289/HAVERM!K277)-1)*100</f>
        <v>13.570127504553732</v>
      </c>
      <c r="Y156" s="18">
        <v>0</v>
      </c>
      <c r="Z156" s="3">
        <f>HAVERM!H292/HAVERM!I292</f>
        <v>120.89855841514105</v>
      </c>
      <c r="AA156" s="3">
        <f t="shared" si="18"/>
        <v>198.51379375196839</v>
      </c>
      <c r="AJ156" s="2">
        <f t="shared" si="21"/>
        <v>44046</v>
      </c>
      <c r="AK156" s="2"/>
      <c r="AL156" s="3">
        <f>IF(HAVERD!H160="",AL155,AVERAGE(HAVERD!H160:Q160))</f>
        <v>31.514999999999997</v>
      </c>
    </row>
    <row r="157" spans="8:38" x14ac:dyDescent="0.35">
      <c r="H157" s="2">
        <f t="shared" si="19"/>
        <v>44914</v>
      </c>
      <c r="I157" s="5">
        <f>HAVERW!C162</f>
        <v>154.07</v>
      </c>
      <c r="J157" s="5">
        <f>HAVERW!D162</f>
        <v>177.62</v>
      </c>
      <c r="L157" s="2">
        <f t="shared" si="20"/>
        <v>44047</v>
      </c>
      <c r="M157" s="5">
        <f>HAVERD!BA161/HAVERD!BB161</f>
        <v>33.634069883018576</v>
      </c>
      <c r="U157" s="2">
        <v>44866</v>
      </c>
      <c r="V157" s="3">
        <f t="shared" si="22"/>
        <v>26.041244350716553</v>
      </c>
      <c r="W157" s="3">
        <f>((HAVERM!J293/HAVERM!J281)-1)*100</f>
        <v>16.461684011352883</v>
      </c>
      <c r="X157" s="3">
        <f>((HAVERM!K290/HAVERM!K278)-1)*100</f>
        <v>14.467697907188338</v>
      </c>
      <c r="Y157" s="18">
        <v>0</v>
      </c>
      <c r="Z157" s="3">
        <f>HAVERM!H293/HAVERM!I293</f>
        <v>115.80381471389644</v>
      </c>
      <c r="AA157" s="3">
        <f t="shared" si="18"/>
        <v>190.14829367003071</v>
      </c>
      <c r="AJ157" s="2">
        <f t="shared" si="21"/>
        <v>44047</v>
      </c>
      <c r="AK157" s="2"/>
      <c r="AL157" s="3">
        <f>IF(HAVERD!H161="",AL156,AVERAGE(HAVERD!H161:Q161))</f>
        <v>32.091999999999999</v>
      </c>
    </row>
    <row r="158" spans="8:38" x14ac:dyDescent="0.35">
      <c r="H158" s="2">
        <f t="shared" si="19"/>
        <v>44921</v>
      </c>
      <c r="I158" s="5">
        <f>HAVERW!C163</f>
        <v>151.94</v>
      </c>
      <c r="J158" s="5">
        <f>HAVERW!D163</f>
        <v>175.52</v>
      </c>
      <c r="L158" s="2">
        <f t="shared" si="20"/>
        <v>44048</v>
      </c>
      <c r="M158" s="5">
        <f>HAVERD!BA162/HAVERD!BB162</f>
        <v>34.177889370767708</v>
      </c>
      <c r="U158" s="2">
        <v>44896</v>
      </c>
      <c r="V158" s="3">
        <f t="shared" si="22"/>
        <v>24.439443068796642</v>
      </c>
      <c r="W158" s="3">
        <f>((HAVERM!J294/HAVERM!J282)-1)*100</f>
        <v>16.806722689075638</v>
      </c>
      <c r="X158" s="3">
        <f>((HAVERM!K291/HAVERM!K279)-1)*100</f>
        <v>15.049864007252944</v>
      </c>
      <c r="Y158" s="18">
        <v>0</v>
      </c>
      <c r="Z158" s="3">
        <f>HAVERM!H294/HAVERM!I294</f>
        <v>109.24162836506895</v>
      </c>
      <c r="AA158" s="3">
        <f t="shared" si="18"/>
        <v>179.37327265662896</v>
      </c>
      <c r="AJ158" s="2">
        <f t="shared" si="21"/>
        <v>44048</v>
      </c>
      <c r="AK158" s="2"/>
      <c r="AL158" s="3">
        <f>IF(HAVERD!H162="",AL157,AVERAGE(HAVERD!H162:Q162))</f>
        <v>32.86</v>
      </c>
    </row>
    <row r="159" spans="8:38" x14ac:dyDescent="0.35">
      <c r="H159" s="2">
        <f t="shared" si="19"/>
        <v>44928</v>
      </c>
      <c r="I159" s="5">
        <f>HAVERW!C164</f>
        <v>150.9</v>
      </c>
      <c r="J159" s="5">
        <f>HAVERW!D164</f>
        <v>174.16</v>
      </c>
      <c r="L159" s="2">
        <f t="shared" si="20"/>
        <v>44049</v>
      </c>
      <c r="M159" s="5">
        <f>HAVERD!BA163/HAVERD!BB163</f>
        <v>34.269192726166018</v>
      </c>
      <c r="U159" s="2">
        <v>44927</v>
      </c>
      <c r="V159" s="3">
        <f t="shared" si="22"/>
        <v>20.194253604288235</v>
      </c>
      <c r="W159" s="3">
        <f>((HAVERM!J295/HAVERM!J283)-1)*100</f>
        <v>16.697588126159559</v>
      </c>
      <c r="X159" s="3">
        <f>((HAVERM!K292/HAVERM!K280)-1)*100</f>
        <v>15.509467989179427</v>
      </c>
      <c r="Y159" s="18">
        <v>0</v>
      </c>
      <c r="Z159" s="3">
        <f>HAVERM!H295/HAVERM!I295</f>
        <v>107.41437096378648</v>
      </c>
      <c r="AA159" s="3">
        <f t="shared" si="18"/>
        <v>176.37294077802719</v>
      </c>
      <c r="AJ159" s="2">
        <f t="shared" si="21"/>
        <v>44049</v>
      </c>
      <c r="AK159" s="2"/>
      <c r="AL159" s="3">
        <f>IF(HAVERD!H163="",AL158,AVERAGE(HAVERD!H163:Q163))</f>
        <v>33.128</v>
      </c>
    </row>
    <row r="160" spans="8:38" x14ac:dyDescent="0.35">
      <c r="H160" s="2">
        <f t="shared" si="19"/>
        <v>44935</v>
      </c>
      <c r="I160" s="5">
        <f>HAVERW!C165</f>
        <v>149.97</v>
      </c>
      <c r="J160" s="5">
        <f>HAVERW!D165</f>
        <v>173.16</v>
      </c>
      <c r="L160" s="2">
        <f t="shared" si="20"/>
        <v>44050</v>
      </c>
      <c r="M160" s="5">
        <f>HAVERD!BA164/HAVERD!BB164</f>
        <v>33.767527392536969</v>
      </c>
      <c r="U160" s="2">
        <v>44958</v>
      </c>
      <c r="V160" s="3">
        <f t="shared" si="22"/>
        <v>24.613724394915714</v>
      </c>
      <c r="W160" s="3">
        <f>((HAVERM!J296/HAVERM!J284)-1)*100</f>
        <v>17.998163452708905</v>
      </c>
      <c r="X160" s="3">
        <f>((HAVERM!K293/HAVERM!K281)-1)*100</f>
        <v>15.681003584229391</v>
      </c>
      <c r="Y160" s="18">
        <v>0</v>
      </c>
      <c r="Z160" s="3">
        <f>HAVERM!H296/HAVERM!I296</f>
        <v>108.14165149760053</v>
      </c>
      <c r="AA160" s="3">
        <f t="shared" si="18"/>
        <v>177.56712555394179</v>
      </c>
      <c r="AJ160" s="2">
        <f t="shared" si="21"/>
        <v>44050</v>
      </c>
      <c r="AK160" s="2"/>
      <c r="AL160" s="3">
        <f>IF(HAVERD!H164="",AL159,AVERAGE(HAVERD!H164:Q164))</f>
        <v>32.995999999999995</v>
      </c>
    </row>
    <row r="161" spans="8:38" x14ac:dyDescent="0.35">
      <c r="H161" s="2">
        <f t="shared" si="19"/>
        <v>44942</v>
      </c>
      <c r="I161" s="5">
        <f>HAVERW!C166</f>
        <v>148.79</v>
      </c>
      <c r="J161" s="5">
        <f>HAVERW!D166</f>
        <v>171.64</v>
      </c>
      <c r="L161" s="2">
        <f t="shared" si="20"/>
        <v>44053</v>
      </c>
      <c r="M161" s="5">
        <f>HAVERD!BA165/HAVERD!BB165</f>
        <v>33.761173504469404</v>
      </c>
      <c r="U161" s="2">
        <v>44986</v>
      </c>
      <c r="V161" s="3">
        <f t="shared" si="22"/>
        <v>41.513526350842426</v>
      </c>
      <c r="W161" s="3">
        <f>((HAVERM!J297/HAVERM!J285)-1)*100</f>
        <v>19.174311926605505</v>
      </c>
      <c r="X161" s="3">
        <f>((HAVERM!K294/HAVERM!K282)-1)*100</f>
        <v>15.953654188948295</v>
      </c>
      <c r="Y161" s="18">
        <v>0</v>
      </c>
      <c r="Z161" s="3">
        <f>HAVERM!H297/HAVERM!I297</f>
        <v>105.48001648125258</v>
      </c>
      <c r="AA161" s="3">
        <f t="shared" si="18"/>
        <v>173.19675694405319</v>
      </c>
      <c r="AJ161" s="2">
        <f t="shared" si="21"/>
        <v>44053</v>
      </c>
      <c r="AK161" s="2"/>
      <c r="AL161" s="3">
        <f>IF(HAVERD!H165="",AL160,AVERAGE(HAVERD!H165:Q165))</f>
        <v>32.655000000000008</v>
      </c>
    </row>
    <row r="162" spans="8:38" x14ac:dyDescent="0.35">
      <c r="H162" s="2">
        <f t="shared" si="19"/>
        <v>44949</v>
      </c>
      <c r="I162" s="5">
        <f>HAVERW!C167</f>
        <v>148.21</v>
      </c>
      <c r="J162" s="5">
        <f>HAVERW!D167</f>
        <v>170.86</v>
      </c>
      <c r="L162" s="2">
        <f t="shared" si="20"/>
        <v>44054</v>
      </c>
      <c r="M162" s="5">
        <f>HAVERD!BA166/HAVERD!BB166</f>
        <v>33.376633300221592</v>
      </c>
      <c r="U162" s="2">
        <v>45017</v>
      </c>
      <c r="V162" s="3">
        <f t="shared" si="22"/>
        <v>39.370872699044867</v>
      </c>
      <c r="W162" s="3">
        <f>((HAVERM!J298/HAVERM!J286)-1)*100</f>
        <v>18.970189701897013</v>
      </c>
      <c r="X162" s="3">
        <f>((HAVERM!K295/HAVERM!K283)-1)*100</f>
        <v>15.669014084507049</v>
      </c>
      <c r="Y162" s="18">
        <v>0</v>
      </c>
      <c r="Z162" s="3">
        <f>HAVERM!H298/HAVERM!I298</f>
        <v>103.11596530677802</v>
      </c>
      <c r="AA162" s="3">
        <f t="shared" si="18"/>
        <v>169.31501696782229</v>
      </c>
      <c r="AJ162" s="2">
        <f t="shared" si="21"/>
        <v>44054</v>
      </c>
      <c r="AK162" s="2"/>
      <c r="AL162" s="3">
        <f>IF(HAVERD!H166="",AL161,AVERAGE(HAVERD!H166:Q166))</f>
        <v>32.816000000000003</v>
      </c>
    </row>
    <row r="163" spans="8:38" x14ac:dyDescent="0.35">
      <c r="H163" s="2">
        <f t="shared" si="19"/>
        <v>44956</v>
      </c>
      <c r="I163" s="5">
        <f>HAVERW!C168</f>
        <v>148.18</v>
      </c>
      <c r="J163" s="5">
        <f>HAVERW!D168</f>
        <v>170.56</v>
      </c>
      <c r="L163" s="2">
        <f t="shared" si="20"/>
        <v>44055</v>
      </c>
      <c r="M163" s="5">
        <f>HAVERD!BA167/HAVERD!BB167</f>
        <v>34.530555981007815</v>
      </c>
      <c r="U163" s="2">
        <v>45047</v>
      </c>
      <c r="V163" s="3">
        <f t="shared" si="22"/>
        <v>39.967954808506256</v>
      </c>
      <c r="W163" s="3">
        <f>((HAVERM!J299/HAVERM!J287)-1)*100</f>
        <v>18.238434163701058</v>
      </c>
      <c r="X163" s="3">
        <f>((HAVERM!K296/HAVERM!K284)-1)*100</f>
        <v>15.518744551002616</v>
      </c>
      <c r="Y163" s="18">
        <v>0</v>
      </c>
      <c r="Z163" s="3">
        <f>HAVERM!H299/HAVERM!I299</f>
        <v>99.815601699671291</v>
      </c>
      <c r="AA163" s="3">
        <f t="shared" ref="AA163:AA183" si="23">(Z163/AVERAGE($Z$63:$Z$74))*100</f>
        <v>163.89586467191174</v>
      </c>
      <c r="AJ163" s="2">
        <f t="shared" si="21"/>
        <v>44055</v>
      </c>
      <c r="AK163" s="2"/>
      <c r="AL163" s="3">
        <f>IF(HAVERD!H167="",AL162,AVERAGE(HAVERD!H167:Q167))</f>
        <v>32.823</v>
      </c>
    </row>
    <row r="164" spans="8:38" x14ac:dyDescent="0.35">
      <c r="H164" s="2">
        <f t="shared" si="19"/>
        <v>44963</v>
      </c>
      <c r="I164" s="5">
        <f>HAVERW!C169</f>
        <v>148.34</v>
      </c>
      <c r="J164" s="5">
        <f>HAVERW!D169</f>
        <v>170.36</v>
      </c>
      <c r="L164" s="2">
        <f t="shared" si="20"/>
        <v>44056</v>
      </c>
      <c r="M164" s="5">
        <f>HAVERD!BA168/HAVERD!BB168</f>
        <v>34.262370189370799</v>
      </c>
      <c r="U164" s="2">
        <v>45078</v>
      </c>
      <c r="V164" s="3">
        <f t="shared" si="22"/>
        <v>41.711139487894201</v>
      </c>
      <c r="W164" s="3">
        <f>((HAVERM!J300/HAVERM!J288)-1)*100</f>
        <v>17.326297273526837</v>
      </c>
      <c r="X164" s="3">
        <f>((HAVERM!K297/HAVERM!K285)-1)*100</f>
        <v>15.038893690579069</v>
      </c>
      <c r="Y164" s="18">
        <v>0</v>
      </c>
      <c r="Z164" s="3">
        <f>HAVERM!H300/HAVERM!I300</f>
        <v>97.379463225397842</v>
      </c>
      <c r="AA164" s="3">
        <f t="shared" si="23"/>
        <v>159.8957583267844</v>
      </c>
      <c r="AJ164" s="2">
        <f t="shared" si="21"/>
        <v>44056</v>
      </c>
      <c r="AK164" s="2"/>
      <c r="AL164" s="3">
        <f>IF(HAVERD!H168="",AL163,AVERAGE(HAVERD!H168:Q168))</f>
        <v>33.100999999999992</v>
      </c>
    </row>
    <row r="165" spans="8:38" x14ac:dyDescent="0.35">
      <c r="H165" s="2">
        <f t="shared" si="19"/>
        <v>44970</v>
      </c>
      <c r="I165" s="5">
        <f>HAVERW!C170</f>
        <v>147.97999999999999</v>
      </c>
      <c r="J165" s="5">
        <f>HAVERW!D170</f>
        <v>169.66</v>
      </c>
      <c r="L165" s="2">
        <f t="shared" si="20"/>
        <v>44057</v>
      </c>
      <c r="M165" s="5">
        <f>HAVERD!BA169/HAVERD!BB169</f>
        <v>34.218154080854312</v>
      </c>
      <c r="U165" s="2">
        <v>45108</v>
      </c>
      <c r="V165" s="3">
        <f t="shared" si="22"/>
        <v>31.086883233532102</v>
      </c>
      <c r="W165" s="3">
        <f>((HAVERM!J301/HAVERM!J289)-1)*100</f>
        <v>14.78933791917456</v>
      </c>
      <c r="X165" s="3">
        <f>((HAVERM!K298/HAVERM!K286)-1)*100</f>
        <v>13.570822731128086</v>
      </c>
      <c r="Y165" s="18">
        <v>0</v>
      </c>
      <c r="Z165" s="3">
        <f>HAVERM!H301/HAVERM!I301</f>
        <v>96.576352767642263</v>
      </c>
      <c r="AA165" s="3">
        <f t="shared" si="23"/>
        <v>158.57706184387433</v>
      </c>
      <c r="AJ165" s="2">
        <f t="shared" si="21"/>
        <v>44057</v>
      </c>
      <c r="AK165" s="2"/>
      <c r="AL165" s="3">
        <f>IF(HAVERD!H169="",AL164,AVERAGE(HAVERD!H169:Q169))</f>
        <v>33.694000000000003</v>
      </c>
    </row>
    <row r="166" spans="8:38" x14ac:dyDescent="0.35">
      <c r="H166" s="2">
        <f t="shared" si="19"/>
        <v>44977</v>
      </c>
      <c r="I166" s="5">
        <f>HAVERW!C171</f>
        <v>147.86000000000001</v>
      </c>
      <c r="J166" s="5">
        <f>HAVERW!D171</f>
        <v>169.3</v>
      </c>
      <c r="L166" s="2">
        <f t="shared" si="20"/>
        <v>44060</v>
      </c>
      <c r="M166" s="5">
        <f>HAVERD!BA170/HAVERD!BB170</f>
        <v>34.285059928238795</v>
      </c>
      <c r="U166" s="2">
        <v>45139</v>
      </c>
      <c r="V166" s="3">
        <f t="shared" si="22"/>
        <v>24.614635855071242</v>
      </c>
      <c r="W166" s="3">
        <f>((HAVERM!J302/HAVERM!J290)-1)*100</f>
        <v>13.559322033898313</v>
      </c>
      <c r="X166" s="3">
        <f>((HAVERM!K299/HAVERM!K287)-1)*100</f>
        <v>11.749999999999993</v>
      </c>
      <c r="Y166" s="18">
        <v>0</v>
      </c>
      <c r="Z166" s="3">
        <f>HAVERM!H302/HAVERM!I302</f>
        <v>95.852679625403326</v>
      </c>
      <c r="AA166" s="3">
        <f t="shared" si="23"/>
        <v>157.38880035601639</v>
      </c>
      <c r="AJ166" s="2">
        <f t="shared" si="21"/>
        <v>44060</v>
      </c>
      <c r="AK166" s="2"/>
      <c r="AL166" s="3">
        <f>IF(HAVERD!H170="",AL165,AVERAGE(HAVERD!H170:Q170))</f>
        <v>33.706000000000003</v>
      </c>
    </row>
    <row r="167" spans="8:38" x14ac:dyDescent="0.35">
      <c r="H167" s="2">
        <f t="shared" si="19"/>
        <v>44984</v>
      </c>
      <c r="I167" s="5">
        <f>HAVERW!C172</f>
        <v>147.55000000000001</v>
      </c>
      <c r="J167" s="5">
        <f>HAVERW!D172</f>
        <v>168.56</v>
      </c>
      <c r="L167" s="2">
        <f t="shared" si="20"/>
        <v>44061</v>
      </c>
      <c r="M167" s="5">
        <f>HAVERD!BA171/HAVERD!BB171</f>
        <v>34.288739317855253</v>
      </c>
      <c r="U167" s="2">
        <v>45170</v>
      </c>
      <c r="V167" s="3">
        <f t="shared" si="22"/>
        <v>28.953507028446303</v>
      </c>
      <c r="W167" s="3">
        <f>((HAVERM!J303/HAVERM!J291)-1)*100</f>
        <v>12.154233025984929</v>
      </c>
      <c r="X167" s="3">
        <f>((HAVERM!K300/HAVERM!K288)-1)*100</f>
        <v>9.4616639477977049</v>
      </c>
      <c r="Y167" s="18">
        <v>0</v>
      </c>
      <c r="Z167" s="3">
        <f>HAVERM!H303/HAVERM!I303</f>
        <v>98.232302849301817</v>
      </c>
      <c r="AA167" s="3">
        <f t="shared" si="23"/>
        <v>161.29610942627258</v>
      </c>
      <c r="AJ167" s="2">
        <f t="shared" si="21"/>
        <v>44061</v>
      </c>
      <c r="AK167" s="2"/>
      <c r="AL167" s="3">
        <f>IF(HAVERD!H171="",AL166,AVERAGE(HAVERD!H171:Q171))</f>
        <v>34.034000000000006</v>
      </c>
    </row>
    <row r="168" spans="8:38" x14ac:dyDescent="0.35">
      <c r="H168" s="2">
        <f t="shared" si="19"/>
        <v>44991</v>
      </c>
      <c r="I168" s="5">
        <f>HAVERW!C173</f>
        <v>147.12</v>
      </c>
      <c r="J168" s="5">
        <f>HAVERW!D173</f>
        <v>167.33</v>
      </c>
      <c r="L168" s="2">
        <f t="shared" si="20"/>
        <v>44062</v>
      </c>
      <c r="M168" s="5">
        <f>HAVERD!BA172/HAVERD!BB172</f>
        <v>34.296768320436961</v>
      </c>
      <c r="U168" s="2">
        <v>45200</v>
      </c>
      <c r="V168" s="3">
        <f t="shared" si="22"/>
        <v>24.21805371746224</v>
      </c>
      <c r="W168" s="3">
        <f>((HAVERM!J304/HAVERM!J292)-1)*100</f>
        <v>10.106820049301568</v>
      </c>
      <c r="X168" s="3">
        <f>((HAVERM!K301/HAVERM!K289)-1)*100</f>
        <v>7.5380914194065785</v>
      </c>
      <c r="Y168" s="18">
        <v>0</v>
      </c>
      <c r="Z168" s="3">
        <f>HAVERM!H304/HAVERM!I304</f>
        <v>99.194608809993426</v>
      </c>
      <c r="AA168" s="3">
        <f t="shared" si="23"/>
        <v>162.87620276660061</v>
      </c>
      <c r="AJ168" s="2">
        <f t="shared" si="21"/>
        <v>44062</v>
      </c>
      <c r="AK168" s="2"/>
      <c r="AL168" s="3">
        <f>IF(HAVERD!H172="",AL167,AVERAGE(HAVERD!H172:Q172))</f>
        <v>34.286999999999999</v>
      </c>
    </row>
    <row r="169" spans="8:38" x14ac:dyDescent="0.35">
      <c r="H169" s="2">
        <f t="shared" si="19"/>
        <v>44998</v>
      </c>
      <c r="I169" s="5">
        <f>HAVERW!C174</f>
        <v>146.97</v>
      </c>
      <c r="J169" s="5">
        <f>HAVERW!D174</f>
        <v>167.04</v>
      </c>
      <c r="L169" s="2">
        <f t="shared" si="20"/>
        <v>44063</v>
      </c>
      <c r="M169" s="5">
        <f>HAVERD!BA173/HAVERD!BB173</f>
        <v>33.901399878271455</v>
      </c>
      <c r="U169" s="2">
        <v>45231</v>
      </c>
      <c r="V169" s="3">
        <f t="shared" si="22"/>
        <v>15.016964569607039</v>
      </c>
      <c r="W169" s="3">
        <f>((HAVERM!J305/HAVERM!J293)-1)*100</f>
        <v>9.1795288383428097</v>
      </c>
      <c r="X169" s="3">
        <f>((HAVERM!K302/HAVERM!K290)-1)*100</f>
        <v>6.0413354531001717</v>
      </c>
      <c r="Y169" s="18">
        <v>0</v>
      </c>
      <c r="Z169" s="3">
        <f>HAVERM!H305/HAVERM!I305</f>
        <v>97.023330651649218</v>
      </c>
      <c r="AA169" s="3">
        <f t="shared" si="23"/>
        <v>159.31099346920246</v>
      </c>
      <c r="AJ169" s="2">
        <f t="shared" si="21"/>
        <v>44063</v>
      </c>
      <c r="AK169" s="2"/>
      <c r="AL169" s="3">
        <f>IF(HAVERD!H173="",AL168,AVERAGE(HAVERD!H173:Q173))</f>
        <v>34.289000000000001</v>
      </c>
    </row>
    <row r="170" spans="8:38" x14ac:dyDescent="0.35">
      <c r="H170" s="2">
        <f t="shared" si="19"/>
        <v>45005</v>
      </c>
      <c r="I170" s="5">
        <f>HAVERW!C175</f>
        <v>146.62</v>
      </c>
      <c r="J170" s="5">
        <f>HAVERW!D175</f>
        <v>166.26</v>
      </c>
      <c r="L170" s="2">
        <f t="shared" si="20"/>
        <v>44064</v>
      </c>
      <c r="M170" s="5">
        <f>HAVERD!BA174/HAVERD!BB174</f>
        <v>33.611259848542801</v>
      </c>
      <c r="U170" s="2">
        <v>45261</v>
      </c>
      <c r="V170" s="3">
        <f t="shared" si="22"/>
        <v>8.677853319654627</v>
      </c>
      <c r="W170" s="3">
        <f>((HAVERM!J306/HAVERM!J294)-1)*100</f>
        <v>7.9936051159072763</v>
      </c>
      <c r="X170" s="3">
        <f>((HAVERM!K303/HAVERM!K291)-1)*100</f>
        <v>4.8069345941686326</v>
      </c>
      <c r="Y170" s="18">
        <v>0</v>
      </c>
      <c r="Z170" s="3">
        <f>HAVERM!H306/HAVERM!I306</f>
        <v>94.127874812297463</v>
      </c>
      <c r="AA170" s="3">
        <f t="shared" si="23"/>
        <v>154.5566942381289</v>
      </c>
      <c r="AJ170" s="2">
        <f t="shared" si="21"/>
        <v>44064</v>
      </c>
      <c r="AK170" s="2"/>
      <c r="AL170" s="3">
        <f>IF(HAVERD!H174="",AL169,AVERAGE(HAVERD!H174:Q174))</f>
        <v>33.6</v>
      </c>
    </row>
    <row r="171" spans="8:38" x14ac:dyDescent="0.35">
      <c r="H171" s="2">
        <f t="shared" si="19"/>
        <v>45012</v>
      </c>
      <c r="I171" s="5">
        <f>HAVERW!C176</f>
        <v>146.21</v>
      </c>
      <c r="J171" s="5">
        <f>HAVERW!D176</f>
        <v>165.18</v>
      </c>
      <c r="L171" s="2">
        <f t="shared" si="20"/>
        <v>44067</v>
      </c>
      <c r="M171" s="5">
        <f>HAVERD!BA175/HAVERD!BB175</f>
        <v>33.991278402570579</v>
      </c>
      <c r="U171" s="2">
        <v>45292</v>
      </c>
      <c r="V171" s="3">
        <f t="shared" si="22"/>
        <v>7.3431307767066079</v>
      </c>
      <c r="W171" s="3">
        <f>((HAVERM!J307/HAVERM!J295)-1)*100</f>
        <v>6.9952305246422819</v>
      </c>
      <c r="X171" s="3">
        <f>((HAVERM!K304/HAVERM!K292)-1)*100</f>
        <v>3.7470725995316201</v>
      </c>
      <c r="Y171" s="18">
        <v>0</v>
      </c>
      <c r="Z171" s="3">
        <f>HAVERM!H307/HAVERM!I307</f>
        <v>92.59113455633414</v>
      </c>
      <c r="AA171" s="3">
        <f t="shared" si="23"/>
        <v>152.03338757325434</v>
      </c>
      <c r="AJ171" s="2">
        <f t="shared" si="21"/>
        <v>44067</v>
      </c>
      <c r="AK171" s="2"/>
      <c r="AL171" s="3">
        <f>IF(HAVERD!H175="",AL170,AVERAGE(HAVERD!H175:Q175))</f>
        <v>34.717999999999996</v>
      </c>
    </row>
    <row r="172" spans="8:38" x14ac:dyDescent="0.35">
      <c r="H172" s="2">
        <f t="shared" si="19"/>
        <v>45019</v>
      </c>
      <c r="I172" s="5">
        <f>HAVERW!C177</f>
        <v>145.72</v>
      </c>
      <c r="J172" s="5">
        <f>HAVERW!D177</f>
        <v>163.71</v>
      </c>
      <c r="L172" s="2">
        <f t="shared" si="20"/>
        <v>44068</v>
      </c>
      <c r="M172" s="5">
        <f>HAVERD!BA176/HAVERD!BB176</f>
        <v>35.073944198810793</v>
      </c>
      <c r="U172" s="2">
        <v>45323</v>
      </c>
      <c r="V172" s="3">
        <f t="shared" si="22"/>
        <v>3.3183964696200663</v>
      </c>
      <c r="W172" s="3">
        <f>((HAVERM!J308/HAVERM!J296)-1)*100</f>
        <v>4.9805447470817166</v>
      </c>
      <c r="X172" s="3">
        <f>((HAVERM!K305/HAVERM!K293)-1)*100</f>
        <v>3.2532920216886252</v>
      </c>
      <c r="Y172" s="18">
        <v>0</v>
      </c>
      <c r="Z172" s="3">
        <f>HAVERM!H308/HAVERM!I308</f>
        <v>93.012200919030263</v>
      </c>
      <c r="AA172" s="3">
        <f t="shared" si="23"/>
        <v>152.72477283190341</v>
      </c>
      <c r="AJ172" s="2">
        <f t="shared" si="21"/>
        <v>44068</v>
      </c>
      <c r="AK172" s="2"/>
      <c r="AL172" s="3">
        <f>IF(HAVERD!H176="",AL171,AVERAGE(HAVERD!H176:Q176))</f>
        <v>35.570000000000007</v>
      </c>
    </row>
    <row r="173" spans="8:38" x14ac:dyDescent="0.35">
      <c r="H173" s="2">
        <f t="shared" si="19"/>
        <v>45026</v>
      </c>
      <c r="I173" s="5">
        <f>HAVERW!C178</f>
        <v>145.82</v>
      </c>
      <c r="J173" s="5">
        <f>HAVERW!D178</f>
        <v>162.71</v>
      </c>
      <c r="L173" s="2">
        <f t="shared" si="20"/>
        <v>44069</v>
      </c>
      <c r="M173" s="5">
        <f>HAVERD!BA177/HAVERD!BB177</f>
        <v>34.707799590692034</v>
      </c>
      <c r="U173" s="2">
        <v>45352</v>
      </c>
      <c r="V173" s="3">
        <f t="shared" si="22"/>
        <v>-13.265402178056164</v>
      </c>
      <c r="W173" s="3">
        <f>((HAVERM!J309/HAVERM!J297)-1)*100</f>
        <v>4.0030792917628899</v>
      </c>
      <c r="X173" s="3">
        <f>((HAVERM!K306/HAVERM!K294)-1)*100</f>
        <v>2.5365103766333608</v>
      </c>
      <c r="Y173" s="18">
        <v>0</v>
      </c>
      <c r="Z173" s="3">
        <f>HAVERM!H309/HAVERM!I309</f>
        <v>93.50424661843347</v>
      </c>
      <c r="AA173" s="3">
        <f t="shared" si="23"/>
        <v>153.53270519907409</v>
      </c>
      <c r="AJ173" s="2">
        <f t="shared" si="21"/>
        <v>44069</v>
      </c>
      <c r="AK173" s="2"/>
      <c r="AL173" s="3">
        <f>IF(HAVERD!H177="",AL172,AVERAGE(HAVERD!H177:Q177))</f>
        <v>36.014000000000003</v>
      </c>
    </row>
    <row r="174" spans="8:38" x14ac:dyDescent="0.35">
      <c r="H174" s="2">
        <f t="shared" si="19"/>
        <v>45033</v>
      </c>
      <c r="I174" s="5">
        <f>HAVERW!C179</f>
        <v>145.93</v>
      </c>
      <c r="J174" s="5">
        <f>HAVERW!D179</f>
        <v>162.11000000000001</v>
      </c>
      <c r="L174" s="2">
        <f t="shared" si="20"/>
        <v>44070</v>
      </c>
      <c r="M174" s="5">
        <f>HAVERD!BA178/HAVERD!BB178</f>
        <v>33.998028660247179</v>
      </c>
      <c r="U174" s="2">
        <v>45383</v>
      </c>
      <c r="V174" s="3">
        <f t="shared" si="22"/>
        <v>-16.124123182137794</v>
      </c>
      <c r="W174" s="3">
        <f>((HAVERM!J310/HAVERM!J298)-1)*100</f>
        <v>2.9612756264236983</v>
      </c>
      <c r="X174" s="3">
        <f>((HAVERM!K307/HAVERM!K295)-1)*100</f>
        <v>1.5981735159817267</v>
      </c>
      <c r="Y174" s="18">
        <v>0</v>
      </c>
      <c r="Z174" s="3">
        <f>HAVERM!H310/HAVERM!I310</f>
        <v>95.268542199488493</v>
      </c>
      <c r="AA174" s="3">
        <f t="shared" si="23"/>
        <v>156.42965462251078</v>
      </c>
      <c r="AJ174" s="2">
        <f t="shared" si="21"/>
        <v>44070</v>
      </c>
      <c r="AK174" s="2"/>
      <c r="AL174" s="3">
        <f>IF(HAVERD!H178="",AL173,AVERAGE(HAVERD!H178:Q178))</f>
        <v>35.505000000000003</v>
      </c>
    </row>
    <row r="175" spans="8:38" x14ac:dyDescent="0.35">
      <c r="H175" s="2">
        <f t="shared" si="19"/>
        <v>45040</v>
      </c>
      <c r="I175" s="5">
        <f>HAVERW!C180</f>
        <v>145.84</v>
      </c>
      <c r="J175" s="5">
        <f>HAVERW!D180</f>
        <v>161.34</v>
      </c>
      <c r="L175" s="2">
        <f t="shared" si="20"/>
        <v>44071</v>
      </c>
      <c r="M175" s="5">
        <f>HAVERD!BA179/HAVERD!BB179</f>
        <v>33.923480870217553</v>
      </c>
      <c r="U175" s="2">
        <v>45413</v>
      </c>
      <c r="V175" s="3">
        <f t="shared" si="22"/>
        <v>-21.738781855764977</v>
      </c>
      <c r="W175" s="3">
        <f>((HAVERM!J311/HAVERM!J299)-1)*100</f>
        <v>1.7306245297215916</v>
      </c>
      <c r="X175" s="3">
        <f>((HAVERM!K308/HAVERM!K296)-1)*100</f>
        <v>0.60377358490566468</v>
      </c>
      <c r="Y175" s="18">
        <v>0</v>
      </c>
      <c r="Z175" s="3">
        <f>HAVERM!H311/HAVERM!I311</f>
        <v>95.377552635744806</v>
      </c>
      <c r="AA175" s="3">
        <f t="shared" si="23"/>
        <v>156.60864828085937</v>
      </c>
      <c r="AJ175" s="2">
        <f t="shared" si="21"/>
        <v>44071</v>
      </c>
      <c r="AK175" s="2"/>
      <c r="AL175" s="3">
        <f>IF(HAVERD!H179="",AL174,AVERAGE(HAVERD!H179:Q179))</f>
        <v>36.942</v>
      </c>
    </row>
    <row r="176" spans="8:38" x14ac:dyDescent="0.35">
      <c r="H176" s="2">
        <f t="shared" si="19"/>
        <v>45047</v>
      </c>
      <c r="I176" s="5">
        <f>HAVERW!C181</f>
        <v>145.71</v>
      </c>
      <c r="J176" s="5">
        <f>HAVERW!D181</f>
        <v>160.35</v>
      </c>
      <c r="L176" s="2">
        <f t="shared" si="20"/>
        <v>44074</v>
      </c>
      <c r="M176" s="5" t="e">
        <f>HAVERD!BA180/HAVERD!BB180</f>
        <v>#N/A</v>
      </c>
      <c r="U176" s="2">
        <v>45444</v>
      </c>
      <c r="V176" s="3">
        <f t="shared" si="22"/>
        <v>-23.134643350023133</v>
      </c>
      <c r="W176" s="3">
        <f>((HAVERM!J312/HAVERM!J300)-1)*100</f>
        <v>1.5742128935532174</v>
      </c>
      <c r="X176" s="3">
        <f>((HAVERM!K309/HAVERM!K297)-1)*100</f>
        <v>0.15026296018032514</v>
      </c>
      <c r="Y176" s="18">
        <v>0</v>
      </c>
      <c r="Z176" s="3">
        <f>HAVERM!H312/HAVERM!I312</f>
        <v>95.200629425649097</v>
      </c>
      <c r="AA176" s="3">
        <f t="shared" si="23"/>
        <v>156.3181427686408</v>
      </c>
      <c r="AJ176" s="2">
        <f t="shared" si="21"/>
        <v>44074</v>
      </c>
      <c r="AK176" s="2"/>
      <c r="AL176" s="3">
        <f>IF(HAVERD!H180="",AL175,AVERAGE(HAVERD!H180:Q180))</f>
        <v>36.942</v>
      </c>
    </row>
    <row r="177" spans="8:38" x14ac:dyDescent="0.35">
      <c r="H177" s="2">
        <f t="shared" si="19"/>
        <v>45054</v>
      </c>
      <c r="I177" s="5">
        <f>HAVERW!C182</f>
        <v>145.30000000000001</v>
      </c>
      <c r="J177" s="5">
        <f>HAVERW!D182</f>
        <v>158.12</v>
      </c>
      <c r="L177" s="2">
        <f t="shared" si="20"/>
        <v>44075</v>
      </c>
      <c r="M177" s="5">
        <f>HAVERD!BA181/HAVERD!BB181</f>
        <v>33.992565055762078</v>
      </c>
      <c r="U177" s="2">
        <v>45474</v>
      </c>
      <c r="V177" s="3">
        <f t="shared" si="22"/>
        <v>-18.230657250617011</v>
      </c>
      <c r="W177" s="3">
        <f>((HAVERM!J313/HAVERM!J301)-1)*100</f>
        <v>1.4981273408239737</v>
      </c>
      <c r="X177" s="3">
        <f>((HAVERM!K310/HAVERM!K298)-1)*100</f>
        <v>0.14936519790886837</v>
      </c>
      <c r="Y177" s="18">
        <v>0</v>
      </c>
      <c r="Z177" s="3">
        <f>HAVERM!H313/HAVERM!I313</f>
        <v>93.990515431858825</v>
      </c>
      <c r="AA177" s="3">
        <f t="shared" si="23"/>
        <v>154.33115199779331</v>
      </c>
      <c r="AJ177" s="2">
        <f t="shared" si="21"/>
        <v>44075</v>
      </c>
      <c r="AK177" s="2"/>
      <c r="AL177" s="3">
        <f>IF(HAVERD!H181="",AL176,AVERAGE(HAVERD!H181:Q181))</f>
        <v>36.964999999999996</v>
      </c>
    </row>
    <row r="178" spans="8:38" x14ac:dyDescent="0.35">
      <c r="H178" s="2">
        <f t="shared" si="19"/>
        <v>45061</v>
      </c>
      <c r="I178" s="5">
        <f>HAVERW!C183</f>
        <v>144.65</v>
      </c>
      <c r="J178" s="5">
        <f>HAVERW!D183</f>
        <v>155.53</v>
      </c>
      <c r="L178" s="2">
        <f t="shared" si="20"/>
        <v>44076</v>
      </c>
      <c r="M178" s="5">
        <f>HAVERD!BA182/HAVERD!BB182</f>
        <v>32.098023002330301</v>
      </c>
      <c r="U178" s="2">
        <v>45505</v>
      </c>
      <c r="V178" s="3">
        <f t="shared" si="22"/>
        <v>-17.077411476192172</v>
      </c>
      <c r="W178" s="3">
        <f>((HAVERM!J314/HAVERM!J302)-1)*100</f>
        <v>1.3432835820895717</v>
      </c>
      <c r="X178" s="3">
        <f>((HAVERM!K311/HAVERM!K299)-1)*100</f>
        <v>0.37285607755406236</v>
      </c>
      <c r="Y178" s="18">
        <v>0</v>
      </c>
      <c r="Z178" s="3">
        <f>HAVERM!H314/HAVERM!I314</f>
        <v>94.100363411428134</v>
      </c>
      <c r="AA178" s="3">
        <f t="shared" si="23"/>
        <v>154.51152089090627</v>
      </c>
      <c r="AJ178" s="2">
        <f t="shared" si="21"/>
        <v>44076</v>
      </c>
      <c r="AK178" s="2"/>
      <c r="AL178" s="3">
        <f>IF(HAVERD!H182="",AL177,AVERAGE(HAVERD!H182:Q182))</f>
        <v>36.202999999999996</v>
      </c>
    </row>
    <row r="179" spans="8:38" x14ac:dyDescent="0.35">
      <c r="H179" s="2">
        <f t="shared" si="19"/>
        <v>45068</v>
      </c>
      <c r="I179" s="5">
        <f>HAVERW!C184</f>
        <v>143.63999999999999</v>
      </c>
      <c r="J179" s="5">
        <f>HAVERW!D184</f>
        <v>151.59</v>
      </c>
      <c r="L179" s="2">
        <f t="shared" si="20"/>
        <v>44077</v>
      </c>
      <c r="M179" s="5">
        <f>HAVERD!BA183/HAVERD!BB183</f>
        <v>32.190490543289883</v>
      </c>
      <c r="U179" s="2">
        <v>45536</v>
      </c>
      <c r="V179" s="3">
        <f t="shared" si="22"/>
        <v>-18.967293366992543</v>
      </c>
      <c r="W179" s="3">
        <f>((HAVERM!J315/HAVERM!J303)-1)*100</f>
        <v>1.8684603886397699</v>
      </c>
      <c r="X179" s="3">
        <f>((HAVERM!K312/HAVERM!K300)-1)*100</f>
        <v>0.22354694485842153</v>
      </c>
      <c r="Y179" s="18">
        <v>0</v>
      </c>
      <c r="Z179" s="3">
        <f>HAVERM!H315/HAVERM!I315</f>
        <v>94.265395672567706</v>
      </c>
      <c r="AA179" s="3">
        <f t="shared" si="23"/>
        <v>154.78250162615862</v>
      </c>
      <c r="AJ179" s="2">
        <f t="shared" si="21"/>
        <v>44077</v>
      </c>
      <c r="AK179" s="2"/>
      <c r="AL179" s="3">
        <f>IF(HAVERD!H183="",AL178,AVERAGE(HAVERD!H183:Q183))</f>
        <v>36.688000000000002</v>
      </c>
    </row>
    <row r="180" spans="8:38" x14ac:dyDescent="0.35">
      <c r="H180" s="2">
        <f t="shared" si="19"/>
        <v>45075</v>
      </c>
      <c r="I180" s="5">
        <f>HAVERW!C185</f>
        <v>142.94</v>
      </c>
      <c r="J180" s="5">
        <f>HAVERW!D185</f>
        <v>147.87</v>
      </c>
      <c r="L180" s="2">
        <f t="shared" si="20"/>
        <v>44078</v>
      </c>
      <c r="M180" s="5">
        <f>HAVERD!BA184/HAVERD!BB184</f>
        <v>31.138722630502311</v>
      </c>
      <c r="U180" s="2">
        <v>45566</v>
      </c>
      <c r="V180" s="3">
        <f t="shared" si="22"/>
        <v>-17.952198843116619</v>
      </c>
      <c r="W180" s="3">
        <f>((HAVERM!J316/HAVERM!J304)-1)*100</f>
        <v>1.8656716417910557</v>
      </c>
      <c r="X180" s="3">
        <f>((HAVERM!K313/HAVERM!K301)-1)*100</f>
        <v>0.44742729306488371</v>
      </c>
      <c r="Y180" s="18">
        <v>0</v>
      </c>
      <c r="Z180" s="3">
        <f>HAVERM!H316/HAVERM!I316</f>
        <v>97.278650824070525</v>
      </c>
      <c r="AA180" s="3">
        <f t="shared" si="23"/>
        <v>159.73022573063869</v>
      </c>
      <c r="AJ180" s="2">
        <f t="shared" si="21"/>
        <v>44078</v>
      </c>
      <c r="AK180" s="2"/>
      <c r="AL180" s="3">
        <f>IF(HAVERD!H184="",AL179,AVERAGE(HAVERD!H184:Q184))</f>
        <v>36.262999999999998</v>
      </c>
    </row>
    <row r="181" spans="8:38" x14ac:dyDescent="0.35">
      <c r="H181" s="2">
        <f t="shared" si="19"/>
        <v>45082</v>
      </c>
      <c r="I181" s="5">
        <f>HAVERW!C186</f>
        <v>142.9</v>
      </c>
      <c r="J181" s="5">
        <f>HAVERW!D186</f>
        <v>146.43</v>
      </c>
      <c r="L181" s="2">
        <f t="shared" si="20"/>
        <v>44081</v>
      </c>
      <c r="M181" s="5">
        <f>HAVERD!BA185/HAVERD!BB185</f>
        <v>30.864384913106168</v>
      </c>
      <c r="U181" s="2">
        <v>45597</v>
      </c>
      <c r="V181" s="3">
        <f t="shared" si="22"/>
        <v>-16.217500354928781</v>
      </c>
      <c r="W181" s="3">
        <f>((HAVERM!J317/HAVERM!J305)-1)*100</f>
        <v>2.0089285714285587</v>
      </c>
      <c r="X181" s="3">
        <f>((HAVERM!K314/HAVERM!K302)-1)*100</f>
        <v>0.9745127436281642</v>
      </c>
      <c r="Y181" s="18">
        <v>0</v>
      </c>
      <c r="Z181" s="3">
        <f>HAVERM!H317/HAVERM!I317</f>
        <v>100.15686274509805</v>
      </c>
      <c r="AA181" s="3">
        <f t="shared" si="23"/>
        <v>164.45621068162021</v>
      </c>
      <c r="AJ181" s="2">
        <f t="shared" si="21"/>
        <v>44081</v>
      </c>
      <c r="AK181" s="2"/>
      <c r="AL181" s="3">
        <f>IF(HAVERD!H185="",AL180,AVERAGE(HAVERD!H185:Q185))</f>
        <v>35.462000000000003</v>
      </c>
    </row>
    <row r="182" spans="8:38" x14ac:dyDescent="0.35">
      <c r="H182" s="2">
        <f t="shared" si="19"/>
        <v>45089</v>
      </c>
      <c r="I182" s="5">
        <f>HAVERW!C187</f>
        <v>142.71</v>
      </c>
      <c r="J182" s="5">
        <f>HAVERW!D187</f>
        <v>145.47999999999999</v>
      </c>
      <c r="L182" s="2">
        <f t="shared" si="20"/>
        <v>44082</v>
      </c>
      <c r="M182" s="5">
        <f>HAVERD!BA186/HAVERD!BB186</f>
        <v>29.586116870152807</v>
      </c>
      <c r="U182" s="2">
        <v>45627</v>
      </c>
      <c r="V182" s="3">
        <f t="shared" si="22"/>
        <v>-13.835159525692543</v>
      </c>
      <c r="W182" s="3">
        <f>((HAVERM!J318/HAVERM!J306)-1)*100</f>
        <v>1.9985196150999363</v>
      </c>
      <c r="X182" s="3">
        <f>((HAVERM!K315/HAVERM!K303)-1)*100</f>
        <v>1.5037593984962516</v>
      </c>
      <c r="Y182" s="18">
        <v>0</v>
      </c>
      <c r="Z182" s="3">
        <f>HAVERM!H318/HAVERM!I318</f>
        <v>100.41907171661263</v>
      </c>
      <c r="AA182" s="3">
        <f t="shared" si="23"/>
        <v>164.88675425776793</v>
      </c>
      <c r="AJ182" s="2">
        <f t="shared" si="21"/>
        <v>44082</v>
      </c>
      <c r="AK182" s="2"/>
      <c r="AL182" s="3">
        <f>IF(HAVERD!H186="",AL181,AVERAGE(HAVERD!H186:Q186))</f>
        <v>34.773000000000003</v>
      </c>
    </row>
    <row r="183" spans="8:38" x14ac:dyDescent="0.35">
      <c r="H183" s="2">
        <f t="shared" si="19"/>
        <v>45096</v>
      </c>
      <c r="I183" s="5">
        <f>HAVERW!C188</f>
        <v>142.94999999999999</v>
      </c>
      <c r="J183" s="5">
        <f>HAVERW!D188</f>
        <v>145.19999999999999</v>
      </c>
      <c r="L183" s="2">
        <f t="shared" si="20"/>
        <v>44083</v>
      </c>
      <c r="M183" s="5">
        <f>HAVERD!BA187/HAVERD!BB187</f>
        <v>30.763311788242532</v>
      </c>
      <c r="U183" s="2">
        <v>45658</v>
      </c>
      <c r="V183" s="3">
        <f t="shared" si="22"/>
        <v>-13.800049541275838</v>
      </c>
      <c r="W183" s="3"/>
      <c r="X183" s="3">
        <f>((HAVERM!K316/HAVERM!K304)-1)*100</f>
        <v>1.4296463506395796</v>
      </c>
      <c r="Y183" s="18">
        <v>0</v>
      </c>
      <c r="Z183" s="3">
        <f>HAVERM!H319/HAVERM!I319</f>
        <v>101.14998380304505</v>
      </c>
      <c r="AA183" s="3">
        <f t="shared" si="23"/>
        <v>166.08690199384461</v>
      </c>
      <c r="AJ183" s="2">
        <f t="shared" si="21"/>
        <v>44083</v>
      </c>
      <c r="AK183" s="2"/>
      <c r="AL183" s="3">
        <f>IF(HAVERD!H187="",AL182,AVERAGE(HAVERD!H187:Q187))</f>
        <v>34.760000000000005</v>
      </c>
    </row>
    <row r="184" spans="8:38" x14ac:dyDescent="0.35">
      <c r="H184" s="2">
        <f t="shared" si="19"/>
        <v>45103</v>
      </c>
      <c r="I184" s="5">
        <f>HAVERW!C189</f>
        <v>143.43</v>
      </c>
      <c r="J184" s="5">
        <f>HAVERW!D189</f>
        <v>145.65</v>
      </c>
      <c r="L184" s="2">
        <f t="shared" si="20"/>
        <v>44084</v>
      </c>
      <c r="M184" s="5">
        <f>HAVERD!BA188/HAVERD!BB188</f>
        <v>30.519934716717188</v>
      </c>
      <c r="U184" s="2">
        <v>45689</v>
      </c>
      <c r="V184" s="3">
        <f t="shared" si="22"/>
        <v>-13.99040089461363</v>
      </c>
      <c r="X184" s="3">
        <f>((HAVERM!K317/HAVERM!K305)-1)*100</f>
        <v>1.6504126031507749</v>
      </c>
      <c r="Y184" s="18">
        <v>0</v>
      </c>
      <c r="AJ184" s="2">
        <f t="shared" si="21"/>
        <v>44084</v>
      </c>
      <c r="AK184" s="2"/>
      <c r="AL184" s="3">
        <f>IF(HAVERD!H188="",AL183,AVERAGE(HAVERD!H188:Q188))</f>
        <v>35.108999999999995</v>
      </c>
    </row>
    <row r="185" spans="8:38" x14ac:dyDescent="0.35">
      <c r="H185" s="2">
        <f t="shared" si="19"/>
        <v>45110</v>
      </c>
      <c r="I185" s="5">
        <f>HAVERW!C190</f>
        <v>143.4</v>
      </c>
      <c r="J185" s="5">
        <f>HAVERW!D190</f>
        <v>145.52000000000001</v>
      </c>
      <c r="L185" s="2">
        <f t="shared" si="20"/>
        <v>44085</v>
      </c>
      <c r="M185" s="5">
        <f>HAVERD!BA189/HAVERD!BB189</f>
        <v>30.355186981693002</v>
      </c>
      <c r="U185" s="2">
        <v>45717</v>
      </c>
      <c r="V185" s="3">
        <f t="shared" si="22"/>
        <v>-11.353591194164835</v>
      </c>
      <c r="X185" s="3">
        <f>((HAVERM!K318/HAVERM!K306)-1)*100</f>
        <v>1.4992503748125996</v>
      </c>
      <c r="Y185" s="18">
        <v>0</v>
      </c>
      <c r="AJ185" s="2">
        <f t="shared" si="21"/>
        <v>44085</v>
      </c>
      <c r="AK185" s="2"/>
      <c r="AL185" s="3">
        <f>IF(HAVERD!H189="",AL184,AVERAGE(HAVERD!H189:Q189))</f>
        <v>35.404000000000003</v>
      </c>
    </row>
    <row r="186" spans="8:38" x14ac:dyDescent="0.35">
      <c r="H186" s="2">
        <f t="shared" si="19"/>
        <v>45117</v>
      </c>
      <c r="I186" s="5">
        <f>HAVERW!C191</f>
        <v>142.87</v>
      </c>
      <c r="J186" s="5">
        <f>HAVERW!D191</f>
        <v>144.72999999999999</v>
      </c>
      <c r="L186" s="2">
        <f t="shared" si="20"/>
        <v>44088</v>
      </c>
      <c r="M186" s="5">
        <f>HAVERD!BA190/HAVERD!BB190</f>
        <v>29.938678879143058</v>
      </c>
      <c r="U186" s="2">
        <v>45748</v>
      </c>
      <c r="V186" s="3">
        <f t="shared" si="22"/>
        <v>-7.6102891380038233</v>
      </c>
      <c r="X186" s="3"/>
      <c r="Y186" s="18">
        <v>0</v>
      </c>
      <c r="AJ186" s="2">
        <f t="shared" si="21"/>
        <v>44088</v>
      </c>
      <c r="AK186" s="2"/>
      <c r="AL186" s="3">
        <f>IF(HAVERD!H190="",AL185,AVERAGE(HAVERD!H190:Q190))</f>
        <v>35.961999999999996</v>
      </c>
    </row>
    <row r="187" spans="8:38" x14ac:dyDescent="0.35">
      <c r="H187" s="2">
        <f t="shared" si="19"/>
        <v>45124</v>
      </c>
      <c r="I187" s="5">
        <f>HAVERW!C192</f>
        <v>142.77000000000001</v>
      </c>
      <c r="J187" s="5">
        <f>HAVERW!D192</f>
        <v>144.63999999999999</v>
      </c>
      <c r="L187" s="2">
        <f t="shared" si="20"/>
        <v>44089</v>
      </c>
      <c r="M187" s="5">
        <f>HAVERD!BA191/HAVERD!BB191</f>
        <v>30.7608526528707</v>
      </c>
      <c r="U187" s="2">
        <v>45778</v>
      </c>
      <c r="V187" s="3">
        <f t="shared" ref="V187:V194" si="24">((AA175/AA163)-1)*100</f>
        <v>-4.4462478694261005</v>
      </c>
      <c r="X187" s="3"/>
      <c r="Y187" s="18">
        <v>0</v>
      </c>
      <c r="AJ187" s="2">
        <f t="shared" si="21"/>
        <v>44089</v>
      </c>
      <c r="AK187" s="2"/>
      <c r="AL187" s="3">
        <f>IF(HAVERD!H191="",AL186,AVERAGE(HAVERD!H191:Q191))</f>
        <v>36.065999999999995</v>
      </c>
    </row>
    <row r="188" spans="8:38" x14ac:dyDescent="0.35">
      <c r="H188" s="2">
        <f t="shared" si="19"/>
        <v>45131</v>
      </c>
      <c r="I188" s="5">
        <f>HAVERW!C193</f>
        <v>142.96</v>
      </c>
      <c r="J188" s="5">
        <f>HAVERW!D193</f>
        <v>145.13</v>
      </c>
      <c r="L188" s="2">
        <f t="shared" si="20"/>
        <v>44090</v>
      </c>
      <c r="M188" s="5">
        <f>HAVERD!BA192/HAVERD!BB192</f>
        <v>31.70075349838536</v>
      </c>
      <c r="U188" s="2">
        <v>45809</v>
      </c>
      <c r="V188" s="3">
        <f t="shared" si="24"/>
        <v>-2.2374674572867126</v>
      </c>
      <c r="X188" s="3"/>
      <c r="Y188" s="18">
        <v>0</v>
      </c>
      <c r="AJ188" s="2">
        <f t="shared" si="21"/>
        <v>44090</v>
      </c>
      <c r="AK188" s="2"/>
      <c r="AL188" s="3">
        <f>IF(HAVERD!H192="",AL187,AVERAGE(HAVERD!H192:Q192))</f>
        <v>36.314000000000007</v>
      </c>
    </row>
    <row r="189" spans="8:38" x14ac:dyDescent="0.35">
      <c r="H189" s="2">
        <f t="shared" si="19"/>
        <v>45138</v>
      </c>
      <c r="I189" s="5">
        <f>HAVERW!C194</f>
        <v>144.13</v>
      </c>
      <c r="J189" s="5">
        <f>HAVERW!D194</f>
        <v>145.94999999999999</v>
      </c>
      <c r="L189" s="2">
        <f t="shared" si="20"/>
        <v>44091</v>
      </c>
      <c r="M189" s="5">
        <f>HAVERD!BA193/HAVERD!BB193</f>
        <v>32.697652872143301</v>
      </c>
      <c r="U189" s="2">
        <v>45839</v>
      </c>
      <c r="V189" s="3">
        <f t="shared" si="24"/>
        <v>-2.677505685066417</v>
      </c>
      <c r="X189" s="3"/>
      <c r="Y189" s="18">
        <v>0</v>
      </c>
      <c r="AJ189" s="2">
        <f t="shared" si="21"/>
        <v>44091</v>
      </c>
      <c r="AK189" s="2"/>
      <c r="AL189" s="3">
        <f>IF(HAVERD!H193="",AL188,AVERAGE(HAVERD!H193:Q193))</f>
        <v>36.04</v>
      </c>
    </row>
    <row r="190" spans="8:38" x14ac:dyDescent="0.35">
      <c r="H190" s="2">
        <f t="shared" si="19"/>
        <v>45145</v>
      </c>
      <c r="I190" s="5">
        <f>HAVERW!C195</f>
        <v>146.18</v>
      </c>
      <c r="J190" s="5">
        <f>HAVERW!D195</f>
        <v>148.22999999999999</v>
      </c>
      <c r="L190" s="2">
        <f t="shared" si="20"/>
        <v>44092</v>
      </c>
      <c r="M190" s="5">
        <f>HAVERD!BA194/HAVERD!BB194</f>
        <v>32.525844777040575</v>
      </c>
      <c r="U190" s="2">
        <v>45870</v>
      </c>
      <c r="V190" s="3">
        <f t="shared" si="24"/>
        <v>-1.8281348219197691</v>
      </c>
      <c r="X190" s="3"/>
      <c r="Y190" s="18">
        <v>0</v>
      </c>
      <c r="AJ190" s="2">
        <f t="shared" si="21"/>
        <v>44092</v>
      </c>
      <c r="AK190" s="2"/>
      <c r="AL190" s="3">
        <f>IF(HAVERD!H194="",AL189,AVERAGE(HAVERD!H194:Q194))</f>
        <v>36.618000000000002</v>
      </c>
    </row>
    <row r="191" spans="8:38" x14ac:dyDescent="0.35">
      <c r="H191" s="2">
        <f t="shared" si="19"/>
        <v>45152</v>
      </c>
      <c r="I191" s="5">
        <f>HAVERW!C196</f>
        <v>147.77000000000001</v>
      </c>
      <c r="J191" s="5">
        <f>HAVERW!D196</f>
        <v>150.37</v>
      </c>
      <c r="L191" s="2">
        <f t="shared" si="20"/>
        <v>44095</v>
      </c>
      <c r="M191" s="5">
        <f>HAVERD!BA195/HAVERD!BB195</f>
        <v>31.551387260648688</v>
      </c>
      <c r="U191" s="2">
        <v>45901</v>
      </c>
      <c r="V191" s="3">
        <f t="shared" si="24"/>
        <v>-4.0382919484436064</v>
      </c>
      <c r="X191" s="3"/>
      <c r="Y191" s="18">
        <v>0</v>
      </c>
      <c r="AJ191" s="2">
        <f t="shared" si="21"/>
        <v>44095</v>
      </c>
      <c r="AK191" s="2"/>
      <c r="AL191" s="3">
        <f>IF(HAVERD!H195="",AL190,AVERAGE(HAVERD!H195:Q195))</f>
        <v>35.883999999999993</v>
      </c>
    </row>
    <row r="192" spans="8:38" x14ac:dyDescent="0.35">
      <c r="H192" s="2">
        <f t="shared" si="19"/>
        <v>45159</v>
      </c>
      <c r="I192" s="5">
        <f>HAVERW!C197</f>
        <v>149.4</v>
      </c>
      <c r="J192" s="5">
        <f>HAVERW!D197</f>
        <v>152.13999999999999</v>
      </c>
      <c r="L192" s="2">
        <f t="shared" si="20"/>
        <v>44096</v>
      </c>
      <c r="M192" s="5">
        <f>HAVERD!BA196/HAVERD!BB196</f>
        <v>32.10439430862354</v>
      </c>
      <c r="U192" s="2">
        <v>45931</v>
      </c>
      <c r="V192" s="3">
        <f t="shared" si="24"/>
        <v>-1.9315142313761191</v>
      </c>
      <c r="X192" s="3"/>
      <c r="Y192" s="18">
        <v>0</v>
      </c>
      <c r="AJ192" s="2">
        <f t="shared" si="21"/>
        <v>44096</v>
      </c>
      <c r="AK192" s="2"/>
      <c r="AL192" s="3">
        <f>IF(HAVERD!H196="",AL191,AVERAGE(HAVERD!H196:Q196))</f>
        <v>35.939</v>
      </c>
    </row>
    <row r="193" spans="8:38" x14ac:dyDescent="0.35">
      <c r="H193" s="2">
        <f t="shared" si="19"/>
        <v>45166</v>
      </c>
      <c r="I193" s="5">
        <f>HAVERW!C198</f>
        <v>150.72999999999999</v>
      </c>
      <c r="J193" s="5">
        <f>HAVERW!D198</f>
        <v>153.52000000000001</v>
      </c>
      <c r="L193" s="2">
        <f t="shared" si="20"/>
        <v>44097</v>
      </c>
      <c r="M193" s="5">
        <f>HAVERD!BA197/HAVERD!BB197</f>
        <v>32.189580885233063</v>
      </c>
      <c r="U193" s="2">
        <v>45962</v>
      </c>
      <c r="V193" s="3">
        <f t="shared" si="24"/>
        <v>3.2296686502130134</v>
      </c>
      <c r="X193" s="3"/>
      <c r="Y193" s="18">
        <v>0</v>
      </c>
      <c r="AJ193" s="2">
        <f t="shared" si="21"/>
        <v>44097</v>
      </c>
      <c r="AK193" s="2"/>
      <c r="AL193" s="3">
        <f>IF(HAVERD!H197="",AL192,AVERAGE(HAVERD!H197:Q197))</f>
        <v>36.293999999999997</v>
      </c>
    </row>
    <row r="194" spans="8:38" x14ac:dyDescent="0.35">
      <c r="H194" s="2">
        <f t="shared" si="19"/>
        <v>45173</v>
      </c>
      <c r="I194" s="5">
        <f>HAVERW!C199</f>
        <v>151.71</v>
      </c>
      <c r="J194" s="5">
        <f>HAVERW!D199</f>
        <v>154.65</v>
      </c>
      <c r="L194" s="2">
        <f t="shared" si="20"/>
        <v>44098</v>
      </c>
      <c r="M194" s="5">
        <f>HAVERD!BA198/HAVERD!BB198</f>
        <v>32.436683970426301</v>
      </c>
      <c r="U194" s="2">
        <v>45992</v>
      </c>
      <c r="V194" s="3">
        <f t="shared" si="24"/>
        <v>6.6836703971704381</v>
      </c>
      <c r="X194" s="3"/>
      <c r="Y194" s="18">
        <v>0</v>
      </c>
      <c r="AJ194" s="2">
        <f t="shared" si="21"/>
        <v>44098</v>
      </c>
      <c r="AK194" s="2"/>
      <c r="AL194" s="3">
        <f>IF(HAVERD!H198="",AL193,AVERAGE(HAVERD!H198:Q198))</f>
        <v>35.930000000000007</v>
      </c>
    </row>
    <row r="195" spans="8:38" x14ac:dyDescent="0.35">
      <c r="H195" s="2">
        <f t="shared" si="19"/>
        <v>45180</v>
      </c>
      <c r="I195" s="5">
        <f>HAVERW!C200</f>
        <v>153.1</v>
      </c>
      <c r="J195" s="5">
        <f>HAVERW!D200</f>
        <v>156.15</v>
      </c>
      <c r="L195" s="2">
        <f t="shared" si="20"/>
        <v>44099</v>
      </c>
      <c r="M195" s="5">
        <f>HAVERD!BA199/HAVERD!BB199</f>
        <v>32.199921290830382</v>
      </c>
      <c r="U195" s="2">
        <v>46023</v>
      </c>
      <c r="V195" s="3"/>
      <c r="X195" s="3"/>
      <c r="Y195" s="2"/>
      <c r="AJ195" s="2">
        <f t="shared" si="21"/>
        <v>44099</v>
      </c>
      <c r="AK195" s="2"/>
      <c r="AL195" s="3">
        <f>IF(HAVERD!H199="",AL194,AVERAGE(HAVERD!H199:Q199))</f>
        <v>36.308999999999997</v>
      </c>
    </row>
    <row r="196" spans="8:38" x14ac:dyDescent="0.35">
      <c r="H196" s="2">
        <f t="shared" si="19"/>
        <v>45187</v>
      </c>
      <c r="I196" s="5">
        <f>HAVERW!C201</f>
        <v>154.06</v>
      </c>
      <c r="J196" s="5">
        <f>HAVERW!D201</f>
        <v>158.16</v>
      </c>
      <c r="L196" s="2">
        <f t="shared" si="20"/>
        <v>44102</v>
      </c>
      <c r="M196" s="5">
        <f>HAVERD!BA200/HAVERD!BB200</f>
        <v>32.38592119607538</v>
      </c>
      <c r="V196" s="3"/>
      <c r="X196" s="3"/>
      <c r="Y196" s="2"/>
      <c r="AJ196" s="2">
        <f t="shared" si="21"/>
        <v>44102</v>
      </c>
      <c r="AK196" s="2"/>
      <c r="AL196" s="3">
        <f>IF(HAVERD!H200="",AL195,AVERAGE(HAVERD!H200:Q200))</f>
        <v>36.893000000000001</v>
      </c>
    </row>
    <row r="197" spans="8:38" x14ac:dyDescent="0.35">
      <c r="H197" s="2">
        <f t="shared" ref="H197:H260" si="25">+H196+7</f>
        <v>45194</v>
      </c>
      <c r="I197" s="5">
        <f>HAVERW!C202</f>
        <v>155.41</v>
      </c>
      <c r="J197" s="5">
        <f>HAVERW!D202</f>
        <v>160.61000000000001</v>
      </c>
      <c r="L197" s="2">
        <f t="shared" si="20"/>
        <v>44103</v>
      </c>
      <c r="M197" s="5">
        <f>HAVERD!BA201/HAVERD!BB201</f>
        <v>31.40476561283289</v>
      </c>
      <c r="V197" s="3"/>
      <c r="X197" s="3"/>
      <c r="Y197" s="2"/>
      <c r="AJ197" s="2">
        <f t="shared" si="21"/>
        <v>44103</v>
      </c>
      <c r="AK197" s="2"/>
      <c r="AL197" s="3">
        <f>IF(HAVERD!H201="",AL196,AVERAGE(HAVERD!H201:Q201))</f>
        <v>36.977999999999994</v>
      </c>
    </row>
    <row r="198" spans="8:38" x14ac:dyDescent="0.35">
      <c r="H198" s="2">
        <f t="shared" si="25"/>
        <v>45201</v>
      </c>
      <c r="I198" s="5">
        <f>HAVERW!C203</f>
        <v>156.02000000000001</v>
      </c>
      <c r="J198" s="5">
        <f>HAVERW!D203</f>
        <v>162.15</v>
      </c>
      <c r="L198" s="2">
        <f t="shared" si="20"/>
        <v>44104</v>
      </c>
      <c r="M198" s="5">
        <f>HAVERD!BA202/HAVERD!BB202</f>
        <v>31.182296502630763</v>
      </c>
      <c r="X198" s="3"/>
      <c r="Y198" s="2"/>
      <c r="AJ198" s="2">
        <f t="shared" si="21"/>
        <v>44104</v>
      </c>
      <c r="AK198" s="2"/>
      <c r="AL198" s="3">
        <f>IF(HAVERD!H202="",AL197,AVERAGE(HAVERD!H202:Q202))</f>
        <v>36.424999999999997</v>
      </c>
    </row>
    <row r="199" spans="8:38" x14ac:dyDescent="0.35">
      <c r="H199" s="2">
        <f t="shared" si="25"/>
        <v>45208</v>
      </c>
      <c r="I199" s="5">
        <f>HAVERW!C204</f>
        <v>155.94</v>
      </c>
      <c r="J199" s="5">
        <f>HAVERW!D204</f>
        <v>162.49</v>
      </c>
      <c r="L199" s="2">
        <f t="shared" si="20"/>
        <v>44105</v>
      </c>
      <c r="M199" s="5">
        <f>HAVERD!BA203/HAVERD!BB203</f>
        <v>30.885780885780889</v>
      </c>
      <c r="X199" s="3"/>
      <c r="Y199" s="2"/>
      <c r="AJ199" s="2">
        <f t="shared" si="21"/>
        <v>44105</v>
      </c>
      <c r="AK199" s="2"/>
      <c r="AL199" s="3">
        <f>IF(HAVERD!H203="",AL198,AVERAGE(HAVERD!H203:Q203))</f>
        <v>36.126999999999995</v>
      </c>
    </row>
    <row r="200" spans="8:38" x14ac:dyDescent="0.35">
      <c r="H200" s="2">
        <f t="shared" si="25"/>
        <v>45215</v>
      </c>
      <c r="I200" s="5">
        <f>HAVERW!C205</f>
        <v>155.09</v>
      </c>
      <c r="J200" s="5">
        <f>HAVERW!D205</f>
        <v>162.31</v>
      </c>
      <c r="L200" s="2">
        <f t="shared" si="20"/>
        <v>44106</v>
      </c>
      <c r="M200" s="5">
        <f>HAVERD!BA204/HAVERD!BB204</f>
        <v>29.384472626043923</v>
      </c>
      <c r="X200" s="3"/>
      <c r="Y200" s="2"/>
      <c r="AJ200" s="2">
        <f t="shared" si="21"/>
        <v>44106</v>
      </c>
      <c r="AK200" s="2"/>
      <c r="AL200" s="3">
        <f>IF(HAVERD!H204="",AL199,AVERAGE(HAVERD!H204:Q204))</f>
        <v>35.046999999999997</v>
      </c>
    </row>
    <row r="201" spans="8:38" x14ac:dyDescent="0.35">
      <c r="H201" s="2">
        <f t="shared" si="25"/>
        <v>45222</v>
      </c>
      <c r="I201" s="5">
        <f>HAVERW!C206</f>
        <v>154.63</v>
      </c>
      <c r="J201" s="5">
        <f>HAVERW!D206</f>
        <v>162.19</v>
      </c>
      <c r="L201" s="2">
        <f t="shared" ref="L201:L264" si="26">+L196+7</f>
        <v>44109</v>
      </c>
      <c r="M201" s="5">
        <f>HAVERD!BA205/HAVERD!BB205</f>
        <v>30.661322645290578</v>
      </c>
      <c r="X201" s="3"/>
      <c r="Y201" s="2"/>
      <c r="AJ201" s="2">
        <f t="shared" ref="AJ201:AJ264" si="27">+AJ196+7</f>
        <v>44109</v>
      </c>
      <c r="AK201" s="2"/>
      <c r="AL201" s="3">
        <f>IF(HAVERD!H205="",AL200,AVERAGE(HAVERD!H205:Q205))</f>
        <v>35.713000000000001</v>
      </c>
    </row>
    <row r="202" spans="8:38" x14ac:dyDescent="0.35">
      <c r="H202" s="2">
        <f t="shared" si="25"/>
        <v>45229</v>
      </c>
      <c r="I202" s="5">
        <f>HAVERW!C207</f>
        <v>153.97</v>
      </c>
      <c r="J202" s="5">
        <f>HAVERW!D207</f>
        <v>161.76</v>
      </c>
      <c r="L202" s="2">
        <f t="shared" si="26"/>
        <v>44110</v>
      </c>
      <c r="M202" s="5">
        <f>HAVERD!BA206/HAVERD!BB206</f>
        <v>31.836766180668057</v>
      </c>
      <c r="X202" s="3"/>
      <c r="Y202" s="2"/>
      <c r="AJ202" s="2">
        <f t="shared" si="27"/>
        <v>44110</v>
      </c>
      <c r="AK202" s="2"/>
      <c r="AL202" s="3">
        <f>IF(HAVERD!H206="",AL201,AVERAGE(HAVERD!H206:Q206))</f>
        <v>35.685000000000002</v>
      </c>
    </row>
    <row r="203" spans="8:38" x14ac:dyDescent="0.35">
      <c r="H203" s="2">
        <f t="shared" si="25"/>
        <v>45236</v>
      </c>
      <c r="I203" s="5">
        <f>HAVERW!C208</f>
        <v>153.19999999999999</v>
      </c>
      <c r="J203" s="5">
        <f>HAVERW!D208</f>
        <v>160.86000000000001</v>
      </c>
      <c r="L203" s="2">
        <f t="shared" si="26"/>
        <v>44111</v>
      </c>
      <c r="M203" s="5">
        <f>HAVERD!BA207/HAVERD!BB207</f>
        <v>31.500581620783244</v>
      </c>
      <c r="X203" s="3"/>
      <c r="Y203" s="2"/>
      <c r="AJ203" s="2">
        <f t="shared" si="27"/>
        <v>44111</v>
      </c>
      <c r="AK203" s="2"/>
      <c r="AL203" s="3">
        <f>IF(HAVERD!H207="",AL202,AVERAGE(HAVERD!H207:Q207))</f>
        <v>36.551000000000002</v>
      </c>
    </row>
    <row r="204" spans="8:38" x14ac:dyDescent="0.35">
      <c r="H204" s="2">
        <f t="shared" si="25"/>
        <v>45243</v>
      </c>
      <c r="I204" s="5">
        <f>HAVERW!C209</f>
        <v>152.38999999999999</v>
      </c>
      <c r="J204" s="5">
        <f>HAVERW!D209</f>
        <v>160.38999999999999</v>
      </c>
      <c r="L204" s="2">
        <f t="shared" si="26"/>
        <v>44112</v>
      </c>
      <c r="M204" s="5">
        <f>HAVERD!BA208/HAVERD!BB208</f>
        <v>32.487623762376238</v>
      </c>
      <c r="X204" s="3"/>
      <c r="Y204" s="2"/>
      <c r="AJ204" s="2">
        <f t="shared" si="27"/>
        <v>44112</v>
      </c>
      <c r="AK204" s="2"/>
      <c r="AL204" s="3">
        <f>IF(HAVERD!H208="",AL203,AVERAGE(HAVERD!H208:Q208))</f>
        <v>37.367999999999995</v>
      </c>
    </row>
    <row r="205" spans="8:38" x14ac:dyDescent="0.35">
      <c r="H205" s="2">
        <f t="shared" si="25"/>
        <v>45250</v>
      </c>
      <c r="I205" s="5">
        <f>HAVERW!C210</f>
        <v>150.5</v>
      </c>
      <c r="J205" s="5">
        <f>HAVERW!D210</f>
        <v>158.44</v>
      </c>
      <c r="L205" s="2">
        <f t="shared" si="26"/>
        <v>44113</v>
      </c>
      <c r="M205" s="5">
        <f>HAVERD!BA209/HAVERD!BB209</f>
        <v>32.037863629367401</v>
      </c>
      <c r="X205" s="3"/>
      <c r="Y205" s="2"/>
      <c r="AJ205" s="2">
        <f t="shared" si="27"/>
        <v>44113</v>
      </c>
      <c r="AK205" s="2"/>
      <c r="AL205" s="3">
        <f>IF(HAVERD!H209="",AL204,AVERAGE(HAVERD!H209:Q209))</f>
        <v>37.070000000000007</v>
      </c>
    </row>
    <row r="206" spans="8:38" x14ac:dyDescent="0.35">
      <c r="H206" s="2">
        <f t="shared" si="25"/>
        <v>45257</v>
      </c>
      <c r="I206" s="5">
        <f>HAVERW!C211</f>
        <v>147.99</v>
      </c>
      <c r="J206" s="5">
        <f>HAVERW!D211</f>
        <v>156.18</v>
      </c>
      <c r="L206" s="2">
        <f t="shared" si="26"/>
        <v>44116</v>
      </c>
      <c r="M206" s="5">
        <f>HAVERD!BA210/HAVERD!BB210</f>
        <v>30.986993114001532</v>
      </c>
      <c r="X206" s="3"/>
      <c r="Y206" s="2"/>
      <c r="AJ206" s="2">
        <f t="shared" si="27"/>
        <v>44116</v>
      </c>
      <c r="AK206" s="2"/>
      <c r="AL206" s="3">
        <f>IF(HAVERD!H210="",AL205,AVERAGE(HAVERD!H210:Q210))</f>
        <v>36.428999999999995</v>
      </c>
    </row>
    <row r="207" spans="8:38" x14ac:dyDescent="0.35">
      <c r="H207" s="2">
        <f t="shared" si="25"/>
        <v>45264</v>
      </c>
      <c r="I207" s="5">
        <f>HAVERW!C212</f>
        <v>145.71</v>
      </c>
      <c r="J207" s="5">
        <f>HAVERW!D212</f>
        <v>154.1</v>
      </c>
      <c r="L207" s="2">
        <f t="shared" si="26"/>
        <v>44117</v>
      </c>
      <c r="M207" s="5">
        <f>HAVERD!BA211/HAVERD!BB211</f>
        <v>31.831831831831835</v>
      </c>
      <c r="X207" s="3"/>
      <c r="Y207" s="2"/>
      <c r="AJ207" s="2">
        <f t="shared" si="27"/>
        <v>44117</v>
      </c>
      <c r="AK207" s="2"/>
      <c r="AL207" s="3">
        <f>IF(HAVERD!H211="",AL206,AVERAGE(HAVERD!H211:Q211))</f>
        <v>36.140999999999998</v>
      </c>
    </row>
    <row r="208" spans="8:38" x14ac:dyDescent="0.35">
      <c r="H208" s="2">
        <f t="shared" si="25"/>
        <v>45271</v>
      </c>
      <c r="I208" s="5">
        <f>HAVERW!C213</f>
        <v>143.80000000000001</v>
      </c>
      <c r="J208" s="5">
        <f>HAVERW!D213</f>
        <v>152.01</v>
      </c>
      <c r="L208" s="2">
        <f t="shared" si="26"/>
        <v>44118</v>
      </c>
      <c r="M208" s="5">
        <f>HAVERD!BA212/HAVERD!BB212</f>
        <v>32.060424814048005</v>
      </c>
      <c r="X208" s="3"/>
      <c r="Y208" s="2"/>
      <c r="AJ208" s="2">
        <f t="shared" si="27"/>
        <v>44118</v>
      </c>
      <c r="AK208" s="2"/>
      <c r="AL208" s="3">
        <f>IF(HAVERD!H212="",AL207,AVERAGE(HAVERD!H212:Q212))</f>
        <v>36.578000000000003</v>
      </c>
    </row>
    <row r="209" spans="8:38" x14ac:dyDescent="0.35">
      <c r="H209" s="2">
        <f t="shared" si="25"/>
        <v>45278</v>
      </c>
      <c r="I209" s="5">
        <f>HAVERW!C214</f>
        <v>141.51</v>
      </c>
      <c r="J209" s="5">
        <f>HAVERW!D214</f>
        <v>150.38</v>
      </c>
      <c r="L209" s="2">
        <f t="shared" si="26"/>
        <v>44119</v>
      </c>
      <c r="M209" s="5">
        <f>HAVERD!BA213/HAVERD!BB213</f>
        <v>32.240818224081821</v>
      </c>
      <c r="X209" s="3"/>
      <c r="Y209" s="2"/>
      <c r="AJ209" s="2">
        <f t="shared" si="27"/>
        <v>44119</v>
      </c>
      <c r="AK209" s="2"/>
      <c r="AL209" s="3">
        <f>IF(HAVERD!H213="",AL208,AVERAGE(HAVERD!H213:Q213))</f>
        <v>36.922000000000004</v>
      </c>
    </row>
    <row r="210" spans="8:38" x14ac:dyDescent="0.35">
      <c r="H210" s="2">
        <f t="shared" si="25"/>
        <v>45285</v>
      </c>
      <c r="I210" s="5">
        <f>HAVERW!C215</f>
        <v>140.33000000000001</v>
      </c>
      <c r="J210" s="5">
        <f>HAVERW!D215</f>
        <v>149.24</v>
      </c>
      <c r="L210" s="2">
        <f t="shared" si="26"/>
        <v>44120</v>
      </c>
      <c r="M210" s="5">
        <f>HAVERD!BA214/HAVERD!BB214</f>
        <v>31.972157772621813</v>
      </c>
      <c r="X210" s="3"/>
      <c r="Y210" s="2"/>
      <c r="AJ210" s="2">
        <f t="shared" si="27"/>
        <v>44120</v>
      </c>
      <c r="AK210" s="2"/>
      <c r="AL210" s="3">
        <f>IF(HAVERD!H214="",AL209,AVERAGE(HAVERD!H214:Q214))</f>
        <v>37.424999999999997</v>
      </c>
    </row>
    <row r="211" spans="8:38" x14ac:dyDescent="0.35">
      <c r="H211" s="2">
        <f t="shared" si="25"/>
        <v>45292</v>
      </c>
      <c r="I211" s="5">
        <f>HAVERW!C216</f>
        <v>140.78</v>
      </c>
      <c r="J211" s="5">
        <f>HAVERW!D216</f>
        <v>148.66</v>
      </c>
      <c r="L211" s="2">
        <f t="shared" si="26"/>
        <v>44123</v>
      </c>
      <c r="M211" s="5">
        <f>HAVERD!BA215/HAVERD!BB215</f>
        <v>31.768869739170576</v>
      </c>
      <c r="X211" s="3"/>
      <c r="Y211" s="2"/>
      <c r="AJ211" s="2">
        <f t="shared" si="27"/>
        <v>44123</v>
      </c>
      <c r="AK211" s="2"/>
      <c r="AL211" s="3">
        <f>IF(HAVERD!H215="",AL210,AVERAGE(HAVERD!H215:Q215))</f>
        <v>37.925999999999995</v>
      </c>
    </row>
    <row r="212" spans="8:38" x14ac:dyDescent="0.35">
      <c r="H212" s="2">
        <f t="shared" si="25"/>
        <v>45299</v>
      </c>
      <c r="I212" s="5">
        <f>HAVERW!C217</f>
        <v>139.72</v>
      </c>
      <c r="J212" s="5">
        <f>HAVERW!D217</f>
        <v>148.21</v>
      </c>
      <c r="L212" s="2">
        <f t="shared" si="26"/>
        <v>44124</v>
      </c>
      <c r="M212" s="5">
        <f>HAVERD!BA216/HAVERD!BB216</f>
        <v>32.109242400864062</v>
      </c>
      <c r="X212" s="3"/>
      <c r="Y212" s="2"/>
      <c r="AJ212" s="2">
        <f t="shared" si="27"/>
        <v>44124</v>
      </c>
      <c r="AK212" s="2"/>
      <c r="AL212" s="3">
        <f>IF(HAVERD!H216="",AL211,AVERAGE(HAVERD!H216:Q216))</f>
        <v>38.350000000000009</v>
      </c>
    </row>
    <row r="213" spans="8:38" x14ac:dyDescent="0.35">
      <c r="H213" s="2">
        <f t="shared" si="25"/>
        <v>45306</v>
      </c>
      <c r="I213" s="5">
        <f>HAVERW!C218</f>
        <v>139.49</v>
      </c>
      <c r="J213" s="5">
        <f>HAVERW!D218</f>
        <v>147.93</v>
      </c>
      <c r="L213" s="2">
        <f t="shared" si="26"/>
        <v>44125</v>
      </c>
      <c r="M213" s="5">
        <f>HAVERD!BA217/HAVERD!BB217</f>
        <v>30.456582845855809</v>
      </c>
      <c r="X213" s="3"/>
      <c r="Y213" s="2"/>
      <c r="AJ213" s="2">
        <f t="shared" si="27"/>
        <v>44125</v>
      </c>
      <c r="AK213" s="2"/>
      <c r="AL213" s="3">
        <f>IF(HAVERD!H217="",AL212,AVERAGE(HAVERD!H217:Q217))</f>
        <v>37.767000000000003</v>
      </c>
    </row>
    <row r="214" spans="8:38" x14ac:dyDescent="0.35">
      <c r="H214" s="2">
        <f t="shared" si="25"/>
        <v>45313</v>
      </c>
      <c r="I214" s="5">
        <f>HAVERW!C219</f>
        <v>139.38999999999999</v>
      </c>
      <c r="J214" s="5">
        <f>HAVERW!D219</f>
        <v>147.96</v>
      </c>
      <c r="L214" s="2">
        <f t="shared" si="26"/>
        <v>44126</v>
      </c>
      <c r="M214" s="5">
        <f>HAVERD!BA218/HAVERD!BB218</f>
        <v>31.523482245131728</v>
      </c>
      <c r="X214" s="3"/>
      <c r="Y214" s="2"/>
      <c r="AJ214" s="2">
        <f t="shared" si="27"/>
        <v>44126</v>
      </c>
      <c r="AK214" s="2"/>
      <c r="AL214" s="3">
        <f>IF(HAVERD!H218="",AL213,AVERAGE(HAVERD!H218:Q218))</f>
        <v>38.483999999999995</v>
      </c>
    </row>
    <row r="215" spans="8:38" x14ac:dyDescent="0.35">
      <c r="H215" s="2">
        <f t="shared" si="25"/>
        <v>45320</v>
      </c>
      <c r="I215" s="5">
        <f>HAVERW!C220</f>
        <v>139.91</v>
      </c>
      <c r="J215" s="5">
        <f>HAVERW!D220</f>
        <v>148.56</v>
      </c>
      <c r="L215" s="2">
        <f t="shared" si="26"/>
        <v>44127</v>
      </c>
      <c r="M215" s="5">
        <f>HAVERD!BA219/HAVERD!BB219</f>
        <v>31.202575304667739</v>
      </c>
      <c r="X215" s="3"/>
      <c r="Y215" s="2"/>
      <c r="AJ215" s="2">
        <f t="shared" si="27"/>
        <v>44127</v>
      </c>
      <c r="AK215" s="2"/>
      <c r="AL215" s="3">
        <f>IF(HAVERD!H219="",AL214,AVERAGE(HAVERD!H219:Q219))</f>
        <v>38.950000000000003</v>
      </c>
    </row>
    <row r="216" spans="8:38" x14ac:dyDescent="0.35">
      <c r="H216" s="2">
        <f t="shared" si="25"/>
        <v>45327</v>
      </c>
      <c r="I216" s="5">
        <f>HAVERW!C221</f>
        <v>140.55000000000001</v>
      </c>
      <c r="J216" s="5">
        <f>HAVERW!D221</f>
        <v>149.35</v>
      </c>
      <c r="L216" s="2">
        <f t="shared" si="26"/>
        <v>44130</v>
      </c>
      <c r="M216" s="5">
        <f>HAVERD!BA220/HAVERD!BB220</f>
        <v>30</v>
      </c>
      <c r="X216" s="3"/>
      <c r="Y216" s="2"/>
      <c r="AJ216" s="2">
        <f t="shared" si="27"/>
        <v>44130</v>
      </c>
      <c r="AK216" s="2"/>
      <c r="AL216" s="3">
        <f>IF(HAVERD!H220="",AL215,AVERAGE(HAVERD!H220:Q220))</f>
        <v>37.934999999999995</v>
      </c>
    </row>
    <row r="217" spans="8:38" x14ac:dyDescent="0.35">
      <c r="H217" s="2">
        <f t="shared" si="25"/>
        <v>45334</v>
      </c>
      <c r="I217" s="5">
        <f>HAVERW!C222</f>
        <v>141.28</v>
      </c>
      <c r="J217" s="5">
        <f>HAVERW!D222</f>
        <v>150.28</v>
      </c>
      <c r="L217" s="2">
        <f t="shared" si="26"/>
        <v>44131</v>
      </c>
      <c r="M217" s="5">
        <f>HAVERD!BA221/HAVERD!BB221</f>
        <v>30.399510179090768</v>
      </c>
      <c r="X217" s="3"/>
      <c r="Y217" s="2"/>
      <c r="AJ217" s="2">
        <f t="shared" si="27"/>
        <v>44131</v>
      </c>
      <c r="AK217" s="2"/>
      <c r="AL217" s="3">
        <f>IF(HAVERD!H221="",AL216,AVERAGE(HAVERD!H221:Q221))</f>
        <v>38.011000000000003</v>
      </c>
    </row>
    <row r="218" spans="8:38" x14ac:dyDescent="0.35">
      <c r="H218" s="2">
        <f t="shared" si="25"/>
        <v>45341</v>
      </c>
      <c r="I218" s="5">
        <f>HAVERW!C223</f>
        <v>142.86000000000001</v>
      </c>
      <c r="J218" s="5">
        <f>HAVERW!D223</f>
        <v>152.08000000000001</v>
      </c>
      <c r="L218" s="2">
        <f t="shared" si="26"/>
        <v>44132</v>
      </c>
      <c r="M218" s="5">
        <f>HAVERD!BA222/HAVERD!BB222</f>
        <v>29.13652454979221</v>
      </c>
      <c r="X218" s="3"/>
      <c r="Y218" s="2"/>
      <c r="AJ218" s="2">
        <f t="shared" si="27"/>
        <v>44132</v>
      </c>
      <c r="AK218" s="2"/>
      <c r="AL218" s="3">
        <f>IF(HAVERD!H222="",AL217,AVERAGE(HAVERD!H222:Q222))</f>
        <v>37.185000000000002</v>
      </c>
    </row>
    <row r="219" spans="8:38" x14ac:dyDescent="0.35">
      <c r="H219" s="2">
        <f t="shared" si="25"/>
        <v>45348</v>
      </c>
      <c r="I219" s="5">
        <f>HAVERW!C224</f>
        <v>143.96</v>
      </c>
      <c r="J219" s="5">
        <f>HAVERW!D224</f>
        <v>153.29</v>
      </c>
      <c r="L219" s="2">
        <f t="shared" si="26"/>
        <v>44133</v>
      </c>
      <c r="M219" s="5">
        <f>HAVERD!BA223/HAVERD!BB223</f>
        <v>28.330104610616043</v>
      </c>
      <c r="X219" s="3"/>
      <c r="Y219" s="2"/>
      <c r="AJ219" s="2">
        <f t="shared" si="27"/>
        <v>44133</v>
      </c>
      <c r="AK219" s="2"/>
      <c r="AL219" s="3">
        <f>IF(HAVERD!H223="",AL218,AVERAGE(HAVERD!H223:Q223))</f>
        <v>36.612999999999992</v>
      </c>
    </row>
    <row r="220" spans="8:38" x14ac:dyDescent="0.35">
      <c r="H220" s="2">
        <f t="shared" si="25"/>
        <v>45355</v>
      </c>
      <c r="I220" s="5">
        <f>HAVERW!C225</f>
        <v>144.72999999999999</v>
      </c>
      <c r="J220" s="5">
        <f>HAVERW!D225</f>
        <v>154.53</v>
      </c>
      <c r="L220" s="2">
        <f t="shared" si="26"/>
        <v>44134</v>
      </c>
      <c r="M220" s="5">
        <f>HAVERD!BA224/HAVERD!BB224</f>
        <v>28.090930178612851</v>
      </c>
      <c r="X220" s="3"/>
      <c r="Y220" s="2"/>
      <c r="AJ220" s="2">
        <f t="shared" si="27"/>
        <v>44134</v>
      </c>
      <c r="AK220" s="2"/>
      <c r="AL220" s="3">
        <f>IF(HAVERD!H224="",AL219,AVERAGE(HAVERD!H224:Q224))</f>
        <v>36.244</v>
      </c>
    </row>
    <row r="221" spans="8:38" x14ac:dyDescent="0.35">
      <c r="H221" s="2">
        <f t="shared" si="25"/>
        <v>45362</v>
      </c>
      <c r="I221" s="5">
        <f>HAVERW!C226</f>
        <v>144.69999999999999</v>
      </c>
      <c r="J221" s="5">
        <f>HAVERW!D226</f>
        <v>154.29</v>
      </c>
      <c r="L221" s="2">
        <f t="shared" si="26"/>
        <v>44137</v>
      </c>
      <c r="M221" s="5">
        <f>HAVERD!BA225/HAVERD!BB225</f>
        <v>29.277743335399876</v>
      </c>
      <c r="X221" s="3"/>
      <c r="Y221" s="2"/>
      <c r="AJ221" s="2">
        <f t="shared" si="27"/>
        <v>44137</v>
      </c>
      <c r="AK221" s="2"/>
      <c r="AL221" s="3">
        <f>IF(HAVERD!H225="",AL220,AVERAGE(HAVERD!H225:Q225))</f>
        <v>35.683</v>
      </c>
    </row>
    <row r="222" spans="8:38" x14ac:dyDescent="0.35">
      <c r="H222" s="2">
        <f t="shared" si="25"/>
        <v>45369</v>
      </c>
      <c r="I222" s="5">
        <f>HAVERW!C227</f>
        <v>144.72999999999999</v>
      </c>
      <c r="J222" s="5">
        <f>HAVERW!D227</f>
        <v>153.81</v>
      </c>
      <c r="L222" s="2">
        <f t="shared" si="26"/>
        <v>44138</v>
      </c>
      <c r="M222" s="5">
        <f>HAVERD!BA226/HAVERD!BB226</f>
        <v>29.202050340448324</v>
      </c>
      <c r="X222" s="3"/>
      <c r="Y222" s="2"/>
      <c r="AJ222" s="2">
        <f t="shared" si="27"/>
        <v>44138</v>
      </c>
      <c r="AK222" s="2"/>
      <c r="AL222" s="3">
        <f>IF(HAVERD!H226="",AL221,AVERAGE(HAVERD!H226:Q226))</f>
        <v>35.837999999999994</v>
      </c>
    </row>
    <row r="223" spans="8:38" x14ac:dyDescent="0.35">
      <c r="H223" s="2">
        <f t="shared" si="25"/>
        <v>45376</v>
      </c>
      <c r="I223" s="5">
        <f>HAVERW!C228</f>
        <v>145.06</v>
      </c>
      <c r="J223" s="5">
        <f>HAVERW!D228</f>
        <v>153.9</v>
      </c>
      <c r="L223" s="2">
        <f t="shared" si="26"/>
        <v>44139</v>
      </c>
      <c r="M223" s="5">
        <f>HAVERD!BA227/HAVERD!BB227</f>
        <v>30.537171002000921</v>
      </c>
      <c r="X223" s="3"/>
      <c r="Y223" s="2"/>
      <c r="AJ223" s="2">
        <f t="shared" si="27"/>
        <v>44139</v>
      </c>
      <c r="AK223" s="2"/>
      <c r="AL223" s="3">
        <f>IF(HAVERD!H227="",AL222,AVERAGE(HAVERD!H227:Q227))</f>
        <v>36.527999999999999</v>
      </c>
    </row>
    <row r="224" spans="8:38" x14ac:dyDescent="0.35">
      <c r="H224" s="2">
        <f t="shared" si="25"/>
        <v>45383</v>
      </c>
      <c r="I224" s="5">
        <f>HAVERW!C229</f>
        <v>146.25</v>
      </c>
      <c r="J224" s="5">
        <f>HAVERW!D229</f>
        <v>156</v>
      </c>
      <c r="L224" s="2">
        <f t="shared" si="26"/>
        <v>44140</v>
      </c>
      <c r="M224" s="5">
        <f>HAVERD!BA228/HAVERD!BB228</f>
        <v>30.310244202119488</v>
      </c>
      <c r="X224" s="3"/>
      <c r="Y224" s="2"/>
      <c r="AJ224" s="2">
        <f t="shared" si="27"/>
        <v>44140</v>
      </c>
      <c r="AK224" s="2"/>
      <c r="AL224" s="3">
        <f>IF(HAVERD!H228="",AL223,AVERAGE(HAVERD!H228:Q228))</f>
        <v>37.460999999999999</v>
      </c>
    </row>
    <row r="225" spans="8:38" x14ac:dyDescent="0.35">
      <c r="H225" s="2">
        <f t="shared" si="25"/>
        <v>45390</v>
      </c>
      <c r="I225" s="5">
        <f>HAVERW!C230</f>
        <v>146.91</v>
      </c>
      <c r="J225" s="5">
        <f>HAVERW!D230</f>
        <v>156.29</v>
      </c>
      <c r="L225" s="2">
        <f t="shared" si="26"/>
        <v>44141</v>
      </c>
      <c r="M225" s="5">
        <f>HAVERD!BA229/HAVERD!BB229</f>
        <v>28.936170212765955</v>
      </c>
      <c r="X225" s="3"/>
      <c r="Y225" s="2"/>
      <c r="AJ225" s="2">
        <f t="shared" si="27"/>
        <v>44141</v>
      </c>
      <c r="AK225" s="2"/>
      <c r="AL225" s="3">
        <f>IF(HAVERD!H229="",AL224,AVERAGE(HAVERD!H229:Q229))</f>
        <v>36.647999999999996</v>
      </c>
    </row>
    <row r="226" spans="8:38" x14ac:dyDescent="0.35">
      <c r="H226" s="2">
        <f t="shared" si="25"/>
        <v>45397</v>
      </c>
      <c r="I226" s="5">
        <f>HAVERW!C231</f>
        <v>148.49</v>
      </c>
      <c r="J226" s="5">
        <f>HAVERW!D231</f>
        <v>157.46</v>
      </c>
      <c r="L226" s="2">
        <f t="shared" si="26"/>
        <v>44144</v>
      </c>
      <c r="M226" s="5">
        <f>HAVERD!BA230/HAVERD!BB230</f>
        <v>31.125475285171103</v>
      </c>
      <c r="X226" s="3"/>
      <c r="Y226" s="2"/>
      <c r="AJ226" s="2">
        <f t="shared" si="27"/>
        <v>44144</v>
      </c>
      <c r="AK226" s="2"/>
      <c r="AL226" s="3">
        <f>IF(HAVERD!H230="",AL225,AVERAGE(HAVERD!H230:Q230))</f>
        <v>36.942999999999998</v>
      </c>
    </row>
    <row r="227" spans="8:38" x14ac:dyDescent="0.35">
      <c r="H227" s="2">
        <f t="shared" si="25"/>
        <v>45404</v>
      </c>
      <c r="I227" s="5">
        <f>HAVERW!C232</f>
        <v>149.21</v>
      </c>
      <c r="J227" s="5">
        <f>HAVERW!D232</f>
        <v>157.97999999999999</v>
      </c>
      <c r="L227" s="2">
        <f t="shared" si="26"/>
        <v>44145</v>
      </c>
      <c r="M227" s="5">
        <f>HAVERD!BA231/HAVERD!BB231</f>
        <v>31.886792452830189</v>
      </c>
      <c r="X227" s="3"/>
      <c r="Y227" s="2"/>
      <c r="AJ227" s="2">
        <f t="shared" si="27"/>
        <v>44145</v>
      </c>
      <c r="AK227" s="2"/>
      <c r="AL227" s="3">
        <f>IF(HAVERD!H231="",AL226,AVERAGE(HAVERD!H231:Q231))</f>
        <v>36.870999999999995</v>
      </c>
    </row>
    <row r="228" spans="8:38" x14ac:dyDescent="0.35">
      <c r="H228" s="2">
        <f t="shared" si="25"/>
        <v>45411</v>
      </c>
      <c r="I228" s="5">
        <f>HAVERW!C233</f>
        <v>149.49</v>
      </c>
      <c r="J228" s="5">
        <f>HAVERW!D233</f>
        <v>157.97999999999999</v>
      </c>
      <c r="L228" s="2">
        <f t="shared" si="26"/>
        <v>44146</v>
      </c>
      <c r="M228" s="5">
        <f>HAVERD!BA232/HAVERD!BB232</f>
        <v>32.204288853527316</v>
      </c>
      <c r="X228" s="3"/>
      <c r="Y228" s="2"/>
      <c r="AJ228" s="2">
        <f t="shared" si="27"/>
        <v>44146</v>
      </c>
      <c r="AK228" s="2"/>
      <c r="AL228" s="3">
        <f>IF(HAVERD!H232="",AL227,AVERAGE(HAVERD!H232:Q232))</f>
        <v>37.103000000000002</v>
      </c>
    </row>
    <row r="229" spans="8:38" x14ac:dyDescent="0.35">
      <c r="H229" s="2">
        <f t="shared" si="25"/>
        <v>45418</v>
      </c>
      <c r="I229" s="5">
        <f>HAVERW!C234</f>
        <v>149.54</v>
      </c>
      <c r="J229" s="5">
        <f>HAVERW!D234</f>
        <v>157.63999999999999</v>
      </c>
      <c r="L229" s="2">
        <f t="shared" si="26"/>
        <v>44147</v>
      </c>
      <c r="M229" s="5">
        <f>HAVERD!BA233/HAVERD!BB233</f>
        <v>32.112118211592659</v>
      </c>
      <c r="X229" s="3"/>
      <c r="Y229" s="2"/>
      <c r="AJ229" s="2">
        <f t="shared" si="27"/>
        <v>44147</v>
      </c>
      <c r="AK229" s="2"/>
      <c r="AL229" s="3">
        <f>IF(HAVERD!H233="",AL228,AVERAGE(HAVERD!H233:Q233))</f>
        <v>37.088999999999999</v>
      </c>
    </row>
    <row r="230" spans="8:38" x14ac:dyDescent="0.35">
      <c r="H230" s="2">
        <f t="shared" si="25"/>
        <v>45425</v>
      </c>
      <c r="I230" s="5">
        <f>HAVERW!C235</f>
        <v>149.22999999999999</v>
      </c>
      <c r="J230" s="5">
        <f>HAVERW!D235</f>
        <v>157.08000000000001</v>
      </c>
      <c r="L230" s="2">
        <f t="shared" si="26"/>
        <v>44148</v>
      </c>
      <c r="M230" s="5">
        <f>HAVERD!BA234/HAVERD!BB234</f>
        <v>31.544950224181164</v>
      </c>
      <c r="X230" s="3"/>
      <c r="Y230" s="2"/>
      <c r="AJ230" s="2">
        <f t="shared" si="27"/>
        <v>44148</v>
      </c>
      <c r="AK230" s="2"/>
      <c r="AL230" s="3">
        <f>IF(HAVERD!H234="",AL229,AVERAGE(HAVERD!H234:Q234))</f>
        <v>37.172000000000004</v>
      </c>
    </row>
    <row r="231" spans="8:38" x14ac:dyDescent="0.35">
      <c r="H231" s="2">
        <f t="shared" si="25"/>
        <v>45432</v>
      </c>
      <c r="I231" s="5">
        <f>HAVERW!C236</f>
        <v>148.83000000000001</v>
      </c>
      <c r="J231" s="5">
        <f>HAVERW!D236</f>
        <v>156.21</v>
      </c>
      <c r="L231" s="2">
        <f t="shared" si="26"/>
        <v>44151</v>
      </c>
      <c r="M231" s="5">
        <f>HAVERD!BA235/HAVERD!BB235</f>
        <v>32.414996964177291</v>
      </c>
      <c r="X231" s="3"/>
      <c r="Y231" s="2"/>
      <c r="AJ231" s="2">
        <f t="shared" si="27"/>
        <v>44151</v>
      </c>
      <c r="AK231" s="2"/>
      <c r="AL231" s="3">
        <f>IF(HAVERD!H235="",AL230,AVERAGE(HAVERD!H235:Q235))</f>
        <v>37.253999999999998</v>
      </c>
    </row>
    <row r="232" spans="8:38" x14ac:dyDescent="0.35">
      <c r="H232" s="2">
        <f t="shared" si="25"/>
        <v>45439</v>
      </c>
      <c r="I232" s="5">
        <f>HAVERW!C237</f>
        <v>147.65</v>
      </c>
      <c r="J232" s="5">
        <f>HAVERW!D237</f>
        <v>154.30000000000001</v>
      </c>
      <c r="L232" s="2">
        <f t="shared" si="26"/>
        <v>44152</v>
      </c>
      <c r="M232" s="5">
        <f>HAVERD!BA236/HAVERD!BB236</f>
        <v>32.081447963800905</v>
      </c>
      <c r="X232" s="3"/>
      <c r="Y232" s="2"/>
      <c r="AJ232" s="2">
        <f t="shared" si="27"/>
        <v>44152</v>
      </c>
      <c r="AK232" s="2"/>
      <c r="AL232" s="3">
        <f>IF(HAVERD!H236="",AL231,AVERAGE(HAVERD!H236:Q236))</f>
        <v>36.284000000000006</v>
      </c>
    </row>
    <row r="233" spans="8:38" x14ac:dyDescent="0.35">
      <c r="H233" s="2">
        <f t="shared" si="25"/>
        <v>45446</v>
      </c>
      <c r="I233" s="5">
        <f>HAVERW!C238</f>
        <v>147.27000000000001</v>
      </c>
      <c r="J233" s="5">
        <f>HAVERW!D238</f>
        <v>153.26</v>
      </c>
      <c r="L233" s="2">
        <f t="shared" si="26"/>
        <v>44153</v>
      </c>
      <c r="M233" s="5">
        <f>HAVERD!BA237/HAVERD!BB237</f>
        <v>32.258307021500521</v>
      </c>
      <c r="X233" s="3"/>
      <c r="Y233" s="2"/>
      <c r="AJ233" s="2">
        <f t="shared" si="27"/>
        <v>44153</v>
      </c>
      <c r="AK233" s="2"/>
      <c r="AL233" s="3">
        <f>IF(HAVERD!H237="",AL232,AVERAGE(HAVERD!H237:Q237))</f>
        <v>35.992999999999995</v>
      </c>
    </row>
    <row r="234" spans="8:38" x14ac:dyDescent="0.35">
      <c r="H234" s="2">
        <f t="shared" si="25"/>
        <v>45453</v>
      </c>
      <c r="I234" s="5">
        <f>HAVERW!C239</f>
        <v>146.25</v>
      </c>
      <c r="J234" s="5">
        <f>HAVERW!D239</f>
        <v>151.99</v>
      </c>
      <c r="L234" s="2">
        <f t="shared" si="26"/>
        <v>44154</v>
      </c>
      <c r="M234" s="5">
        <f>HAVERD!BA238/HAVERD!BB238</f>
        <v>32.57976712535914</v>
      </c>
      <c r="X234" s="3"/>
      <c r="Y234" s="2"/>
      <c r="AJ234" s="2">
        <f t="shared" si="27"/>
        <v>44154</v>
      </c>
      <c r="AK234" s="2"/>
      <c r="AL234" s="3">
        <f>IF(HAVERD!H238="",AL233,AVERAGE(HAVERD!H238:Q238))</f>
        <v>34.702999999999996</v>
      </c>
    </row>
    <row r="235" spans="8:38" x14ac:dyDescent="0.35">
      <c r="H235" s="2">
        <f t="shared" si="25"/>
        <v>45460</v>
      </c>
      <c r="I235" s="5">
        <f>HAVERW!C240</f>
        <v>145.09</v>
      </c>
      <c r="J235" s="5">
        <f>HAVERW!D240</f>
        <v>150.69999999999999</v>
      </c>
      <c r="L235" s="2">
        <f t="shared" si="26"/>
        <v>44155</v>
      </c>
      <c r="M235" s="5">
        <f>HAVERD!BA239/HAVERD!BB239</f>
        <v>32.95950624717748</v>
      </c>
      <c r="X235" s="3"/>
      <c r="Y235" s="2"/>
      <c r="AJ235" s="2">
        <f t="shared" si="27"/>
        <v>44155</v>
      </c>
      <c r="AK235" s="2"/>
      <c r="AL235" s="3">
        <f>IF(HAVERD!H239="",AL234,AVERAGE(HAVERD!H239:Q239))</f>
        <v>34.415999999999997</v>
      </c>
    </row>
    <row r="236" spans="8:38" x14ac:dyDescent="0.35">
      <c r="H236" s="2">
        <f t="shared" si="25"/>
        <v>45467</v>
      </c>
      <c r="I236" s="5">
        <f>HAVERW!C241</f>
        <v>144.43</v>
      </c>
      <c r="J236" s="5">
        <f>HAVERW!D241</f>
        <v>150.12</v>
      </c>
      <c r="L236" s="2">
        <f t="shared" si="26"/>
        <v>44158</v>
      </c>
      <c r="M236" s="5">
        <f>HAVERD!BA240/HAVERD!BB240</f>
        <v>33.849857078381227</v>
      </c>
      <c r="X236" s="3"/>
      <c r="Y236" s="2"/>
      <c r="AJ236" s="2">
        <f t="shared" si="27"/>
        <v>44158</v>
      </c>
      <c r="AK236" s="2"/>
      <c r="AL236" s="3">
        <f>IF(HAVERD!H240="",AL235,AVERAGE(HAVERD!H240:Q240))</f>
        <v>35.001999999999995</v>
      </c>
    </row>
    <row r="237" spans="8:38" x14ac:dyDescent="0.35">
      <c r="H237" s="2">
        <f t="shared" si="25"/>
        <v>45474</v>
      </c>
      <c r="I237" s="5">
        <f>HAVERW!C242</f>
        <v>144.28</v>
      </c>
      <c r="J237" s="5">
        <f>HAVERW!D242</f>
        <v>150.06</v>
      </c>
      <c r="L237" s="2">
        <f t="shared" si="26"/>
        <v>44159</v>
      </c>
      <c r="M237" s="5">
        <f>HAVERD!BA241/HAVERD!BB241</f>
        <v>34.915761886933737</v>
      </c>
      <c r="X237" s="3"/>
      <c r="Y237" s="2"/>
      <c r="AJ237" s="2">
        <f t="shared" si="27"/>
        <v>44159</v>
      </c>
      <c r="AK237" s="2"/>
      <c r="AL237" s="3">
        <f>IF(HAVERD!H241="",AL236,AVERAGE(HAVERD!H241:Q241))</f>
        <v>35.688000000000002</v>
      </c>
    </row>
    <row r="238" spans="8:38" x14ac:dyDescent="0.35">
      <c r="H238" s="2">
        <f t="shared" si="25"/>
        <v>45481</v>
      </c>
      <c r="I238" s="5">
        <f>HAVERW!C243</f>
        <v>144.44999999999999</v>
      </c>
      <c r="J238" s="5">
        <f>HAVERW!D243</f>
        <v>150.38999999999999</v>
      </c>
      <c r="L238" s="2">
        <f t="shared" si="26"/>
        <v>44160</v>
      </c>
      <c r="M238" s="5">
        <f>HAVERD!BA242/HAVERD!BB242</f>
        <v>35.353912848493906</v>
      </c>
      <c r="X238" s="3"/>
      <c r="Y238" s="2"/>
      <c r="AJ238" s="2">
        <f t="shared" si="27"/>
        <v>44160</v>
      </c>
      <c r="AK238" s="2"/>
      <c r="AL238" s="3">
        <f>IF(HAVERD!H242="",AL237,AVERAGE(HAVERD!H242:Q242))</f>
        <v>35.951999999999998</v>
      </c>
    </row>
    <row r="239" spans="8:38" x14ac:dyDescent="0.35">
      <c r="H239" s="2">
        <f t="shared" si="25"/>
        <v>45488</v>
      </c>
      <c r="I239" s="5">
        <f>HAVERW!C244</f>
        <v>144.6</v>
      </c>
      <c r="J239" s="5">
        <f>HAVERW!D244</f>
        <v>150.56</v>
      </c>
      <c r="L239" s="2">
        <f t="shared" si="26"/>
        <v>44161</v>
      </c>
      <c r="M239" s="5">
        <f>HAVERD!BA243/HAVERD!BB243</f>
        <v>34.748687171792952</v>
      </c>
      <c r="X239" s="3"/>
      <c r="Y239" s="2"/>
      <c r="AJ239" s="2">
        <f t="shared" si="27"/>
        <v>44161</v>
      </c>
      <c r="AK239" s="2"/>
      <c r="AL239" s="3">
        <f>IF(HAVERD!H243="",AL238,AVERAGE(HAVERD!H243:Q243))</f>
        <v>35.792999999999999</v>
      </c>
    </row>
    <row r="240" spans="8:38" x14ac:dyDescent="0.35">
      <c r="H240" s="2">
        <f t="shared" si="25"/>
        <v>45495</v>
      </c>
      <c r="I240" s="5">
        <f>HAVERW!C245</f>
        <v>144.69</v>
      </c>
      <c r="J240" s="5">
        <f>HAVERW!D245</f>
        <v>150.59</v>
      </c>
      <c r="L240" s="2">
        <f t="shared" si="26"/>
        <v>44162</v>
      </c>
      <c r="M240" s="5">
        <f>HAVERD!BA244/HAVERD!BB244</f>
        <v>35.13189448441247</v>
      </c>
      <c r="X240" s="3"/>
      <c r="Y240" s="2"/>
      <c r="AJ240" s="2">
        <f t="shared" si="27"/>
        <v>44162</v>
      </c>
      <c r="AK240" s="2"/>
      <c r="AL240" s="3">
        <f>IF(HAVERD!H244="",AL239,AVERAGE(HAVERD!H244:Q244))</f>
        <v>36.779000000000003</v>
      </c>
    </row>
    <row r="241" spans="8:38" x14ac:dyDescent="0.35">
      <c r="H241" s="2">
        <f t="shared" si="25"/>
        <v>45502</v>
      </c>
      <c r="I241" s="5">
        <f>HAVERW!C246</f>
        <v>144.19</v>
      </c>
      <c r="J241" s="5">
        <f>HAVERW!D246</f>
        <v>150.16</v>
      </c>
      <c r="L241" s="2">
        <f t="shared" si="26"/>
        <v>44165</v>
      </c>
      <c r="M241" s="5">
        <f>HAVERD!BA245/HAVERD!BB245</f>
        <v>35.078259567138474</v>
      </c>
      <c r="X241" s="3"/>
      <c r="Y241" s="2"/>
      <c r="AJ241" s="2">
        <f t="shared" si="27"/>
        <v>44165</v>
      </c>
      <c r="AK241" s="2"/>
      <c r="AL241" s="3">
        <f>IF(HAVERD!H245="",AL240,AVERAGE(HAVERD!H245:Q245))</f>
        <v>38.625000000000007</v>
      </c>
    </row>
    <row r="242" spans="8:38" x14ac:dyDescent="0.35">
      <c r="H242" s="2">
        <f t="shared" si="25"/>
        <v>45509</v>
      </c>
      <c r="I242" s="5">
        <f>HAVERW!C247</f>
        <v>143.41999999999999</v>
      </c>
      <c r="J242" s="5">
        <f>HAVERW!D247</f>
        <v>149.1</v>
      </c>
      <c r="L242" s="2">
        <f t="shared" si="26"/>
        <v>44166</v>
      </c>
      <c r="M242" s="5">
        <f>HAVERD!BA246/HAVERD!BB246</f>
        <v>35.191559413349296</v>
      </c>
      <c r="X242" s="3"/>
      <c r="Y242" s="2"/>
      <c r="AJ242" s="2">
        <f t="shared" si="27"/>
        <v>44166</v>
      </c>
      <c r="AK242" s="2"/>
      <c r="AL242" s="3">
        <f>IF(HAVERD!H246="",AL241,AVERAGE(HAVERD!H246:Q246))</f>
        <v>38.364999999999995</v>
      </c>
    </row>
    <row r="243" spans="8:38" x14ac:dyDescent="0.35">
      <c r="H243" s="2">
        <f t="shared" si="25"/>
        <v>45516</v>
      </c>
      <c r="I243" s="5">
        <f>HAVERW!C248</f>
        <v>142.91</v>
      </c>
      <c r="J243" s="5">
        <f>HAVERW!D248</f>
        <v>148.47999999999999</v>
      </c>
      <c r="L243" s="2">
        <f t="shared" si="26"/>
        <v>44167</v>
      </c>
      <c r="M243" s="5">
        <f>HAVERD!BA247/HAVERD!BB247</f>
        <v>35.869728350592823</v>
      </c>
      <c r="X243" s="3"/>
      <c r="Y243" s="2"/>
      <c r="AJ243" s="2">
        <f t="shared" si="27"/>
        <v>44167</v>
      </c>
      <c r="AK243" s="2"/>
      <c r="AL243" s="3">
        <f>IF(HAVERD!H247="",AL242,AVERAGE(HAVERD!H247:Q247))</f>
        <v>38.452999999999996</v>
      </c>
    </row>
    <row r="244" spans="8:38" x14ac:dyDescent="0.35">
      <c r="H244" s="2">
        <f t="shared" si="25"/>
        <v>45523</v>
      </c>
      <c r="I244" s="5">
        <f>HAVERW!C249</f>
        <v>141.96</v>
      </c>
      <c r="J244" s="5">
        <f>HAVERW!D249</f>
        <v>147.41999999999999</v>
      </c>
      <c r="L244" s="2">
        <f t="shared" si="26"/>
        <v>44168</v>
      </c>
      <c r="M244" s="5">
        <f>HAVERD!BA248/HAVERD!BB248</f>
        <v>35.837593539305033</v>
      </c>
      <c r="X244" s="3"/>
      <c r="Y244" s="2"/>
      <c r="AJ244" s="2">
        <f t="shared" si="27"/>
        <v>44168</v>
      </c>
      <c r="AK244" s="2"/>
      <c r="AL244" s="3">
        <f>IF(HAVERD!H248="",AL243,AVERAGE(HAVERD!H248:Q248))</f>
        <v>36.855000000000004</v>
      </c>
    </row>
    <row r="245" spans="8:38" x14ac:dyDescent="0.35">
      <c r="H245" s="2">
        <f t="shared" si="25"/>
        <v>45530</v>
      </c>
      <c r="I245" s="5">
        <f>HAVERW!C250</f>
        <v>141.01</v>
      </c>
      <c r="J245" s="5">
        <f>HAVERW!D250</f>
        <v>146.15</v>
      </c>
      <c r="L245" s="2">
        <f t="shared" si="26"/>
        <v>44169</v>
      </c>
      <c r="M245" s="5">
        <f>HAVERD!BA249/HAVERD!BB249</f>
        <v>36.443256884138648</v>
      </c>
      <c r="X245" s="3"/>
      <c r="Y245" s="2"/>
      <c r="AJ245" s="2">
        <f t="shared" si="27"/>
        <v>44169</v>
      </c>
      <c r="AK245" s="2"/>
      <c r="AL245" s="3">
        <f>IF(HAVERD!H249="",AL244,AVERAGE(HAVERD!H249:Q249))</f>
        <v>37.778999999999996</v>
      </c>
    </row>
    <row r="246" spans="8:38" x14ac:dyDescent="0.35">
      <c r="H246" s="2">
        <f t="shared" si="25"/>
        <v>45537</v>
      </c>
      <c r="I246" s="5">
        <f>HAVERW!C251</f>
        <v>139.96</v>
      </c>
      <c r="J246" s="5">
        <f>HAVERW!D251</f>
        <v>145.19</v>
      </c>
      <c r="L246" s="2">
        <f t="shared" si="26"/>
        <v>44172</v>
      </c>
      <c r="M246" s="5">
        <f>HAVERD!BA250/HAVERD!BB250</f>
        <v>36.528205513407954</v>
      </c>
      <c r="X246" s="3"/>
      <c r="Y246" s="2"/>
      <c r="AJ246" s="2">
        <f t="shared" si="27"/>
        <v>44172</v>
      </c>
      <c r="AK246" s="2"/>
      <c r="AL246" s="3">
        <f>IF(HAVERD!H250="",AL245,AVERAGE(HAVERD!H250:Q250))</f>
        <v>37.693000000000005</v>
      </c>
    </row>
    <row r="247" spans="8:38" x14ac:dyDescent="0.35">
      <c r="H247" s="2">
        <f t="shared" si="25"/>
        <v>45544</v>
      </c>
      <c r="I247" s="5">
        <f>HAVERW!C252</f>
        <v>138.1</v>
      </c>
      <c r="J247" s="5">
        <f>HAVERW!D252</f>
        <v>143.4</v>
      </c>
      <c r="L247" s="2">
        <f t="shared" si="26"/>
        <v>44173</v>
      </c>
      <c r="M247" s="5">
        <f>HAVERD!BA251/HAVERD!BB251</f>
        <v>36.554150138462688</v>
      </c>
      <c r="X247" s="3"/>
      <c r="Y247" s="2"/>
      <c r="AJ247" s="2">
        <f t="shared" si="27"/>
        <v>44173</v>
      </c>
      <c r="AK247" s="2"/>
      <c r="AL247" s="3">
        <f>IF(HAVERD!H251="",AL246,AVERAGE(HAVERD!H251:Q251))</f>
        <v>37.558999999999997</v>
      </c>
    </row>
    <row r="248" spans="8:38" x14ac:dyDescent="0.35">
      <c r="H248" s="2">
        <f t="shared" si="25"/>
        <v>45551</v>
      </c>
      <c r="I248" s="5">
        <f>HAVERW!C253</f>
        <v>136.49</v>
      </c>
      <c r="J248" s="5">
        <f>HAVERW!D253</f>
        <v>141.61000000000001</v>
      </c>
      <c r="L248" s="2">
        <f t="shared" si="26"/>
        <v>44174</v>
      </c>
      <c r="M248" s="5">
        <f>HAVERD!BA252/HAVERD!BB252</f>
        <v>36.436249626754261</v>
      </c>
      <c r="X248" s="3"/>
      <c r="Y248" s="2"/>
      <c r="AJ248" s="2">
        <f t="shared" si="27"/>
        <v>44174</v>
      </c>
      <c r="AK248" s="2"/>
      <c r="AL248" s="3">
        <f>IF(HAVERD!H252="",AL247,AVERAGE(HAVERD!H252:Q252))</f>
        <v>37.866</v>
      </c>
    </row>
    <row r="249" spans="8:38" x14ac:dyDescent="0.35">
      <c r="H249" s="2">
        <f t="shared" si="25"/>
        <v>45558</v>
      </c>
      <c r="I249" s="5">
        <f>HAVERW!C254</f>
        <v>135.26</v>
      </c>
      <c r="J249" s="5">
        <f>HAVERW!D254</f>
        <v>140.02000000000001</v>
      </c>
      <c r="L249" s="2">
        <f t="shared" si="26"/>
        <v>44175</v>
      </c>
      <c r="M249" s="5">
        <f>HAVERD!BA253/HAVERD!BB253</f>
        <v>37.913370998116761</v>
      </c>
      <c r="X249" s="3"/>
      <c r="Y249" s="2"/>
      <c r="AJ249" s="2">
        <f t="shared" si="27"/>
        <v>44175</v>
      </c>
      <c r="AK249" s="2"/>
      <c r="AL249" s="3">
        <f>IF(HAVERD!H253="",AL248,AVERAGE(HAVERD!H253:Q253))</f>
        <v>40.007999999999996</v>
      </c>
    </row>
    <row r="250" spans="8:38" x14ac:dyDescent="0.35">
      <c r="H250" s="2">
        <f t="shared" si="25"/>
        <v>45565</v>
      </c>
      <c r="I250" s="5">
        <f>HAVERW!C255</f>
        <v>134.16999999999999</v>
      </c>
      <c r="J250" s="5">
        <f>HAVERW!D255</f>
        <v>138.85</v>
      </c>
      <c r="L250" s="2">
        <f t="shared" si="26"/>
        <v>44176</v>
      </c>
      <c r="M250" s="5">
        <f>HAVERD!BA254/HAVERD!BB254</f>
        <v>37.840496368038735</v>
      </c>
      <c r="X250" s="3"/>
      <c r="Y250" s="2"/>
      <c r="AJ250" s="2">
        <f t="shared" si="27"/>
        <v>44176</v>
      </c>
      <c r="AK250" s="2"/>
      <c r="AL250" s="3">
        <f>IF(HAVERD!H254="",AL249,AVERAGE(HAVERD!H254:Q254))</f>
        <v>40.976999999999997</v>
      </c>
    </row>
    <row r="251" spans="8:38" x14ac:dyDescent="0.35">
      <c r="H251" s="2">
        <f t="shared" si="25"/>
        <v>45572</v>
      </c>
      <c r="I251" s="5">
        <f>HAVERW!C256</f>
        <v>133.59</v>
      </c>
      <c r="J251" s="5">
        <f>HAVERW!D256</f>
        <v>138.46</v>
      </c>
      <c r="L251" s="2">
        <f t="shared" si="26"/>
        <v>44179</v>
      </c>
      <c r="M251" s="5">
        <f>HAVERD!BA255/HAVERD!BB255</f>
        <v>37.711927981995501</v>
      </c>
      <c r="X251" s="3"/>
      <c r="Y251" s="2"/>
      <c r="AJ251" s="2">
        <f t="shared" si="27"/>
        <v>44179</v>
      </c>
      <c r="AK251" s="2"/>
      <c r="AL251" s="3">
        <f>IF(HAVERD!H255="",AL250,AVERAGE(HAVERD!H255:Q255))</f>
        <v>41.945</v>
      </c>
    </row>
    <row r="252" spans="8:38" x14ac:dyDescent="0.35">
      <c r="H252" s="2">
        <f t="shared" si="25"/>
        <v>45579</v>
      </c>
      <c r="I252" s="5">
        <f>HAVERW!C257</f>
        <v>133.86000000000001</v>
      </c>
      <c r="J252" s="5">
        <f>HAVERW!D257</f>
        <v>139.08000000000001</v>
      </c>
      <c r="L252" s="2">
        <f t="shared" si="26"/>
        <v>44180</v>
      </c>
      <c r="M252" s="5">
        <f>HAVERD!BA256/HAVERD!BB256</f>
        <v>37.752825698988701</v>
      </c>
      <c r="X252" s="3"/>
      <c r="Y252" s="2"/>
      <c r="AJ252" s="2">
        <f t="shared" si="27"/>
        <v>44180</v>
      </c>
      <c r="AK252" s="2"/>
      <c r="AL252" s="3">
        <f>IF(HAVERD!H256="",AL251,AVERAGE(HAVERD!H256:Q256))</f>
        <v>42.692</v>
      </c>
    </row>
    <row r="253" spans="8:38" x14ac:dyDescent="0.35">
      <c r="H253" s="2">
        <f t="shared" si="25"/>
        <v>45586</v>
      </c>
      <c r="I253" s="5">
        <f>HAVERW!C258</f>
        <v>133.99</v>
      </c>
      <c r="J253" s="5">
        <f>HAVERW!D258</f>
        <v>139.26</v>
      </c>
      <c r="L253" s="2">
        <f t="shared" si="26"/>
        <v>44181</v>
      </c>
      <c r="M253" s="5">
        <f>HAVERD!BA257/HAVERD!BB257</f>
        <v>37.665802148944053</v>
      </c>
      <c r="X253" s="3"/>
      <c r="Y253" s="2"/>
      <c r="AJ253" s="2">
        <f t="shared" si="27"/>
        <v>44181</v>
      </c>
      <c r="AK253" s="2"/>
      <c r="AL253" s="3">
        <f>IF(HAVERD!H257="",AL252,AVERAGE(HAVERD!H257:Q257))</f>
        <v>41.349000000000004</v>
      </c>
    </row>
    <row r="254" spans="8:38" x14ac:dyDescent="0.35">
      <c r="H254" s="2">
        <f t="shared" si="25"/>
        <v>45593</v>
      </c>
      <c r="I254" s="5">
        <f>HAVERW!C259</f>
        <v>134.41</v>
      </c>
      <c r="J254" s="5">
        <f>HAVERW!D259</f>
        <v>139.71</v>
      </c>
      <c r="L254" s="2">
        <f t="shared" si="26"/>
        <v>44182</v>
      </c>
      <c r="M254" s="5">
        <f>HAVERD!BA258/HAVERD!BB258</f>
        <v>37.671988816128327</v>
      </c>
      <c r="X254" s="3"/>
      <c r="Y254" s="2"/>
      <c r="AJ254" s="2">
        <f t="shared" si="27"/>
        <v>44182</v>
      </c>
      <c r="AK254" s="2"/>
      <c r="AL254" s="3">
        <f>IF(HAVERD!H258="",AL253,AVERAGE(HAVERD!H258:Q258))</f>
        <v>40.611999999999995</v>
      </c>
    </row>
    <row r="255" spans="8:38" x14ac:dyDescent="0.35">
      <c r="H255" s="2">
        <f t="shared" si="25"/>
        <v>45600</v>
      </c>
      <c r="I255" s="5">
        <f>HAVERW!C260</f>
        <v>134.41</v>
      </c>
      <c r="J255" s="5">
        <f>HAVERW!D260</f>
        <v>139.84</v>
      </c>
      <c r="L255" s="2">
        <f t="shared" si="26"/>
        <v>44183</v>
      </c>
      <c r="M255" s="5">
        <f>HAVERD!BA259/HAVERD!BB259</f>
        <v>38.687430478309231</v>
      </c>
      <c r="X255" s="3"/>
      <c r="Y255" s="2"/>
      <c r="AJ255" s="2">
        <f t="shared" si="27"/>
        <v>44183</v>
      </c>
      <c r="AK255" s="2"/>
      <c r="AL255" s="3">
        <f>IF(HAVERD!H259="",AL254,AVERAGE(HAVERD!H259:Q259))</f>
        <v>41.289000000000001</v>
      </c>
    </row>
    <row r="256" spans="8:38" x14ac:dyDescent="0.35">
      <c r="H256" s="2">
        <f t="shared" si="25"/>
        <v>45607</v>
      </c>
      <c r="I256" s="5">
        <f>HAVERW!C261</f>
        <v>134.59</v>
      </c>
      <c r="J256" s="5">
        <f>HAVERW!D261</f>
        <v>140.13</v>
      </c>
      <c r="L256" s="2">
        <f t="shared" si="26"/>
        <v>44186</v>
      </c>
      <c r="M256" s="5">
        <f>HAVERD!BA260/HAVERD!BB260</f>
        <v>38.012618296529972</v>
      </c>
      <c r="X256" s="3"/>
      <c r="Y256" s="2"/>
      <c r="AJ256" s="2">
        <f t="shared" si="27"/>
        <v>44186</v>
      </c>
      <c r="AK256" s="2"/>
      <c r="AL256" s="3">
        <f>IF(HAVERD!H260="",AL255,AVERAGE(HAVERD!H260:Q260))</f>
        <v>43.25</v>
      </c>
    </row>
    <row r="257" spans="8:38" x14ac:dyDescent="0.35">
      <c r="H257" s="2">
        <f t="shared" si="25"/>
        <v>45614</v>
      </c>
      <c r="I257" s="5">
        <f>HAVERW!C262</f>
        <v>134.85</v>
      </c>
      <c r="J257" s="5">
        <f>HAVERW!D262</f>
        <v>140.49</v>
      </c>
      <c r="L257" s="2">
        <f t="shared" si="26"/>
        <v>44187</v>
      </c>
      <c r="M257" s="5">
        <f>HAVERD!BA261/HAVERD!BB261</f>
        <v>37.441825551718964</v>
      </c>
      <c r="X257" s="3"/>
      <c r="Y257" s="2"/>
      <c r="AJ257" s="2">
        <f t="shared" si="27"/>
        <v>44187</v>
      </c>
      <c r="AK257" s="2"/>
      <c r="AL257" s="3">
        <f>IF(HAVERD!H261="",AL256,AVERAGE(HAVERD!H261:Q261))</f>
        <v>44.423999999999999</v>
      </c>
    </row>
    <row r="258" spans="8:38" x14ac:dyDescent="0.35">
      <c r="H258" s="2">
        <f t="shared" si="25"/>
        <v>45621</v>
      </c>
      <c r="I258" s="5">
        <f>HAVERW!C263</f>
        <v>135.37</v>
      </c>
      <c r="J258" s="5">
        <f>HAVERW!D263</f>
        <v>141.4</v>
      </c>
      <c r="L258" s="2">
        <f t="shared" si="26"/>
        <v>44188</v>
      </c>
      <c r="M258" s="5">
        <f>HAVERD!BA262/HAVERD!BB262</f>
        <v>37.75329093329389</v>
      </c>
      <c r="X258" s="3"/>
      <c r="Y258" s="2"/>
      <c r="AJ258" s="2">
        <f t="shared" si="27"/>
        <v>44188</v>
      </c>
      <c r="AK258" s="2"/>
      <c r="AL258" s="3">
        <f>IF(HAVERD!H262="",AL257,AVERAGE(HAVERD!H262:Q262))</f>
        <v>43.906999999999996</v>
      </c>
    </row>
    <row r="259" spans="8:38" x14ac:dyDescent="0.35">
      <c r="H259" s="2">
        <f t="shared" si="25"/>
        <v>45628</v>
      </c>
      <c r="I259" s="5">
        <f>HAVERW!C264</f>
        <v>135.93</v>
      </c>
      <c r="J259" s="5">
        <f>HAVERW!D264</f>
        <v>142.04</v>
      </c>
      <c r="L259" s="2">
        <f t="shared" si="26"/>
        <v>44189</v>
      </c>
      <c r="M259" s="5">
        <f>HAVERD!BA263/HAVERD!BB263</f>
        <v>37.444804239034447</v>
      </c>
      <c r="X259" s="3"/>
      <c r="Y259" s="2"/>
      <c r="AJ259" s="2">
        <f t="shared" si="27"/>
        <v>44189</v>
      </c>
      <c r="AK259" s="2"/>
      <c r="AL259" s="3">
        <f>IF(HAVERD!H263="",AL258,AVERAGE(HAVERD!H263:Q263))</f>
        <v>43.814999999999998</v>
      </c>
    </row>
    <row r="260" spans="8:38" x14ac:dyDescent="0.35">
      <c r="H260" s="2">
        <f t="shared" si="25"/>
        <v>45635</v>
      </c>
      <c r="I260" s="5">
        <f>HAVERW!C265</f>
        <v>136.22999999999999</v>
      </c>
      <c r="J260" s="5">
        <f>HAVERW!D265</f>
        <v>142.49</v>
      </c>
      <c r="L260" s="2">
        <f t="shared" si="26"/>
        <v>44190</v>
      </c>
      <c r="M260" s="5" t="e">
        <f>HAVERD!BA264/HAVERD!BB264</f>
        <v>#N/A</v>
      </c>
      <c r="X260" s="3"/>
      <c r="Y260" s="2"/>
      <c r="AJ260" s="2">
        <f t="shared" si="27"/>
        <v>44190</v>
      </c>
      <c r="AK260" s="2"/>
      <c r="AL260" s="3" t="e">
        <f>IF(HAVERD!H264="",AL259,AVERAGE(HAVERD!H264:Q264))</f>
        <v>#N/A</v>
      </c>
    </row>
    <row r="261" spans="8:38" x14ac:dyDescent="0.35">
      <c r="H261" s="2">
        <f t="shared" ref="H261:H276" si="28">+H260+7</f>
        <v>45642</v>
      </c>
      <c r="I261" s="5">
        <f>HAVERW!C266</f>
        <v>136.38999999999999</v>
      </c>
      <c r="J261" s="5">
        <f>HAVERW!D266</f>
        <v>142.71</v>
      </c>
      <c r="L261" s="2">
        <f t="shared" si="26"/>
        <v>44193</v>
      </c>
      <c r="M261" s="5" t="e">
        <f>HAVERD!BA265/HAVERD!BB265</f>
        <v>#N/A</v>
      </c>
      <c r="X261" s="3"/>
      <c r="Y261" s="2"/>
      <c r="AJ261" s="2">
        <f t="shared" si="27"/>
        <v>44193</v>
      </c>
      <c r="AK261" s="2"/>
      <c r="AL261" s="3">
        <f>IF(HAVERD!H265="",AL260,AVERAGE(HAVERD!H265:Q265))</f>
        <v>43.814999999999998</v>
      </c>
    </row>
    <row r="262" spans="8:38" x14ac:dyDescent="0.35">
      <c r="H262" s="2">
        <f t="shared" si="28"/>
        <v>45649</v>
      </c>
      <c r="I262" s="5">
        <f>HAVERW!C267</f>
        <v>136.38999999999999</v>
      </c>
      <c r="J262" s="5">
        <f>HAVERW!D267</f>
        <v>142.85</v>
      </c>
      <c r="L262" s="2">
        <f t="shared" si="26"/>
        <v>44194</v>
      </c>
      <c r="M262" s="5">
        <f>HAVERD!BA266/HAVERD!BB266</f>
        <v>37.379576107899808</v>
      </c>
      <c r="X262" s="3"/>
      <c r="Y262" s="2"/>
      <c r="AJ262" s="2">
        <f t="shared" si="27"/>
        <v>44194</v>
      </c>
      <c r="AK262" s="2"/>
      <c r="AL262" s="3">
        <f>IF(HAVERD!H266="",AL261,AVERAGE(HAVERD!H266:Q266))</f>
        <v>45.687000000000005</v>
      </c>
    </row>
    <row r="263" spans="8:38" x14ac:dyDescent="0.35">
      <c r="H263" s="2">
        <f t="shared" si="28"/>
        <v>45656</v>
      </c>
      <c r="I263" s="5">
        <f>HAVERW!C268</f>
        <v>136.49</v>
      </c>
      <c r="J263" s="5">
        <f>HAVERW!D268</f>
        <v>142.97999999999999</v>
      </c>
      <c r="L263" s="2">
        <f t="shared" si="26"/>
        <v>44195</v>
      </c>
      <c r="M263" s="5">
        <f>HAVERD!BA267/HAVERD!BB267</f>
        <v>37.286890064667844</v>
      </c>
      <c r="X263" s="3"/>
      <c r="Y263" s="2"/>
      <c r="AJ263" s="2">
        <f t="shared" si="27"/>
        <v>44195</v>
      </c>
      <c r="AK263" s="2"/>
      <c r="AL263" s="3">
        <f>IF(HAVERD!H267="",AL262,AVERAGE(HAVERD!H267:Q267))</f>
        <v>45.713000000000001</v>
      </c>
    </row>
    <row r="264" spans="8:38" x14ac:dyDescent="0.35">
      <c r="H264" s="2">
        <f t="shared" si="28"/>
        <v>45663</v>
      </c>
      <c r="I264" s="5">
        <f>HAVERW!C269</f>
        <v>136.6</v>
      </c>
      <c r="J264" s="5">
        <f>HAVERW!D269</f>
        <v>143.30000000000001</v>
      </c>
      <c r="L264" s="2">
        <f t="shared" si="26"/>
        <v>44196</v>
      </c>
      <c r="M264" s="5">
        <f>HAVERD!BA268/HAVERD!BB268</f>
        <v>37.526558722250712</v>
      </c>
      <c r="X264" s="3"/>
      <c r="Y264" s="2"/>
      <c r="AJ264" s="2">
        <f t="shared" si="27"/>
        <v>44196</v>
      </c>
      <c r="AK264" s="2"/>
      <c r="AL264" s="3">
        <f>IF(HAVERD!H268="",AL263,AVERAGE(HAVERD!H268:Q268))</f>
        <v>46.435000000000002</v>
      </c>
    </row>
    <row r="265" spans="8:38" x14ac:dyDescent="0.35">
      <c r="H265" s="2">
        <f t="shared" si="28"/>
        <v>45670</v>
      </c>
      <c r="I265" s="5">
        <f>HAVERW!C270</f>
        <v>136.51</v>
      </c>
      <c r="J265" s="5">
        <f>HAVERW!D270</f>
        <v>143.33000000000001</v>
      </c>
      <c r="L265" s="2">
        <f t="shared" ref="L265:L328" si="29">+L260+7</f>
        <v>44197</v>
      </c>
      <c r="M265" s="5" t="e">
        <f>HAVERD!BA269/HAVERD!BB269</f>
        <v>#N/A</v>
      </c>
      <c r="X265" s="3"/>
      <c r="Y265" s="2"/>
      <c r="AJ265" s="2">
        <f t="shared" ref="AJ265:AJ328" si="30">+AJ260+7</f>
        <v>44197</v>
      </c>
      <c r="AK265" s="2"/>
      <c r="AL265" s="3" t="e">
        <f>IF(HAVERD!H269="",AL264,AVERAGE(HAVERD!H269:Q269))</f>
        <v>#N/A</v>
      </c>
    </row>
    <row r="266" spans="8:38" x14ac:dyDescent="0.35">
      <c r="H266" s="2">
        <f t="shared" si="28"/>
        <v>45677</v>
      </c>
      <c r="I266" s="5">
        <f>HAVERW!C271</f>
        <v>136.97</v>
      </c>
      <c r="J266" s="5">
        <f>HAVERW!D271</f>
        <v>144.27000000000001</v>
      </c>
      <c r="L266" s="2">
        <f t="shared" si="29"/>
        <v>44200</v>
      </c>
      <c r="M266" s="5">
        <f>HAVERD!BA270/HAVERD!BB270</f>
        <v>37.094042271153981</v>
      </c>
      <c r="X266" s="3"/>
      <c r="Y266" s="2"/>
      <c r="AJ266" s="2">
        <f t="shared" si="30"/>
        <v>44200</v>
      </c>
      <c r="AK266" s="2"/>
      <c r="AL266" s="3">
        <f>IF(HAVERD!H270="",AL265,AVERAGE(HAVERD!H270:Q270))</f>
        <v>47.301000000000002</v>
      </c>
    </row>
    <row r="267" spans="8:38" x14ac:dyDescent="0.35">
      <c r="H267" s="2">
        <f t="shared" si="28"/>
        <v>45684</v>
      </c>
      <c r="I267" s="5">
        <f>HAVERW!C272</f>
        <v>138.36000000000001</v>
      </c>
      <c r="J267" s="5">
        <f>HAVERW!D272</f>
        <v>145.57</v>
      </c>
      <c r="L267" s="2">
        <f t="shared" si="29"/>
        <v>44201</v>
      </c>
      <c r="M267" s="5">
        <f>HAVERD!BA271/HAVERD!BB271</f>
        <v>39.108364599426174</v>
      </c>
      <c r="X267" s="3"/>
      <c r="Y267" s="2"/>
      <c r="AJ267" s="2">
        <f t="shared" si="30"/>
        <v>44201</v>
      </c>
      <c r="AK267" s="2"/>
      <c r="AL267" s="3">
        <f>IF(HAVERD!H271="",AL266,AVERAGE(HAVERD!H271:Q271))</f>
        <v>45.673999999999999</v>
      </c>
    </row>
    <row r="268" spans="8:38" x14ac:dyDescent="0.35">
      <c r="H268" s="2">
        <f t="shared" si="28"/>
        <v>45691</v>
      </c>
      <c r="I268" s="5">
        <f>HAVERW!C273</f>
        <v>138.74</v>
      </c>
      <c r="J268" s="5">
        <f>HAVERW!D273</f>
        <v>146.13</v>
      </c>
      <c r="L268" s="2">
        <f t="shared" si="29"/>
        <v>44202</v>
      </c>
      <c r="M268" s="5">
        <f>HAVERD!BA272/HAVERD!BB272</f>
        <v>39.70479704797048</v>
      </c>
      <c r="X268" s="3"/>
      <c r="Y268" s="2"/>
      <c r="AJ268" s="2">
        <f t="shared" si="30"/>
        <v>44202</v>
      </c>
      <c r="AK268" s="2"/>
      <c r="AL268" s="3">
        <f>IF(HAVERD!H272="",AL267,AVERAGE(HAVERD!H272:Q272))</f>
        <v>45.277000000000001</v>
      </c>
    </row>
    <row r="269" spans="8:38" x14ac:dyDescent="0.35">
      <c r="H269" s="2">
        <f t="shared" si="28"/>
        <v>45698</v>
      </c>
      <c r="I269" s="5">
        <f>HAVERW!C274</f>
        <v>139.02000000000001</v>
      </c>
      <c r="J269" s="5">
        <f>HAVERW!D274</f>
        <v>146.29</v>
      </c>
      <c r="L269" s="2">
        <f t="shared" si="29"/>
        <v>44203</v>
      </c>
      <c r="M269" s="5">
        <f>HAVERD!BA273/HAVERD!BB273</f>
        <v>39.648552864737155</v>
      </c>
      <c r="X269" s="3"/>
      <c r="Y269" s="2"/>
      <c r="AJ269" s="2">
        <f t="shared" si="30"/>
        <v>44203</v>
      </c>
      <c r="AK269" s="2"/>
      <c r="AL269" s="3">
        <f>IF(HAVERD!H273="",AL268,AVERAGE(HAVERD!H273:Q273))</f>
        <v>47.506000000000007</v>
      </c>
    </row>
    <row r="270" spans="8:38" x14ac:dyDescent="0.35">
      <c r="H270" s="2">
        <f t="shared" si="28"/>
        <v>45705</v>
      </c>
      <c r="I270" s="37">
        <f>HAVERW!C275</f>
        <v>139.22</v>
      </c>
      <c r="J270" s="37">
        <f>HAVERW!D275</f>
        <v>146.44999999999999</v>
      </c>
      <c r="L270" s="2">
        <f t="shared" si="29"/>
        <v>44204</v>
      </c>
      <c r="M270" s="5">
        <f>HAVERD!BA274/HAVERD!BB274</f>
        <v>40.846210448859452</v>
      </c>
      <c r="X270" s="3"/>
      <c r="Y270" s="2"/>
      <c r="AJ270" s="2">
        <f t="shared" si="30"/>
        <v>44204</v>
      </c>
      <c r="AK270" s="2"/>
      <c r="AL270" s="3">
        <f>IF(HAVERD!H274="",AL269,AVERAGE(HAVERD!H274:Q274))</f>
        <v>47.667000000000002</v>
      </c>
    </row>
    <row r="271" spans="8:38" x14ac:dyDescent="0.35">
      <c r="H271" s="2">
        <f t="shared" si="28"/>
        <v>45712</v>
      </c>
      <c r="I271" s="37">
        <f>HAVERW!C276</f>
        <v>139.62</v>
      </c>
      <c r="J271" s="37">
        <f>HAVERW!D276</f>
        <v>146.82</v>
      </c>
      <c r="L271" s="2">
        <f t="shared" si="29"/>
        <v>44207</v>
      </c>
      <c r="M271" s="5">
        <f>HAVERD!BA275/HAVERD!BB275</f>
        <v>40.646308923806707</v>
      </c>
      <c r="X271" s="3"/>
      <c r="Y271" s="2"/>
      <c r="AJ271" s="2">
        <f t="shared" si="30"/>
        <v>44207</v>
      </c>
      <c r="AK271" s="2"/>
      <c r="AL271" s="3">
        <f>IF(HAVERD!H275="",AL270,AVERAGE(HAVERD!H275:Q275))</f>
        <v>48.982999999999997</v>
      </c>
    </row>
    <row r="272" spans="8:38" x14ac:dyDescent="0.35">
      <c r="H272" s="2">
        <f t="shared" si="28"/>
        <v>45719</v>
      </c>
      <c r="I272" s="37">
        <f>HAVERW!C277</f>
        <v>139.61000000000001</v>
      </c>
      <c r="J272" s="37">
        <f>HAVERW!D277</f>
        <v>146.88</v>
      </c>
      <c r="L272" s="2">
        <f t="shared" si="29"/>
        <v>44208</v>
      </c>
      <c r="M272" s="5">
        <f>HAVERD!BA276/HAVERD!BB276</f>
        <v>41.089254257193183</v>
      </c>
      <c r="X272" s="3"/>
      <c r="Y272" s="2"/>
      <c r="AJ272" s="2">
        <f t="shared" si="30"/>
        <v>44208</v>
      </c>
      <c r="AK272" s="2"/>
      <c r="AL272" s="3">
        <f>IF(HAVERD!H276="",AL271,AVERAGE(HAVERD!H276:Q276))</f>
        <v>50.013999999999996</v>
      </c>
    </row>
    <row r="273" spans="8:38" x14ac:dyDescent="0.35">
      <c r="H273" s="2">
        <f t="shared" si="28"/>
        <v>45726</v>
      </c>
      <c r="I273" s="37"/>
      <c r="J273" s="37"/>
      <c r="L273" s="2">
        <f t="shared" si="29"/>
        <v>44209</v>
      </c>
      <c r="M273" s="5">
        <f>HAVERD!BA277/HAVERD!BB277</f>
        <v>40.721725099017164</v>
      </c>
      <c r="X273" s="3"/>
      <c r="Y273" s="2"/>
      <c r="AJ273" s="2">
        <f t="shared" si="30"/>
        <v>44209</v>
      </c>
      <c r="AK273" s="2"/>
      <c r="AL273" s="3">
        <f>IF(HAVERD!H277="",AL272,AVERAGE(HAVERD!H277:Q277))</f>
        <v>47.491999999999997</v>
      </c>
    </row>
    <row r="274" spans="8:38" x14ac:dyDescent="0.35">
      <c r="H274" s="2">
        <f t="shared" si="28"/>
        <v>45733</v>
      </c>
      <c r="I274" s="37"/>
      <c r="J274" s="37"/>
      <c r="L274" s="2">
        <f t="shared" si="29"/>
        <v>44210</v>
      </c>
      <c r="M274" s="5">
        <f>HAVERD!BA278/HAVERD!BB278</f>
        <v>40.727485209261559</v>
      </c>
      <c r="X274" s="3"/>
      <c r="Y274" s="2"/>
      <c r="AJ274" s="2">
        <f t="shared" si="30"/>
        <v>44210</v>
      </c>
      <c r="AK274" s="2"/>
      <c r="AL274" s="3">
        <f>IF(HAVERD!H278="",AL273,AVERAGE(HAVERD!H278:Q278))</f>
        <v>47.177999999999997</v>
      </c>
    </row>
    <row r="275" spans="8:38" x14ac:dyDescent="0.35">
      <c r="H275" s="2">
        <f t="shared" si="28"/>
        <v>45740</v>
      </c>
      <c r="I275" s="37"/>
      <c r="J275" s="37"/>
      <c r="L275" s="2">
        <f t="shared" si="29"/>
        <v>44211</v>
      </c>
      <c r="M275" s="5">
        <f>HAVERD!BA279/HAVERD!BB279</f>
        <v>40.33860875966139</v>
      </c>
      <c r="X275" s="3"/>
      <c r="Y275" s="2"/>
      <c r="AJ275" s="2">
        <f t="shared" si="30"/>
        <v>44211</v>
      </c>
      <c r="AK275" s="2"/>
      <c r="AL275" s="3">
        <f>IF(HAVERD!H279="",AL274,AVERAGE(HAVERD!H279:Q279))</f>
        <v>45.99</v>
      </c>
    </row>
    <row r="276" spans="8:38" x14ac:dyDescent="0.35">
      <c r="H276" s="2">
        <f t="shared" si="28"/>
        <v>45747</v>
      </c>
      <c r="I276" s="37"/>
      <c r="J276" s="37"/>
      <c r="L276" s="2">
        <f t="shared" si="29"/>
        <v>44214</v>
      </c>
      <c r="M276" s="5">
        <f>HAVERD!BA280/HAVERD!BB280</f>
        <v>39.933701657458563</v>
      </c>
      <c r="X276" s="3"/>
      <c r="Y276" s="2"/>
      <c r="AJ276" s="2">
        <f t="shared" si="30"/>
        <v>44214</v>
      </c>
      <c r="AK276" s="2"/>
      <c r="AL276" s="3">
        <f>IF(HAVERD!H280="",AL275,AVERAGE(HAVERD!H280:Q280))</f>
        <v>45.485999999999997</v>
      </c>
    </row>
    <row r="277" spans="8:38" x14ac:dyDescent="0.35">
      <c r="H277" s="2"/>
      <c r="L277" s="2">
        <f t="shared" si="29"/>
        <v>44215</v>
      </c>
      <c r="M277" s="5">
        <f>HAVERD!BA281/HAVERD!BB281</f>
        <v>40.666764576296082</v>
      </c>
      <c r="X277" s="3"/>
      <c r="Y277" s="2"/>
      <c r="AJ277" s="2">
        <f t="shared" si="30"/>
        <v>44215</v>
      </c>
      <c r="AK277" s="2"/>
      <c r="AL277" s="3">
        <f>IF(HAVERD!H281="",AL276,AVERAGE(HAVERD!H281:Q281))</f>
        <v>47.576999999999998</v>
      </c>
    </row>
    <row r="278" spans="8:38" x14ac:dyDescent="0.35">
      <c r="H278" s="2"/>
      <c r="L278" s="2">
        <f t="shared" si="29"/>
        <v>44216</v>
      </c>
      <c r="M278" s="5">
        <f>HAVERD!BA282/HAVERD!BB282</f>
        <v>40.836390315480557</v>
      </c>
      <c r="X278" s="3"/>
      <c r="Y278" s="2"/>
      <c r="AJ278" s="2">
        <f t="shared" si="30"/>
        <v>44216</v>
      </c>
      <c r="AK278" s="2"/>
      <c r="AL278" s="3">
        <f>IF(HAVERD!H282="",AL277,AVERAGE(HAVERD!H282:Q282))</f>
        <v>47.286000000000001</v>
      </c>
    </row>
    <row r="279" spans="8:38" x14ac:dyDescent="0.35">
      <c r="H279" s="2"/>
      <c r="L279" s="2">
        <f t="shared" si="29"/>
        <v>44217</v>
      </c>
      <c r="M279" s="5">
        <f>HAVERD!BA283/HAVERD!BB283</f>
        <v>40.583090379008745</v>
      </c>
      <c r="AJ279" s="2">
        <f t="shared" si="30"/>
        <v>44217</v>
      </c>
      <c r="AK279" s="2"/>
      <c r="AL279" s="3">
        <f>IF(HAVERD!H283="",AL278,AVERAGE(HAVERD!H283:Q283))</f>
        <v>47.478000000000002</v>
      </c>
    </row>
    <row r="280" spans="8:38" x14ac:dyDescent="0.35">
      <c r="H280" s="2"/>
      <c r="L280" s="2">
        <f t="shared" si="29"/>
        <v>44218</v>
      </c>
      <c r="M280" s="5">
        <f>HAVERD!BA284/HAVERD!BB284</f>
        <v>40.395025603511336</v>
      </c>
      <c r="AJ280" s="2">
        <f t="shared" si="30"/>
        <v>44218</v>
      </c>
      <c r="AK280" s="2"/>
      <c r="AL280" s="3">
        <f>IF(HAVERD!H284="",AL279,AVERAGE(HAVERD!H284:Q284))</f>
        <v>48.397999999999996</v>
      </c>
    </row>
    <row r="281" spans="8:38" x14ac:dyDescent="0.35">
      <c r="H281" s="2"/>
      <c r="L281" s="2">
        <f t="shared" si="29"/>
        <v>44221</v>
      </c>
      <c r="M281" s="5">
        <f>HAVERD!BA285/HAVERD!BB285</f>
        <v>40.552995391705068</v>
      </c>
      <c r="AJ281" s="2">
        <f t="shared" si="30"/>
        <v>44221</v>
      </c>
      <c r="AK281" s="2"/>
      <c r="AL281" s="3">
        <f>IF(HAVERD!H285="",AL280,AVERAGE(HAVERD!H285:Q285))</f>
        <v>47.133000000000003</v>
      </c>
    </row>
    <row r="282" spans="8:38" x14ac:dyDescent="0.35">
      <c r="H282" s="2"/>
      <c r="L282" s="2">
        <f t="shared" si="29"/>
        <v>44222</v>
      </c>
      <c r="M282" s="5">
        <f>HAVERD!BA286/HAVERD!BB286</f>
        <v>40.212487265317996</v>
      </c>
      <c r="AJ282" s="2">
        <f t="shared" si="30"/>
        <v>44222</v>
      </c>
      <c r="AK282" s="2"/>
      <c r="AL282" s="3">
        <f>IF(HAVERD!H286="",AL281,AVERAGE(HAVERD!H286:Q286))</f>
        <v>46.945999999999991</v>
      </c>
    </row>
    <row r="283" spans="8:38" x14ac:dyDescent="0.35">
      <c r="H283" s="2"/>
      <c r="L283" s="2">
        <f t="shared" si="29"/>
        <v>44223</v>
      </c>
      <c r="M283" s="5">
        <f>HAVERD!BA287/HAVERD!BB287</f>
        <v>40.185347343841215</v>
      </c>
      <c r="AJ283" s="2">
        <f t="shared" si="30"/>
        <v>44223</v>
      </c>
      <c r="AK283" s="2"/>
      <c r="AL283" s="3">
        <f>IF(HAVERD!H287="",AL282,AVERAGE(HAVERD!H287:Q287))</f>
        <v>47.198</v>
      </c>
    </row>
    <row r="284" spans="8:38" x14ac:dyDescent="0.35">
      <c r="H284" s="2"/>
      <c r="I284" s="3">
        <f>100*((I272/I250)-1)</f>
        <v>4.0545576507416081</v>
      </c>
      <c r="J284" s="36">
        <f>100*((J272/J250)-1)</f>
        <v>5.7832193014043964</v>
      </c>
      <c r="L284" s="2">
        <f t="shared" si="29"/>
        <v>44224</v>
      </c>
      <c r="M284" s="5">
        <f>HAVERD!BA288/HAVERD!BB288</f>
        <v>39.99562650338946</v>
      </c>
      <c r="AJ284" s="2">
        <f t="shared" si="30"/>
        <v>44224</v>
      </c>
      <c r="AK284" s="2"/>
      <c r="AL284" s="3">
        <f>IF(HAVERD!H288="",AL283,AVERAGE(HAVERD!H288:Q288))</f>
        <v>48.260000000000005</v>
      </c>
    </row>
    <row r="285" spans="8:38" x14ac:dyDescent="0.35">
      <c r="H285" s="2"/>
      <c r="L285" s="2">
        <f t="shared" si="29"/>
        <v>44225</v>
      </c>
      <c r="M285" s="5">
        <f>HAVERD!BA289/HAVERD!BB289</f>
        <v>40.246212121212118</v>
      </c>
      <c r="AJ285" s="2">
        <f t="shared" si="30"/>
        <v>44225</v>
      </c>
      <c r="AK285" s="2"/>
      <c r="AL285" s="3">
        <f>IF(HAVERD!H289="",AL284,AVERAGE(HAVERD!H289:Q289))</f>
        <v>47.686000000000007</v>
      </c>
    </row>
    <row r="286" spans="8:38" x14ac:dyDescent="0.35">
      <c r="H286" s="2"/>
      <c r="L286" s="2">
        <f t="shared" si="29"/>
        <v>44228</v>
      </c>
      <c r="M286" s="5">
        <f>HAVERD!BA290/HAVERD!BB290</f>
        <v>41.294005708848715</v>
      </c>
      <c r="AJ286" s="2">
        <f t="shared" si="30"/>
        <v>44228</v>
      </c>
      <c r="AK286" s="2"/>
      <c r="AL286" s="3">
        <f>IF(HAVERD!H290="",AL285,AVERAGE(HAVERD!H290:Q290))</f>
        <v>46.710999999999999</v>
      </c>
    </row>
    <row r="287" spans="8:38" x14ac:dyDescent="0.35">
      <c r="H287" s="2"/>
      <c r="L287" s="2">
        <f t="shared" si="29"/>
        <v>44229</v>
      </c>
      <c r="M287" s="5">
        <f>HAVERD!BA291/HAVERD!BB291</f>
        <v>42.277496514784652</v>
      </c>
      <c r="AJ287" s="2">
        <f t="shared" si="30"/>
        <v>44229</v>
      </c>
      <c r="AK287" s="2"/>
      <c r="AL287" s="3">
        <f>IF(HAVERD!H291="",AL286,AVERAGE(HAVERD!H291:Q291))</f>
        <v>47.027000000000001</v>
      </c>
    </row>
    <row r="288" spans="8:38" x14ac:dyDescent="0.35">
      <c r="H288" s="2"/>
      <c r="L288" s="2">
        <f t="shared" si="29"/>
        <v>44230</v>
      </c>
      <c r="M288" s="5">
        <f>HAVERD!BA292/HAVERD!BB292</f>
        <v>42.956610964526533</v>
      </c>
      <c r="AJ288" s="2">
        <f t="shared" si="30"/>
        <v>44230</v>
      </c>
      <c r="AK288" s="2"/>
      <c r="AL288" s="3">
        <f>IF(HAVERD!H292="",AL287,AVERAGE(HAVERD!H292:Q292))</f>
        <v>47.197999999999993</v>
      </c>
    </row>
    <row r="289" spans="8:38" x14ac:dyDescent="0.35">
      <c r="H289" s="2"/>
      <c r="L289" s="2">
        <f t="shared" si="29"/>
        <v>44231</v>
      </c>
      <c r="M289" s="5">
        <f>HAVERD!BA293/HAVERD!BB293</f>
        <v>43.180320667691632</v>
      </c>
      <c r="AJ289" s="2">
        <f t="shared" si="30"/>
        <v>44231</v>
      </c>
      <c r="AK289" s="2"/>
      <c r="AL289" s="3">
        <f>IF(HAVERD!H293="",AL288,AVERAGE(HAVERD!H293:Q293))</f>
        <v>47.693999999999996</v>
      </c>
    </row>
    <row r="290" spans="8:38" x14ac:dyDescent="0.35">
      <c r="H290" s="2"/>
      <c r="L290" s="2">
        <f t="shared" si="29"/>
        <v>44232</v>
      </c>
      <c r="M290" s="5">
        <f>HAVERD!BA294/HAVERD!BB294</f>
        <v>43.340134071699211</v>
      </c>
      <c r="AJ290" s="2">
        <f t="shared" si="30"/>
        <v>44232</v>
      </c>
      <c r="AK290" s="2"/>
      <c r="AL290" s="3">
        <f>IF(HAVERD!H294="",AL289,AVERAGE(HAVERD!H294:Q294))</f>
        <v>48.420999999999992</v>
      </c>
    </row>
    <row r="291" spans="8:38" x14ac:dyDescent="0.35">
      <c r="H291" s="2"/>
      <c r="L291" s="2">
        <f t="shared" si="29"/>
        <v>44235</v>
      </c>
      <c r="M291" s="5">
        <f>HAVERD!BA295/HAVERD!BB295</f>
        <v>43.791848617176129</v>
      </c>
      <c r="AJ291" s="2">
        <f t="shared" si="30"/>
        <v>44235</v>
      </c>
      <c r="AK291" s="2"/>
      <c r="AL291" s="3">
        <f>IF(HAVERD!H295="",AL290,AVERAGE(HAVERD!H295:Q295))</f>
        <v>50.370999999999995</v>
      </c>
    </row>
    <row r="292" spans="8:38" x14ac:dyDescent="0.35">
      <c r="H292" s="2"/>
      <c r="L292" s="2">
        <f t="shared" si="29"/>
        <v>44236</v>
      </c>
      <c r="M292" s="5">
        <f>HAVERD!BA296/HAVERD!BB296</f>
        <v>44.027254276601916</v>
      </c>
      <c r="AJ292" s="2">
        <f t="shared" si="30"/>
        <v>44236</v>
      </c>
      <c r="AK292" s="2"/>
      <c r="AL292" s="3">
        <f>IF(HAVERD!H296="",AL291,AVERAGE(HAVERD!H296:Q296))</f>
        <v>49.648000000000003</v>
      </c>
    </row>
    <row r="293" spans="8:38" x14ac:dyDescent="0.35">
      <c r="H293" s="2"/>
      <c r="L293" s="2">
        <f t="shared" si="29"/>
        <v>44237</v>
      </c>
      <c r="M293" s="5">
        <f>HAVERD!BA297/HAVERD!BB297</f>
        <v>44.182015167930658</v>
      </c>
      <c r="AJ293" s="2">
        <f t="shared" si="30"/>
        <v>44237</v>
      </c>
      <c r="AK293" s="2"/>
      <c r="AL293" s="3">
        <f>IF(HAVERD!H297="",AL292,AVERAGE(HAVERD!H297:Q297))</f>
        <v>49.079000000000008</v>
      </c>
    </row>
    <row r="294" spans="8:38" x14ac:dyDescent="0.35">
      <c r="H294" s="2"/>
      <c r="L294" s="2">
        <f t="shared" si="29"/>
        <v>44238</v>
      </c>
      <c r="M294" s="5">
        <f>HAVERD!BA298/HAVERD!BB298</f>
        <v>44.184869087226964</v>
      </c>
      <c r="AJ294" s="2">
        <f t="shared" si="30"/>
        <v>44238</v>
      </c>
      <c r="AK294" s="2"/>
      <c r="AL294" s="3">
        <f>IF(HAVERD!H298="",AL293,AVERAGE(HAVERD!H298:Q298))</f>
        <v>47.478000000000009</v>
      </c>
    </row>
    <row r="295" spans="8:38" x14ac:dyDescent="0.35">
      <c r="H295" s="2"/>
      <c r="L295" s="2">
        <f t="shared" si="29"/>
        <v>44239</v>
      </c>
      <c r="M295" s="5">
        <f>HAVERD!BA299/HAVERD!BB299</f>
        <v>45.107950032493321</v>
      </c>
      <c r="AJ295" s="2">
        <f t="shared" si="30"/>
        <v>44239</v>
      </c>
      <c r="AK295" s="2"/>
      <c r="AL295" s="3">
        <f>IF(HAVERD!H299="",AL294,AVERAGE(HAVERD!H299:Q299))</f>
        <v>47.497</v>
      </c>
    </row>
    <row r="296" spans="8:38" x14ac:dyDescent="0.35">
      <c r="H296" s="2"/>
      <c r="L296" s="2">
        <f t="shared" si="29"/>
        <v>44242</v>
      </c>
      <c r="M296" s="5">
        <f>HAVERD!BA300/HAVERD!BB300</f>
        <v>45.701552616446236</v>
      </c>
      <c r="AJ296" s="2">
        <f t="shared" si="30"/>
        <v>44242</v>
      </c>
      <c r="AK296" s="2"/>
      <c r="AL296" s="3">
        <f>IF(HAVERD!H300="",AL295,AVERAGE(HAVERD!H300:Q300))</f>
        <v>46.134</v>
      </c>
    </row>
    <row r="297" spans="8:38" x14ac:dyDescent="0.35">
      <c r="H297" s="2"/>
      <c r="L297" s="2">
        <f t="shared" si="29"/>
        <v>44243</v>
      </c>
      <c r="M297" s="5">
        <f>HAVERD!BA301/HAVERD!BB301</f>
        <v>45.928479103834555</v>
      </c>
      <c r="AJ297" s="2">
        <f t="shared" si="30"/>
        <v>44243</v>
      </c>
      <c r="AK297" s="2"/>
      <c r="AL297" s="3">
        <f>IF(HAVERD!H301="",AL296,AVERAGE(HAVERD!H301:Q301))</f>
        <v>46.201000000000008</v>
      </c>
    </row>
    <row r="298" spans="8:38" x14ac:dyDescent="0.35">
      <c r="H298" s="2"/>
      <c r="L298" s="2">
        <f t="shared" si="29"/>
        <v>44244</v>
      </c>
      <c r="M298" s="5">
        <f>HAVERD!BA302/HAVERD!BB302</f>
        <v>46.935681801775786</v>
      </c>
      <c r="AJ298" s="2">
        <f t="shared" si="30"/>
        <v>44244</v>
      </c>
      <c r="AK298" s="2"/>
      <c r="AL298" s="3">
        <f>IF(HAVERD!H302="",AL297,AVERAGE(HAVERD!H302:Q302))</f>
        <v>45.966999999999999</v>
      </c>
    </row>
    <row r="299" spans="8:38" x14ac:dyDescent="0.35">
      <c r="H299" s="2"/>
      <c r="L299" s="2">
        <f t="shared" si="29"/>
        <v>44245</v>
      </c>
      <c r="M299" s="5">
        <f>HAVERD!BA303/HAVERD!BB303</f>
        <v>45.952534595253461</v>
      </c>
      <c r="AJ299" s="2">
        <f t="shared" si="30"/>
        <v>44245</v>
      </c>
      <c r="AK299" s="2"/>
      <c r="AL299" s="3">
        <f>IF(HAVERD!H303="",AL298,AVERAGE(HAVERD!H303:Q303))</f>
        <v>47.04</v>
      </c>
    </row>
    <row r="300" spans="8:38" x14ac:dyDescent="0.35">
      <c r="H300" s="2"/>
      <c r="L300" s="2">
        <f t="shared" si="29"/>
        <v>44246</v>
      </c>
      <c r="M300" s="5">
        <f>HAVERD!BA304/HAVERD!BB304</f>
        <v>44.815290258165746</v>
      </c>
      <c r="AJ300" s="2">
        <f t="shared" si="30"/>
        <v>44246</v>
      </c>
      <c r="AK300" s="2"/>
      <c r="AL300" s="3">
        <f>IF(HAVERD!H304="",AL299,AVERAGE(HAVERD!H304:Q304))</f>
        <v>46.015999999999991</v>
      </c>
    </row>
    <row r="301" spans="8:38" x14ac:dyDescent="0.35">
      <c r="H301" s="2"/>
      <c r="L301" s="2">
        <f t="shared" si="29"/>
        <v>44249</v>
      </c>
      <c r="M301" s="5">
        <f>HAVERD!BA305/HAVERD!BB305</f>
        <v>46.064617136350698</v>
      </c>
      <c r="AJ301" s="2">
        <f t="shared" si="30"/>
        <v>44249</v>
      </c>
      <c r="AK301" s="2"/>
      <c r="AL301" s="3">
        <f>IF(HAVERD!H305="",AL300,AVERAGE(HAVERD!H305:Q305))</f>
        <v>44.876999999999995</v>
      </c>
    </row>
    <row r="302" spans="8:38" x14ac:dyDescent="0.35">
      <c r="H302" s="2"/>
      <c r="L302" s="2">
        <f t="shared" si="29"/>
        <v>44250</v>
      </c>
      <c r="M302" s="5">
        <f>HAVERD!BA306/HAVERD!BB306</f>
        <v>46.193109315185026</v>
      </c>
      <c r="AJ302" s="2">
        <f t="shared" si="30"/>
        <v>44250</v>
      </c>
      <c r="AK302" s="2"/>
      <c r="AL302" s="3">
        <f>IF(HAVERD!H306="",AL301,AVERAGE(HAVERD!H306:Q306))</f>
        <v>45.416000000000011</v>
      </c>
    </row>
    <row r="303" spans="8:38" x14ac:dyDescent="0.35">
      <c r="H303" s="2"/>
      <c r="L303" s="2">
        <f t="shared" si="29"/>
        <v>44251</v>
      </c>
      <c r="M303" s="5">
        <f>HAVERD!BA307/HAVERD!BB307</f>
        <v>47.401262142806488</v>
      </c>
      <c r="AJ303" s="2">
        <f t="shared" si="30"/>
        <v>44251</v>
      </c>
      <c r="AK303" s="2"/>
      <c r="AL303" s="3">
        <f>IF(HAVERD!H307="",AL302,AVERAGE(HAVERD!H307:Q307))</f>
        <v>45.71</v>
      </c>
    </row>
    <row r="304" spans="8:38" x14ac:dyDescent="0.35">
      <c r="H304" s="2"/>
      <c r="L304" s="2">
        <f t="shared" si="29"/>
        <v>44252</v>
      </c>
      <c r="M304" s="5">
        <f>HAVERD!BA308/HAVERD!BB308</f>
        <v>47.184095089854253</v>
      </c>
      <c r="AJ304" s="2">
        <f t="shared" si="30"/>
        <v>44252</v>
      </c>
      <c r="AK304" s="2"/>
      <c r="AL304" s="3">
        <f>IF(HAVERD!H308="",AL303,AVERAGE(HAVERD!H308:Q308))</f>
        <v>45.11999999999999</v>
      </c>
    </row>
    <row r="305" spans="8:38" x14ac:dyDescent="0.35">
      <c r="H305" s="2"/>
      <c r="L305" s="2">
        <f t="shared" si="29"/>
        <v>44253</v>
      </c>
      <c r="M305" s="5">
        <f>HAVERD!BA309/HAVERD!BB309</f>
        <v>47.123640526617059</v>
      </c>
      <c r="AJ305" s="2">
        <f t="shared" si="30"/>
        <v>44253</v>
      </c>
      <c r="AK305" s="2"/>
      <c r="AL305" s="3">
        <f>IF(HAVERD!H309="",AL304,AVERAGE(HAVERD!H309:Q309))</f>
        <v>45.297000000000004</v>
      </c>
    </row>
    <row r="306" spans="8:38" x14ac:dyDescent="0.35">
      <c r="H306" s="2"/>
      <c r="L306" s="2">
        <f t="shared" si="29"/>
        <v>44256</v>
      </c>
      <c r="M306" s="5">
        <f>HAVERD!BA310/HAVERD!BB310</f>
        <v>46.319414550150668</v>
      </c>
      <c r="AJ306" s="2">
        <f t="shared" si="30"/>
        <v>44256</v>
      </c>
      <c r="AK306" s="2"/>
      <c r="AL306" s="3">
        <f>IF(HAVERD!H310="",AL305,AVERAGE(HAVERD!H310:Q310))</f>
        <v>45.682000000000002</v>
      </c>
    </row>
    <row r="307" spans="8:38" x14ac:dyDescent="0.35">
      <c r="H307" s="2"/>
      <c r="L307" s="2">
        <f t="shared" si="29"/>
        <v>44257</v>
      </c>
      <c r="M307" s="5">
        <f>HAVERD!BA311/HAVERD!BB311</f>
        <v>45.289647261256093</v>
      </c>
      <c r="AJ307" s="2">
        <f t="shared" si="30"/>
        <v>44257</v>
      </c>
      <c r="AK307" s="2"/>
      <c r="AL307" s="3">
        <f>IF(HAVERD!H311="",AL306,AVERAGE(HAVERD!H311:Q311))</f>
        <v>45.463000000000001</v>
      </c>
    </row>
    <row r="308" spans="8:38" x14ac:dyDescent="0.35">
      <c r="H308" s="2"/>
      <c r="L308" s="2">
        <f t="shared" si="29"/>
        <v>44258</v>
      </c>
      <c r="M308" s="5">
        <f>HAVERD!BA312/HAVERD!BB312</f>
        <v>46.300271933590956</v>
      </c>
      <c r="AJ308" s="2">
        <f t="shared" si="30"/>
        <v>44258</v>
      </c>
      <c r="AK308" s="2"/>
      <c r="AL308" s="3">
        <f>IF(HAVERD!H312="",AL307,AVERAGE(HAVERD!H312:Q312))</f>
        <v>45.043999999999997</v>
      </c>
    </row>
    <row r="309" spans="8:38" x14ac:dyDescent="0.35">
      <c r="H309" s="2"/>
      <c r="L309" s="2">
        <f t="shared" si="29"/>
        <v>44259</v>
      </c>
      <c r="M309" s="5">
        <f>HAVERD!BA313/HAVERD!BB313</f>
        <v>48.11664641555285</v>
      </c>
      <c r="AJ309" s="2">
        <f t="shared" si="30"/>
        <v>44259</v>
      </c>
      <c r="AK309" s="2"/>
      <c r="AL309" s="3">
        <f>IF(HAVERD!H313="",AL308,AVERAGE(HAVERD!H313:Q313))</f>
        <v>45.768999999999998</v>
      </c>
    </row>
    <row r="310" spans="8:38" x14ac:dyDescent="0.35">
      <c r="H310" s="2"/>
      <c r="L310" s="2">
        <f t="shared" si="29"/>
        <v>44260</v>
      </c>
      <c r="M310" s="5">
        <f>HAVERD!BA314/HAVERD!BB314</f>
        <v>50.626040385032937</v>
      </c>
      <c r="AJ310" s="2">
        <f t="shared" si="30"/>
        <v>44260</v>
      </c>
      <c r="AK310" s="2"/>
      <c r="AL310" s="3">
        <f>IF(HAVERD!H314="",AL309,AVERAGE(HAVERD!H314:Q314))</f>
        <v>46.961999999999996</v>
      </c>
    </row>
    <row r="311" spans="8:38" x14ac:dyDescent="0.35">
      <c r="H311" s="2"/>
      <c r="L311" s="2">
        <f t="shared" si="29"/>
        <v>44263</v>
      </c>
      <c r="M311" s="5">
        <f>HAVERD!BA315/HAVERD!BB315</f>
        <v>49.23255140457573</v>
      </c>
      <c r="AJ311" s="2">
        <f t="shared" si="30"/>
        <v>44263</v>
      </c>
      <c r="AK311" s="2"/>
      <c r="AL311" s="3">
        <f>IF(HAVERD!H315="",AL310,AVERAGE(HAVERD!H315:Q315))</f>
        <v>46.512999999999991</v>
      </c>
    </row>
    <row r="312" spans="8:38" x14ac:dyDescent="0.35">
      <c r="H312" s="2"/>
      <c r="L312" s="2">
        <f t="shared" si="29"/>
        <v>44264</v>
      </c>
      <c r="M312" s="5">
        <f>HAVERD!BA316/HAVERD!BB316</f>
        <v>48.247318793637085</v>
      </c>
      <c r="AJ312" s="2">
        <f t="shared" si="30"/>
        <v>44264</v>
      </c>
      <c r="AK312" s="2"/>
      <c r="AL312" s="3">
        <f>IF(HAVERD!H316="",AL311,AVERAGE(HAVERD!H316:Q316))</f>
        <v>47.732999999999997</v>
      </c>
    </row>
    <row r="313" spans="8:38" x14ac:dyDescent="0.35">
      <c r="H313" s="2"/>
      <c r="L313" s="2">
        <f t="shared" si="29"/>
        <v>44265</v>
      </c>
      <c r="M313" s="5">
        <f>HAVERD!BA317/HAVERD!BB317</f>
        <v>48.568757192174914</v>
      </c>
      <c r="AJ313" s="2">
        <f t="shared" si="30"/>
        <v>44265</v>
      </c>
      <c r="AK313" s="2"/>
      <c r="AL313" s="3">
        <f>IF(HAVERD!H317="",AL312,AVERAGE(HAVERD!H317:Q317))</f>
        <v>49.016000000000005</v>
      </c>
    </row>
    <row r="314" spans="8:38" x14ac:dyDescent="0.35">
      <c r="H314" s="2"/>
      <c r="L314" s="2">
        <f t="shared" si="29"/>
        <v>44266</v>
      </c>
      <c r="M314" s="5">
        <f>HAVERD!BA318/HAVERD!BB318</f>
        <v>49.638485217266805</v>
      </c>
      <c r="AJ314" s="2">
        <f t="shared" si="30"/>
        <v>44266</v>
      </c>
      <c r="AK314" s="2"/>
      <c r="AL314" s="3">
        <f>IF(HAVERD!H318="",AL313,AVERAGE(HAVERD!H318:Q318))</f>
        <v>50.262999999999998</v>
      </c>
    </row>
    <row r="315" spans="8:38" x14ac:dyDescent="0.35">
      <c r="H315" s="2"/>
      <c r="L315" s="2">
        <f t="shared" si="29"/>
        <v>44267</v>
      </c>
      <c r="M315" s="5">
        <f>HAVERD!BA319/HAVERD!BB319</f>
        <v>49.571726768876417</v>
      </c>
      <c r="AJ315" s="2">
        <f t="shared" si="30"/>
        <v>44267</v>
      </c>
      <c r="AK315" s="2"/>
      <c r="AL315" s="3">
        <f>IF(HAVERD!H319="",AL314,AVERAGE(HAVERD!H319:Q319))</f>
        <v>51.126999999999995</v>
      </c>
    </row>
    <row r="316" spans="8:38" x14ac:dyDescent="0.35">
      <c r="H316" s="2"/>
      <c r="L316" s="2">
        <f t="shared" si="29"/>
        <v>44270</v>
      </c>
      <c r="M316" s="5">
        <f>HAVERD!BA320/HAVERD!BB320</f>
        <v>49.617659789352182</v>
      </c>
      <c r="AJ316" s="2">
        <f t="shared" si="30"/>
        <v>44270</v>
      </c>
      <c r="AK316" s="2"/>
      <c r="AL316" s="3">
        <f>IF(HAVERD!H320="",AL315,AVERAGE(HAVERD!H320:Q320))</f>
        <v>50.204999999999998</v>
      </c>
    </row>
    <row r="317" spans="8:38" x14ac:dyDescent="0.35">
      <c r="H317" s="2"/>
      <c r="L317" s="2">
        <f t="shared" si="29"/>
        <v>44271</v>
      </c>
      <c r="M317" s="5">
        <f>HAVERD!BA321/HAVERD!BB321</f>
        <v>48.913043478260875</v>
      </c>
      <c r="AJ317" s="2">
        <f t="shared" si="30"/>
        <v>44271</v>
      </c>
      <c r="AK317" s="2"/>
      <c r="AL317" s="3">
        <f>IF(HAVERD!H321="",AL316,AVERAGE(HAVERD!H321:Q321))</f>
        <v>49.308000000000007</v>
      </c>
    </row>
    <row r="318" spans="8:38" x14ac:dyDescent="0.35">
      <c r="H318" s="2"/>
      <c r="L318" s="2">
        <f t="shared" si="29"/>
        <v>44272</v>
      </c>
      <c r="M318" s="5">
        <f>HAVERD!BA322/HAVERD!BB322</f>
        <v>48.765209878320974</v>
      </c>
      <c r="AJ318" s="2">
        <f t="shared" si="30"/>
        <v>44272</v>
      </c>
      <c r="AK318" s="2"/>
      <c r="AL318" s="3">
        <f>IF(HAVERD!H322="",AL317,AVERAGE(HAVERD!H322:Q322))</f>
        <v>49.591999999999999</v>
      </c>
    </row>
    <row r="319" spans="8:38" x14ac:dyDescent="0.35">
      <c r="H319" s="2"/>
      <c r="L319" s="2">
        <f t="shared" si="29"/>
        <v>44273</v>
      </c>
      <c r="M319" s="5">
        <f>HAVERD!BA323/HAVERD!BB323</f>
        <v>44.558433173111418</v>
      </c>
      <c r="AJ319" s="2">
        <f t="shared" si="30"/>
        <v>44273</v>
      </c>
      <c r="AK319" s="2"/>
      <c r="AL319" s="3">
        <f>IF(HAVERD!H323="",AL318,AVERAGE(HAVERD!H323:Q323))</f>
        <v>49.358000000000004</v>
      </c>
    </row>
    <row r="320" spans="8:38" x14ac:dyDescent="0.35">
      <c r="H320" s="2"/>
      <c r="L320" s="2">
        <f t="shared" si="29"/>
        <v>44274</v>
      </c>
      <c r="M320" s="5">
        <f>HAVERD!BA324/HAVERD!BB324</f>
        <v>46.136101499423297</v>
      </c>
      <c r="AJ320" s="2">
        <f t="shared" si="30"/>
        <v>44274</v>
      </c>
      <c r="AK320" s="2"/>
      <c r="AL320" s="3">
        <f>IF(HAVERD!H324="",AL319,AVERAGE(HAVERD!H324:Q324))</f>
        <v>48.477000000000011</v>
      </c>
    </row>
    <row r="321" spans="8:38" x14ac:dyDescent="0.35">
      <c r="H321" s="2"/>
      <c r="L321" s="2">
        <f t="shared" si="29"/>
        <v>44277</v>
      </c>
      <c r="M321" s="5">
        <f>HAVERD!BA325/HAVERD!BB325</f>
        <v>46.113316492241069</v>
      </c>
      <c r="AJ321" s="2">
        <f t="shared" si="30"/>
        <v>44277</v>
      </c>
      <c r="AK321" s="2"/>
      <c r="AL321" s="3">
        <f>IF(HAVERD!H325="",AL320,AVERAGE(HAVERD!H325:Q325))</f>
        <v>50.087000000000003</v>
      </c>
    </row>
    <row r="322" spans="8:38" x14ac:dyDescent="0.35">
      <c r="H322" s="2"/>
      <c r="L322" s="2">
        <f t="shared" si="29"/>
        <v>44278</v>
      </c>
      <c r="M322" s="5">
        <f>HAVERD!BA326/HAVERD!BB326</f>
        <v>43.471326034945264</v>
      </c>
      <c r="AJ322" s="2">
        <f t="shared" si="30"/>
        <v>44278</v>
      </c>
      <c r="AK322" s="2"/>
      <c r="AL322" s="3">
        <f>IF(HAVERD!H326="",AL321,AVERAGE(HAVERD!H326:Q326))</f>
        <v>50.633999999999993</v>
      </c>
    </row>
    <row r="323" spans="8:38" x14ac:dyDescent="0.35">
      <c r="H323" s="2"/>
      <c r="L323" s="2">
        <f t="shared" si="29"/>
        <v>44279</v>
      </c>
      <c r="M323" s="5">
        <f>HAVERD!BA327/HAVERD!BB327</f>
        <v>46.421804401690714</v>
      </c>
      <c r="AJ323" s="2">
        <f t="shared" si="30"/>
        <v>44279</v>
      </c>
      <c r="AK323" s="2"/>
      <c r="AL323" s="3">
        <f>IF(HAVERD!H327="",AL322,AVERAGE(HAVERD!H327:Q327))</f>
        <v>51.052</v>
      </c>
    </row>
    <row r="324" spans="8:38" x14ac:dyDescent="0.35">
      <c r="H324" s="2"/>
      <c r="L324" s="2">
        <f t="shared" si="29"/>
        <v>44280</v>
      </c>
      <c r="M324" s="5">
        <f>HAVERD!BA328/HAVERD!BB328</f>
        <v>44.607200116601078</v>
      </c>
      <c r="AJ324" s="2">
        <f t="shared" si="30"/>
        <v>44280</v>
      </c>
      <c r="AK324" s="2"/>
      <c r="AL324" s="3">
        <f>IF(HAVERD!H328="",AL323,AVERAGE(HAVERD!H328:Q328))</f>
        <v>50.058</v>
      </c>
    </row>
    <row r="325" spans="8:38" x14ac:dyDescent="0.35">
      <c r="H325" s="2"/>
      <c r="L325" s="2">
        <f t="shared" si="29"/>
        <v>44281</v>
      </c>
      <c r="M325" s="5">
        <f>HAVERD!BA329/HAVERD!BB329</f>
        <v>46.236948955916475</v>
      </c>
      <c r="AJ325" s="2">
        <f t="shared" si="30"/>
        <v>44281</v>
      </c>
      <c r="AK325" s="2"/>
      <c r="AL325" s="3">
        <f>IF(HAVERD!H329="",AL324,AVERAGE(HAVERD!H329:Q329))</f>
        <v>50.440999999999995</v>
      </c>
    </row>
    <row r="326" spans="8:38" x14ac:dyDescent="0.35">
      <c r="H326" s="2"/>
      <c r="L326" s="2">
        <f t="shared" si="29"/>
        <v>44284</v>
      </c>
      <c r="M326" s="5">
        <f>HAVERD!BA330/HAVERD!BB330</f>
        <v>46.514667441185019</v>
      </c>
      <c r="AJ326" s="2">
        <f t="shared" si="30"/>
        <v>44284</v>
      </c>
      <c r="AK326" s="2"/>
      <c r="AL326" s="3">
        <f>IF(HAVERD!H330="",AL325,AVERAGE(HAVERD!H330:Q330))</f>
        <v>49.993000000000002</v>
      </c>
    </row>
    <row r="327" spans="8:38" x14ac:dyDescent="0.35">
      <c r="H327" s="2"/>
      <c r="L327" s="2">
        <f t="shared" si="29"/>
        <v>44285</v>
      </c>
      <c r="M327" s="5">
        <f>HAVERD!BA331/HAVERD!BB331</f>
        <v>46.152724090146599</v>
      </c>
      <c r="AJ327" s="2">
        <f t="shared" si="30"/>
        <v>44285</v>
      </c>
      <c r="AK327" s="2"/>
      <c r="AL327" s="3">
        <f>IF(HAVERD!H331="",AL326,AVERAGE(HAVERD!H331:Q331))</f>
        <v>50.81</v>
      </c>
    </row>
    <row r="328" spans="8:38" x14ac:dyDescent="0.35">
      <c r="H328" s="2"/>
      <c r="L328" s="2">
        <f t="shared" si="29"/>
        <v>44286</v>
      </c>
      <c r="M328" s="5">
        <f>HAVERD!BA332/HAVERD!BB332</f>
        <v>46.042331110466804</v>
      </c>
      <c r="AJ328" s="2">
        <f t="shared" si="30"/>
        <v>44286</v>
      </c>
      <c r="AK328" s="2"/>
      <c r="AL328" s="3">
        <f>IF(HAVERD!H332="",AL327,AVERAGE(HAVERD!H332:Q332))</f>
        <v>50.423000000000009</v>
      </c>
    </row>
    <row r="329" spans="8:38" x14ac:dyDescent="0.35">
      <c r="H329" s="2"/>
      <c r="L329" s="2">
        <f t="shared" ref="L329:L368" si="31">+L324+7</f>
        <v>44287</v>
      </c>
      <c r="M329" s="5">
        <f>HAVERD!BA333/HAVERD!BB333</f>
        <v>46.204501049279983</v>
      </c>
      <c r="AJ329" s="2">
        <f t="shared" ref="AJ329:AJ392" si="32">+AJ324+7</f>
        <v>44287</v>
      </c>
      <c r="AK329" s="2"/>
      <c r="AL329" s="3">
        <f>IF(HAVERD!H333="",AL328,AVERAGE(HAVERD!H333:Q333))</f>
        <v>50.764000000000003</v>
      </c>
    </row>
    <row r="330" spans="8:38" x14ac:dyDescent="0.35">
      <c r="H330" s="2"/>
      <c r="L330" s="2">
        <f t="shared" si="31"/>
        <v>44288</v>
      </c>
      <c r="M330" s="5" t="e">
        <f>HAVERD!BA334/HAVERD!BB334</f>
        <v>#N/A</v>
      </c>
      <c r="AJ330" s="2">
        <f t="shared" si="32"/>
        <v>44288</v>
      </c>
      <c r="AK330" s="2"/>
      <c r="AL330" s="3" t="e">
        <f>IF(HAVERD!H334="",AL329,AVERAGE(HAVERD!H334:Q334))</f>
        <v>#N/A</v>
      </c>
    </row>
    <row r="331" spans="8:38" x14ac:dyDescent="0.35">
      <c r="H331" s="2"/>
      <c r="L331" s="2">
        <f t="shared" si="31"/>
        <v>44291</v>
      </c>
      <c r="M331" s="5" t="e">
        <f>HAVERD!BA335/HAVERD!BB335</f>
        <v>#N/A</v>
      </c>
      <c r="AJ331" s="2">
        <f t="shared" si="32"/>
        <v>44291</v>
      </c>
      <c r="AK331" s="2"/>
      <c r="AL331" s="3">
        <f>IF(HAVERD!H335="",AL330,AVERAGE(HAVERD!H335:Q335))</f>
        <v>50.764000000000003</v>
      </c>
    </row>
    <row r="332" spans="8:38" x14ac:dyDescent="0.35">
      <c r="H332" s="2"/>
      <c r="L332" s="2">
        <f t="shared" si="31"/>
        <v>44292</v>
      </c>
      <c r="M332" s="5">
        <f>HAVERD!BA336/HAVERD!BB336</f>
        <v>44.357050079376535</v>
      </c>
      <c r="AJ332" s="2">
        <f t="shared" si="32"/>
        <v>44292</v>
      </c>
      <c r="AK332" s="2"/>
      <c r="AL332" s="3">
        <f>IF(HAVERD!H336="",AL331,AVERAGE(HAVERD!H336:Q336))</f>
        <v>51.923000000000002</v>
      </c>
    </row>
    <row r="333" spans="8:38" x14ac:dyDescent="0.35">
      <c r="H333" s="2"/>
      <c r="L333" s="2">
        <f t="shared" si="31"/>
        <v>44293</v>
      </c>
      <c r="M333" s="5">
        <f>HAVERD!BA337/HAVERD!BB337</f>
        <v>44.865100087032204</v>
      </c>
      <c r="AJ333" s="2">
        <f t="shared" si="32"/>
        <v>44293</v>
      </c>
      <c r="AK333" s="2"/>
      <c r="AL333" s="3">
        <f>IF(HAVERD!H337="",AL332,AVERAGE(HAVERD!H337:Q337))</f>
        <v>51.378</v>
      </c>
    </row>
    <row r="334" spans="8:38" x14ac:dyDescent="0.35">
      <c r="H334" s="2"/>
      <c r="L334" s="2">
        <f t="shared" si="31"/>
        <v>44294</v>
      </c>
      <c r="M334" s="5">
        <f>HAVERD!BA338/HAVERD!BB338</f>
        <v>45.218847862500915</v>
      </c>
      <c r="AJ334" s="2">
        <f t="shared" si="32"/>
        <v>44294</v>
      </c>
      <c r="AK334" s="2"/>
      <c r="AL334" s="3">
        <f>IF(HAVERD!H338="",AL333,AVERAGE(HAVERD!H338:Q338))</f>
        <v>50.813000000000002</v>
      </c>
    </row>
    <row r="335" spans="8:38" x14ac:dyDescent="0.35">
      <c r="H335" s="2"/>
      <c r="L335" s="2">
        <f t="shared" si="31"/>
        <v>44295</v>
      </c>
      <c r="M335" s="5">
        <f>HAVERD!BA339/HAVERD!BB339</f>
        <v>45.079758176123534</v>
      </c>
      <c r="AJ335" s="2">
        <f t="shared" si="32"/>
        <v>44295</v>
      </c>
      <c r="AK335" s="2"/>
      <c r="AL335" s="3">
        <f>IF(HAVERD!H339="",AL334,AVERAGE(HAVERD!H339:Q339))</f>
        <v>50.622</v>
      </c>
    </row>
    <row r="336" spans="8:38" x14ac:dyDescent="0.35">
      <c r="H336" s="2"/>
      <c r="L336" s="2">
        <f t="shared" si="31"/>
        <v>44298</v>
      </c>
      <c r="M336" s="5">
        <f>HAVERD!BA340/HAVERD!BB340</f>
        <v>45.38707799767171</v>
      </c>
      <c r="AJ336" s="2">
        <f t="shared" si="32"/>
        <v>44298</v>
      </c>
      <c r="AK336" s="2"/>
      <c r="AL336" s="3">
        <f>IF(HAVERD!H340="",AL335,AVERAGE(HAVERD!H340:Q340))</f>
        <v>52.106999999999992</v>
      </c>
    </row>
    <row r="337" spans="8:38" x14ac:dyDescent="0.35">
      <c r="H337" s="2"/>
      <c r="L337" s="2">
        <f t="shared" si="31"/>
        <v>44299</v>
      </c>
      <c r="M337" s="5">
        <f>HAVERD!BA341/HAVERD!BB341</f>
        <v>45.754442178852315</v>
      </c>
      <c r="AJ337" s="2">
        <f t="shared" si="32"/>
        <v>44299</v>
      </c>
      <c r="AK337" s="2"/>
      <c r="AL337" s="3">
        <f>IF(HAVERD!H341="",AL336,AVERAGE(HAVERD!H341:Q341))</f>
        <v>51.731000000000009</v>
      </c>
    </row>
    <row r="338" spans="8:38" x14ac:dyDescent="0.35">
      <c r="H338" s="2"/>
      <c r="L338" s="2">
        <f t="shared" si="31"/>
        <v>44300</v>
      </c>
      <c r="M338" s="5">
        <f>HAVERD!BA342/HAVERD!BB342</f>
        <v>47.971845294245696</v>
      </c>
      <c r="AJ338" s="2">
        <f t="shared" si="32"/>
        <v>44300</v>
      </c>
      <c r="AK338" s="2"/>
      <c r="AL338" s="3">
        <f>IF(HAVERD!H342="",AL337,AVERAGE(HAVERD!H342:Q342))</f>
        <v>51.946000000000005</v>
      </c>
    </row>
    <row r="339" spans="8:38" x14ac:dyDescent="0.35">
      <c r="H339" s="2"/>
      <c r="L339" s="2">
        <f t="shared" si="31"/>
        <v>44301</v>
      </c>
      <c r="M339" s="5">
        <f>HAVERD!BA343/HAVERD!BB343</f>
        <v>47.937658571946358</v>
      </c>
      <c r="AJ339" s="2">
        <f t="shared" si="32"/>
        <v>44301</v>
      </c>
      <c r="AK339" s="2"/>
      <c r="AL339" s="3">
        <f>IF(HAVERD!H343="",AL338,AVERAGE(HAVERD!H343:Q343))</f>
        <v>53.383000000000003</v>
      </c>
    </row>
    <row r="340" spans="8:38" x14ac:dyDescent="0.35">
      <c r="H340" s="2"/>
      <c r="L340" s="2">
        <f t="shared" si="31"/>
        <v>44302</v>
      </c>
      <c r="M340" s="5">
        <f>HAVERD!BA344/HAVERD!BB344</f>
        <v>47.752768328870239</v>
      </c>
      <c r="AJ340" s="2">
        <f t="shared" si="32"/>
        <v>44302</v>
      </c>
      <c r="AK340" s="2"/>
      <c r="AL340" s="3">
        <f>IF(HAVERD!H344="",AL339,AVERAGE(HAVERD!H344:Q344))</f>
        <v>53.861999999999988</v>
      </c>
    </row>
    <row r="341" spans="8:38" x14ac:dyDescent="0.35">
      <c r="H341" s="2"/>
      <c r="L341" s="2">
        <f t="shared" si="31"/>
        <v>44305</v>
      </c>
      <c r="M341" s="5">
        <f>HAVERD!BA345/HAVERD!BB345</f>
        <v>47.58295194508009</v>
      </c>
      <c r="AJ341" s="2">
        <f t="shared" si="32"/>
        <v>44305</v>
      </c>
      <c r="AK341" s="2"/>
      <c r="AL341" s="3">
        <f>IF(HAVERD!H345="",AL340,AVERAGE(HAVERD!H345:Q345))</f>
        <v>54.257999999999996</v>
      </c>
    </row>
    <row r="342" spans="8:38" x14ac:dyDescent="0.35">
      <c r="H342" s="2"/>
      <c r="L342" s="2">
        <f t="shared" si="31"/>
        <v>44306</v>
      </c>
      <c r="M342" s="5">
        <f>HAVERD!BA346/HAVERD!BB346</f>
        <v>46.838709677419359</v>
      </c>
      <c r="AJ342" s="2">
        <f t="shared" si="32"/>
        <v>44306</v>
      </c>
      <c r="AK342" s="2"/>
      <c r="AL342" s="3">
        <f>IF(HAVERD!H346="",AL341,AVERAGE(HAVERD!H346:Q346))</f>
        <v>54.62299999999999</v>
      </c>
    </row>
    <row r="343" spans="8:38" x14ac:dyDescent="0.35">
      <c r="H343" s="2"/>
      <c r="L343" s="2">
        <f t="shared" si="31"/>
        <v>44307</v>
      </c>
      <c r="M343" s="5">
        <f>HAVERD!BA347/HAVERD!BB347</f>
        <v>45.961662718070208</v>
      </c>
      <c r="AJ343" s="2">
        <f t="shared" si="32"/>
        <v>44307</v>
      </c>
      <c r="AK343" s="2"/>
      <c r="AL343" s="3">
        <f>IF(HAVERD!H347="",AL342,AVERAGE(HAVERD!H347:Q347))</f>
        <v>54.592999999999996</v>
      </c>
    </row>
    <row r="344" spans="8:38" x14ac:dyDescent="0.35">
      <c r="H344" s="2"/>
      <c r="L344" s="2">
        <f t="shared" si="31"/>
        <v>44308</v>
      </c>
      <c r="M344" s="5">
        <f>HAVERD!BA348/HAVERD!BB348</f>
        <v>46.995522172468576</v>
      </c>
      <c r="AJ344" s="2">
        <f t="shared" si="32"/>
        <v>44308</v>
      </c>
      <c r="AK344" s="2"/>
      <c r="AL344" s="3">
        <f>IF(HAVERD!H348="",AL343,AVERAGE(HAVERD!H348:Q348))</f>
        <v>55.508000000000003</v>
      </c>
    </row>
    <row r="345" spans="8:38" x14ac:dyDescent="0.35">
      <c r="H345" s="2"/>
      <c r="L345" s="2">
        <f t="shared" si="31"/>
        <v>44309</v>
      </c>
      <c r="M345" s="5">
        <f>HAVERD!BA349/HAVERD!BB349</f>
        <v>47.503793078534784</v>
      </c>
      <c r="AJ345" s="2">
        <f t="shared" si="32"/>
        <v>44309</v>
      </c>
      <c r="AK345" s="2"/>
      <c r="AL345" s="3">
        <f>IF(HAVERD!H349="",AL344,AVERAGE(HAVERD!H349:Q349))</f>
        <v>53.557999999999993</v>
      </c>
    </row>
    <row r="346" spans="8:38" x14ac:dyDescent="0.35">
      <c r="H346" s="2"/>
      <c r="L346" s="2">
        <f t="shared" si="31"/>
        <v>44312</v>
      </c>
      <c r="M346" s="5">
        <f>HAVERD!BA350/HAVERD!BB350</f>
        <v>47.142651504246437</v>
      </c>
      <c r="AJ346" s="2">
        <f t="shared" si="32"/>
        <v>44312</v>
      </c>
      <c r="AK346" s="2"/>
      <c r="AL346" s="3">
        <f>IF(HAVERD!H350="",AL345,AVERAGE(HAVERD!H350:Q350))</f>
        <v>53.116999999999997</v>
      </c>
    </row>
    <row r="347" spans="8:38" x14ac:dyDescent="0.35">
      <c r="H347" s="2"/>
      <c r="L347" s="2">
        <f t="shared" si="31"/>
        <v>44313</v>
      </c>
      <c r="M347" s="5">
        <f>HAVERD!BA351/HAVERD!BB351</f>
        <v>47.610492274523899</v>
      </c>
      <c r="AJ347" s="2">
        <f t="shared" si="32"/>
        <v>44313</v>
      </c>
      <c r="AK347" s="2"/>
      <c r="AL347" s="3">
        <f>IF(HAVERD!H351="",AL346,AVERAGE(HAVERD!H351:Q351))</f>
        <v>55.563000000000009</v>
      </c>
    </row>
    <row r="348" spans="8:38" x14ac:dyDescent="0.35">
      <c r="H348" s="2"/>
      <c r="L348" s="2">
        <f t="shared" si="31"/>
        <v>44314</v>
      </c>
      <c r="M348" s="5">
        <f>HAVERD!BA352/HAVERD!BB352</f>
        <v>48.238170573853012</v>
      </c>
      <c r="AJ348" s="2">
        <f t="shared" si="32"/>
        <v>44314</v>
      </c>
      <c r="AK348" s="2"/>
      <c r="AL348" s="3">
        <f>IF(HAVERD!H352="",AL347,AVERAGE(HAVERD!H352:Q352))</f>
        <v>56.112000000000002</v>
      </c>
    </row>
    <row r="349" spans="8:38" x14ac:dyDescent="0.35">
      <c r="H349" s="2"/>
      <c r="L349" s="2">
        <f t="shared" si="31"/>
        <v>44315</v>
      </c>
      <c r="M349" s="5">
        <f>HAVERD!BA353/HAVERD!BB353</f>
        <v>48.949444245249197</v>
      </c>
      <c r="AJ349" s="2">
        <f t="shared" si="32"/>
        <v>44315</v>
      </c>
      <c r="AK349" s="2"/>
      <c r="AL349" s="3">
        <f>IF(HAVERD!H353="",AL348,AVERAGE(HAVERD!H353:Q353))</f>
        <v>58.154999999999994</v>
      </c>
    </row>
    <row r="350" spans="8:38" x14ac:dyDescent="0.35">
      <c r="H350" s="2"/>
      <c r="L350" s="2">
        <f t="shared" si="31"/>
        <v>44316</v>
      </c>
      <c r="M350" s="5">
        <f>HAVERD!BA354/HAVERD!BB354</f>
        <v>48.920187793427232</v>
      </c>
      <c r="AJ350" s="2">
        <f t="shared" si="32"/>
        <v>44316</v>
      </c>
      <c r="AK350" s="2"/>
      <c r="AL350" s="3">
        <f>IF(HAVERD!H354="",AL349,AVERAGE(HAVERD!H354:Q354))</f>
        <v>58.312999999999988</v>
      </c>
    </row>
    <row r="351" spans="8:38" x14ac:dyDescent="0.35">
      <c r="H351" s="2"/>
      <c r="L351" s="2">
        <f t="shared" si="31"/>
        <v>44319</v>
      </c>
      <c r="M351" s="5" t="e">
        <f>HAVERD!BA355/HAVERD!BB355</f>
        <v>#N/A</v>
      </c>
      <c r="AJ351" s="2">
        <f t="shared" si="32"/>
        <v>44319</v>
      </c>
      <c r="AK351" s="2"/>
      <c r="AL351" s="3">
        <f>IF(HAVERD!H355="",AL350,AVERAGE(HAVERD!H355:Q355))</f>
        <v>58.312999999999988</v>
      </c>
    </row>
    <row r="352" spans="8:38" x14ac:dyDescent="0.35">
      <c r="H352" s="2"/>
      <c r="L352" s="2">
        <f t="shared" si="31"/>
        <v>44320</v>
      </c>
      <c r="M352" s="5">
        <f>HAVERD!BA356/HAVERD!BB356</f>
        <v>49.636245768205711</v>
      </c>
      <c r="AJ352" s="2">
        <f t="shared" si="32"/>
        <v>44320</v>
      </c>
      <c r="AK352" s="2"/>
      <c r="AL352" s="3">
        <f>IF(HAVERD!H356="",AL351,AVERAGE(HAVERD!H356:Q356))</f>
        <v>58.222000000000001</v>
      </c>
    </row>
    <row r="353" spans="8:38" x14ac:dyDescent="0.35">
      <c r="H353" s="2"/>
      <c r="L353" s="2">
        <f t="shared" si="31"/>
        <v>44321</v>
      </c>
      <c r="M353" s="5">
        <f>HAVERD!BA357/HAVERD!BB357</f>
        <v>50.115025161754126</v>
      </c>
      <c r="AJ353" s="2">
        <f t="shared" si="32"/>
        <v>44321</v>
      </c>
      <c r="AK353" s="2"/>
      <c r="AL353" s="3">
        <f>IF(HAVERD!H357="",AL352,AVERAGE(HAVERD!H357:Q357))</f>
        <v>59.365000000000009</v>
      </c>
    </row>
    <row r="354" spans="8:38" x14ac:dyDescent="0.35">
      <c r="H354" s="2"/>
      <c r="L354" s="2">
        <f t="shared" si="31"/>
        <v>44322</v>
      </c>
      <c r="M354" s="5">
        <f>HAVERD!BA358/HAVERD!BB358</f>
        <v>49.409562211981566</v>
      </c>
      <c r="AJ354" s="2">
        <f t="shared" si="32"/>
        <v>44322</v>
      </c>
      <c r="AK354" s="2"/>
      <c r="AL354" s="3">
        <f>IF(HAVERD!H358="",AL353,AVERAGE(HAVERD!H358:Q358))</f>
        <v>60.503</v>
      </c>
    </row>
    <row r="355" spans="8:38" x14ac:dyDescent="0.35">
      <c r="H355" s="2"/>
      <c r="L355" s="2">
        <f t="shared" si="31"/>
        <v>44323</v>
      </c>
      <c r="M355" s="5">
        <f>HAVERD!BA359/HAVERD!BB359</f>
        <v>49.166607053437303</v>
      </c>
      <c r="AJ355" s="2">
        <f t="shared" si="32"/>
        <v>44323</v>
      </c>
      <c r="AK355" s="2"/>
      <c r="AL355" s="3">
        <f>IF(HAVERD!H359="",AL354,AVERAGE(HAVERD!H359:Q359))</f>
        <v>60.21200000000001</v>
      </c>
    </row>
    <row r="356" spans="8:38" x14ac:dyDescent="0.35">
      <c r="H356" s="2"/>
      <c r="L356" s="2">
        <f t="shared" si="31"/>
        <v>44326</v>
      </c>
      <c r="M356" s="5">
        <f>HAVERD!BA360/HAVERD!BB360</f>
        <v>48.528787664450419</v>
      </c>
      <c r="AJ356" s="2">
        <f t="shared" si="32"/>
        <v>44326</v>
      </c>
      <c r="AK356" s="2"/>
      <c r="AL356" s="3">
        <f>IF(HAVERD!H360="",AL355,AVERAGE(HAVERD!H360:Q360))</f>
        <v>62.190999999999995</v>
      </c>
    </row>
    <row r="357" spans="8:38" x14ac:dyDescent="0.35">
      <c r="H357" s="2"/>
      <c r="L357" s="2">
        <f t="shared" si="31"/>
        <v>44327</v>
      </c>
      <c r="M357" s="5">
        <f>HAVERD!BA361/HAVERD!BB361</f>
        <v>48.663744343891395</v>
      </c>
      <c r="AJ357" s="2">
        <f t="shared" si="32"/>
        <v>44327</v>
      </c>
      <c r="AK357" s="2"/>
      <c r="AL357" s="3">
        <f>IF(HAVERD!H361="",AL356,AVERAGE(HAVERD!H361:Q361))</f>
        <v>63.298999999999999</v>
      </c>
    </row>
    <row r="358" spans="8:38" x14ac:dyDescent="0.35">
      <c r="H358" s="2"/>
      <c r="L358" s="2">
        <f t="shared" si="31"/>
        <v>44328</v>
      </c>
      <c r="M358" s="5">
        <f>HAVERD!BA362/HAVERD!BB362</f>
        <v>49.389897843359826</v>
      </c>
      <c r="AJ358" s="2">
        <f t="shared" si="32"/>
        <v>44328</v>
      </c>
      <c r="AK358" s="2"/>
      <c r="AL358" s="3">
        <f>IF(HAVERD!H362="",AL357,AVERAGE(HAVERD!H362:Q362))</f>
        <v>64.705999999999989</v>
      </c>
    </row>
    <row r="359" spans="8:38" x14ac:dyDescent="0.35">
      <c r="H359" s="2"/>
      <c r="L359" s="2">
        <f t="shared" si="31"/>
        <v>44329</v>
      </c>
      <c r="M359" s="5">
        <f>HAVERD!BA363/HAVERD!BB363</f>
        <v>47.956713655133129</v>
      </c>
      <c r="AJ359" s="2">
        <f t="shared" si="32"/>
        <v>44329</v>
      </c>
      <c r="AK359" s="2"/>
      <c r="AL359" s="3">
        <f>IF(HAVERD!H363="",AL358,AVERAGE(HAVERD!H363:Q363))</f>
        <v>64.332999999999998</v>
      </c>
    </row>
    <row r="360" spans="8:38" x14ac:dyDescent="0.35">
      <c r="H360" s="2"/>
      <c r="L360" s="2">
        <f t="shared" si="31"/>
        <v>44330</v>
      </c>
      <c r="M360" s="5">
        <f>HAVERD!BA364/HAVERD!BB364</f>
        <v>49.148211243611577</v>
      </c>
      <c r="AJ360" s="2">
        <f t="shared" si="32"/>
        <v>44330</v>
      </c>
      <c r="AK360" s="2"/>
      <c r="AL360" s="3">
        <f>IF(HAVERD!H364="",AL359,AVERAGE(HAVERD!H364:Q364))</f>
        <v>65.203999999999994</v>
      </c>
    </row>
    <row r="361" spans="8:38" x14ac:dyDescent="0.35">
      <c r="H361" s="2"/>
      <c r="L361" s="2">
        <f t="shared" si="31"/>
        <v>44333</v>
      </c>
      <c r="M361" s="5">
        <f>HAVERD!BA365/HAVERD!BB365</f>
        <v>49.312933843320586</v>
      </c>
      <c r="AJ361" s="2">
        <f t="shared" si="32"/>
        <v>44333</v>
      </c>
      <c r="AK361" s="2"/>
      <c r="AL361" s="3">
        <f>IF(HAVERD!H365="",AL360,AVERAGE(HAVERD!H365:Q365))</f>
        <v>63.988</v>
      </c>
    </row>
    <row r="362" spans="8:38" x14ac:dyDescent="0.35">
      <c r="H362" s="2"/>
      <c r="L362" s="2">
        <f t="shared" si="31"/>
        <v>44334</v>
      </c>
      <c r="M362" s="5">
        <f>HAVERD!BA366/HAVERD!BB366</f>
        <v>48.560973893462815</v>
      </c>
      <c r="AJ362" s="2">
        <f t="shared" si="32"/>
        <v>44334</v>
      </c>
      <c r="AK362" s="2"/>
      <c r="AL362" s="3">
        <f>IF(HAVERD!H366="",AL361,AVERAGE(HAVERD!H366:Q366))</f>
        <v>60.881000000000007</v>
      </c>
    </row>
    <row r="363" spans="8:38" x14ac:dyDescent="0.35">
      <c r="H363" s="2"/>
      <c r="L363" s="2">
        <f t="shared" si="31"/>
        <v>44335</v>
      </c>
      <c r="M363" s="5">
        <f>HAVERD!BA367/HAVERD!BB367</f>
        <v>47.281724991162946</v>
      </c>
      <c r="AJ363" s="2">
        <f t="shared" si="32"/>
        <v>44335</v>
      </c>
      <c r="AK363" s="2"/>
      <c r="AL363" s="3">
        <f>IF(HAVERD!H367="",AL362,AVERAGE(HAVERD!H367:Q367))</f>
        <v>56.253</v>
      </c>
    </row>
    <row r="364" spans="8:38" x14ac:dyDescent="0.35">
      <c r="H364" s="2"/>
      <c r="L364" s="2">
        <f t="shared" si="31"/>
        <v>44336</v>
      </c>
      <c r="M364" s="5">
        <f>HAVERD!BA368/HAVERD!BB368</f>
        <v>46.047333097845289</v>
      </c>
      <c r="AJ364" s="2">
        <f t="shared" si="32"/>
        <v>44336</v>
      </c>
      <c r="AK364" s="2"/>
      <c r="AL364" s="3">
        <f>IF(HAVERD!H368="",AL363,AVERAGE(HAVERD!H368:Q368))</f>
        <v>60.317000000000007</v>
      </c>
    </row>
    <row r="365" spans="8:38" x14ac:dyDescent="0.35">
      <c r="H365" s="2"/>
      <c r="L365" s="2">
        <f t="shared" si="31"/>
        <v>44337</v>
      </c>
      <c r="M365" s="5">
        <f>HAVERD!BA369/HAVERD!BB369</f>
        <v>47.111989831944641</v>
      </c>
      <c r="AJ365" s="2">
        <f t="shared" si="32"/>
        <v>44337</v>
      </c>
      <c r="AK365" s="2"/>
      <c r="AL365" s="3">
        <f>IF(HAVERD!H369="",AL364,AVERAGE(HAVERD!H369:Q369))</f>
        <v>59.929999999999993</v>
      </c>
    </row>
    <row r="366" spans="8:38" x14ac:dyDescent="0.35">
      <c r="H366" s="2"/>
      <c r="L366" s="2">
        <f t="shared" si="31"/>
        <v>44340</v>
      </c>
      <c r="M366" s="5">
        <f>HAVERD!BA370/HAVERD!BB370</f>
        <v>48.446108207373925</v>
      </c>
      <c r="AJ366" s="2">
        <f t="shared" si="32"/>
        <v>44340</v>
      </c>
      <c r="AK366" s="2"/>
      <c r="AL366" s="3">
        <f>IF(HAVERD!H370="",AL365,AVERAGE(HAVERD!H370:Q370))</f>
        <v>60.174999999999997</v>
      </c>
    </row>
    <row r="367" spans="8:38" x14ac:dyDescent="0.35">
      <c r="H367" s="2"/>
      <c r="L367" s="2">
        <f t="shared" si="31"/>
        <v>44341</v>
      </c>
      <c r="M367" s="5">
        <f>HAVERD!BA371/HAVERD!BB371</f>
        <v>48.680393405504844</v>
      </c>
      <c r="AJ367" s="2">
        <f t="shared" si="32"/>
        <v>44341</v>
      </c>
      <c r="AK367" s="2"/>
      <c r="AL367" s="3">
        <f>IF(HAVERD!H371="",AL366,AVERAGE(HAVERD!H371:Q371))</f>
        <v>63.147000000000013</v>
      </c>
    </row>
    <row r="368" spans="8:38" x14ac:dyDescent="0.35">
      <c r="H368" s="2"/>
      <c r="L368" s="2">
        <f t="shared" si="31"/>
        <v>44342</v>
      </c>
      <c r="M368" s="5">
        <f>HAVERD!BA372/HAVERD!BB372</f>
        <v>48.803455111866327</v>
      </c>
      <c r="AJ368" s="2">
        <f t="shared" si="32"/>
        <v>44342</v>
      </c>
      <c r="AK368" s="2"/>
      <c r="AL368" s="3">
        <f>IF(HAVERD!H372="",AL367,AVERAGE(HAVERD!H372:Q372))</f>
        <v>63.262</v>
      </c>
    </row>
    <row r="369" spans="8:38" x14ac:dyDescent="0.35">
      <c r="H369" s="2"/>
      <c r="L369" s="2">
        <f>+L364+7</f>
        <v>44343</v>
      </c>
      <c r="M369" s="5">
        <f>HAVERD!BA373/HAVERD!BB373</f>
        <v>48.959875890275725</v>
      </c>
      <c r="AJ369" s="2">
        <f t="shared" si="32"/>
        <v>44343</v>
      </c>
      <c r="AK369" s="2"/>
      <c r="AL369" s="3">
        <f>IF(HAVERD!H373="",AL368,AVERAGE(HAVERD!H373:Q373))</f>
        <v>61.234999999999992</v>
      </c>
    </row>
    <row r="370" spans="8:38" x14ac:dyDescent="0.35">
      <c r="H370" s="2"/>
      <c r="L370" s="2">
        <f t="shared" ref="L370:L433" si="33">+L365+7</f>
        <v>44344</v>
      </c>
      <c r="M370" s="5">
        <f>HAVERD!BA374/HAVERD!BB374</f>
        <v>48.927765237020317</v>
      </c>
      <c r="AJ370" s="2">
        <f t="shared" si="32"/>
        <v>44344</v>
      </c>
      <c r="AK370" s="2"/>
      <c r="AL370" s="3">
        <f>IF(HAVERD!H374="",AL369,AVERAGE(HAVERD!H374:Q374))</f>
        <v>58.783000000000001</v>
      </c>
    </row>
    <row r="371" spans="8:38" x14ac:dyDescent="0.35">
      <c r="H371" s="2"/>
      <c r="L371" s="2">
        <f t="shared" si="33"/>
        <v>44347</v>
      </c>
      <c r="M371" s="5" t="e">
        <f>HAVERD!BA375/HAVERD!BB375</f>
        <v>#N/A</v>
      </c>
      <c r="AJ371" s="2">
        <f t="shared" si="32"/>
        <v>44347</v>
      </c>
      <c r="AK371" s="2"/>
      <c r="AL371" s="3">
        <f>IF(HAVERD!H375="",AL370,AVERAGE(HAVERD!H375:Q375))</f>
        <v>58.783000000000001</v>
      </c>
    </row>
    <row r="372" spans="8:38" x14ac:dyDescent="0.35">
      <c r="H372" s="2"/>
      <c r="L372" s="2">
        <f t="shared" si="33"/>
        <v>44348</v>
      </c>
      <c r="M372" s="5">
        <f>HAVERD!BA376/HAVERD!BB376</f>
        <v>49.410851619276087</v>
      </c>
      <c r="AJ372" s="2">
        <f t="shared" si="32"/>
        <v>44348</v>
      </c>
      <c r="AK372" s="2"/>
      <c r="AL372" s="3">
        <f>IF(HAVERD!H376="",AL371,AVERAGE(HAVERD!H376:Q376))</f>
        <v>60.722999999999992</v>
      </c>
    </row>
    <row r="373" spans="8:38" x14ac:dyDescent="0.35">
      <c r="H373" s="2"/>
      <c r="L373" s="2">
        <f t="shared" si="33"/>
        <v>44349</v>
      </c>
      <c r="M373" s="5">
        <f>HAVERD!BA377/HAVERD!BB377</f>
        <v>49.841157783268613</v>
      </c>
      <c r="AJ373" s="2">
        <f t="shared" si="32"/>
        <v>44349</v>
      </c>
      <c r="AK373" s="2"/>
      <c r="AL373" s="3">
        <f>IF(HAVERD!H377="",AL372,AVERAGE(HAVERD!H377:Q377))</f>
        <v>59.14200000000001</v>
      </c>
    </row>
    <row r="374" spans="8:38" x14ac:dyDescent="0.35">
      <c r="H374" s="2"/>
      <c r="L374" s="2">
        <f t="shared" si="33"/>
        <v>44350</v>
      </c>
      <c r="M374" s="5">
        <f>HAVERD!BA378/HAVERD!BB378</f>
        <v>49.866008462623412</v>
      </c>
      <c r="AJ374" s="2">
        <f t="shared" si="32"/>
        <v>44350</v>
      </c>
      <c r="AK374" s="2"/>
      <c r="AL374" s="3">
        <f>IF(HAVERD!H378="",AL373,AVERAGE(HAVERD!H378:Q378))</f>
        <v>59.153999999999996</v>
      </c>
    </row>
    <row r="375" spans="8:38" x14ac:dyDescent="0.35">
      <c r="H375" s="2"/>
      <c r="L375" s="2">
        <f t="shared" si="33"/>
        <v>44351</v>
      </c>
      <c r="M375" s="5">
        <f>HAVERD!BA379/HAVERD!BB379</f>
        <v>50.31047135196161</v>
      </c>
      <c r="AJ375" s="2">
        <f t="shared" si="32"/>
        <v>44351</v>
      </c>
      <c r="AK375" s="2"/>
      <c r="AL375" s="3">
        <f>IF(HAVERD!H379="",AL374,AVERAGE(HAVERD!H379:Q379))</f>
        <v>59.19</v>
      </c>
    </row>
    <row r="376" spans="8:38" x14ac:dyDescent="0.35">
      <c r="H376" s="2"/>
      <c r="L376" s="2">
        <f t="shared" si="33"/>
        <v>44354</v>
      </c>
      <c r="M376" s="5">
        <f>HAVERD!BA380/HAVERD!BB380</f>
        <v>50.035290796160361</v>
      </c>
      <c r="AJ376" s="2">
        <f t="shared" si="32"/>
        <v>44354</v>
      </c>
      <c r="AK376" s="2"/>
      <c r="AL376" s="3">
        <f>IF(HAVERD!H380="",AL375,AVERAGE(HAVERD!H380:Q380))</f>
        <v>60.868999999999993</v>
      </c>
    </row>
    <row r="377" spans="8:38" x14ac:dyDescent="0.35">
      <c r="H377" s="2"/>
      <c r="L377" s="2">
        <f t="shared" si="33"/>
        <v>44355</v>
      </c>
      <c r="M377" s="5">
        <f>HAVERD!BA381/HAVERD!BB381</f>
        <v>50.452296819787982</v>
      </c>
      <c r="AJ377" s="2">
        <f t="shared" si="32"/>
        <v>44355</v>
      </c>
      <c r="AK377" s="2"/>
      <c r="AL377" s="3">
        <f>IF(HAVERD!H381="",AL376,AVERAGE(HAVERD!H381:Q381))</f>
        <v>62.886000000000003</v>
      </c>
    </row>
    <row r="378" spans="8:38" x14ac:dyDescent="0.35">
      <c r="H378" s="2"/>
      <c r="L378" s="2">
        <f t="shared" si="33"/>
        <v>44356</v>
      </c>
      <c r="M378" s="5">
        <f>HAVERD!BA382/HAVERD!BB382</f>
        <v>50.477808451900614</v>
      </c>
      <c r="AJ378" s="2">
        <f t="shared" si="32"/>
        <v>44356</v>
      </c>
      <c r="AK378" s="2"/>
      <c r="AL378" s="3">
        <f>IF(HAVERD!H382="",AL377,AVERAGE(HAVERD!H382:Q382))</f>
        <v>63.960999999999991</v>
      </c>
    </row>
    <row r="379" spans="8:38" x14ac:dyDescent="0.35">
      <c r="H379" s="2"/>
      <c r="L379" s="2">
        <f t="shared" si="33"/>
        <v>44357</v>
      </c>
      <c r="M379" s="5">
        <f>HAVERD!BA383/HAVERD!BB383</f>
        <v>50.66468674869185</v>
      </c>
      <c r="AJ379" s="2">
        <f t="shared" si="32"/>
        <v>44357</v>
      </c>
      <c r="AK379" s="2"/>
      <c r="AL379" s="3">
        <f>IF(HAVERD!H383="",AL378,AVERAGE(HAVERD!H383:Q383))</f>
        <v>64.790999999999997</v>
      </c>
    </row>
    <row r="380" spans="8:38" x14ac:dyDescent="0.35">
      <c r="H380" s="2"/>
      <c r="L380" s="2">
        <f t="shared" si="33"/>
        <v>44358</v>
      </c>
      <c r="M380" s="5">
        <f>HAVERD!BA384/HAVERD!BB384</f>
        <v>51.016073072293416</v>
      </c>
      <c r="AJ380" s="2">
        <f t="shared" si="32"/>
        <v>44358</v>
      </c>
      <c r="AK380" s="2"/>
      <c r="AL380" s="3">
        <f>IF(HAVERD!H384="",AL379,AVERAGE(HAVERD!H384:Q384))</f>
        <v>62.866999999999997</v>
      </c>
    </row>
    <row r="381" spans="8:38" x14ac:dyDescent="0.35">
      <c r="H381" s="2"/>
      <c r="L381" s="2">
        <f t="shared" si="33"/>
        <v>44361</v>
      </c>
      <c r="M381" s="5">
        <f>HAVERD!BA385/HAVERD!BB385</f>
        <v>51.200850159404887</v>
      </c>
      <c r="AJ381" s="2">
        <f t="shared" si="32"/>
        <v>44361</v>
      </c>
      <c r="AK381" s="2"/>
      <c r="AL381" s="3">
        <f>IF(HAVERD!H385="",AL380,AVERAGE(HAVERD!H385:Q385))</f>
        <v>64.310999999999993</v>
      </c>
    </row>
    <row r="382" spans="8:38" x14ac:dyDescent="0.35">
      <c r="H382" s="2"/>
      <c r="L382" s="2">
        <f t="shared" si="33"/>
        <v>44362</v>
      </c>
      <c r="M382" s="5">
        <f>HAVERD!BA386/HAVERD!BB386</f>
        <v>52.105375275154437</v>
      </c>
      <c r="AJ382" s="2">
        <f t="shared" si="32"/>
        <v>44362</v>
      </c>
      <c r="AK382" s="2"/>
      <c r="AL382" s="3">
        <f>IF(HAVERD!H386="",AL381,AVERAGE(HAVERD!H386:Q386))</f>
        <v>62.818000000000005</v>
      </c>
    </row>
    <row r="383" spans="8:38" x14ac:dyDescent="0.35">
      <c r="L383" s="2">
        <f t="shared" si="33"/>
        <v>44363</v>
      </c>
      <c r="M383" s="5">
        <f>HAVERD!BA387/HAVERD!BB387</f>
        <v>52.382302892796361</v>
      </c>
      <c r="AJ383" s="2">
        <f t="shared" si="32"/>
        <v>44363</v>
      </c>
      <c r="AK383" s="2"/>
      <c r="AL383" s="3">
        <f>IF(HAVERD!H387="",AL382,AVERAGE(HAVERD!H387:Q387))</f>
        <v>62.506000000000007</v>
      </c>
    </row>
    <row r="384" spans="8:38" x14ac:dyDescent="0.35">
      <c r="L384" s="2">
        <f t="shared" si="33"/>
        <v>44364</v>
      </c>
      <c r="M384" s="5">
        <f>HAVERD!BA388/HAVERD!BB388</f>
        <v>52.26865457673285</v>
      </c>
      <c r="AJ384" s="2">
        <f t="shared" si="32"/>
        <v>44364</v>
      </c>
      <c r="AK384" s="2"/>
      <c r="AL384" s="3">
        <f>IF(HAVERD!H388="",AL383,AVERAGE(HAVERD!H388:Q388))</f>
        <v>62.83</v>
      </c>
    </row>
    <row r="385" spans="12:38" x14ac:dyDescent="0.35">
      <c r="L385" s="2">
        <f t="shared" si="33"/>
        <v>44365</v>
      </c>
      <c r="M385" s="5">
        <f>HAVERD!BA389/HAVERD!BB389</f>
        <v>52.944158760049248</v>
      </c>
      <c r="AJ385" s="2">
        <f t="shared" si="32"/>
        <v>44365</v>
      </c>
      <c r="AK385" s="2"/>
      <c r="AL385" s="3">
        <f>IF(HAVERD!H389="",AL384,AVERAGE(HAVERD!H389:Q389))</f>
        <v>65.253999999999991</v>
      </c>
    </row>
    <row r="386" spans="12:38" x14ac:dyDescent="0.35">
      <c r="L386" s="2">
        <f t="shared" si="33"/>
        <v>44368</v>
      </c>
      <c r="M386" s="5">
        <f>HAVERD!BA390/HAVERD!BB390</f>
        <v>53.57065803667745</v>
      </c>
      <c r="AJ386" s="2">
        <f t="shared" si="32"/>
        <v>44368</v>
      </c>
      <c r="AK386" s="2"/>
      <c r="AL386" s="3">
        <f>IF(HAVERD!H390="",AL385,AVERAGE(HAVERD!H390:Q390))</f>
        <v>65.649999999999991</v>
      </c>
    </row>
    <row r="387" spans="12:38" x14ac:dyDescent="0.35">
      <c r="L387" s="2">
        <f t="shared" si="33"/>
        <v>44369</v>
      </c>
      <c r="M387" s="5">
        <f>HAVERD!BA391/HAVERD!BB391</f>
        <v>53.837309571716013</v>
      </c>
      <c r="AJ387" s="2">
        <f t="shared" si="32"/>
        <v>44369</v>
      </c>
      <c r="AK387" s="2"/>
      <c r="AL387" s="3">
        <f>IF(HAVERD!H391="",AL386,AVERAGE(HAVERD!H391:Q391))</f>
        <v>67.462999999999994</v>
      </c>
    </row>
    <row r="388" spans="12:38" x14ac:dyDescent="0.35">
      <c r="L388" s="2">
        <f t="shared" si="33"/>
        <v>44370</v>
      </c>
      <c r="M388" s="5">
        <f>HAVERD!BA392/HAVERD!BB392</f>
        <v>53.847805855823609</v>
      </c>
      <c r="AJ388" s="2">
        <f t="shared" si="32"/>
        <v>44370</v>
      </c>
      <c r="AK388" s="2"/>
      <c r="AL388" s="3">
        <f>IF(HAVERD!H392="",AL387,AVERAGE(HAVERD!H392:Q392))</f>
        <v>68.814000000000007</v>
      </c>
    </row>
    <row r="389" spans="12:38" x14ac:dyDescent="0.35">
      <c r="L389" s="2">
        <f t="shared" si="33"/>
        <v>44371</v>
      </c>
      <c r="M389" s="5">
        <f>HAVERD!BA393/HAVERD!BB393</f>
        <v>54.659949622166252</v>
      </c>
      <c r="AJ389" s="2">
        <f t="shared" si="32"/>
        <v>44371</v>
      </c>
      <c r="AK389" s="2"/>
      <c r="AL389" s="3">
        <f>IF(HAVERD!H393="",AL388,AVERAGE(HAVERD!H393:Q393))</f>
        <v>69.762</v>
      </c>
    </row>
    <row r="390" spans="12:38" x14ac:dyDescent="0.35">
      <c r="L390" s="2">
        <f t="shared" si="33"/>
        <v>44372</v>
      </c>
      <c r="M390" s="5">
        <f>HAVERD!BA394/HAVERD!BB394</f>
        <v>54.944660054621245</v>
      </c>
      <c r="AJ390" s="2">
        <f t="shared" si="32"/>
        <v>44372</v>
      </c>
      <c r="AK390" s="2"/>
      <c r="AL390" s="3">
        <f>IF(HAVERD!H394="",AL389,AVERAGE(HAVERD!H394:Q394))</f>
        <v>70.495999999999995</v>
      </c>
    </row>
    <row r="391" spans="12:38" x14ac:dyDescent="0.35">
      <c r="L391" s="2">
        <f t="shared" si="33"/>
        <v>44375</v>
      </c>
      <c r="M391" s="5">
        <f>HAVERD!BA395/HAVERD!BB395</f>
        <v>53.856679870363699</v>
      </c>
      <c r="AJ391" s="2">
        <f t="shared" si="32"/>
        <v>44375</v>
      </c>
      <c r="AK391" s="2"/>
      <c r="AL391" s="3">
        <f>IF(HAVERD!H395="",AL390,AVERAGE(HAVERD!H395:Q395))</f>
        <v>70.180000000000007</v>
      </c>
    </row>
    <row r="392" spans="12:38" x14ac:dyDescent="0.35">
      <c r="L392" s="2">
        <f t="shared" si="33"/>
        <v>44376</v>
      </c>
      <c r="M392" s="5">
        <f>HAVERD!BA396/HAVERD!BB396</f>
        <v>54.477126544771266</v>
      </c>
      <c r="AJ392" s="2">
        <f t="shared" si="32"/>
        <v>44376</v>
      </c>
      <c r="AK392" s="2"/>
      <c r="AL392" s="3">
        <f>IF(HAVERD!H396="",AL391,AVERAGE(HAVERD!H396:Q396))</f>
        <v>72.426999999999992</v>
      </c>
    </row>
    <row r="393" spans="12:38" x14ac:dyDescent="0.35">
      <c r="L393" s="2">
        <f t="shared" si="33"/>
        <v>44377</v>
      </c>
      <c r="M393" s="5">
        <f>HAVERD!BA397/HAVERD!BB397</f>
        <v>55.676966495404876</v>
      </c>
      <c r="AJ393" s="2">
        <f t="shared" ref="AJ393:AJ456" si="34">+AJ388+7</f>
        <v>44377</v>
      </c>
      <c r="AK393" s="2"/>
      <c r="AL393" s="3">
        <f>IF(HAVERD!H397="",AL392,AVERAGE(HAVERD!H397:Q397))</f>
        <v>70.712999999999994</v>
      </c>
    </row>
    <row r="394" spans="12:38" x14ac:dyDescent="0.35">
      <c r="L394" s="2">
        <f t="shared" si="33"/>
        <v>44378</v>
      </c>
      <c r="M394" s="5">
        <f>HAVERD!BA398/HAVERD!BB398</f>
        <v>55.693536673928826</v>
      </c>
      <c r="AJ394" s="2">
        <f t="shared" si="34"/>
        <v>44378</v>
      </c>
      <c r="AK394" s="2"/>
      <c r="AL394" s="3">
        <f>IF(HAVERD!H398="",AL393,AVERAGE(HAVERD!H398:Q398))</f>
        <v>72.736999999999995</v>
      </c>
    </row>
    <row r="395" spans="12:38" x14ac:dyDescent="0.35">
      <c r="L395" s="2">
        <f t="shared" si="33"/>
        <v>44379</v>
      </c>
      <c r="M395" s="5">
        <f>HAVERD!BA399/HAVERD!BB399</f>
        <v>56.235942828121601</v>
      </c>
      <c r="AJ395" s="2">
        <f t="shared" si="34"/>
        <v>44379</v>
      </c>
      <c r="AK395" s="2"/>
      <c r="AL395" s="3">
        <f>IF(HAVERD!H399="",AL394,AVERAGE(HAVERD!H399:Q399))</f>
        <v>71.951999999999998</v>
      </c>
    </row>
    <row r="396" spans="12:38" x14ac:dyDescent="0.35">
      <c r="L396" s="2">
        <f t="shared" si="33"/>
        <v>44382</v>
      </c>
      <c r="M396" s="5">
        <f>HAVERD!BA400/HAVERD!BB400</f>
        <v>56.604046242774572</v>
      </c>
      <c r="AJ396" s="2">
        <f t="shared" si="34"/>
        <v>44382</v>
      </c>
      <c r="AK396" s="2"/>
      <c r="AL396" s="3">
        <f>IF(HAVERD!H400="",AL395,AVERAGE(HAVERD!H400:Q400))</f>
        <v>74.168000000000006</v>
      </c>
    </row>
    <row r="397" spans="12:38" x14ac:dyDescent="0.35">
      <c r="L397" s="2">
        <f t="shared" si="33"/>
        <v>44383</v>
      </c>
      <c r="M397" s="5">
        <f>HAVERD!BA401/HAVERD!BB401</f>
        <v>54.906931266748749</v>
      </c>
      <c r="AJ397" s="2">
        <f t="shared" si="34"/>
        <v>44383</v>
      </c>
      <c r="AK397" s="2"/>
      <c r="AL397" s="3">
        <f>IF(HAVERD!H401="",AL396,AVERAGE(HAVERD!H401:Q401))</f>
        <v>69.481000000000009</v>
      </c>
    </row>
    <row r="398" spans="12:38" x14ac:dyDescent="0.35">
      <c r="L398" s="2">
        <f t="shared" si="33"/>
        <v>44384</v>
      </c>
      <c r="M398" s="5">
        <f>HAVERD!BA402/HAVERD!BB402</f>
        <v>53.937722290774481</v>
      </c>
      <c r="AJ398" s="2">
        <f t="shared" si="34"/>
        <v>44384</v>
      </c>
      <c r="AK398" s="2"/>
      <c r="AL398" s="3">
        <f>IF(HAVERD!H402="",AL397,AVERAGE(HAVERD!H402:Q402))</f>
        <v>67.551000000000002</v>
      </c>
    </row>
    <row r="399" spans="12:38" x14ac:dyDescent="0.35">
      <c r="L399" s="2">
        <f t="shared" si="33"/>
        <v>44385</v>
      </c>
      <c r="M399" s="5">
        <f>HAVERD!BA403/HAVERD!BB403</f>
        <v>54.55272145919627</v>
      </c>
      <c r="AJ399" s="2">
        <f t="shared" si="34"/>
        <v>44385</v>
      </c>
      <c r="AK399" s="2"/>
      <c r="AL399" s="3">
        <f>IF(HAVERD!H403="",AL398,AVERAGE(HAVERD!H403:Q403))</f>
        <v>69.456000000000003</v>
      </c>
    </row>
    <row r="400" spans="12:38" x14ac:dyDescent="0.35">
      <c r="L400" s="2">
        <f t="shared" si="33"/>
        <v>44386</v>
      </c>
      <c r="M400" s="5">
        <f>HAVERD!BA404/HAVERD!BB404</f>
        <v>55.741021750126457</v>
      </c>
      <c r="AJ400" s="2">
        <f t="shared" si="34"/>
        <v>44386</v>
      </c>
      <c r="AK400" s="2"/>
      <c r="AL400" s="3">
        <f>IF(HAVERD!H404="",AL399,AVERAGE(HAVERD!H404:Q404))</f>
        <v>73.650000000000006</v>
      </c>
    </row>
    <row r="401" spans="12:38" x14ac:dyDescent="0.35">
      <c r="L401" s="2">
        <f t="shared" si="33"/>
        <v>44389</v>
      </c>
      <c r="M401" s="5">
        <f>HAVERD!BA405/HAVERD!BB405</f>
        <v>55.254066503526701</v>
      </c>
      <c r="AJ401" s="2">
        <f t="shared" si="34"/>
        <v>44389</v>
      </c>
      <c r="AK401" s="2"/>
      <c r="AL401" s="3">
        <f>IF(HAVERD!H405="",AL400,AVERAGE(HAVERD!H405:Q405))</f>
        <v>70.424000000000007</v>
      </c>
    </row>
    <row r="402" spans="12:38" x14ac:dyDescent="0.35">
      <c r="L402" s="2">
        <f t="shared" si="33"/>
        <v>44390</v>
      </c>
      <c r="M402" s="5">
        <f>HAVERD!BA406/HAVERD!BB406</f>
        <v>55.989018927900588</v>
      </c>
      <c r="AJ402" s="2">
        <f t="shared" si="34"/>
        <v>44390</v>
      </c>
      <c r="AK402" s="2"/>
      <c r="AL402" s="3">
        <f>IF(HAVERD!H406="",AL401,AVERAGE(HAVERD!H406:Q406))</f>
        <v>71.259999999999991</v>
      </c>
    </row>
    <row r="403" spans="12:38" x14ac:dyDescent="0.35">
      <c r="L403" s="2">
        <f t="shared" si="33"/>
        <v>44391</v>
      </c>
      <c r="M403" s="5">
        <f>HAVERD!BA407/HAVERD!BB407</f>
        <v>54.611002956233321</v>
      </c>
      <c r="AJ403" s="2">
        <f t="shared" si="34"/>
        <v>44391</v>
      </c>
      <c r="AK403" s="2"/>
      <c r="AL403" s="3">
        <f>IF(HAVERD!H407="",AL402,AVERAGE(HAVERD!H407:Q407))</f>
        <v>70.205999999999989</v>
      </c>
    </row>
    <row r="404" spans="12:38" x14ac:dyDescent="0.35">
      <c r="L404" s="2">
        <f t="shared" si="33"/>
        <v>44392</v>
      </c>
      <c r="M404" s="5">
        <f>HAVERD!BA408/HAVERD!BB408</f>
        <v>53.761812017600803</v>
      </c>
      <c r="AJ404" s="2">
        <f t="shared" si="34"/>
        <v>44392</v>
      </c>
      <c r="AK404" s="2"/>
      <c r="AL404" s="3">
        <f>IF(HAVERD!H408="",AL403,AVERAGE(HAVERD!H408:Q408))</f>
        <v>68.835999999999984</v>
      </c>
    </row>
    <row r="405" spans="12:38" x14ac:dyDescent="0.35">
      <c r="L405" s="2">
        <f t="shared" si="33"/>
        <v>44393</v>
      </c>
      <c r="M405" s="5">
        <f>HAVERD!BA409/HAVERD!BB409</f>
        <v>53.995649021029728</v>
      </c>
      <c r="AJ405" s="2">
        <f t="shared" si="34"/>
        <v>44393</v>
      </c>
      <c r="AK405" s="2"/>
      <c r="AL405" s="3">
        <f>IF(HAVERD!H409="",AL404,AVERAGE(HAVERD!H409:Q409))</f>
        <v>69.914999999999992</v>
      </c>
    </row>
    <row r="406" spans="12:38" x14ac:dyDescent="0.35">
      <c r="L406" s="2">
        <f t="shared" si="33"/>
        <v>44396</v>
      </c>
      <c r="M406" s="5">
        <f>HAVERD!BA410/HAVERD!BB410</f>
        <v>50.71689831748354</v>
      </c>
      <c r="AJ406" s="2">
        <f t="shared" si="34"/>
        <v>44396</v>
      </c>
      <c r="AK406" s="2"/>
      <c r="AL406" s="3">
        <f>IF(HAVERD!H410="",AL405,AVERAGE(HAVERD!H410:Q410))</f>
        <v>71.244</v>
      </c>
    </row>
    <row r="407" spans="12:38" x14ac:dyDescent="0.35">
      <c r="L407" s="2">
        <f t="shared" si="33"/>
        <v>44397</v>
      </c>
      <c r="M407" s="5">
        <f>HAVERD!BA411/HAVERD!BB411</f>
        <v>51.473722895994122</v>
      </c>
      <c r="AJ407" s="2">
        <f t="shared" si="34"/>
        <v>44397</v>
      </c>
      <c r="AK407" s="2"/>
      <c r="AL407" s="3">
        <f>IF(HAVERD!H411="",AL406,AVERAGE(HAVERD!H411:Q411))</f>
        <v>70.751000000000005</v>
      </c>
    </row>
    <row r="408" spans="12:38" x14ac:dyDescent="0.35">
      <c r="L408" s="2">
        <f t="shared" si="33"/>
        <v>44398</v>
      </c>
      <c r="M408" s="5">
        <f>HAVERD!BA412/HAVERD!BB412</f>
        <v>53.045703839122496</v>
      </c>
      <c r="AJ408" s="2">
        <f t="shared" si="34"/>
        <v>44398</v>
      </c>
      <c r="AK408" s="2"/>
      <c r="AL408" s="3">
        <f>IF(HAVERD!H412="",AL407,AVERAGE(HAVERD!H412:Q412))</f>
        <v>71.602000000000004</v>
      </c>
    </row>
    <row r="409" spans="12:38" x14ac:dyDescent="0.35">
      <c r="L409" s="2">
        <f t="shared" si="33"/>
        <v>44399</v>
      </c>
      <c r="M409" s="5">
        <f>HAVERD!BA413/HAVERD!BB413</f>
        <v>53.976446641465543</v>
      </c>
      <c r="AJ409" s="2">
        <f t="shared" si="34"/>
        <v>44399</v>
      </c>
      <c r="AK409" s="2"/>
      <c r="AL409" s="3">
        <f>IF(HAVERD!H413="",AL408,AVERAGE(HAVERD!H413:Q413))</f>
        <v>71.397999999999996</v>
      </c>
    </row>
    <row r="410" spans="12:38" x14ac:dyDescent="0.35">
      <c r="L410" s="2">
        <f t="shared" si="33"/>
        <v>44400</v>
      </c>
      <c r="M410" s="5">
        <f>HAVERD!BA414/HAVERD!BB414</f>
        <v>54.443636363636365</v>
      </c>
      <c r="AJ410" s="2">
        <f t="shared" si="34"/>
        <v>44400</v>
      </c>
      <c r="AK410" s="2"/>
      <c r="AL410" s="3">
        <f>IF(HAVERD!H414="",AL409,AVERAGE(HAVERD!H414:Q414))</f>
        <v>70.897999999999996</v>
      </c>
    </row>
    <row r="411" spans="12:38" x14ac:dyDescent="0.35">
      <c r="L411" s="2">
        <f t="shared" si="33"/>
        <v>44403</v>
      </c>
      <c r="M411" s="5">
        <f>HAVERD!BA415/HAVERD!BB415</f>
        <v>54.1015625</v>
      </c>
      <c r="AJ411" s="2">
        <f t="shared" si="34"/>
        <v>44403</v>
      </c>
      <c r="AK411" s="2"/>
      <c r="AL411" s="3">
        <f>IF(HAVERD!H415="",AL410,AVERAGE(HAVERD!H415:Q415))</f>
        <v>72.326000000000008</v>
      </c>
    </row>
    <row r="412" spans="12:38" x14ac:dyDescent="0.35">
      <c r="L412" s="2">
        <f t="shared" si="33"/>
        <v>44404</v>
      </c>
      <c r="M412" s="5">
        <f>HAVERD!BA416/HAVERD!BB416</f>
        <v>53.937036236582387</v>
      </c>
      <c r="AJ412" s="2">
        <f t="shared" si="34"/>
        <v>44404</v>
      </c>
      <c r="AK412" s="2"/>
      <c r="AL412" s="3">
        <f>IF(HAVERD!H416="",AL411,AVERAGE(HAVERD!H416:Q416))</f>
        <v>73.207999999999998</v>
      </c>
    </row>
    <row r="413" spans="12:38" x14ac:dyDescent="0.35">
      <c r="L413" s="2">
        <f t="shared" si="33"/>
        <v>44405</v>
      </c>
      <c r="M413" s="5">
        <f>HAVERD!BA417/HAVERD!BB417</f>
        <v>54.134525268545893</v>
      </c>
      <c r="AJ413" s="2">
        <f t="shared" si="34"/>
        <v>44405</v>
      </c>
      <c r="AK413" s="2"/>
      <c r="AL413" s="3">
        <f>IF(HAVERD!H417="",AL412,AVERAGE(HAVERD!H417:Q417))</f>
        <v>75.918000000000006</v>
      </c>
    </row>
    <row r="414" spans="12:38" x14ac:dyDescent="0.35">
      <c r="L414" s="2">
        <f t="shared" si="33"/>
        <v>44406</v>
      </c>
      <c r="M414" s="5">
        <f>HAVERD!BA418/HAVERD!BB418</f>
        <v>54.597495527728086</v>
      </c>
      <c r="AJ414" s="2">
        <f t="shared" si="34"/>
        <v>44406</v>
      </c>
      <c r="AK414" s="2"/>
      <c r="AL414" s="3">
        <f>IF(HAVERD!H418="",AL413,AVERAGE(HAVERD!H418:Q418))</f>
        <v>77.47699999999999</v>
      </c>
    </row>
    <row r="415" spans="12:38" x14ac:dyDescent="0.35">
      <c r="L415" s="2">
        <f t="shared" si="33"/>
        <v>44407</v>
      </c>
      <c r="M415" s="5">
        <f>HAVERD!BA419/HAVERD!BB419</f>
        <v>55.885525275041346</v>
      </c>
      <c r="AJ415" s="2">
        <f t="shared" si="34"/>
        <v>44407</v>
      </c>
      <c r="AK415" s="2"/>
      <c r="AL415" s="3">
        <f>IF(HAVERD!H419="",AL414,AVERAGE(HAVERD!H419:Q419))</f>
        <v>72.787999999999982</v>
      </c>
    </row>
    <row r="416" spans="12:38" x14ac:dyDescent="0.35">
      <c r="L416" s="2">
        <f t="shared" si="33"/>
        <v>44410</v>
      </c>
      <c r="M416" s="5">
        <f>HAVERD!BA420/HAVERD!BB420</f>
        <v>53.180313714203486</v>
      </c>
      <c r="AJ416" s="2">
        <f t="shared" si="34"/>
        <v>44410</v>
      </c>
      <c r="AK416" s="2"/>
      <c r="AL416" s="3">
        <f>IF(HAVERD!H420="",AL415,AVERAGE(HAVERD!H420:Q420))</f>
        <v>74.180999999999997</v>
      </c>
    </row>
    <row r="417" spans="12:38" x14ac:dyDescent="0.35">
      <c r="L417" s="2">
        <f t="shared" si="33"/>
        <v>44411</v>
      </c>
      <c r="M417" s="5">
        <f>HAVERD!BA421/HAVERD!BB421</f>
        <v>52.720990498128415</v>
      </c>
      <c r="AJ417" s="2">
        <f t="shared" si="34"/>
        <v>44411</v>
      </c>
      <c r="AK417" s="2"/>
      <c r="AL417" s="3">
        <f>IF(HAVERD!H421="",AL416,AVERAGE(HAVERD!H421:Q421))</f>
        <v>73.345999999999989</v>
      </c>
    </row>
    <row r="418" spans="12:38" x14ac:dyDescent="0.35">
      <c r="L418" s="2">
        <f t="shared" si="33"/>
        <v>44412</v>
      </c>
      <c r="M418" s="5">
        <f>HAVERD!BA422/HAVERD!BB422</f>
        <v>51.042565429968356</v>
      </c>
      <c r="AJ418" s="2">
        <f t="shared" si="34"/>
        <v>44412</v>
      </c>
      <c r="AK418" s="2"/>
      <c r="AL418" s="3">
        <f>IF(HAVERD!H422="",AL417,AVERAGE(HAVERD!H422:Q422))</f>
        <v>75.109999999999985</v>
      </c>
    </row>
    <row r="419" spans="12:38" x14ac:dyDescent="0.35">
      <c r="L419" s="2">
        <f t="shared" si="33"/>
        <v>44413</v>
      </c>
      <c r="M419" s="5">
        <f>HAVERD!BA423/HAVERD!BB423</f>
        <v>51.776358286083401</v>
      </c>
      <c r="AJ419" s="2">
        <f t="shared" si="34"/>
        <v>44413</v>
      </c>
      <c r="AK419" s="2"/>
      <c r="AL419" s="3">
        <f>IF(HAVERD!H423="",AL418,AVERAGE(HAVERD!H423:Q423))</f>
        <v>77.563999999999993</v>
      </c>
    </row>
    <row r="420" spans="12:38" x14ac:dyDescent="0.35">
      <c r="L420" s="2">
        <f t="shared" si="33"/>
        <v>44414</v>
      </c>
      <c r="M420" s="5">
        <f>HAVERD!BA424/HAVERD!BB424</f>
        <v>51.211421978655892</v>
      </c>
      <c r="AJ420" s="2">
        <f t="shared" si="34"/>
        <v>44414</v>
      </c>
      <c r="AK420" s="2"/>
      <c r="AL420" s="3">
        <f>IF(HAVERD!H424="",AL419,AVERAGE(HAVERD!H424:Q424))</f>
        <v>79.218000000000004</v>
      </c>
    </row>
    <row r="421" spans="12:38" x14ac:dyDescent="0.35">
      <c r="L421" s="2">
        <f t="shared" si="33"/>
        <v>44417</v>
      </c>
      <c r="M421" s="5">
        <f>HAVERD!BA425/HAVERD!BB425</f>
        <v>50.296071634893131</v>
      </c>
      <c r="AJ421" s="2">
        <f t="shared" si="34"/>
        <v>44417</v>
      </c>
      <c r="AK421" s="2"/>
      <c r="AL421" s="3">
        <f>IF(HAVERD!H425="",AL420,AVERAGE(HAVERD!H425:Q425))</f>
        <v>79.286000000000001</v>
      </c>
    </row>
    <row r="422" spans="12:38" x14ac:dyDescent="0.35">
      <c r="L422" s="2">
        <f t="shared" si="33"/>
        <v>44418</v>
      </c>
      <c r="M422" s="5">
        <f>HAVERD!BA426/HAVERD!BB426</f>
        <v>51.37574925976746</v>
      </c>
      <c r="AJ422" s="2">
        <f t="shared" si="34"/>
        <v>44418</v>
      </c>
      <c r="AK422" s="2"/>
      <c r="AL422" s="3">
        <f>IF(HAVERD!H426="",AL421,AVERAGE(HAVERD!H426:Q426))</f>
        <v>82.174000000000007</v>
      </c>
    </row>
    <row r="423" spans="12:38" x14ac:dyDescent="0.35">
      <c r="L423" s="2">
        <f t="shared" si="33"/>
        <v>44419</v>
      </c>
      <c r="M423" s="5">
        <f>HAVERD!BA427/HAVERD!BB427</f>
        <v>51.910873954427451</v>
      </c>
      <c r="AJ423" s="2">
        <f t="shared" si="34"/>
        <v>44419</v>
      </c>
      <c r="AK423" s="2"/>
      <c r="AL423" s="3">
        <f>IF(HAVERD!H427="",AL422,AVERAGE(HAVERD!H427:Q427))</f>
        <v>84.146999999999991</v>
      </c>
    </row>
    <row r="424" spans="12:38" x14ac:dyDescent="0.35">
      <c r="L424" s="2">
        <f t="shared" si="33"/>
        <v>44420</v>
      </c>
      <c r="M424" s="5">
        <f>HAVERD!BA428/HAVERD!BB428</f>
        <v>51.890133718829063</v>
      </c>
      <c r="AJ424" s="2">
        <f t="shared" si="34"/>
        <v>44420</v>
      </c>
      <c r="AK424" s="2"/>
      <c r="AL424" s="3">
        <f>IF(HAVERD!H428="",AL423,AVERAGE(HAVERD!H428:Q428))</f>
        <v>85.188999999999993</v>
      </c>
    </row>
    <row r="425" spans="12:38" x14ac:dyDescent="0.35">
      <c r="L425" s="2">
        <f t="shared" si="33"/>
        <v>44421</v>
      </c>
      <c r="M425" s="5">
        <f>HAVERD!BA429/HAVERD!BB429</f>
        <v>51.180249765393782</v>
      </c>
      <c r="AJ425" s="2">
        <f t="shared" si="34"/>
        <v>44421</v>
      </c>
      <c r="AK425" s="2"/>
      <c r="AL425" s="3">
        <f>IF(HAVERD!H429="",AL424,AVERAGE(HAVERD!H429:Q429))</f>
        <v>84.643000000000001</v>
      </c>
    </row>
    <row r="426" spans="12:38" x14ac:dyDescent="0.35">
      <c r="L426" s="2">
        <f t="shared" si="33"/>
        <v>44424</v>
      </c>
      <c r="M426" s="5">
        <f>HAVERD!BA430/HAVERD!BB430</f>
        <v>50.562851782363978</v>
      </c>
      <c r="AJ426" s="2">
        <f t="shared" si="34"/>
        <v>44424</v>
      </c>
      <c r="AK426" s="2"/>
      <c r="AL426" s="3">
        <f>IF(HAVERD!H430="",AL425,AVERAGE(HAVERD!H430:Q430))</f>
        <v>88.837000000000018</v>
      </c>
    </row>
    <row r="427" spans="12:38" x14ac:dyDescent="0.35">
      <c r="L427" s="2">
        <f t="shared" si="33"/>
        <v>44425</v>
      </c>
      <c r="M427" s="5">
        <f>HAVERD!BA431/HAVERD!BB431</f>
        <v>50.516814674625138</v>
      </c>
      <c r="AJ427" s="2">
        <f t="shared" si="34"/>
        <v>44425</v>
      </c>
      <c r="AK427" s="2"/>
      <c r="AL427" s="3">
        <f>IF(HAVERD!H431="",AL426,AVERAGE(HAVERD!H431:Q431))</f>
        <v>87.907000000000011</v>
      </c>
    </row>
    <row r="428" spans="12:38" x14ac:dyDescent="0.35">
      <c r="L428" s="2">
        <f t="shared" si="33"/>
        <v>44426</v>
      </c>
      <c r="M428" s="5">
        <f>HAVERD!BA432/HAVERD!BB432</f>
        <v>49.876417563245134</v>
      </c>
      <c r="AJ428" s="2">
        <f t="shared" si="34"/>
        <v>44426</v>
      </c>
      <c r="AK428" s="2"/>
      <c r="AL428" s="3">
        <f>IF(HAVERD!H432="",AL427,AVERAGE(HAVERD!H432:Q432))</f>
        <v>85.621000000000009</v>
      </c>
    </row>
    <row r="429" spans="12:38" x14ac:dyDescent="0.35">
      <c r="L429" s="2">
        <f t="shared" si="33"/>
        <v>44427</v>
      </c>
      <c r="M429" s="5">
        <f>HAVERD!BA433/HAVERD!BB433</f>
        <v>48.898323695190683</v>
      </c>
      <c r="AJ429" s="2">
        <f t="shared" si="34"/>
        <v>44427</v>
      </c>
      <c r="AK429" s="2"/>
      <c r="AL429" s="3">
        <f>IF(HAVERD!H433="",AL428,AVERAGE(HAVERD!H433:Q433))</f>
        <v>78.063000000000002</v>
      </c>
    </row>
    <row r="430" spans="12:38" x14ac:dyDescent="0.35">
      <c r="L430" s="2">
        <f t="shared" si="33"/>
        <v>44428</v>
      </c>
      <c r="M430" s="5">
        <f>HAVERD!BA434/HAVERD!BB434</f>
        <v>48.12311760816867</v>
      </c>
      <c r="AJ430" s="2">
        <f t="shared" si="34"/>
        <v>44428</v>
      </c>
      <c r="AK430" s="2"/>
      <c r="AL430" s="3">
        <f>IF(HAVERD!H434="",AL429,AVERAGE(HAVERD!H434:Q434))</f>
        <v>81.100000000000009</v>
      </c>
    </row>
    <row r="431" spans="12:38" x14ac:dyDescent="0.35">
      <c r="L431" s="2">
        <f t="shared" si="33"/>
        <v>44431</v>
      </c>
      <c r="M431" s="5">
        <f>HAVERD!BA435/HAVERD!BB435</f>
        <v>50.364590928977684</v>
      </c>
      <c r="AJ431" s="2">
        <f t="shared" si="34"/>
        <v>44431</v>
      </c>
      <c r="AK431" s="2"/>
      <c r="AL431" s="3">
        <f>IF(HAVERD!H435="",AL430,AVERAGE(HAVERD!H435:Q435))</f>
        <v>81.494</v>
      </c>
    </row>
    <row r="432" spans="12:38" x14ac:dyDescent="0.35">
      <c r="L432" s="2">
        <f t="shared" si="33"/>
        <v>44432</v>
      </c>
      <c r="M432" s="5">
        <f>HAVERD!BA436/HAVERD!BB436</f>
        <v>51.856976405476253</v>
      </c>
      <c r="AJ432" s="2">
        <f t="shared" si="34"/>
        <v>44432</v>
      </c>
      <c r="AK432" s="2"/>
      <c r="AL432" s="3">
        <f>IF(HAVERD!H436="",AL431,AVERAGE(HAVERD!H436:Q436))</f>
        <v>85.378000000000014</v>
      </c>
    </row>
    <row r="433" spans="12:38" x14ac:dyDescent="0.35">
      <c r="L433" s="2">
        <f t="shared" si="33"/>
        <v>44433</v>
      </c>
      <c r="M433" s="5">
        <f>HAVERD!BA437/HAVERD!BB437</f>
        <v>52.523487000218488</v>
      </c>
      <c r="AJ433" s="2">
        <f t="shared" si="34"/>
        <v>44433</v>
      </c>
      <c r="AK433" s="2"/>
      <c r="AL433" s="3">
        <f>IF(HAVERD!H437="",AL432,AVERAGE(HAVERD!H437:Q437))</f>
        <v>85.277999999999992</v>
      </c>
    </row>
    <row r="434" spans="12:38" x14ac:dyDescent="0.35">
      <c r="L434" s="2">
        <f t="shared" ref="L434:L497" si="35">+L429+7</f>
        <v>44434</v>
      </c>
      <c r="M434" s="5">
        <f>HAVERD!BA438/HAVERD!BB438</f>
        <v>51.345242435289833</v>
      </c>
      <c r="AJ434" s="2">
        <f t="shared" si="34"/>
        <v>44434</v>
      </c>
      <c r="AK434" s="2"/>
      <c r="AL434" s="3">
        <f>IF(HAVERD!H438="",AL433,AVERAGE(HAVERD!H438:Q438))</f>
        <v>85.791000000000011</v>
      </c>
    </row>
    <row r="435" spans="12:38" x14ac:dyDescent="0.35">
      <c r="L435" s="2">
        <f t="shared" si="35"/>
        <v>44435</v>
      </c>
      <c r="M435" s="5">
        <f>HAVERD!BA439/HAVERD!BB439</f>
        <v>52.564195824543539</v>
      </c>
      <c r="AJ435" s="2">
        <f t="shared" si="34"/>
        <v>44435</v>
      </c>
      <c r="AK435" s="2"/>
      <c r="AL435" s="3">
        <f>IF(HAVERD!H439="",AL434,AVERAGE(HAVERD!H439:Q439))</f>
        <v>87.715000000000003</v>
      </c>
    </row>
    <row r="436" spans="12:38" x14ac:dyDescent="0.35">
      <c r="L436" s="2">
        <f t="shared" si="35"/>
        <v>44438</v>
      </c>
      <c r="M436" s="5" t="e">
        <f>HAVERD!BA440/HAVERD!BB440</f>
        <v>#N/A</v>
      </c>
      <c r="AJ436" s="2">
        <f t="shared" si="34"/>
        <v>44438</v>
      </c>
      <c r="AK436" s="2"/>
      <c r="AL436" s="3">
        <f>IF(HAVERD!H440="",AL435,AVERAGE(HAVERD!H440:Q440))</f>
        <v>82.504999999999995</v>
      </c>
    </row>
    <row r="437" spans="12:38" x14ac:dyDescent="0.35">
      <c r="L437" s="2">
        <f t="shared" si="35"/>
        <v>44439</v>
      </c>
      <c r="M437" s="5">
        <f>HAVERD!BA441/HAVERD!BB441</f>
        <v>53.37548143303539</v>
      </c>
      <c r="AJ437" s="2">
        <f t="shared" si="34"/>
        <v>44439</v>
      </c>
      <c r="AK437" s="2"/>
      <c r="AL437" s="3">
        <f>IF(HAVERD!H441="",AL436,AVERAGE(HAVERD!H441:Q441))</f>
        <v>84.422000000000011</v>
      </c>
    </row>
    <row r="438" spans="12:38" x14ac:dyDescent="0.35">
      <c r="L438" s="2">
        <f t="shared" si="35"/>
        <v>44440</v>
      </c>
      <c r="M438" s="5">
        <f>HAVERD!BA442/HAVERD!BB442</f>
        <v>52.219643116204843</v>
      </c>
      <c r="AJ438" s="2">
        <f t="shared" si="34"/>
        <v>44440</v>
      </c>
      <c r="AK438" s="2"/>
      <c r="AL438" s="3">
        <f>IF(HAVERD!H442="",AL437,AVERAGE(HAVERD!H442:Q442))</f>
        <v>84.184000000000012</v>
      </c>
    </row>
    <row r="439" spans="12:38" x14ac:dyDescent="0.35">
      <c r="L439" s="2">
        <f t="shared" si="35"/>
        <v>44441</v>
      </c>
      <c r="M439" s="5">
        <f>HAVERD!BA443/HAVERD!BB443</f>
        <v>53.177184992409458</v>
      </c>
      <c r="AJ439" s="2">
        <f t="shared" si="34"/>
        <v>44441</v>
      </c>
      <c r="AK439" s="2"/>
      <c r="AL439" s="3">
        <f>IF(HAVERD!H443="",AL438,AVERAGE(HAVERD!H443:Q443))</f>
        <v>86.585999999999999</v>
      </c>
    </row>
    <row r="440" spans="12:38" x14ac:dyDescent="0.35">
      <c r="L440" s="2">
        <f t="shared" si="35"/>
        <v>44442</v>
      </c>
      <c r="M440" s="5">
        <f>HAVERD!BA444/HAVERD!BB444</f>
        <v>52.678249585466077</v>
      </c>
      <c r="AJ440" s="2">
        <f t="shared" si="34"/>
        <v>44442</v>
      </c>
      <c r="AK440" s="2"/>
      <c r="AL440" s="3">
        <f>IF(HAVERD!H444="",AL439,AVERAGE(HAVERD!H444:Q444))</f>
        <v>86.075999999999993</v>
      </c>
    </row>
    <row r="441" spans="12:38" x14ac:dyDescent="0.35">
      <c r="L441" s="2">
        <f t="shared" si="35"/>
        <v>44445</v>
      </c>
      <c r="M441" s="5">
        <f>HAVERD!BA445/HAVERD!BB445</f>
        <v>52.383018731467423</v>
      </c>
      <c r="AJ441" s="2">
        <f t="shared" si="34"/>
        <v>44445</v>
      </c>
      <c r="AK441" s="2"/>
      <c r="AL441" s="3">
        <f>IF(HAVERD!H445="",AL440,AVERAGE(HAVERD!H445:Q445))</f>
        <v>88.291999999999987</v>
      </c>
    </row>
    <row r="442" spans="12:38" x14ac:dyDescent="0.35">
      <c r="L442" s="2">
        <f t="shared" si="35"/>
        <v>44446</v>
      </c>
      <c r="M442" s="5">
        <f>HAVERD!BA446/HAVERD!BB446</f>
        <v>51.890009431908865</v>
      </c>
      <c r="AJ442" s="2">
        <f t="shared" si="34"/>
        <v>44446</v>
      </c>
      <c r="AK442" s="2"/>
      <c r="AL442" s="3">
        <f>IF(HAVERD!H446="",AL441,AVERAGE(HAVERD!H446:Q446))</f>
        <v>89.348999999999975</v>
      </c>
    </row>
    <row r="443" spans="12:38" x14ac:dyDescent="0.35">
      <c r="L443" s="2">
        <f t="shared" si="35"/>
        <v>44447</v>
      </c>
      <c r="M443" s="5">
        <f>HAVERD!BA447/HAVERD!BB447</f>
        <v>52.67525660624591</v>
      </c>
      <c r="AJ443" s="2">
        <f t="shared" si="34"/>
        <v>44447</v>
      </c>
      <c r="AK443" s="2"/>
      <c r="AL443" s="3">
        <f>IF(HAVERD!H447="",AL442,AVERAGE(HAVERD!H447:Q447))</f>
        <v>92.831000000000003</v>
      </c>
    </row>
    <row r="444" spans="12:38" x14ac:dyDescent="0.35">
      <c r="L444" s="2">
        <f t="shared" si="35"/>
        <v>44448</v>
      </c>
      <c r="M444" s="5">
        <f>HAVERD!BA448/HAVERD!BB448</f>
        <v>51.516902629297881</v>
      </c>
      <c r="AJ444" s="2">
        <f t="shared" si="34"/>
        <v>44448</v>
      </c>
      <c r="AK444" s="2"/>
      <c r="AL444" s="3">
        <f>IF(HAVERD!H448="",AL443,AVERAGE(HAVERD!H448:Q448))</f>
        <v>94.483000000000018</v>
      </c>
    </row>
    <row r="445" spans="12:38" x14ac:dyDescent="0.35">
      <c r="L445" s="2">
        <f t="shared" si="35"/>
        <v>44449</v>
      </c>
      <c r="M445" s="5">
        <f>HAVERD!BA449/HAVERD!BB449</f>
        <v>52.284373872248288</v>
      </c>
      <c r="AJ445" s="2">
        <f t="shared" si="34"/>
        <v>44449</v>
      </c>
      <c r="AK445" s="2"/>
      <c r="AL445" s="3">
        <f>IF(HAVERD!H449="",AL444,AVERAGE(HAVERD!H449:Q449))</f>
        <v>93.886999999999986</v>
      </c>
    </row>
    <row r="446" spans="12:38" x14ac:dyDescent="0.35">
      <c r="L446" s="2">
        <f t="shared" si="35"/>
        <v>44452</v>
      </c>
      <c r="M446" s="5">
        <f>HAVERD!BA450/HAVERD!BB450</f>
        <v>52.693529751588677</v>
      </c>
      <c r="AJ446" s="2">
        <f t="shared" si="34"/>
        <v>44452</v>
      </c>
      <c r="AK446" s="2"/>
      <c r="AL446" s="3">
        <f>IF(HAVERD!H450="",AL445,AVERAGE(HAVERD!H450:Q450))</f>
        <v>96.538000000000011</v>
      </c>
    </row>
    <row r="447" spans="12:38" x14ac:dyDescent="0.35">
      <c r="L447" s="2">
        <f t="shared" si="35"/>
        <v>44453</v>
      </c>
      <c r="M447" s="5">
        <f>HAVERD!BA451/HAVERD!BB451</f>
        <v>52.74368231046931</v>
      </c>
      <c r="AJ447" s="2">
        <f t="shared" si="34"/>
        <v>44453</v>
      </c>
      <c r="AK447" s="2"/>
      <c r="AL447" s="3">
        <f>IF(HAVERD!H451="",AL446,AVERAGE(HAVERD!H451:Q451))</f>
        <v>100.04499999999999</v>
      </c>
    </row>
    <row r="448" spans="12:38" x14ac:dyDescent="0.35">
      <c r="L448" s="2">
        <f t="shared" si="35"/>
        <v>44454</v>
      </c>
      <c r="M448" s="5">
        <f>HAVERD!BA452/HAVERD!BB452</f>
        <v>54.122071159965287</v>
      </c>
      <c r="AJ448" s="2">
        <f t="shared" si="34"/>
        <v>44454</v>
      </c>
      <c r="AK448" s="2"/>
      <c r="AL448" s="3">
        <f>IF(HAVERD!H452="",AL447,AVERAGE(HAVERD!H452:Q452))</f>
        <v>103.928</v>
      </c>
    </row>
    <row r="449" spans="12:38" x14ac:dyDescent="0.35">
      <c r="L449" s="2">
        <f t="shared" si="35"/>
        <v>44455</v>
      </c>
      <c r="M449" s="5">
        <f>HAVERD!BA453/HAVERD!BB453</f>
        <v>54.520388913075024</v>
      </c>
      <c r="AJ449" s="2">
        <f t="shared" si="34"/>
        <v>44455</v>
      </c>
      <c r="AK449" s="2"/>
      <c r="AL449" s="3">
        <f>IF(HAVERD!H453="",AL448,AVERAGE(HAVERD!H453:Q453))</f>
        <v>97.84399999999998</v>
      </c>
    </row>
    <row r="450" spans="12:38" x14ac:dyDescent="0.35">
      <c r="L450" s="2">
        <f t="shared" si="35"/>
        <v>44456</v>
      </c>
      <c r="M450" s="5">
        <f>HAVERD!BA454/HAVERD!BB454</f>
        <v>54.28758455160375</v>
      </c>
      <c r="AJ450" s="2">
        <f t="shared" si="34"/>
        <v>44456</v>
      </c>
      <c r="AK450" s="2"/>
      <c r="AL450" s="3">
        <f>IF(HAVERD!H454="",AL449,AVERAGE(HAVERD!H454:Q454))</f>
        <v>99.216999999999999</v>
      </c>
    </row>
    <row r="451" spans="12:38" x14ac:dyDescent="0.35">
      <c r="L451" s="2">
        <f t="shared" si="35"/>
        <v>44459</v>
      </c>
      <c r="M451" s="5">
        <f>HAVERD!BA455/HAVERD!BB455</f>
        <v>53.852908891328212</v>
      </c>
      <c r="AJ451" s="2">
        <f t="shared" si="34"/>
        <v>44459</v>
      </c>
      <c r="AK451" s="2"/>
      <c r="AL451" s="3">
        <f>IF(HAVERD!H455="",AL450,AVERAGE(HAVERD!H455:Q455))</f>
        <v>106.28699999999999</v>
      </c>
    </row>
    <row r="452" spans="12:38" x14ac:dyDescent="0.35">
      <c r="L452" s="2">
        <f t="shared" si="35"/>
        <v>44460</v>
      </c>
      <c r="M452" s="5">
        <f>HAVERD!BA456/HAVERD!BB456</f>
        <v>53.979771328056287</v>
      </c>
      <c r="AJ452" s="2">
        <f t="shared" si="34"/>
        <v>44460</v>
      </c>
      <c r="AK452" s="2"/>
      <c r="AL452" s="3">
        <f>IF(HAVERD!H456="",AL451,AVERAGE(HAVERD!H456:Q456))</f>
        <v>105.56099999999999</v>
      </c>
    </row>
    <row r="453" spans="12:38" x14ac:dyDescent="0.35">
      <c r="L453" s="2">
        <f t="shared" si="35"/>
        <v>44461</v>
      </c>
      <c r="M453" s="5">
        <f>HAVERD!BA457/HAVERD!BB457</f>
        <v>55.331623305240015</v>
      </c>
      <c r="AJ453" s="2">
        <f t="shared" si="34"/>
        <v>44461</v>
      </c>
      <c r="AK453" s="2"/>
      <c r="AL453" s="3">
        <f>IF(HAVERD!H457="",AL452,AVERAGE(HAVERD!H457:Q457))</f>
        <v>105.66299999999998</v>
      </c>
    </row>
    <row r="454" spans="12:38" x14ac:dyDescent="0.35">
      <c r="L454" s="2">
        <f t="shared" si="35"/>
        <v>44462</v>
      </c>
      <c r="M454" s="5">
        <f>HAVERD!BA458/HAVERD!BB458</f>
        <v>55.612950163695885</v>
      </c>
      <c r="AJ454" s="2">
        <f t="shared" si="34"/>
        <v>44462</v>
      </c>
      <c r="AK454" s="2"/>
      <c r="AL454" s="3">
        <f>IF(HAVERD!H458="",AL453,AVERAGE(HAVERD!H458:Q458))</f>
        <v>106.43799999999999</v>
      </c>
    </row>
    <row r="455" spans="12:38" x14ac:dyDescent="0.35">
      <c r="L455" s="2">
        <f t="shared" si="35"/>
        <v>44463</v>
      </c>
      <c r="M455" s="5">
        <f>HAVERD!BA459/HAVERD!BB459</f>
        <v>56.626682270333532</v>
      </c>
      <c r="AJ455" s="2">
        <f t="shared" si="34"/>
        <v>44463</v>
      </c>
      <c r="AK455" s="2"/>
      <c r="AL455" s="3">
        <f>IF(HAVERD!H459="",AL454,AVERAGE(HAVERD!H459:Q459))</f>
        <v>110.83500000000001</v>
      </c>
    </row>
    <row r="456" spans="12:38" x14ac:dyDescent="0.35">
      <c r="L456" s="2">
        <f t="shared" si="35"/>
        <v>44466</v>
      </c>
      <c r="M456" s="5">
        <f>HAVERD!BA460/HAVERD!BB460</f>
        <v>57.521155529617737</v>
      </c>
      <c r="AJ456" s="2">
        <f t="shared" si="34"/>
        <v>44466</v>
      </c>
      <c r="AK456" s="2"/>
      <c r="AL456" s="3">
        <f>IF(HAVERD!H460="",AL455,AVERAGE(HAVERD!H460:Q460))</f>
        <v>120.41499999999999</v>
      </c>
    </row>
    <row r="457" spans="12:38" x14ac:dyDescent="0.35">
      <c r="L457" s="2">
        <f t="shared" si="35"/>
        <v>44467</v>
      </c>
      <c r="M457" s="5">
        <f>HAVERD!BA461/HAVERD!BB461</f>
        <v>57.841471522493904</v>
      </c>
      <c r="AJ457" s="2">
        <f t="shared" ref="AJ457:AJ520" si="36">+AJ452+7</f>
        <v>44467</v>
      </c>
      <c r="AK457" s="2"/>
      <c r="AL457" s="3">
        <f>IF(HAVERD!H461="",AL456,AVERAGE(HAVERD!H461:Q461))</f>
        <v>122.41800000000001</v>
      </c>
    </row>
    <row r="458" spans="12:38" x14ac:dyDescent="0.35">
      <c r="L458" s="2">
        <f t="shared" si="35"/>
        <v>44468</v>
      </c>
      <c r="M458" s="5">
        <f>HAVERD!BA462/HAVERD!BB462</f>
        <v>57.996275605214151</v>
      </c>
      <c r="AJ458" s="2">
        <f t="shared" si="36"/>
        <v>44468</v>
      </c>
      <c r="AK458" s="2"/>
      <c r="AL458" s="3">
        <f>IF(HAVERD!H462="",AL457,AVERAGE(HAVERD!H462:Q462))</f>
        <v>131.19499999999999</v>
      </c>
    </row>
    <row r="459" spans="12:38" x14ac:dyDescent="0.35">
      <c r="L459" s="2">
        <f t="shared" si="35"/>
        <v>44469</v>
      </c>
      <c r="M459" s="5">
        <f>HAVERD!BA463/HAVERD!BB463</f>
        <v>57.705428656185106</v>
      </c>
      <c r="AJ459" s="2">
        <f t="shared" si="36"/>
        <v>44469</v>
      </c>
      <c r="AK459" s="2"/>
      <c r="AL459" s="3">
        <f>IF(HAVERD!H463="",AL458,AVERAGE(HAVERD!H463:Q463))</f>
        <v>128.81700000000001</v>
      </c>
    </row>
    <row r="460" spans="12:38" x14ac:dyDescent="0.35">
      <c r="L460" s="2">
        <f t="shared" si="35"/>
        <v>44470</v>
      </c>
      <c r="M460" s="5">
        <f>HAVERD!BA464/HAVERD!BB464</f>
        <v>58.6410635155096</v>
      </c>
      <c r="AJ460" s="2">
        <f t="shared" si="36"/>
        <v>44470</v>
      </c>
      <c r="AK460" s="2"/>
      <c r="AL460" s="3">
        <f>IF(HAVERD!H464="",AL459,AVERAGE(HAVERD!H464:Q464))</f>
        <v>127.68499999999999</v>
      </c>
    </row>
    <row r="461" spans="12:38" x14ac:dyDescent="0.35">
      <c r="L461" s="2">
        <f t="shared" si="35"/>
        <v>44473</v>
      </c>
      <c r="M461" s="5">
        <f>HAVERD!BA465/HAVERD!BB465</f>
        <v>59.860345461227489</v>
      </c>
      <c r="AJ461" s="2">
        <f t="shared" si="36"/>
        <v>44473</v>
      </c>
      <c r="AK461" s="2"/>
      <c r="AL461" s="3">
        <f>IF(HAVERD!H465="",AL460,AVERAGE(HAVERD!H465:Q465))</f>
        <v>133.35999999999999</v>
      </c>
    </row>
    <row r="462" spans="12:38" x14ac:dyDescent="0.35">
      <c r="L462" s="2">
        <f t="shared" si="35"/>
        <v>44474</v>
      </c>
      <c r="M462" s="5">
        <f>HAVERD!BA466/HAVERD!BB466</f>
        <v>60.716382853787429</v>
      </c>
      <c r="AJ462" s="2">
        <f t="shared" si="36"/>
        <v>44474</v>
      </c>
      <c r="AK462" s="2"/>
      <c r="AL462" s="3">
        <f>IF(HAVERD!H466="",AL461,AVERAGE(HAVERD!H466:Q466))</f>
        <v>143.39000000000001</v>
      </c>
    </row>
    <row r="463" spans="12:38" x14ac:dyDescent="0.35">
      <c r="L463" s="2">
        <f t="shared" si="35"/>
        <v>44475</v>
      </c>
      <c r="M463" s="5">
        <f>HAVERD!BA467/HAVERD!BB467</f>
        <v>59.982312624364361</v>
      </c>
      <c r="AJ463" s="2">
        <f t="shared" si="36"/>
        <v>44475</v>
      </c>
      <c r="AK463" s="2"/>
      <c r="AL463" s="3">
        <f>IF(HAVERD!H467="",AL462,AVERAGE(HAVERD!H467:Q467))</f>
        <v>126.59</v>
      </c>
    </row>
    <row r="464" spans="12:38" x14ac:dyDescent="0.35">
      <c r="L464" s="2">
        <f t="shared" si="35"/>
        <v>44476</v>
      </c>
      <c r="M464" s="5">
        <f>HAVERD!BA468/HAVERD!BB468</f>
        <v>60.446336808104533</v>
      </c>
      <c r="AJ464" s="2">
        <f t="shared" si="36"/>
        <v>44476</v>
      </c>
      <c r="AK464" s="2"/>
      <c r="AL464" s="3">
        <f>IF(HAVERD!H468="",AL463,AVERAGE(HAVERD!H468:Q468))</f>
        <v>116.744</v>
      </c>
    </row>
    <row r="465" spans="12:38" x14ac:dyDescent="0.35">
      <c r="L465" s="2">
        <f t="shared" si="35"/>
        <v>44477</v>
      </c>
      <c r="M465" s="5">
        <f>HAVERD!BA469/HAVERD!BB469</f>
        <v>60.255188091222415</v>
      </c>
      <c r="AJ465" s="2">
        <f t="shared" si="36"/>
        <v>44477</v>
      </c>
      <c r="AK465" s="2"/>
      <c r="AL465" s="3">
        <f>IF(HAVERD!H469="",AL464,AVERAGE(HAVERD!H469:Q469))</f>
        <v>109.16100000000002</v>
      </c>
    </row>
    <row r="466" spans="12:38" x14ac:dyDescent="0.35">
      <c r="L466" s="2">
        <f t="shared" si="35"/>
        <v>44480</v>
      </c>
      <c r="M466" s="5">
        <f>HAVERD!BA470/HAVERD!BB470</f>
        <v>61.463378834580944</v>
      </c>
      <c r="AJ466" s="2">
        <f t="shared" si="36"/>
        <v>44480</v>
      </c>
      <c r="AK466" s="2"/>
      <c r="AL466" s="3">
        <f>IF(HAVERD!H470="",AL465,AVERAGE(HAVERD!H470:Q470))</f>
        <v>111.39299999999999</v>
      </c>
    </row>
    <row r="467" spans="12:38" x14ac:dyDescent="0.35">
      <c r="L467" s="2">
        <f t="shared" si="35"/>
        <v>44481</v>
      </c>
      <c r="M467" s="5">
        <f>HAVERD!BA471/HAVERD!BB471</f>
        <v>61.414601867509738</v>
      </c>
      <c r="AJ467" s="2">
        <f t="shared" si="36"/>
        <v>44481</v>
      </c>
      <c r="AK467" s="2"/>
      <c r="AL467" s="3">
        <f>IF(HAVERD!H471="",AL466,AVERAGE(HAVERD!H471:Q471))</f>
        <v>114.10300000000002</v>
      </c>
    </row>
    <row r="468" spans="12:38" x14ac:dyDescent="0.35">
      <c r="L468" s="2">
        <f t="shared" si="35"/>
        <v>44482</v>
      </c>
      <c r="M468" s="5">
        <f>HAVERD!BA472/HAVERD!BB472</f>
        <v>61.270446710188516</v>
      </c>
      <c r="AJ468" s="2">
        <f t="shared" si="36"/>
        <v>44482</v>
      </c>
      <c r="AK468" s="2"/>
      <c r="AL468" s="3">
        <f>IF(HAVERD!H472="",AL467,AVERAGE(HAVERD!H472:Q472))</f>
        <v>115.42699999999998</v>
      </c>
    </row>
    <row r="469" spans="12:38" x14ac:dyDescent="0.35">
      <c r="L469" s="2">
        <f t="shared" si="35"/>
        <v>44483</v>
      </c>
      <c r="M469" s="5">
        <f>HAVERD!BA473/HAVERD!BB473</f>
        <v>61.287729299130305</v>
      </c>
      <c r="AJ469" s="2">
        <f t="shared" si="36"/>
        <v>44483</v>
      </c>
      <c r="AK469" s="2"/>
      <c r="AL469" s="3">
        <f>IF(HAVERD!H473="",AL468,AVERAGE(HAVERD!H473:Q473))</f>
        <v>125.67099999999998</v>
      </c>
    </row>
    <row r="470" spans="12:38" x14ac:dyDescent="0.35">
      <c r="L470" s="2">
        <f t="shared" si="35"/>
        <v>44484</v>
      </c>
      <c r="M470" s="5">
        <f>HAVERD!BA474/HAVERD!BB474</f>
        <v>61.493209383397485</v>
      </c>
      <c r="AJ470" s="2">
        <f t="shared" si="36"/>
        <v>44484</v>
      </c>
      <c r="AK470" s="2"/>
      <c r="AL470" s="3">
        <f>IF(HAVERD!H474="",AL469,AVERAGE(HAVERD!H474:Q474))</f>
        <v>123.98299999999999</v>
      </c>
    </row>
    <row r="471" spans="12:38" x14ac:dyDescent="0.35">
      <c r="L471" s="2">
        <f t="shared" si="35"/>
        <v>44487</v>
      </c>
      <c r="M471" s="5">
        <f>HAVERD!BA475/HAVERD!BB475</f>
        <v>61.319241982507279</v>
      </c>
      <c r="AJ471" s="2">
        <f t="shared" si="36"/>
        <v>44487</v>
      </c>
      <c r="AK471" s="2"/>
      <c r="AL471" s="3">
        <f>IF(HAVERD!H475="",AL470,AVERAGE(HAVERD!H475:Q475))</f>
        <v>126.34200000000001</v>
      </c>
    </row>
    <row r="472" spans="12:38" x14ac:dyDescent="0.35">
      <c r="L472" s="2">
        <f t="shared" si="35"/>
        <v>44488</v>
      </c>
      <c r="M472" s="5">
        <f>HAVERD!BA476/HAVERD!BB476</f>
        <v>61.61316037394014</v>
      </c>
      <c r="AJ472" s="2">
        <f t="shared" si="36"/>
        <v>44488</v>
      </c>
      <c r="AK472" s="2"/>
      <c r="AL472" s="3">
        <f>IF(HAVERD!H476="",AL471,AVERAGE(HAVERD!H476:Q476))</f>
        <v>125.00099999999998</v>
      </c>
    </row>
    <row r="473" spans="12:38" x14ac:dyDescent="0.35">
      <c r="L473" s="2">
        <f t="shared" si="35"/>
        <v>44489</v>
      </c>
      <c r="M473" s="5">
        <f>HAVERD!BA477/HAVERD!BB477</f>
        <v>62.072958888245516</v>
      </c>
      <c r="AJ473" s="2">
        <f t="shared" si="36"/>
        <v>44489</v>
      </c>
      <c r="AK473" s="2"/>
      <c r="AL473" s="3">
        <f>IF(HAVERD!H477="",AL472,AVERAGE(HAVERD!H477:Q477))</f>
        <v>126.44000000000001</v>
      </c>
    </row>
    <row r="474" spans="12:38" x14ac:dyDescent="0.35">
      <c r="L474" s="2">
        <f t="shared" si="35"/>
        <v>44490</v>
      </c>
      <c r="M474" s="5">
        <f>HAVERD!BA478/HAVERD!BB478</f>
        <v>61.196729614354965</v>
      </c>
      <c r="AJ474" s="2">
        <f t="shared" si="36"/>
        <v>44490</v>
      </c>
      <c r="AK474" s="2"/>
      <c r="AL474" s="3">
        <f>IF(HAVERD!H478="",AL473,AVERAGE(HAVERD!H478:Q478))</f>
        <v>121.90100000000002</v>
      </c>
    </row>
    <row r="475" spans="12:38" x14ac:dyDescent="0.35">
      <c r="L475" s="2">
        <f t="shared" si="35"/>
        <v>44491</v>
      </c>
      <c r="M475" s="5">
        <f>HAVERD!BA479/HAVERD!BB479</f>
        <v>62.031658437409241</v>
      </c>
      <c r="AJ475" s="2">
        <f t="shared" si="36"/>
        <v>44491</v>
      </c>
      <c r="AK475" s="2"/>
      <c r="AL475" s="3">
        <f>IF(HAVERD!H479="",AL474,AVERAGE(HAVERD!H479:Q479))</f>
        <v>122.127</v>
      </c>
    </row>
    <row r="476" spans="12:38" x14ac:dyDescent="0.35">
      <c r="L476" s="2">
        <f t="shared" si="35"/>
        <v>44494</v>
      </c>
      <c r="M476" s="5">
        <f>HAVERD!BA480/HAVERD!BB480</f>
        <v>61.614988018299321</v>
      </c>
      <c r="AJ476" s="2">
        <f t="shared" si="36"/>
        <v>44494</v>
      </c>
      <c r="AK476" s="2"/>
      <c r="AL476" s="3">
        <f>IF(HAVERD!H480="",AL475,AVERAGE(HAVERD!H480:Q480))</f>
        <v>124.38000000000002</v>
      </c>
    </row>
    <row r="477" spans="12:38" x14ac:dyDescent="0.35">
      <c r="L477" s="2">
        <f t="shared" si="35"/>
        <v>44495</v>
      </c>
      <c r="M477" s="5">
        <f>HAVERD!BA481/HAVERD!BB481</f>
        <v>61.745502031340685</v>
      </c>
      <c r="AJ477" s="2">
        <f t="shared" si="36"/>
        <v>44495</v>
      </c>
      <c r="AK477" s="2"/>
      <c r="AL477" s="3">
        <f>IF(HAVERD!H481="",AL476,AVERAGE(HAVERD!H481:Q481))</f>
        <v>125.047</v>
      </c>
    </row>
    <row r="478" spans="12:38" x14ac:dyDescent="0.35">
      <c r="L478" s="2">
        <f t="shared" si="35"/>
        <v>44496</v>
      </c>
      <c r="M478" s="5">
        <f>HAVERD!BA482/HAVERD!BB482</f>
        <v>61.343250929774669</v>
      </c>
      <c r="AJ478" s="2">
        <f t="shared" si="36"/>
        <v>44496</v>
      </c>
      <c r="AK478" s="2"/>
      <c r="AL478" s="3">
        <f>IF(HAVERD!H482="",AL477,AVERAGE(HAVERD!H482:Q482))</f>
        <v>124.425</v>
      </c>
    </row>
    <row r="479" spans="12:38" x14ac:dyDescent="0.35">
      <c r="L479" s="2">
        <f t="shared" si="35"/>
        <v>44497</v>
      </c>
      <c r="M479" s="5">
        <f>HAVERD!BA483/HAVERD!BB483</f>
        <v>60.434782608695663</v>
      </c>
      <c r="AJ479" s="2">
        <f t="shared" si="36"/>
        <v>44497</v>
      </c>
      <c r="AK479" s="2"/>
      <c r="AL479" s="3">
        <f>IF(HAVERD!H483="",AL478,AVERAGE(HAVERD!H483:Q483))</f>
        <v>116.574</v>
      </c>
    </row>
    <row r="480" spans="12:38" x14ac:dyDescent="0.35">
      <c r="L480" s="2">
        <f t="shared" si="35"/>
        <v>44498</v>
      </c>
      <c r="M480" s="5">
        <f>HAVERD!BA484/HAVERD!BB484</f>
        <v>60.630380855099951</v>
      </c>
      <c r="AJ480" s="2">
        <f t="shared" si="36"/>
        <v>44498</v>
      </c>
      <c r="AK480" s="2"/>
      <c r="AL480" s="3">
        <f>IF(HAVERD!H484="",AL479,AVERAGE(HAVERD!H484:Q484))</f>
        <v>102.872</v>
      </c>
    </row>
    <row r="481" spans="12:38" x14ac:dyDescent="0.35">
      <c r="L481" s="2">
        <f t="shared" si="35"/>
        <v>44501</v>
      </c>
      <c r="M481" s="5">
        <f>HAVERD!BA485/HAVERD!BB485</f>
        <v>61.785348735195214</v>
      </c>
      <c r="AJ481" s="2">
        <f t="shared" si="36"/>
        <v>44501</v>
      </c>
      <c r="AK481" s="2"/>
      <c r="AL481" s="3">
        <f>IF(HAVERD!H485="",AL480,AVERAGE(HAVERD!H485:Q485))</f>
        <v>99.996999999999986</v>
      </c>
    </row>
    <row r="482" spans="12:38" x14ac:dyDescent="0.35">
      <c r="L482" s="2">
        <f t="shared" si="35"/>
        <v>44502</v>
      </c>
      <c r="M482" s="5">
        <f>HAVERD!BA486/HAVERD!BB486</f>
        <v>62.023363456028214</v>
      </c>
      <c r="AJ482" s="2">
        <f t="shared" si="36"/>
        <v>44502</v>
      </c>
      <c r="AK482" s="2"/>
      <c r="AL482" s="3">
        <f>IF(HAVERD!H486="",AL481,AVERAGE(HAVERD!H486:Q486))</f>
        <v>103.78299999999999</v>
      </c>
    </row>
    <row r="483" spans="12:38" x14ac:dyDescent="0.35">
      <c r="L483" s="2">
        <f t="shared" si="35"/>
        <v>44503</v>
      </c>
      <c r="M483" s="5">
        <f>HAVERD!BA487/HAVERD!BB487</f>
        <v>59.374771213119558</v>
      </c>
      <c r="AJ483" s="2">
        <f t="shared" si="36"/>
        <v>44503</v>
      </c>
      <c r="AK483" s="2"/>
      <c r="AL483" s="3">
        <f>IF(HAVERD!H487="",AL482,AVERAGE(HAVERD!H487:Q487))</f>
        <v>109.13600000000001</v>
      </c>
    </row>
    <row r="484" spans="12:38" x14ac:dyDescent="0.35">
      <c r="L484" s="2">
        <f t="shared" si="35"/>
        <v>44504</v>
      </c>
      <c r="M484" s="5">
        <f>HAVERD!BA488/HAVERD!BB488</f>
        <v>59.405573673287883</v>
      </c>
      <c r="AJ484" s="2">
        <f t="shared" si="36"/>
        <v>44504</v>
      </c>
      <c r="AK484" s="2"/>
      <c r="AL484" s="3">
        <f>IF(HAVERD!H488="",AL483,AVERAGE(HAVERD!H488:Q488))</f>
        <v>107.271</v>
      </c>
    </row>
    <row r="485" spans="12:38" x14ac:dyDescent="0.35">
      <c r="L485" s="2">
        <f t="shared" si="35"/>
        <v>44505</v>
      </c>
      <c r="M485" s="5">
        <f>HAVERD!BA489/HAVERD!BB489</f>
        <v>61.095463978654024</v>
      </c>
      <c r="AJ485" s="2">
        <f t="shared" si="36"/>
        <v>44505</v>
      </c>
      <c r="AK485" s="2"/>
      <c r="AL485" s="3">
        <f>IF(HAVERD!H489="",AL484,AVERAGE(HAVERD!H489:Q489))</f>
        <v>104.883</v>
      </c>
    </row>
    <row r="486" spans="12:38" x14ac:dyDescent="0.35">
      <c r="L486" s="2">
        <f t="shared" si="35"/>
        <v>44508</v>
      </c>
      <c r="M486" s="5">
        <f>HAVERD!BA490/HAVERD!BB490</f>
        <v>61.358106613581064</v>
      </c>
      <c r="AJ486" s="2">
        <f t="shared" si="36"/>
        <v>44508</v>
      </c>
      <c r="AK486" s="2"/>
      <c r="AL486" s="3">
        <f>IF(HAVERD!H490="",AL485,AVERAGE(HAVERD!H490:Q490))</f>
        <v>108.547</v>
      </c>
    </row>
    <row r="487" spans="12:38" x14ac:dyDescent="0.35">
      <c r="L487" s="2">
        <f t="shared" si="35"/>
        <v>44509</v>
      </c>
      <c r="M487" s="5">
        <f>HAVERD!BA491/HAVERD!BB491</f>
        <v>62.37178068039259</v>
      </c>
      <c r="AJ487" s="2">
        <f t="shared" si="36"/>
        <v>44509</v>
      </c>
      <c r="AK487" s="2"/>
      <c r="AL487" s="3">
        <f>IF(HAVERD!H491="",AL486,AVERAGE(HAVERD!H491:Q491))</f>
        <v>102.57899999999999</v>
      </c>
    </row>
    <row r="488" spans="12:38" x14ac:dyDescent="0.35">
      <c r="L488" s="2">
        <f t="shared" si="35"/>
        <v>44510</v>
      </c>
      <c r="M488" s="5">
        <f>HAVERD!BA492/HAVERD!BB492</f>
        <v>61.52875695732839</v>
      </c>
      <c r="AJ488" s="2">
        <f t="shared" si="36"/>
        <v>44510</v>
      </c>
      <c r="AK488" s="2"/>
      <c r="AL488" s="3">
        <f>IF(HAVERD!H492="",AL487,AVERAGE(HAVERD!H492:Q492))</f>
        <v>103.372</v>
      </c>
    </row>
    <row r="489" spans="12:38" x14ac:dyDescent="0.35">
      <c r="L489" s="2">
        <f t="shared" si="35"/>
        <v>44511</v>
      </c>
      <c r="M489" s="5">
        <f>HAVERD!BA493/HAVERD!BB493</f>
        <v>62.275985663082444</v>
      </c>
      <c r="AJ489" s="2">
        <f t="shared" si="36"/>
        <v>44511</v>
      </c>
      <c r="AK489" s="2"/>
      <c r="AL489" s="3">
        <f>IF(HAVERD!H493="",AL488,AVERAGE(HAVERD!H493:Q493))</f>
        <v>104.43600000000001</v>
      </c>
    </row>
    <row r="490" spans="12:38" x14ac:dyDescent="0.35">
      <c r="L490" s="2">
        <f t="shared" si="35"/>
        <v>44512</v>
      </c>
      <c r="M490" s="5">
        <f>HAVERD!BA494/HAVERD!BB494</f>
        <v>61.893385097804995</v>
      </c>
      <c r="AJ490" s="2">
        <f t="shared" si="36"/>
        <v>44512</v>
      </c>
      <c r="AK490" s="2"/>
      <c r="AL490" s="3">
        <f>IF(HAVERD!H494="",AL489,AVERAGE(HAVERD!H494:Q494))</f>
        <v>104.181</v>
      </c>
    </row>
    <row r="491" spans="12:38" x14ac:dyDescent="0.35">
      <c r="L491" s="2">
        <f t="shared" si="35"/>
        <v>44515</v>
      </c>
      <c r="M491" s="5">
        <f>HAVERD!BA495/HAVERD!BB495</f>
        <v>61.0081155535701</v>
      </c>
      <c r="AJ491" s="2">
        <f t="shared" si="36"/>
        <v>44515</v>
      </c>
      <c r="AK491" s="2"/>
      <c r="AL491" s="3">
        <f>IF(HAVERD!H495="",AL490,AVERAGE(HAVERD!H495:Q495))</f>
        <v>105.301</v>
      </c>
    </row>
    <row r="492" spans="12:38" x14ac:dyDescent="0.35">
      <c r="L492" s="2">
        <f t="shared" si="35"/>
        <v>44516</v>
      </c>
      <c r="M492" s="5">
        <f>HAVERD!BA496/HAVERD!BB496</f>
        <v>61.731614633782868</v>
      </c>
      <c r="AJ492" s="2">
        <f t="shared" si="36"/>
        <v>44516</v>
      </c>
      <c r="AK492" s="2"/>
      <c r="AL492" s="3">
        <f>IF(HAVERD!H496="",AL491,AVERAGE(HAVERD!H496:Q496))</f>
        <v>111.99000000000001</v>
      </c>
    </row>
    <row r="493" spans="12:38" x14ac:dyDescent="0.35">
      <c r="L493" s="2">
        <f t="shared" si="35"/>
        <v>44517</v>
      </c>
      <c r="M493" s="5">
        <f>HAVERD!BA497/HAVERD!BB497</f>
        <v>59.910880059413294</v>
      </c>
      <c r="AJ493" s="2">
        <f t="shared" si="36"/>
        <v>44517</v>
      </c>
      <c r="AK493" s="2"/>
      <c r="AL493" s="3">
        <f>IF(HAVERD!H497="",AL492,AVERAGE(HAVERD!H497:Q497))</f>
        <v>110.30799999999999</v>
      </c>
    </row>
    <row r="494" spans="12:38" x14ac:dyDescent="0.35">
      <c r="L494" s="2">
        <f t="shared" si="35"/>
        <v>44518</v>
      </c>
      <c r="M494" s="5">
        <f>HAVERD!BA498/HAVERD!BB498</f>
        <v>61.178303776804931</v>
      </c>
      <c r="AJ494" s="2">
        <f t="shared" si="36"/>
        <v>44518</v>
      </c>
      <c r="AK494" s="2"/>
      <c r="AL494" s="3">
        <f>IF(HAVERD!H498="",AL493,AVERAGE(HAVERD!H498:Q498))</f>
        <v>113.58300000000001</v>
      </c>
    </row>
    <row r="495" spans="12:38" x14ac:dyDescent="0.35">
      <c r="L495" s="2">
        <f t="shared" si="35"/>
        <v>44519</v>
      </c>
      <c r="M495" s="5">
        <f>HAVERD!BA499/HAVERD!BB499</f>
        <v>59.604813549249734</v>
      </c>
      <c r="AJ495" s="2">
        <f t="shared" si="36"/>
        <v>44519</v>
      </c>
      <c r="AK495" s="2"/>
      <c r="AL495" s="3">
        <f>IF(HAVERD!H499="",AL494,AVERAGE(HAVERD!H499:Q499))</f>
        <v>108.68899999999999</v>
      </c>
    </row>
    <row r="496" spans="12:38" x14ac:dyDescent="0.35">
      <c r="L496" s="2">
        <f t="shared" si="35"/>
        <v>44522</v>
      </c>
      <c r="M496" s="5">
        <f>HAVERD!BA500/HAVERD!BB500</f>
        <v>60.416355767795849</v>
      </c>
      <c r="AJ496" s="2">
        <f t="shared" si="36"/>
        <v>44522</v>
      </c>
      <c r="AK496" s="2"/>
      <c r="AL496" s="3">
        <f>IF(HAVERD!H500="",AL495,AVERAGE(HAVERD!H500:Q500))</f>
        <v>107.03800000000001</v>
      </c>
    </row>
    <row r="497" spans="12:38" x14ac:dyDescent="0.35">
      <c r="L497" s="2">
        <f t="shared" si="35"/>
        <v>44523</v>
      </c>
      <c r="M497" s="5">
        <f>HAVERD!BA501/HAVERD!BB501</f>
        <v>62.400897531787592</v>
      </c>
      <c r="AJ497" s="2">
        <f t="shared" si="36"/>
        <v>44523</v>
      </c>
      <c r="AK497" s="2"/>
      <c r="AL497" s="3">
        <f>IF(HAVERD!H501="",AL496,AVERAGE(HAVERD!H501:Q501))</f>
        <v>111.14500000000001</v>
      </c>
    </row>
    <row r="498" spans="12:38" x14ac:dyDescent="0.35">
      <c r="L498" s="2">
        <f t="shared" ref="L498:L561" si="37">+L493+7</f>
        <v>44524</v>
      </c>
      <c r="M498" s="5">
        <f>HAVERD!BA502/HAVERD!BB502</f>
        <v>61.792948237059271</v>
      </c>
      <c r="AJ498" s="2">
        <f t="shared" si="36"/>
        <v>44524</v>
      </c>
      <c r="AK498" s="2"/>
      <c r="AL498" s="3">
        <f>IF(HAVERD!H502="",AL497,AVERAGE(HAVERD!H502:Q502))</f>
        <v>114.60900000000001</v>
      </c>
    </row>
    <row r="499" spans="12:38" x14ac:dyDescent="0.35">
      <c r="L499" s="2">
        <f t="shared" si="37"/>
        <v>44525</v>
      </c>
      <c r="M499" s="5">
        <f>HAVERD!BA503/HAVERD!BB503</f>
        <v>61.603724003303547</v>
      </c>
      <c r="AJ499" s="2">
        <f t="shared" si="36"/>
        <v>44525</v>
      </c>
      <c r="AK499" s="2"/>
      <c r="AL499" s="3">
        <f>IF(HAVERD!H503="",AL498,AVERAGE(HAVERD!H503:Q503))</f>
        <v>116.36999999999998</v>
      </c>
    </row>
    <row r="500" spans="12:38" x14ac:dyDescent="0.35">
      <c r="L500" s="2">
        <f t="shared" si="37"/>
        <v>44526</v>
      </c>
      <c r="M500" s="5">
        <f>HAVERD!BA504/HAVERD!BB504</f>
        <v>54.266646670665871</v>
      </c>
      <c r="AJ500" s="2">
        <f t="shared" si="36"/>
        <v>44526</v>
      </c>
      <c r="AK500" s="2"/>
      <c r="AL500" s="3">
        <f>IF(HAVERD!H504="",AL499,AVERAGE(HAVERD!H504:Q504))</f>
        <v>112.28299999999999</v>
      </c>
    </row>
    <row r="501" spans="12:38" x14ac:dyDescent="0.35">
      <c r="L501" s="2">
        <f t="shared" si="37"/>
        <v>44529</v>
      </c>
      <c r="M501" s="5">
        <f>HAVERD!BA505/HAVERD!BB505</f>
        <v>55.163595336592714</v>
      </c>
      <c r="AJ501" s="2">
        <f t="shared" si="36"/>
        <v>44529</v>
      </c>
      <c r="AK501" s="2"/>
      <c r="AL501" s="3">
        <f>IF(HAVERD!H505="",AL500,AVERAGE(HAVERD!H505:Q505))</f>
        <v>114.60900000000001</v>
      </c>
    </row>
    <row r="502" spans="12:38" x14ac:dyDescent="0.35">
      <c r="L502" s="2">
        <f t="shared" si="37"/>
        <v>44530</v>
      </c>
      <c r="M502" s="5">
        <f>HAVERD!BA506/HAVERD!BB506</f>
        <v>53.547948311040585</v>
      </c>
      <c r="AJ502" s="2">
        <f t="shared" si="36"/>
        <v>44530</v>
      </c>
      <c r="AK502" s="2"/>
      <c r="AL502" s="3">
        <f>IF(HAVERD!H506="",AL501,AVERAGE(HAVERD!H506:Q506))</f>
        <v>113.997</v>
      </c>
    </row>
    <row r="503" spans="12:38" x14ac:dyDescent="0.35">
      <c r="L503" s="2">
        <f t="shared" si="37"/>
        <v>44531</v>
      </c>
      <c r="M503" s="5">
        <f>HAVERD!BA507/HAVERD!BB507</f>
        <v>52.219301539616978</v>
      </c>
      <c r="AJ503" s="2">
        <f t="shared" si="36"/>
        <v>44531</v>
      </c>
      <c r="AK503" s="2"/>
      <c r="AL503" s="3">
        <f>IF(HAVERD!H507="",AL502,AVERAGE(HAVERD!H507:Q507))</f>
        <v>114.46099999999998</v>
      </c>
    </row>
    <row r="504" spans="12:38" x14ac:dyDescent="0.35">
      <c r="L504" s="2">
        <f t="shared" si="37"/>
        <v>44532</v>
      </c>
      <c r="M504" s="5">
        <f>HAVERD!BA508/HAVERD!BB508</f>
        <v>53.024723829563392</v>
      </c>
      <c r="AJ504" s="2">
        <f t="shared" si="36"/>
        <v>44532</v>
      </c>
      <c r="AK504" s="2"/>
      <c r="AL504" s="3">
        <f>IF(HAVERD!H508="",AL503,AVERAGE(HAVERD!H508:Q508))</f>
        <v>116.85499999999999</v>
      </c>
    </row>
    <row r="505" spans="12:38" x14ac:dyDescent="0.35">
      <c r="L505" s="2">
        <f t="shared" si="37"/>
        <v>44533</v>
      </c>
      <c r="M505" s="5">
        <f>HAVERD!BA509/HAVERD!BB509</f>
        <v>53.491186927906796</v>
      </c>
      <c r="AJ505" s="2">
        <f t="shared" si="36"/>
        <v>44533</v>
      </c>
      <c r="AK505" s="2"/>
      <c r="AL505" s="3">
        <f>IF(HAVERD!H509="",AL504,AVERAGE(HAVERD!H509:Q509))</f>
        <v>120.785</v>
      </c>
    </row>
    <row r="506" spans="12:38" x14ac:dyDescent="0.35">
      <c r="L506" s="2">
        <f t="shared" si="37"/>
        <v>44536</v>
      </c>
      <c r="M506" s="5">
        <f>HAVERD!BA510/HAVERD!BB510</f>
        <v>55.43970988213961</v>
      </c>
      <c r="AJ506" s="2">
        <f t="shared" si="36"/>
        <v>44536</v>
      </c>
      <c r="AK506" s="2"/>
      <c r="AL506" s="3">
        <f>IF(HAVERD!H510="",AL505,AVERAGE(HAVERD!H510:Q510))</f>
        <v>128.542</v>
      </c>
    </row>
    <row r="507" spans="12:38" x14ac:dyDescent="0.35">
      <c r="L507" s="2">
        <f t="shared" si="37"/>
        <v>44537</v>
      </c>
      <c r="M507" s="5">
        <f>HAVERD!BA511/HAVERD!BB511</f>
        <v>57.075935020778246</v>
      </c>
      <c r="AJ507" s="2">
        <f t="shared" si="36"/>
        <v>44537</v>
      </c>
      <c r="AK507" s="2"/>
      <c r="AL507" s="3">
        <f>IF(HAVERD!H511="",AL506,AVERAGE(HAVERD!H511:Q511))</f>
        <v>145.48400000000001</v>
      </c>
    </row>
    <row r="508" spans="12:38" x14ac:dyDescent="0.35">
      <c r="L508" s="2">
        <f t="shared" si="37"/>
        <v>44538</v>
      </c>
      <c r="M508" s="5">
        <f>HAVERD!BA512/HAVERD!BB512</f>
        <v>57.460653753026627</v>
      </c>
      <c r="AJ508" s="2">
        <f t="shared" si="36"/>
        <v>44538</v>
      </c>
      <c r="AK508" s="2"/>
      <c r="AL508" s="3">
        <f>IF(HAVERD!H512="",AL507,AVERAGE(HAVERD!H512:Q512))</f>
        <v>166.96899999999999</v>
      </c>
    </row>
    <row r="509" spans="12:38" x14ac:dyDescent="0.35">
      <c r="L509" s="2">
        <f t="shared" si="37"/>
        <v>44539</v>
      </c>
      <c r="M509" s="5">
        <f>HAVERD!BA513/HAVERD!BB513</f>
        <v>56.110858700590633</v>
      </c>
      <c r="AJ509" s="2">
        <f t="shared" si="36"/>
        <v>44539</v>
      </c>
      <c r="AK509" s="2"/>
      <c r="AL509" s="3">
        <f>IF(HAVERD!H513="",AL508,AVERAGE(HAVERD!H513:Q513))</f>
        <v>160.01500000000001</v>
      </c>
    </row>
    <row r="510" spans="12:38" x14ac:dyDescent="0.35">
      <c r="L510" s="2">
        <f t="shared" si="37"/>
        <v>44540</v>
      </c>
      <c r="M510" s="5">
        <f>HAVERD!BA514/HAVERD!BB514</f>
        <v>56.682794073178108</v>
      </c>
      <c r="AJ510" s="2">
        <f t="shared" si="36"/>
        <v>44540</v>
      </c>
      <c r="AK510" s="2"/>
      <c r="AL510" s="3">
        <f>IF(HAVERD!H514="",AL509,AVERAGE(HAVERD!H514:Q514))</f>
        <v>176.53199999999998</v>
      </c>
    </row>
    <row r="511" spans="12:38" x14ac:dyDescent="0.35">
      <c r="L511" s="2">
        <f t="shared" si="37"/>
        <v>44543</v>
      </c>
      <c r="M511" s="5">
        <f>HAVERD!BA515/HAVERD!BB515</f>
        <v>56.019953140352207</v>
      </c>
      <c r="AJ511" s="2">
        <f t="shared" si="36"/>
        <v>44543</v>
      </c>
      <c r="AK511" s="2"/>
      <c r="AL511" s="3">
        <f>IF(HAVERD!H515="",AL510,AVERAGE(HAVERD!H515:Q515))</f>
        <v>184.08099999999996</v>
      </c>
    </row>
    <row r="512" spans="12:38" x14ac:dyDescent="0.35">
      <c r="L512" s="2">
        <f t="shared" si="37"/>
        <v>44544</v>
      </c>
      <c r="M512" s="5">
        <f>HAVERD!BA516/HAVERD!BB516</f>
        <v>55.444721529509565</v>
      </c>
      <c r="AJ512" s="2">
        <f t="shared" si="36"/>
        <v>44544</v>
      </c>
      <c r="AK512" s="2"/>
      <c r="AL512" s="3">
        <f>IF(HAVERD!H516="",AL511,AVERAGE(HAVERD!H516:Q516))</f>
        <v>183.79800000000003</v>
      </c>
    </row>
    <row r="513" spans="12:38" x14ac:dyDescent="0.35">
      <c r="L513" s="2">
        <f t="shared" si="37"/>
        <v>44545</v>
      </c>
      <c r="M513" s="5">
        <f>HAVERD!BA517/HAVERD!BB517</f>
        <v>55.781746632359621</v>
      </c>
      <c r="AJ513" s="2">
        <f t="shared" si="36"/>
        <v>44545</v>
      </c>
      <c r="AK513" s="2"/>
      <c r="AL513" s="3">
        <f>IF(HAVERD!H517="",AL512,AVERAGE(HAVERD!H517:Q517))</f>
        <v>177.59200000000001</v>
      </c>
    </row>
    <row r="514" spans="12:38" x14ac:dyDescent="0.35">
      <c r="L514" s="2">
        <f t="shared" si="37"/>
        <v>44546</v>
      </c>
      <c r="M514" s="5">
        <f>HAVERD!BA518/HAVERD!BB518</f>
        <v>56.006603136489836</v>
      </c>
      <c r="AJ514" s="2">
        <f t="shared" si="36"/>
        <v>44546</v>
      </c>
      <c r="AK514" s="2"/>
      <c r="AL514" s="3">
        <f>IF(HAVERD!H518="",AL513,AVERAGE(HAVERD!H518:Q518))</f>
        <v>195.12100000000001</v>
      </c>
    </row>
    <row r="515" spans="12:38" x14ac:dyDescent="0.35">
      <c r="L515" s="2">
        <f t="shared" si="37"/>
        <v>44547</v>
      </c>
      <c r="M515" s="5">
        <f>HAVERD!BA519/HAVERD!BB519</f>
        <v>55.017718464902359</v>
      </c>
      <c r="AJ515" s="2">
        <f t="shared" si="36"/>
        <v>44547</v>
      </c>
      <c r="AK515" s="2"/>
      <c r="AL515" s="3">
        <f>IF(HAVERD!H519="",AL514,AVERAGE(HAVERD!H519:Q519))</f>
        <v>206.904</v>
      </c>
    </row>
    <row r="516" spans="12:38" x14ac:dyDescent="0.35">
      <c r="L516" s="2">
        <f t="shared" si="37"/>
        <v>44550</v>
      </c>
      <c r="M516" s="5">
        <f>HAVERD!BA520/HAVERD!BB520</f>
        <v>53.331820588457759</v>
      </c>
      <c r="AJ516" s="2">
        <f t="shared" si="36"/>
        <v>44550</v>
      </c>
      <c r="AK516" s="2"/>
      <c r="AL516" s="3">
        <f>IF(HAVERD!H520="",AL515,AVERAGE(HAVERD!H520:Q520))</f>
        <v>234.20599999999999</v>
      </c>
    </row>
    <row r="517" spans="12:38" x14ac:dyDescent="0.35">
      <c r="L517" s="2">
        <f t="shared" si="37"/>
        <v>44551</v>
      </c>
      <c r="M517" s="5">
        <f>HAVERD!BA521/HAVERD!BB521</f>
        <v>55.051764528073754</v>
      </c>
      <c r="AJ517" s="2">
        <f t="shared" si="36"/>
        <v>44551</v>
      </c>
      <c r="AK517" s="2"/>
      <c r="AL517" s="3">
        <f>IF(HAVERD!H521="",AL516,AVERAGE(HAVERD!H521:Q521))</f>
        <v>317.04799999999994</v>
      </c>
    </row>
    <row r="518" spans="12:38" x14ac:dyDescent="0.35">
      <c r="L518" s="2">
        <f t="shared" si="37"/>
        <v>44552</v>
      </c>
      <c r="M518" s="5">
        <f>HAVERD!BA522/HAVERD!BB522</f>
        <v>55.968527538403897</v>
      </c>
      <c r="AJ518" s="2">
        <f t="shared" si="36"/>
        <v>44552</v>
      </c>
      <c r="AK518" s="2"/>
      <c r="AL518" s="3">
        <f>IF(HAVERD!H522="",AL517,AVERAGE(HAVERD!H522:Q522))</f>
        <v>327.24100000000004</v>
      </c>
    </row>
    <row r="519" spans="12:38" x14ac:dyDescent="0.35">
      <c r="L519" s="2">
        <f t="shared" si="37"/>
        <v>44553</v>
      </c>
      <c r="M519" s="5">
        <f>HAVERD!BA523/HAVERD!BB523</f>
        <v>56.868008948545864</v>
      </c>
      <c r="AJ519" s="2">
        <f t="shared" si="36"/>
        <v>44553</v>
      </c>
      <c r="AK519" s="2"/>
      <c r="AL519" s="3">
        <f>IF(HAVERD!H523="",AL518,AVERAGE(HAVERD!H523:Q523))</f>
        <v>268.209</v>
      </c>
    </row>
    <row r="520" spans="12:38" x14ac:dyDescent="0.35">
      <c r="L520" s="2">
        <f t="shared" si="37"/>
        <v>44554</v>
      </c>
      <c r="M520" s="5">
        <f>HAVERD!BA524/HAVERD!BB524</f>
        <v>56.094833370610601</v>
      </c>
      <c r="AJ520" s="2">
        <f t="shared" si="36"/>
        <v>44554</v>
      </c>
      <c r="AK520" s="2"/>
      <c r="AL520" s="3">
        <f>IF(HAVERD!H524="",AL519,AVERAGE(HAVERD!H524:Q524))</f>
        <v>240.96499999999997</v>
      </c>
    </row>
    <row r="521" spans="12:38" x14ac:dyDescent="0.35">
      <c r="L521" s="2">
        <f t="shared" si="37"/>
        <v>44557</v>
      </c>
      <c r="M521" s="5" t="e">
        <f>HAVERD!BA525/HAVERD!BB525</f>
        <v>#N/A</v>
      </c>
      <c r="AJ521" s="2">
        <f t="shared" ref="AJ521:AJ584" si="38">+AJ516+7</f>
        <v>44557</v>
      </c>
      <c r="AK521" s="2"/>
      <c r="AL521" s="3">
        <f>IF(HAVERD!H525="",AL520,AVERAGE(HAVERD!H525:Q525))</f>
        <v>240.96499999999997</v>
      </c>
    </row>
    <row r="522" spans="12:38" x14ac:dyDescent="0.35">
      <c r="L522" s="2">
        <f t="shared" si="37"/>
        <v>44558</v>
      </c>
      <c r="M522" s="5" t="e">
        <f>HAVERD!BA526/HAVERD!BB526</f>
        <v>#N/A</v>
      </c>
      <c r="AJ522" s="2">
        <f t="shared" si="38"/>
        <v>44558</v>
      </c>
      <c r="AK522" s="2"/>
      <c r="AL522" s="3">
        <f>IF(HAVERD!H526="",AL521,AVERAGE(HAVERD!H526:Q526))</f>
        <v>240.96499999999997</v>
      </c>
    </row>
    <row r="523" spans="12:38" x14ac:dyDescent="0.35">
      <c r="L523" s="2">
        <f t="shared" si="37"/>
        <v>44559</v>
      </c>
      <c r="M523" s="5">
        <f>HAVERD!BA527/HAVERD!BB527</f>
        <v>58.304908794305199</v>
      </c>
      <c r="AJ523" s="2">
        <f t="shared" si="38"/>
        <v>44559</v>
      </c>
      <c r="AK523" s="2"/>
      <c r="AL523" s="3">
        <f>IF(HAVERD!H527="",AL522,AVERAGE(HAVERD!H527:Q527))</f>
        <v>221.637</v>
      </c>
    </row>
    <row r="524" spans="12:38" x14ac:dyDescent="0.35">
      <c r="L524" s="2">
        <f t="shared" si="37"/>
        <v>44560</v>
      </c>
      <c r="M524" s="5">
        <f>HAVERD!BA528/HAVERD!BB528</f>
        <v>58.233943255055927</v>
      </c>
      <c r="AJ524" s="2">
        <f t="shared" si="38"/>
        <v>44560</v>
      </c>
      <c r="AK524" s="2"/>
      <c r="AL524" s="3">
        <f>IF(HAVERD!H528="",AL523,AVERAGE(HAVERD!H528:Q528))</f>
        <v>193.85099999999997</v>
      </c>
    </row>
    <row r="525" spans="12:38" x14ac:dyDescent="0.35">
      <c r="L525" s="2">
        <f t="shared" si="37"/>
        <v>44561</v>
      </c>
      <c r="M525" s="5">
        <f>HAVERD!BA529/HAVERD!BB529</f>
        <v>57.312458262224531</v>
      </c>
      <c r="AJ525" s="2">
        <f t="shared" si="38"/>
        <v>44561</v>
      </c>
      <c r="AK525" s="2"/>
      <c r="AL525" s="3">
        <f>IF(HAVERD!H529="",AL524,AVERAGE(HAVERD!H529:Q529))</f>
        <v>158.37299999999999</v>
      </c>
    </row>
    <row r="526" spans="12:38" x14ac:dyDescent="0.35">
      <c r="L526" s="2">
        <f t="shared" si="37"/>
        <v>44564</v>
      </c>
      <c r="M526" s="5" t="e">
        <f>HAVERD!BA530/HAVERD!BB530</f>
        <v>#N/A</v>
      </c>
      <c r="AJ526" s="2">
        <f t="shared" si="38"/>
        <v>44564</v>
      </c>
      <c r="AK526" s="2"/>
      <c r="AL526" s="3">
        <f>IF(HAVERD!H530="",AL525,AVERAGE(HAVERD!H530:Q530))</f>
        <v>158.37299999999999</v>
      </c>
    </row>
    <row r="527" spans="12:38" x14ac:dyDescent="0.35">
      <c r="L527" s="2">
        <f t="shared" si="37"/>
        <v>44565</v>
      </c>
      <c r="M527" s="5">
        <f>HAVERD!BA531/HAVERD!BB531</f>
        <v>58.577436729875309</v>
      </c>
      <c r="AJ527" s="2">
        <f t="shared" si="38"/>
        <v>44565</v>
      </c>
      <c r="AK527" s="2"/>
      <c r="AL527" s="3">
        <f>IF(HAVERD!H531="",AL526,AVERAGE(HAVERD!H531:Q531))</f>
        <v>202.1</v>
      </c>
    </row>
    <row r="528" spans="12:38" x14ac:dyDescent="0.35">
      <c r="L528" s="2">
        <f t="shared" si="37"/>
        <v>44566</v>
      </c>
      <c r="M528" s="5">
        <f>HAVERD!BA532/HAVERD!BB532</f>
        <v>59.4176188720973</v>
      </c>
      <c r="AJ528" s="2">
        <f t="shared" si="38"/>
        <v>44566</v>
      </c>
      <c r="AK528" s="2"/>
      <c r="AL528" s="3">
        <f>IF(HAVERD!H532="",AL527,AVERAGE(HAVERD!H532:Q532))</f>
        <v>205.32900000000001</v>
      </c>
    </row>
    <row r="529" spans="12:38" x14ac:dyDescent="0.35">
      <c r="L529" s="2">
        <f t="shared" si="37"/>
        <v>44567</v>
      </c>
      <c r="M529" s="5">
        <f>HAVERD!BA533/HAVERD!BB533</f>
        <v>60.612109115103124</v>
      </c>
      <c r="AJ529" s="2">
        <f t="shared" si="38"/>
        <v>44567</v>
      </c>
      <c r="AK529" s="2"/>
      <c r="AL529" s="3">
        <f>IF(HAVERD!H533="",AL528,AVERAGE(HAVERD!H533:Q533))</f>
        <v>214.11600000000004</v>
      </c>
    </row>
    <row r="530" spans="12:38" x14ac:dyDescent="0.35">
      <c r="L530" s="2">
        <f t="shared" si="37"/>
        <v>44568</v>
      </c>
      <c r="M530" s="5">
        <f>HAVERD!BA534/HAVERD!BB534</f>
        <v>60.624815797229594</v>
      </c>
      <c r="AJ530" s="2">
        <f t="shared" si="38"/>
        <v>44568</v>
      </c>
      <c r="AK530" s="2"/>
      <c r="AL530" s="3">
        <f>IF(HAVERD!H534="",AL529,AVERAGE(HAVERD!H534:Q534))</f>
        <v>197.15800000000002</v>
      </c>
    </row>
    <row r="531" spans="12:38" x14ac:dyDescent="0.35">
      <c r="L531" s="2">
        <f t="shared" si="37"/>
        <v>44571</v>
      </c>
      <c r="M531" s="5">
        <f>HAVERD!BA535/HAVERD!BB535</f>
        <v>60.143057296659535</v>
      </c>
      <c r="AJ531" s="2">
        <f t="shared" si="38"/>
        <v>44571</v>
      </c>
      <c r="AK531" s="2"/>
      <c r="AL531" s="3">
        <f>IF(HAVERD!H535="",AL530,AVERAGE(HAVERD!H535:Q535))</f>
        <v>192.715</v>
      </c>
    </row>
    <row r="532" spans="12:38" x14ac:dyDescent="0.35">
      <c r="L532" s="2">
        <f t="shared" si="37"/>
        <v>44572</v>
      </c>
      <c r="M532" s="5">
        <f>HAVERD!BA536/HAVERD!BB536</f>
        <v>62.462330025725834</v>
      </c>
      <c r="AJ532" s="2">
        <f t="shared" si="38"/>
        <v>44572</v>
      </c>
      <c r="AK532" s="2"/>
      <c r="AL532" s="3">
        <f>IF(HAVERD!H536="",AL531,AVERAGE(HAVERD!H536:Q536))</f>
        <v>178.75200000000001</v>
      </c>
    </row>
    <row r="533" spans="12:38" x14ac:dyDescent="0.35">
      <c r="L533" s="2">
        <f t="shared" si="37"/>
        <v>44573</v>
      </c>
      <c r="M533" s="5">
        <f>HAVERD!BA537/HAVERD!BB537</f>
        <v>62.709140059910865</v>
      </c>
      <c r="AJ533" s="2">
        <f t="shared" si="38"/>
        <v>44573</v>
      </c>
      <c r="AK533" s="2"/>
      <c r="AL533" s="3">
        <f>IF(HAVERD!H537="",AL532,AVERAGE(HAVERD!H537:Q537))</f>
        <v>160.70999999999998</v>
      </c>
    </row>
    <row r="534" spans="12:38" x14ac:dyDescent="0.35">
      <c r="L534" s="2">
        <f t="shared" si="37"/>
        <v>44574</v>
      </c>
      <c r="M534" s="5">
        <f>HAVERD!BA538/HAVERD!BB538</f>
        <v>62.472695500218435</v>
      </c>
      <c r="AJ534" s="2">
        <f t="shared" si="38"/>
        <v>44574</v>
      </c>
      <c r="AK534" s="2"/>
      <c r="AL534" s="3">
        <f>IF(HAVERD!H538="",AL533,AVERAGE(HAVERD!H538:Q538))</f>
        <v>160.76200000000003</v>
      </c>
    </row>
    <row r="535" spans="12:38" x14ac:dyDescent="0.35">
      <c r="L535" s="2">
        <f t="shared" si="37"/>
        <v>44575</v>
      </c>
      <c r="M535" s="5">
        <f>HAVERD!BA539/HAVERD!BB539</f>
        <v>63.706789446758748</v>
      </c>
      <c r="AJ535" s="2">
        <f t="shared" si="38"/>
        <v>44575</v>
      </c>
      <c r="AK535" s="2"/>
      <c r="AL535" s="3">
        <f>IF(HAVERD!H539="",AL534,AVERAGE(HAVERD!H539:Q539))</f>
        <v>167.27199999999999</v>
      </c>
    </row>
    <row r="536" spans="12:38" x14ac:dyDescent="0.35">
      <c r="L536" s="2">
        <f t="shared" si="37"/>
        <v>44578</v>
      </c>
      <c r="M536" s="5">
        <f>HAVERD!BA540/HAVERD!BB540</f>
        <v>64.336996336996336</v>
      </c>
      <c r="AJ536" s="2">
        <f t="shared" si="38"/>
        <v>44578</v>
      </c>
      <c r="AK536" s="2"/>
      <c r="AL536" s="3">
        <f>IF(HAVERD!H540="",AL535,AVERAGE(HAVERD!H540:Q540))</f>
        <v>158.93599999999998</v>
      </c>
    </row>
    <row r="537" spans="12:38" x14ac:dyDescent="0.35">
      <c r="L537" s="2">
        <f t="shared" si="37"/>
        <v>44579</v>
      </c>
      <c r="M537" s="5">
        <f>HAVERD!BA541/HAVERD!BB541</f>
        <v>65.402738919157699</v>
      </c>
      <c r="AJ537" s="2">
        <f t="shared" si="38"/>
        <v>44579</v>
      </c>
      <c r="AK537" s="2"/>
      <c r="AL537" s="3">
        <f>IF(HAVERD!H541="",AL536,AVERAGE(HAVERD!H541:Q541))</f>
        <v>159.89099999999996</v>
      </c>
    </row>
    <row r="538" spans="12:38" x14ac:dyDescent="0.35">
      <c r="L538" s="2">
        <f t="shared" si="37"/>
        <v>44580</v>
      </c>
      <c r="M538" s="5">
        <f>HAVERD!BA542/HAVERD!BB542</f>
        <v>65.960264900662253</v>
      </c>
      <c r="AJ538" s="2">
        <f t="shared" si="38"/>
        <v>44580</v>
      </c>
      <c r="AK538" s="2"/>
      <c r="AL538" s="3">
        <f>IF(HAVERD!H542="",AL537,AVERAGE(HAVERD!H542:Q542))</f>
        <v>153.20999999999998</v>
      </c>
    </row>
    <row r="539" spans="12:38" x14ac:dyDescent="0.35">
      <c r="L539" s="2">
        <f t="shared" si="37"/>
        <v>44581</v>
      </c>
      <c r="M539" s="5">
        <f>HAVERD!BA543/HAVERD!BB543</f>
        <v>65.707592063840693</v>
      </c>
      <c r="AJ539" s="2">
        <f t="shared" si="38"/>
        <v>44581</v>
      </c>
      <c r="AK539" s="2"/>
      <c r="AL539" s="3">
        <f>IF(HAVERD!H543="",AL538,AVERAGE(HAVERD!H543:Q543))</f>
        <v>159.93600000000001</v>
      </c>
    </row>
    <row r="540" spans="12:38" x14ac:dyDescent="0.35">
      <c r="L540" s="2">
        <f t="shared" si="37"/>
        <v>44582</v>
      </c>
      <c r="M540" s="5">
        <f>HAVERD!BA544/HAVERD!BB544</f>
        <v>66.192197064680286</v>
      </c>
      <c r="AJ540" s="2">
        <f t="shared" si="38"/>
        <v>44582</v>
      </c>
      <c r="AK540" s="2"/>
      <c r="AL540" s="3">
        <f>IF(HAVERD!H544="",AL539,AVERAGE(HAVERD!H544:Q544))</f>
        <v>170.96499999999997</v>
      </c>
    </row>
    <row r="541" spans="12:38" x14ac:dyDescent="0.35">
      <c r="L541" s="2">
        <f t="shared" si="37"/>
        <v>44585</v>
      </c>
      <c r="M541" s="5">
        <f>HAVERD!BA545/HAVERD!BB545</f>
        <v>65.16636957813428</v>
      </c>
      <c r="AJ541" s="2">
        <f t="shared" si="38"/>
        <v>44585</v>
      </c>
      <c r="AK541" s="2"/>
      <c r="AL541" s="3">
        <f>IF(HAVERD!H545="",AL540,AVERAGE(HAVERD!H545:Q545))</f>
        <v>201.83599999999996</v>
      </c>
    </row>
    <row r="542" spans="12:38" x14ac:dyDescent="0.35">
      <c r="L542" s="2">
        <f t="shared" si="37"/>
        <v>44586</v>
      </c>
      <c r="M542" s="5">
        <f>HAVERD!BA546/HAVERD!BB546</f>
        <v>66.357704285926147</v>
      </c>
      <c r="AJ542" s="2">
        <f t="shared" si="38"/>
        <v>44586</v>
      </c>
      <c r="AK542" s="2"/>
      <c r="AL542" s="3">
        <f>IF(HAVERD!H546="",AL541,AVERAGE(HAVERD!H546:Q546))</f>
        <v>208.15199999999999</v>
      </c>
    </row>
    <row r="543" spans="12:38" x14ac:dyDescent="0.35">
      <c r="L543" s="2">
        <f t="shared" si="37"/>
        <v>44587</v>
      </c>
      <c r="M543" s="5">
        <f>HAVERD!BA547/HAVERD!BB547</f>
        <v>67.505365203877744</v>
      </c>
      <c r="AJ543" s="2">
        <f t="shared" si="38"/>
        <v>44587</v>
      </c>
      <c r="AK543" s="2"/>
      <c r="AL543" s="3">
        <f>IF(HAVERD!H547="",AL542,AVERAGE(HAVERD!H547:Q547))</f>
        <v>211.61000000000004</v>
      </c>
    </row>
    <row r="544" spans="12:38" x14ac:dyDescent="0.35">
      <c r="L544" s="2">
        <f t="shared" si="37"/>
        <v>44588</v>
      </c>
      <c r="M544" s="5">
        <f>HAVERD!BA548/HAVERD!BB548</f>
        <v>67.73711725168036</v>
      </c>
      <c r="AJ544" s="2">
        <f t="shared" si="38"/>
        <v>44588</v>
      </c>
      <c r="AK544" s="2"/>
      <c r="AL544" s="3">
        <f>IF(HAVERD!H548="",AL543,AVERAGE(HAVERD!H548:Q548))</f>
        <v>218.36099999999996</v>
      </c>
    </row>
    <row r="545" spans="12:38" x14ac:dyDescent="0.35">
      <c r="L545" s="2">
        <f t="shared" si="37"/>
        <v>44589</v>
      </c>
      <c r="M545" s="5">
        <f>HAVERD!BA549/HAVERD!BB549</f>
        <v>68.184867685426767</v>
      </c>
      <c r="AJ545" s="2">
        <f t="shared" si="38"/>
        <v>44589</v>
      </c>
      <c r="AK545" s="2"/>
      <c r="AL545" s="3">
        <f>IF(HAVERD!H549="",AL544,AVERAGE(HAVERD!H549:Q549))</f>
        <v>218.76999999999998</v>
      </c>
    </row>
    <row r="546" spans="12:38" x14ac:dyDescent="0.35">
      <c r="L546" s="2">
        <f t="shared" si="37"/>
        <v>44592</v>
      </c>
      <c r="M546" s="5">
        <f>HAVERD!BA550/HAVERD!BB550</f>
        <v>68.825458339543886</v>
      </c>
      <c r="AJ546" s="2">
        <f t="shared" si="38"/>
        <v>44592</v>
      </c>
      <c r="AK546" s="2"/>
      <c r="AL546" s="3">
        <f>IF(HAVERD!H550="",AL545,AVERAGE(HAVERD!H550:Q550))</f>
        <v>194.45700000000002</v>
      </c>
    </row>
    <row r="547" spans="12:38" x14ac:dyDescent="0.35">
      <c r="L547" s="2">
        <f t="shared" si="37"/>
        <v>44593</v>
      </c>
      <c r="M547" s="5">
        <f>HAVERD!BA551/HAVERD!BB551</f>
        <v>66.814749000444237</v>
      </c>
      <c r="AJ547" s="2">
        <f t="shared" si="38"/>
        <v>44593</v>
      </c>
      <c r="AK547" s="2"/>
      <c r="AL547" s="3">
        <f>IF(HAVERD!H551="",AL546,AVERAGE(HAVERD!H551:Q551))</f>
        <v>173.71700000000001</v>
      </c>
    </row>
    <row r="548" spans="12:38" x14ac:dyDescent="0.35">
      <c r="L548" s="2">
        <f t="shared" si="37"/>
        <v>44594</v>
      </c>
      <c r="M548" s="5">
        <f>HAVERD!BA552/HAVERD!BB552</f>
        <v>67.366637194223415</v>
      </c>
      <c r="AJ548" s="2">
        <f t="shared" si="38"/>
        <v>44594</v>
      </c>
      <c r="AK548" s="2"/>
      <c r="AL548" s="3">
        <f>IF(HAVERD!H552="",AL547,AVERAGE(HAVERD!H552:Q552))</f>
        <v>178.98999999999998</v>
      </c>
    </row>
    <row r="549" spans="12:38" x14ac:dyDescent="0.35">
      <c r="L549" s="2">
        <f t="shared" si="37"/>
        <v>44595</v>
      </c>
      <c r="M549" s="5">
        <f>HAVERD!BA553/HAVERD!BB553</f>
        <v>68.324761204996321</v>
      </c>
      <c r="AJ549" s="2">
        <f t="shared" si="38"/>
        <v>44595</v>
      </c>
      <c r="AK549" s="2"/>
      <c r="AL549" s="3">
        <f>IF(HAVERD!H553="",AL548,AVERAGE(HAVERD!H553:Q553))</f>
        <v>187.45699999999999</v>
      </c>
    </row>
    <row r="550" spans="12:38" x14ac:dyDescent="0.35">
      <c r="L550" s="2">
        <f t="shared" si="37"/>
        <v>44596</v>
      </c>
      <c r="M550" s="5">
        <f>HAVERD!BA554/HAVERD!BB554</f>
        <v>71.58906134515891</v>
      </c>
      <c r="AJ550" s="2">
        <f t="shared" si="38"/>
        <v>44596</v>
      </c>
      <c r="AK550" s="2"/>
      <c r="AL550" s="3">
        <f>IF(HAVERD!H554="",AL549,AVERAGE(HAVERD!H554:Q554))</f>
        <v>197.10499999999999</v>
      </c>
    </row>
    <row r="551" spans="12:38" x14ac:dyDescent="0.35">
      <c r="L551" s="2">
        <f t="shared" si="37"/>
        <v>44599</v>
      </c>
      <c r="M551" s="5">
        <f>HAVERD!BA555/HAVERD!BB555</f>
        <v>71.899482631189954</v>
      </c>
      <c r="AJ551" s="2">
        <f t="shared" si="38"/>
        <v>44599</v>
      </c>
      <c r="AK551" s="2"/>
      <c r="AL551" s="3">
        <f>IF(HAVERD!H555="",AL550,AVERAGE(HAVERD!H555:Q555))</f>
        <v>191.506</v>
      </c>
    </row>
    <row r="552" spans="12:38" x14ac:dyDescent="0.35">
      <c r="L552" s="2">
        <f t="shared" si="37"/>
        <v>44600</v>
      </c>
      <c r="M552" s="5">
        <f>HAVERD!BA556/HAVERD!BB556</f>
        <v>70.884674979709288</v>
      </c>
      <c r="AJ552" s="2">
        <f t="shared" si="38"/>
        <v>44600</v>
      </c>
      <c r="AK552" s="2"/>
      <c r="AL552" s="3">
        <f>IF(HAVERD!H556="",AL551,AVERAGE(HAVERD!H556:Q556))</f>
        <v>185.99100000000001</v>
      </c>
    </row>
    <row r="553" spans="12:38" x14ac:dyDescent="0.35">
      <c r="L553" s="2">
        <f t="shared" si="37"/>
        <v>44601</v>
      </c>
      <c r="M553" s="5">
        <f>HAVERD!BA557/HAVERD!BB557</f>
        <v>70.094492839214524</v>
      </c>
      <c r="AJ553" s="2">
        <f t="shared" si="38"/>
        <v>44601</v>
      </c>
      <c r="AK553" s="2"/>
      <c r="AL553" s="3">
        <f>IF(HAVERD!H557="",AL552,AVERAGE(HAVERD!H557:Q557))</f>
        <v>177.46300000000002</v>
      </c>
    </row>
    <row r="554" spans="12:38" x14ac:dyDescent="0.35">
      <c r="L554" s="2">
        <f t="shared" si="37"/>
        <v>44602</v>
      </c>
      <c r="M554" s="5">
        <f>HAVERD!BA558/HAVERD!BB558</f>
        <v>70.777027027027032</v>
      </c>
      <c r="AJ554" s="2">
        <f t="shared" si="38"/>
        <v>44602</v>
      </c>
      <c r="AK554" s="2"/>
      <c r="AL554" s="3">
        <f>IF(HAVERD!H558="",AL553,AVERAGE(HAVERD!H558:Q558))</f>
        <v>178.316</v>
      </c>
    </row>
    <row r="555" spans="12:38" x14ac:dyDescent="0.35">
      <c r="L555" s="2">
        <f t="shared" si="37"/>
        <v>44603</v>
      </c>
      <c r="M555" s="5">
        <f>HAVERD!BA559/HAVERD!BB559</f>
        <v>71.675365728148194</v>
      </c>
      <c r="AJ555" s="2">
        <f t="shared" si="38"/>
        <v>44603</v>
      </c>
      <c r="AK555" s="2"/>
      <c r="AL555" s="3">
        <f>IF(HAVERD!H559="",AL554,AVERAGE(HAVERD!H559:Q559))</f>
        <v>185.64000000000001</v>
      </c>
    </row>
    <row r="556" spans="12:38" x14ac:dyDescent="0.35">
      <c r="L556" s="2">
        <f t="shared" si="37"/>
        <v>44606</v>
      </c>
      <c r="M556" s="5">
        <f>HAVERD!BA560/HAVERD!BB560</f>
        <v>75.231258787833937</v>
      </c>
      <c r="AJ556" s="2">
        <f t="shared" si="38"/>
        <v>44606</v>
      </c>
      <c r="AK556" s="2"/>
      <c r="AL556" s="3">
        <f>IF(HAVERD!H560="",AL555,AVERAGE(HAVERD!H560:Q560))</f>
        <v>192.06100000000001</v>
      </c>
    </row>
    <row r="557" spans="12:38" x14ac:dyDescent="0.35">
      <c r="L557" s="2">
        <f t="shared" si="37"/>
        <v>44607</v>
      </c>
      <c r="M557" s="5">
        <f>HAVERD!BA561/HAVERD!BB561</f>
        <v>72.792486318591926</v>
      </c>
      <c r="AJ557" s="2">
        <f t="shared" si="38"/>
        <v>44607</v>
      </c>
      <c r="AK557" s="2"/>
      <c r="AL557" s="3">
        <f>IF(HAVERD!H561="",AL556,AVERAGE(HAVERD!H561:Q561))</f>
        <v>170.70300000000003</v>
      </c>
    </row>
    <row r="558" spans="12:38" x14ac:dyDescent="0.35">
      <c r="L558" s="2">
        <f t="shared" si="37"/>
        <v>44608</v>
      </c>
      <c r="M558" s="5">
        <f>HAVERD!BA562/HAVERD!BB562</f>
        <v>71.763146266018566</v>
      </c>
      <c r="AJ558" s="2">
        <f t="shared" si="38"/>
        <v>44608</v>
      </c>
      <c r="AK558" s="2"/>
      <c r="AL558" s="3">
        <f>IF(HAVERD!H562="",AL557,AVERAGE(HAVERD!H562:Q562))</f>
        <v>168.21199999999999</v>
      </c>
    </row>
    <row r="559" spans="12:38" x14ac:dyDescent="0.35">
      <c r="L559" s="2">
        <f t="shared" si="37"/>
        <v>44609</v>
      </c>
      <c r="M559" s="5">
        <f>HAVERD!BA563/HAVERD!BB563</f>
        <v>69.955947136563879</v>
      </c>
      <c r="AJ559" s="2">
        <f t="shared" si="38"/>
        <v>44609</v>
      </c>
      <c r="AK559" s="2"/>
      <c r="AL559" s="3">
        <f>IF(HAVERD!H563="",AL558,AVERAGE(HAVERD!H563:Q563))</f>
        <v>179.16800000000001</v>
      </c>
    </row>
    <row r="560" spans="12:38" x14ac:dyDescent="0.35">
      <c r="L560" s="2">
        <f t="shared" si="37"/>
        <v>44610</v>
      </c>
      <c r="M560" s="5">
        <f>HAVERD!BA564/HAVERD!BB564</f>
        <v>70.803886925795055</v>
      </c>
      <c r="AJ560" s="2">
        <f t="shared" si="38"/>
        <v>44610</v>
      </c>
      <c r="AK560" s="2"/>
      <c r="AL560" s="3">
        <f>IF(HAVERD!H564="",AL559,AVERAGE(HAVERD!H564:Q564))</f>
        <v>176.42699999999996</v>
      </c>
    </row>
    <row r="561" spans="12:38" x14ac:dyDescent="0.35">
      <c r="L561" s="2">
        <f t="shared" si="37"/>
        <v>44613</v>
      </c>
      <c r="M561" s="5">
        <f>HAVERD!BA565/HAVERD!BB565</f>
        <v>72.719923568751383</v>
      </c>
      <c r="AJ561" s="2">
        <f t="shared" si="38"/>
        <v>44613</v>
      </c>
      <c r="AK561" s="2"/>
      <c r="AL561" s="3">
        <f>IF(HAVERD!H565="",AL560,AVERAGE(HAVERD!H565:Q565))</f>
        <v>173.91399999999999</v>
      </c>
    </row>
    <row r="562" spans="12:38" x14ac:dyDescent="0.35">
      <c r="L562" s="2">
        <f t="shared" ref="L562:L625" si="39">+L557+7</f>
        <v>44614</v>
      </c>
      <c r="M562" s="5">
        <f>HAVERD!BA566/HAVERD!BB566</f>
        <v>72.643661246413075</v>
      </c>
      <c r="AJ562" s="2">
        <f t="shared" si="38"/>
        <v>44614</v>
      </c>
      <c r="AK562" s="2"/>
      <c r="AL562" s="3">
        <f>IF(HAVERD!H566="",AL561,AVERAGE(HAVERD!H566:Q566))</f>
        <v>192.767</v>
      </c>
    </row>
    <row r="563" spans="12:38" x14ac:dyDescent="0.35">
      <c r="L563" s="2">
        <f t="shared" si="39"/>
        <v>44615</v>
      </c>
      <c r="M563" s="5">
        <f>HAVERD!BA567/HAVERD!BB567</f>
        <v>73.222713864306783</v>
      </c>
      <c r="AJ563" s="2">
        <f t="shared" si="38"/>
        <v>44615</v>
      </c>
      <c r="AK563" s="2"/>
      <c r="AL563" s="3">
        <f>IF(HAVERD!H567="",AL562,AVERAGE(HAVERD!H567:Q567))</f>
        <v>214.37800000000001</v>
      </c>
    </row>
    <row r="564" spans="12:38" x14ac:dyDescent="0.35">
      <c r="L564" s="2">
        <f t="shared" si="39"/>
        <v>44616</v>
      </c>
      <c r="M564" s="5">
        <f>HAVERD!BA568/HAVERD!BB568</f>
        <v>76.301318267419973</v>
      </c>
      <c r="AJ564" s="2">
        <f t="shared" si="38"/>
        <v>44616</v>
      </c>
      <c r="AK564" s="2"/>
      <c r="AL564" s="3">
        <f>IF(HAVERD!H568="",AL563,AVERAGE(HAVERD!H568:Q568))</f>
        <v>307.25400000000002</v>
      </c>
    </row>
    <row r="565" spans="12:38" x14ac:dyDescent="0.35">
      <c r="L565" s="2">
        <f t="shared" si="39"/>
        <v>44617</v>
      </c>
      <c r="M565" s="5">
        <f>HAVERD!BA569/HAVERD!BB569</f>
        <v>73.464519976147884</v>
      </c>
      <c r="AJ565" s="2">
        <f t="shared" si="38"/>
        <v>44617</v>
      </c>
      <c r="AK565" s="2"/>
      <c r="AL565" s="3">
        <f>IF(HAVERD!H569="",AL564,AVERAGE(HAVERD!H569:Q569))</f>
        <v>220.55699999999996</v>
      </c>
    </row>
    <row r="566" spans="12:38" x14ac:dyDescent="0.35">
      <c r="L566" s="2">
        <f t="shared" si="39"/>
        <v>44620</v>
      </c>
      <c r="M566" s="5">
        <f>HAVERD!BA570/HAVERD!BB570</f>
        <v>76.816454281243011</v>
      </c>
      <c r="AJ566" s="2">
        <f t="shared" si="38"/>
        <v>44620</v>
      </c>
      <c r="AK566" s="2"/>
      <c r="AL566" s="3">
        <f>IF(HAVERD!H570="",AL565,AVERAGE(HAVERD!H570:Q570))</f>
        <v>222.64499999999998</v>
      </c>
    </row>
    <row r="567" spans="12:38" x14ac:dyDescent="0.35">
      <c r="L567" s="2">
        <f t="shared" si="39"/>
        <v>44621</v>
      </c>
      <c r="M567" s="5">
        <f>HAVERD!BA571/HAVERD!BB571</f>
        <v>83.081186339125239</v>
      </c>
      <c r="AJ567" s="2">
        <f t="shared" si="38"/>
        <v>44621</v>
      </c>
      <c r="AK567" s="2"/>
      <c r="AL567" s="3">
        <f>IF(HAVERD!H571="",AL566,AVERAGE(HAVERD!H571:Q571))</f>
        <v>262.39399999999995</v>
      </c>
    </row>
    <row r="568" spans="12:38" x14ac:dyDescent="0.35">
      <c r="L568" s="2">
        <f t="shared" si="39"/>
        <v>44622</v>
      </c>
      <c r="M568" s="5">
        <f>HAVERD!BA572/HAVERD!BB572</f>
        <v>89.327825760420581</v>
      </c>
      <c r="AJ568" s="2">
        <f t="shared" si="38"/>
        <v>44622</v>
      </c>
      <c r="AK568" s="2"/>
      <c r="AL568" s="3">
        <f>IF(HAVERD!H572="",AL567,AVERAGE(HAVERD!H572:Q572))</f>
        <v>333.91900000000004</v>
      </c>
    </row>
    <row r="569" spans="12:38" x14ac:dyDescent="0.35">
      <c r="L569" s="2">
        <f t="shared" si="39"/>
        <v>44623</v>
      </c>
      <c r="M569" s="5">
        <f>HAVERD!BA573/HAVERD!BB573</f>
        <v>86.470279589236185</v>
      </c>
      <c r="AJ569" s="2">
        <f t="shared" si="38"/>
        <v>44623</v>
      </c>
      <c r="AK569" s="2"/>
      <c r="AL569" s="3">
        <f>IF(HAVERD!H573="",AL568,AVERAGE(HAVERD!H573:Q573))</f>
        <v>316.75799999999992</v>
      </c>
    </row>
    <row r="570" spans="12:38" x14ac:dyDescent="0.35">
      <c r="L570" s="2">
        <f t="shared" si="39"/>
        <v>44624</v>
      </c>
      <c r="M570" s="5">
        <f>HAVERD!BA574/HAVERD!BB574</f>
        <v>93.72682557699585</v>
      </c>
      <c r="AJ570" s="2">
        <f t="shared" si="38"/>
        <v>44624</v>
      </c>
      <c r="AK570" s="2"/>
      <c r="AL570" s="3">
        <f>IF(HAVERD!H574="",AL569,AVERAGE(HAVERD!H574:Q574))</f>
        <v>312.73699999999997</v>
      </c>
    </row>
    <row r="571" spans="12:38" x14ac:dyDescent="0.35">
      <c r="L571" s="2">
        <f t="shared" si="39"/>
        <v>44627</v>
      </c>
      <c r="M571" s="5">
        <f>HAVERD!BA575/HAVERD!BB575</f>
        <v>98.226113437381059</v>
      </c>
      <c r="AJ571" s="2">
        <f t="shared" si="38"/>
        <v>44627</v>
      </c>
      <c r="AK571" s="2"/>
      <c r="AL571" s="3">
        <f>IF(HAVERD!H575="",AL570,AVERAGE(HAVERD!H575:Q575))</f>
        <v>365.30800000000005</v>
      </c>
    </row>
    <row r="572" spans="12:38" x14ac:dyDescent="0.35">
      <c r="L572" s="2">
        <f t="shared" si="39"/>
        <v>44628</v>
      </c>
      <c r="M572" s="5">
        <f>HAVERD!BA576/HAVERD!BB576</f>
        <v>101.57882693921135</v>
      </c>
      <c r="AJ572" s="2">
        <f t="shared" si="38"/>
        <v>44628</v>
      </c>
      <c r="AK572" s="2"/>
      <c r="AL572" s="3">
        <f>IF(HAVERD!H576="",AL571,AVERAGE(HAVERD!H576:Q576))</f>
        <v>348.55100000000004</v>
      </c>
    </row>
    <row r="573" spans="12:38" x14ac:dyDescent="0.35">
      <c r="L573" s="2">
        <f t="shared" si="39"/>
        <v>44629</v>
      </c>
      <c r="M573" s="5">
        <f>HAVERD!BA577/HAVERD!BB577</f>
        <v>88.600091199270395</v>
      </c>
      <c r="AJ573" s="2">
        <f t="shared" si="38"/>
        <v>44629</v>
      </c>
      <c r="AK573" s="2"/>
      <c r="AL573" s="3">
        <f>IF(HAVERD!H577="",AL572,AVERAGE(HAVERD!H577:Q577))</f>
        <v>296.38200000000001</v>
      </c>
    </row>
    <row r="574" spans="12:38" x14ac:dyDescent="0.35">
      <c r="L574" s="2">
        <f t="shared" si="39"/>
        <v>44630</v>
      </c>
      <c r="M574" s="5">
        <f>HAVERD!BA578/HAVERD!BB578</f>
        <v>87.235338918507239</v>
      </c>
      <c r="AJ574" s="2">
        <f t="shared" si="38"/>
        <v>44630</v>
      </c>
      <c r="AK574" s="2"/>
      <c r="AL574" s="3">
        <f>IF(HAVERD!H578="",AL573,AVERAGE(HAVERD!H578:Q578))</f>
        <v>252.75300000000001</v>
      </c>
    </row>
    <row r="575" spans="12:38" x14ac:dyDescent="0.35">
      <c r="L575" s="2">
        <f t="shared" si="39"/>
        <v>44631</v>
      </c>
      <c r="M575" s="5">
        <f>HAVERD!BA579/HAVERD!BB579</f>
        <v>90.26366068016813</v>
      </c>
      <c r="AJ575" s="2">
        <f t="shared" si="38"/>
        <v>44631</v>
      </c>
      <c r="AK575" s="2"/>
      <c r="AL575" s="3">
        <f>IF(HAVERD!H579="",AL574,AVERAGE(HAVERD!H579:Q579))</f>
        <v>269.93700000000001</v>
      </c>
    </row>
    <row r="576" spans="12:38" x14ac:dyDescent="0.35">
      <c r="L576" s="2">
        <f t="shared" si="39"/>
        <v>44634</v>
      </c>
      <c r="M576" s="5">
        <f>HAVERD!BA580/HAVERD!BB580</f>
        <v>84.609488771365065</v>
      </c>
      <c r="AJ576" s="2">
        <f t="shared" si="38"/>
        <v>44634</v>
      </c>
      <c r="AK576" s="2"/>
      <c r="AL576" s="3">
        <f>IF(HAVERD!H580="",AL575,AVERAGE(HAVERD!H580:Q580))</f>
        <v>237.55100000000002</v>
      </c>
    </row>
    <row r="577" spans="12:38" x14ac:dyDescent="0.35">
      <c r="L577" s="2">
        <f t="shared" si="39"/>
        <v>44635</v>
      </c>
      <c r="M577" s="5">
        <f>HAVERD!BA581/HAVERD!BB581</f>
        <v>80.462233106298314</v>
      </c>
      <c r="AJ577" s="2">
        <f t="shared" si="38"/>
        <v>44635</v>
      </c>
      <c r="AK577" s="2"/>
      <c r="AL577" s="3">
        <f>IF(HAVERD!H581="",AL576,AVERAGE(HAVERD!H581:Q581))</f>
        <v>237.423</v>
      </c>
    </row>
    <row r="578" spans="12:38" x14ac:dyDescent="0.35">
      <c r="L578" s="2">
        <f t="shared" si="39"/>
        <v>44636</v>
      </c>
      <c r="M578" s="5">
        <f>HAVERD!BA582/HAVERD!BB582</f>
        <v>79.885452462772037</v>
      </c>
      <c r="AJ578" s="2">
        <f t="shared" si="38"/>
        <v>44636</v>
      </c>
      <c r="AK578" s="2"/>
      <c r="AL578" s="3">
        <f>IF(HAVERD!H582="",AL577,AVERAGE(HAVERD!H582:Q582))</f>
        <v>215.58200000000002</v>
      </c>
    </row>
    <row r="579" spans="12:38" x14ac:dyDescent="0.35">
      <c r="L579" s="2">
        <f t="shared" si="39"/>
        <v>44637</v>
      </c>
      <c r="M579" s="5">
        <f>HAVERD!BA583/HAVERD!BB583</f>
        <v>86.265866078893353</v>
      </c>
      <c r="AJ579" s="2">
        <f t="shared" si="38"/>
        <v>44637</v>
      </c>
      <c r="AK579" s="2"/>
      <c r="AL579" s="3">
        <f>IF(HAVERD!H583="",AL578,AVERAGE(HAVERD!H583:Q583))</f>
        <v>228.97899999999998</v>
      </c>
    </row>
    <row r="580" spans="12:38" x14ac:dyDescent="0.35">
      <c r="L580" s="2">
        <f t="shared" si="39"/>
        <v>44638</v>
      </c>
      <c r="M580" s="5">
        <f>HAVERD!BA584/HAVERD!BB584</f>
        <v>86.783572458817275</v>
      </c>
      <c r="AJ580" s="2">
        <f t="shared" si="38"/>
        <v>44638</v>
      </c>
      <c r="AK580" s="2"/>
      <c r="AL580" s="3">
        <f>IF(HAVERD!H584="",AL579,AVERAGE(HAVERD!H584:Q584))</f>
        <v>228.14399999999995</v>
      </c>
    </row>
    <row r="581" spans="12:38" x14ac:dyDescent="0.35">
      <c r="L581" s="2">
        <f t="shared" si="39"/>
        <v>44641</v>
      </c>
      <c r="M581" s="5">
        <f>HAVERD!BA585/HAVERD!BB585</f>
        <v>92.629904559915161</v>
      </c>
      <c r="AJ581" s="2">
        <f t="shared" si="38"/>
        <v>44641</v>
      </c>
      <c r="AK581" s="2"/>
      <c r="AL581" s="3">
        <f>IF(HAVERD!H585="",AL580,AVERAGE(HAVERD!H585:Q585))</f>
        <v>215.423</v>
      </c>
    </row>
    <row r="582" spans="12:38" x14ac:dyDescent="0.35">
      <c r="L582" s="2">
        <f t="shared" si="39"/>
        <v>44642</v>
      </c>
      <c r="M582" s="5">
        <f>HAVERD!BA586/HAVERD!BB586</f>
        <v>91.651583710407238</v>
      </c>
      <c r="AJ582" s="2">
        <f t="shared" si="38"/>
        <v>44642</v>
      </c>
      <c r="AK582" s="2"/>
      <c r="AL582" s="3">
        <f>IF(HAVERD!H586="",AL581,AVERAGE(HAVERD!H586:Q586))</f>
        <v>221.94200000000001</v>
      </c>
    </row>
    <row r="583" spans="12:38" x14ac:dyDescent="0.35">
      <c r="L583" s="2">
        <f t="shared" si="39"/>
        <v>44643</v>
      </c>
      <c r="M583" s="5">
        <f>HAVERD!BA587/HAVERD!BB587</f>
        <v>96.525622587237905</v>
      </c>
      <c r="AJ583" s="2">
        <f t="shared" si="38"/>
        <v>44643</v>
      </c>
      <c r="AK583" s="2"/>
      <c r="AL583" s="3">
        <f>IF(HAVERD!H587="",AL582,AVERAGE(HAVERD!H587:Q587))</f>
        <v>256.16300000000007</v>
      </c>
    </row>
    <row r="584" spans="12:38" x14ac:dyDescent="0.35">
      <c r="L584" s="2">
        <f t="shared" si="39"/>
        <v>44644</v>
      </c>
      <c r="M584" s="5">
        <f>HAVERD!BA588/HAVERD!BB588</f>
        <v>94.038228155339809</v>
      </c>
      <c r="AJ584" s="2">
        <f t="shared" si="38"/>
        <v>44644</v>
      </c>
      <c r="AK584" s="2"/>
      <c r="AL584" s="3">
        <f>IF(HAVERD!H588="",AL583,AVERAGE(HAVERD!H588:Q588))</f>
        <v>245.78299999999999</v>
      </c>
    </row>
    <row r="585" spans="12:38" x14ac:dyDescent="0.35">
      <c r="L585" s="2">
        <f t="shared" si="39"/>
        <v>44645</v>
      </c>
      <c r="M585" s="5">
        <f>HAVERD!BA589/HAVERD!BB589</f>
        <v>92.988174651303822</v>
      </c>
      <c r="AJ585" s="2">
        <f t="shared" ref="AJ585:AJ648" si="40">+AJ580+7</f>
        <v>44645</v>
      </c>
      <c r="AK585" s="2"/>
      <c r="AL585" s="3">
        <f>IF(HAVERD!H589="",AL584,AVERAGE(HAVERD!H589:Q589))</f>
        <v>227.06300000000002</v>
      </c>
    </row>
    <row r="586" spans="12:38" x14ac:dyDescent="0.35">
      <c r="L586" s="2">
        <f t="shared" si="39"/>
        <v>44648</v>
      </c>
      <c r="M586" s="5">
        <f>HAVERD!BA590/HAVERD!BB590</f>
        <v>87.478034991214003</v>
      </c>
      <c r="AJ586" s="2">
        <f t="shared" si="40"/>
        <v>44648</v>
      </c>
      <c r="AK586" s="2"/>
      <c r="AL586" s="3">
        <f>IF(HAVERD!H590="",AL585,AVERAGE(HAVERD!H590:Q590))</f>
        <v>232.779</v>
      </c>
    </row>
    <row r="587" spans="12:38" x14ac:dyDescent="0.35">
      <c r="L587" s="2">
        <f t="shared" si="39"/>
        <v>44649</v>
      </c>
      <c r="M587" s="5">
        <f>HAVERD!BA591/HAVERD!BB591</f>
        <v>85.863276492082818</v>
      </c>
      <c r="AJ587" s="2">
        <f t="shared" si="40"/>
        <v>44649</v>
      </c>
      <c r="AK587" s="2"/>
      <c r="AL587" s="3">
        <f>IF(HAVERD!H591="",AL586,AVERAGE(HAVERD!H591:Q591))</f>
        <v>245.49</v>
      </c>
    </row>
    <row r="588" spans="12:38" x14ac:dyDescent="0.35">
      <c r="L588" s="2">
        <f t="shared" si="39"/>
        <v>44650</v>
      </c>
      <c r="M588" s="5">
        <f>HAVERD!BA592/HAVERD!BB592</f>
        <v>87.747665679799596</v>
      </c>
      <c r="AJ588" s="2">
        <f t="shared" si="40"/>
        <v>44650</v>
      </c>
      <c r="AK588" s="2"/>
      <c r="AL588" s="3">
        <f>IF(HAVERD!H592="",AL587,AVERAGE(HAVERD!H592:Q592))</f>
        <v>265.21899999999994</v>
      </c>
    </row>
    <row r="589" spans="12:38" x14ac:dyDescent="0.35">
      <c r="L589" s="2">
        <f t="shared" si="39"/>
        <v>44651</v>
      </c>
      <c r="M589" s="5">
        <f>HAVERD!BA593/HAVERD!BB593</f>
        <v>81.514967330192988</v>
      </c>
      <c r="AJ589" s="2">
        <f t="shared" si="40"/>
        <v>44651</v>
      </c>
      <c r="AK589" s="2"/>
      <c r="AL589" s="3">
        <f>IF(HAVERD!H593="",AL588,AVERAGE(HAVERD!H593:Q593))</f>
        <v>255.90899999999996</v>
      </c>
    </row>
    <row r="590" spans="12:38" x14ac:dyDescent="0.35">
      <c r="L590" s="2">
        <f t="shared" si="39"/>
        <v>44652</v>
      </c>
      <c r="M590" s="5">
        <f>HAVERD!BA594/HAVERD!BB594</f>
        <v>80.959646044702112</v>
      </c>
      <c r="AJ590" s="2">
        <f t="shared" si="40"/>
        <v>44652</v>
      </c>
      <c r="AK590" s="2"/>
      <c r="AL590" s="3">
        <f>IF(HAVERD!H594="",AL589,AVERAGE(HAVERD!H594:Q594))</f>
        <v>231.45</v>
      </c>
    </row>
    <row r="591" spans="12:38" x14ac:dyDescent="0.35">
      <c r="L591" s="2">
        <f t="shared" si="39"/>
        <v>44655</v>
      </c>
      <c r="M591" s="5">
        <f>HAVERD!BA595/HAVERD!BB595</f>
        <v>82.456541628545281</v>
      </c>
      <c r="AJ591" s="2">
        <f t="shared" si="40"/>
        <v>44655</v>
      </c>
      <c r="AK591" s="2"/>
      <c r="AL591" s="3">
        <f>IF(HAVERD!H595="",AL590,AVERAGE(HAVERD!H595:Q595))</f>
        <v>228.77299999999997</v>
      </c>
    </row>
    <row r="592" spans="12:38" x14ac:dyDescent="0.35">
      <c r="L592" s="2">
        <f t="shared" si="39"/>
        <v>44656</v>
      </c>
      <c r="M592" s="5">
        <f>HAVERD!BA596/HAVERD!BB596</f>
        <v>81.287174012505716</v>
      </c>
      <c r="AJ592" s="2">
        <f t="shared" si="40"/>
        <v>44656</v>
      </c>
      <c r="AK592" s="2"/>
      <c r="AL592" s="3">
        <f>IF(HAVERD!H596="",AL591,AVERAGE(HAVERD!H596:Q596))</f>
        <v>234.20900000000006</v>
      </c>
    </row>
    <row r="593" spans="12:38" x14ac:dyDescent="0.35">
      <c r="L593" s="2">
        <f t="shared" si="39"/>
        <v>44657</v>
      </c>
      <c r="M593" s="5">
        <f>HAVERD!BA597/HAVERD!BB597</f>
        <v>76.989460821750427</v>
      </c>
      <c r="AJ593" s="2">
        <f t="shared" si="40"/>
        <v>44657</v>
      </c>
      <c r="AK593" s="2"/>
      <c r="AL593" s="3">
        <f>IF(HAVERD!H597="",AL592,AVERAGE(HAVERD!H597:Q597))</f>
        <v>235.49599999999995</v>
      </c>
    </row>
    <row r="594" spans="12:38" x14ac:dyDescent="0.35">
      <c r="L594" s="2">
        <f t="shared" si="39"/>
        <v>44658</v>
      </c>
      <c r="M594" s="5">
        <f>HAVERD!BA598/HAVERD!BB598</f>
        <v>76.404408388183072</v>
      </c>
      <c r="AJ594" s="2">
        <f t="shared" si="40"/>
        <v>44658</v>
      </c>
      <c r="AK594" s="2"/>
      <c r="AL594" s="3">
        <f>IF(HAVERD!H598="",AL593,AVERAGE(HAVERD!H598:Q598))</f>
        <v>230.779</v>
      </c>
    </row>
    <row r="595" spans="12:38" x14ac:dyDescent="0.35">
      <c r="L595" s="2">
        <f t="shared" si="39"/>
        <v>44659</v>
      </c>
      <c r="M595" s="5">
        <f>HAVERD!BA599/HAVERD!BB599</f>
        <v>77.850388252479434</v>
      </c>
      <c r="AJ595" s="2">
        <f t="shared" si="40"/>
        <v>44659</v>
      </c>
      <c r="AK595" s="2"/>
      <c r="AL595" s="3">
        <f>IF(HAVERD!H599="",AL594,AVERAGE(HAVERD!H599:Q599))</f>
        <v>232.63500000000005</v>
      </c>
    </row>
    <row r="596" spans="12:38" x14ac:dyDescent="0.35">
      <c r="L596" s="2">
        <f t="shared" si="39"/>
        <v>44662</v>
      </c>
      <c r="M596" s="5">
        <f>HAVERD!BA600/HAVERD!BB600</f>
        <v>75.086266390614213</v>
      </c>
      <c r="AJ596" s="2">
        <f t="shared" si="40"/>
        <v>44662</v>
      </c>
      <c r="AK596" s="2"/>
      <c r="AL596" s="3">
        <f>IF(HAVERD!H600="",AL595,AVERAGE(HAVERD!H600:Q600))</f>
        <v>228.26800000000003</v>
      </c>
    </row>
    <row r="597" spans="12:38" x14ac:dyDescent="0.35">
      <c r="L597" s="2">
        <f t="shared" si="39"/>
        <v>44663</v>
      </c>
      <c r="M597" s="5">
        <f>HAVERD!BA601/HAVERD!BB601</f>
        <v>80.088970701027762</v>
      </c>
      <c r="AJ597" s="2">
        <f t="shared" si="40"/>
        <v>44663</v>
      </c>
      <c r="AK597" s="2"/>
      <c r="AL597" s="3">
        <f>IF(HAVERD!H601="",AL596,AVERAGE(HAVERD!H601:Q601))</f>
        <v>233.36099999999996</v>
      </c>
    </row>
    <row r="598" spans="12:38" x14ac:dyDescent="0.35">
      <c r="L598" s="2">
        <f t="shared" si="39"/>
        <v>44664</v>
      </c>
      <c r="M598" s="5">
        <f>HAVERD!BA602/HAVERD!BB602</f>
        <v>83.21061512501916</v>
      </c>
      <c r="AJ598" s="2">
        <f t="shared" si="40"/>
        <v>44664</v>
      </c>
      <c r="AK598" s="2"/>
      <c r="AL598" s="3">
        <f>IF(HAVERD!H602="",AL597,AVERAGE(HAVERD!H602:Q602))</f>
        <v>238.733</v>
      </c>
    </row>
    <row r="599" spans="12:38" x14ac:dyDescent="0.35">
      <c r="L599" s="2">
        <f t="shared" si="39"/>
        <v>44665</v>
      </c>
      <c r="M599" s="5">
        <f>HAVERD!BA603/HAVERD!BB603</f>
        <v>84.940220723482526</v>
      </c>
      <c r="AJ599" s="2">
        <f t="shared" si="40"/>
        <v>44665</v>
      </c>
      <c r="AK599" s="2"/>
      <c r="AL599" s="3">
        <f>IF(HAVERD!H603="",AL598,AVERAGE(HAVERD!H603:Q603))</f>
        <v>217.75200000000001</v>
      </c>
    </row>
    <row r="600" spans="12:38" x14ac:dyDescent="0.35">
      <c r="L600" s="2">
        <f t="shared" si="39"/>
        <v>44666</v>
      </c>
      <c r="M600" s="5" t="e">
        <f>HAVERD!BA604/HAVERD!BB604</f>
        <v>#N/A</v>
      </c>
      <c r="AJ600" s="2">
        <f t="shared" si="40"/>
        <v>44666</v>
      </c>
      <c r="AK600" s="2"/>
      <c r="AL600" s="3" t="e">
        <f>IF(HAVERD!H604="",AL599,AVERAGE(HAVERD!H604:Q604))</f>
        <v>#N/A</v>
      </c>
    </row>
    <row r="601" spans="12:38" x14ac:dyDescent="0.35">
      <c r="L601" s="2">
        <f t="shared" si="39"/>
        <v>44669</v>
      </c>
      <c r="M601" s="5" t="e">
        <f>HAVERD!BA605/HAVERD!BB605</f>
        <v>#N/A</v>
      </c>
      <c r="AJ601" s="2">
        <f t="shared" si="40"/>
        <v>44669</v>
      </c>
      <c r="AK601" s="2"/>
      <c r="AL601" s="3">
        <f>IF(HAVERD!H605="",AL600,AVERAGE(HAVERD!H605:Q605))</f>
        <v>217.75200000000001</v>
      </c>
    </row>
    <row r="602" spans="12:38" x14ac:dyDescent="0.35">
      <c r="L602" s="2">
        <f t="shared" si="39"/>
        <v>44670</v>
      </c>
      <c r="M602" s="5">
        <f>HAVERD!BA606/HAVERD!BB606</f>
        <v>81.208622016936104</v>
      </c>
      <c r="AJ602" s="2">
        <f t="shared" si="40"/>
        <v>44670</v>
      </c>
      <c r="AK602" s="2"/>
      <c r="AL602" s="3">
        <f>IF(HAVERD!H606="",AL601,AVERAGE(HAVERD!H606:Q606))</f>
        <v>218.03400000000002</v>
      </c>
    </row>
    <row r="603" spans="12:38" x14ac:dyDescent="0.35">
      <c r="L603" s="2">
        <f t="shared" si="39"/>
        <v>44671</v>
      </c>
      <c r="M603" s="5">
        <f>HAVERD!BA607/HAVERD!BB607</f>
        <v>80.510423053341512</v>
      </c>
      <c r="AJ603" s="2">
        <f t="shared" si="40"/>
        <v>44671</v>
      </c>
      <c r="AK603" s="2"/>
      <c r="AL603" s="3">
        <f>IF(HAVERD!H607="",AL602,AVERAGE(HAVERD!H607:Q607))</f>
        <v>220.78000000000003</v>
      </c>
    </row>
    <row r="604" spans="12:38" x14ac:dyDescent="0.35">
      <c r="L604" s="2">
        <f t="shared" si="39"/>
        <v>44672</v>
      </c>
      <c r="M604" s="5">
        <f>HAVERD!BA608/HAVERD!BB608</f>
        <v>82.265367201289237</v>
      </c>
      <c r="AJ604" s="2">
        <f t="shared" si="40"/>
        <v>44672</v>
      </c>
      <c r="AK604" s="2"/>
      <c r="AL604" s="3">
        <f>IF(HAVERD!H608="",AL603,AVERAGE(HAVERD!H608:Q608))</f>
        <v>229.86399999999995</v>
      </c>
    </row>
    <row r="605" spans="12:38" x14ac:dyDescent="0.35">
      <c r="L605" s="2">
        <f t="shared" si="39"/>
        <v>44673</v>
      </c>
      <c r="M605" s="5">
        <f>HAVERD!BA609/HAVERD!BB609</f>
        <v>81.873394066806824</v>
      </c>
      <c r="AJ605" s="2">
        <f t="shared" si="40"/>
        <v>44673</v>
      </c>
      <c r="AK605" s="2"/>
      <c r="AL605" s="3">
        <f>IF(HAVERD!H609="",AL604,AVERAGE(HAVERD!H609:Q609))</f>
        <v>220.75200000000004</v>
      </c>
    </row>
    <row r="606" spans="12:38" x14ac:dyDescent="0.35">
      <c r="L606" s="2">
        <f t="shared" si="39"/>
        <v>44676</v>
      </c>
      <c r="M606" s="5">
        <f>HAVERD!BA610/HAVERD!BB610</f>
        <v>78.06086341118187</v>
      </c>
      <c r="AJ606" s="2">
        <f t="shared" si="40"/>
        <v>44676</v>
      </c>
      <c r="AK606" s="2"/>
      <c r="AL606" s="3">
        <f>IF(HAVERD!H610="",AL605,AVERAGE(HAVERD!H610:Q610))</f>
        <v>214.68699999999998</v>
      </c>
    </row>
    <row r="607" spans="12:38" x14ac:dyDescent="0.35">
      <c r="L607" s="2">
        <f t="shared" si="39"/>
        <v>44677</v>
      </c>
      <c r="M607" s="5">
        <f>HAVERD!BA611/HAVERD!BB611</f>
        <v>81.52285872751763</v>
      </c>
      <c r="AJ607" s="2">
        <f t="shared" si="40"/>
        <v>44677</v>
      </c>
      <c r="AK607" s="2"/>
      <c r="AL607" s="3">
        <f>IF(HAVERD!H611="",AL606,AVERAGE(HAVERD!H611:Q611))</f>
        <v>226.39899999999997</v>
      </c>
    </row>
    <row r="608" spans="12:38" x14ac:dyDescent="0.35">
      <c r="L608" s="2">
        <f t="shared" si="39"/>
        <v>44678</v>
      </c>
      <c r="M608" s="5">
        <f>HAVERD!BA612/HAVERD!BB612</f>
        <v>82.620171158921863</v>
      </c>
      <c r="AJ608" s="2">
        <f t="shared" si="40"/>
        <v>44678</v>
      </c>
      <c r="AK608" s="2"/>
      <c r="AL608" s="3">
        <f>IF(HAVERD!H612="",AL607,AVERAGE(HAVERD!H612:Q612))</f>
        <v>235.15099999999998</v>
      </c>
    </row>
    <row r="609" spans="12:38" x14ac:dyDescent="0.35">
      <c r="L609" s="2">
        <f t="shared" si="39"/>
        <v>44679</v>
      </c>
      <c r="M609" s="5">
        <f>HAVERD!BA613/HAVERD!BB613</f>
        <v>85.038990272529944</v>
      </c>
      <c r="AJ609" s="2">
        <f t="shared" si="40"/>
        <v>44679</v>
      </c>
      <c r="AK609" s="2"/>
      <c r="AL609" s="3">
        <f>IF(HAVERD!H613="",AL608,AVERAGE(HAVERD!H613:Q613))</f>
        <v>219.95599999999999</v>
      </c>
    </row>
    <row r="610" spans="12:38" x14ac:dyDescent="0.35">
      <c r="L610" s="2">
        <f t="shared" si="39"/>
        <v>44680</v>
      </c>
      <c r="M610" s="5">
        <f>HAVERD!BA614/HAVERD!BB614</f>
        <v>86.30136986301369</v>
      </c>
      <c r="AJ610" s="2">
        <f t="shared" si="40"/>
        <v>44680</v>
      </c>
      <c r="AK610" s="2"/>
      <c r="AL610" s="3">
        <f>IF(HAVERD!H614="",AL609,AVERAGE(HAVERD!H614:Q614))</f>
        <v>208.56199999999998</v>
      </c>
    </row>
    <row r="611" spans="12:38" x14ac:dyDescent="0.35">
      <c r="L611" s="2">
        <f t="shared" si="39"/>
        <v>44683</v>
      </c>
      <c r="M611" s="5" t="e">
        <f>HAVERD!BA615/HAVERD!BB615</f>
        <v>#N/A</v>
      </c>
      <c r="AJ611" s="2">
        <f t="shared" si="40"/>
        <v>44683</v>
      </c>
      <c r="AK611" s="2"/>
      <c r="AL611" s="3">
        <f>IF(HAVERD!H615="",AL610,AVERAGE(HAVERD!H615:Q615))</f>
        <v>208.56199999999998</v>
      </c>
    </row>
    <row r="612" spans="12:38" x14ac:dyDescent="0.35">
      <c r="L612" s="2">
        <f t="shared" si="39"/>
        <v>44684</v>
      </c>
      <c r="M612" s="5">
        <f>HAVERD!BA616/HAVERD!BB616</f>
        <v>83.858078951574228</v>
      </c>
      <c r="AJ612" s="2">
        <f t="shared" si="40"/>
        <v>44684</v>
      </c>
      <c r="AK612" s="2"/>
      <c r="AL612" s="3">
        <f>IF(HAVERD!H616="",AL611,AVERAGE(HAVERD!H616:Q616))</f>
        <v>205.35</v>
      </c>
    </row>
    <row r="613" spans="12:38" x14ac:dyDescent="0.35">
      <c r="L613" s="2">
        <f t="shared" si="39"/>
        <v>44685</v>
      </c>
      <c r="M613" s="5">
        <f>HAVERD!BA617/HAVERD!BB617</f>
        <v>88.431074485958874</v>
      </c>
      <c r="AJ613" s="2">
        <f t="shared" si="40"/>
        <v>44685</v>
      </c>
      <c r="AK613" s="2"/>
      <c r="AL613" s="3">
        <f>IF(HAVERD!H617="",AL612,AVERAGE(HAVERD!H617:Q617))</f>
        <v>217.82199999999997</v>
      </c>
    </row>
    <row r="614" spans="12:38" x14ac:dyDescent="0.35">
      <c r="L614" s="2">
        <f t="shared" si="39"/>
        <v>44686</v>
      </c>
      <c r="M614" s="5">
        <f>HAVERD!BA618/HAVERD!BB618</f>
        <v>90.601260707935992</v>
      </c>
      <c r="AJ614" s="2">
        <f t="shared" si="40"/>
        <v>44686</v>
      </c>
      <c r="AK614" s="2"/>
      <c r="AL614" s="3">
        <f>IF(HAVERD!H618="",AL613,AVERAGE(HAVERD!H618:Q618))</f>
        <v>225.72499999999997</v>
      </c>
    </row>
    <row r="615" spans="12:38" x14ac:dyDescent="0.35">
      <c r="L615" s="2">
        <f t="shared" si="39"/>
        <v>44687</v>
      </c>
      <c r="M615" s="5">
        <f>HAVERD!BA619/HAVERD!BB619</f>
        <v>92.194331983805654</v>
      </c>
      <c r="AJ615" s="2">
        <f t="shared" si="40"/>
        <v>44687</v>
      </c>
      <c r="AK615" s="2"/>
      <c r="AL615" s="3">
        <f>IF(HAVERD!H619="",AL614,AVERAGE(HAVERD!H619:Q619))</f>
        <v>219.55</v>
      </c>
    </row>
    <row r="616" spans="12:38" x14ac:dyDescent="0.35">
      <c r="L616" s="2">
        <f t="shared" si="39"/>
        <v>44690</v>
      </c>
      <c r="M616" s="5">
        <f>HAVERD!BA620/HAVERD!BB620</f>
        <v>86.681293677880717</v>
      </c>
      <c r="AJ616" s="2">
        <f t="shared" si="40"/>
        <v>44690</v>
      </c>
      <c r="AK616" s="2"/>
      <c r="AL616" s="3">
        <f>IF(HAVERD!H620="",AL615,AVERAGE(HAVERD!H620:Q620))</f>
        <v>206.744</v>
      </c>
    </row>
    <row r="617" spans="12:38" x14ac:dyDescent="0.35">
      <c r="L617" s="2">
        <f t="shared" si="39"/>
        <v>44691</v>
      </c>
      <c r="M617" s="5">
        <f>HAVERD!BA621/HAVERD!BB621</f>
        <v>83.334686916267358</v>
      </c>
      <c r="AJ617" s="2">
        <f t="shared" si="40"/>
        <v>44691</v>
      </c>
      <c r="AK617" s="2"/>
      <c r="AL617" s="3">
        <f>IF(HAVERD!H621="",AL616,AVERAGE(HAVERD!H621:Q621))</f>
        <v>212.74200000000002</v>
      </c>
    </row>
    <row r="618" spans="12:38" x14ac:dyDescent="0.35">
      <c r="L618" s="2">
        <f t="shared" si="39"/>
        <v>44692</v>
      </c>
      <c r="M618" s="5">
        <f>HAVERD!BA622/HAVERD!BB622</f>
        <v>87.277147487844417</v>
      </c>
      <c r="AJ618" s="2">
        <f t="shared" si="40"/>
        <v>44692</v>
      </c>
      <c r="AK618" s="2"/>
      <c r="AL618" s="3">
        <f>IF(HAVERD!H622="",AL617,AVERAGE(HAVERD!H622:Q622))</f>
        <v>210.86100000000002</v>
      </c>
    </row>
    <row r="619" spans="12:38" x14ac:dyDescent="0.35">
      <c r="L619" s="2">
        <f t="shared" si="39"/>
        <v>44693</v>
      </c>
      <c r="M619" s="5">
        <f>HAVERD!BA623/HAVERD!BB623</f>
        <v>88.370951913640823</v>
      </c>
      <c r="AJ619" s="2">
        <f t="shared" si="40"/>
        <v>44693</v>
      </c>
      <c r="AK619" s="2"/>
      <c r="AL619" s="3">
        <f>IF(HAVERD!H623="",AL618,AVERAGE(HAVERD!H623:Q623))</f>
        <v>231.14700000000002</v>
      </c>
    </row>
    <row r="620" spans="12:38" x14ac:dyDescent="0.35">
      <c r="L620" s="2">
        <f t="shared" si="39"/>
        <v>44694</v>
      </c>
      <c r="M620" s="5">
        <f>HAVERD!BA624/HAVERD!BB624</f>
        <v>91.751227495908353</v>
      </c>
      <c r="AJ620" s="2">
        <f t="shared" si="40"/>
        <v>44694</v>
      </c>
      <c r="AK620" s="2"/>
      <c r="AL620" s="3">
        <f>IF(HAVERD!H624="",AL619,AVERAGE(HAVERD!H624:Q624))</f>
        <v>218.20500000000001</v>
      </c>
    </row>
    <row r="621" spans="12:38" x14ac:dyDescent="0.35">
      <c r="L621" s="2">
        <f t="shared" si="39"/>
        <v>44697</v>
      </c>
      <c r="M621" s="5">
        <f>HAVERD!BA625/HAVERD!BB625</f>
        <v>93.763265306122449</v>
      </c>
      <c r="AJ621" s="2">
        <f t="shared" si="40"/>
        <v>44697</v>
      </c>
      <c r="AK621" s="2"/>
      <c r="AL621" s="3">
        <f>IF(HAVERD!H625="",AL620,AVERAGE(HAVERD!H625:Q625))</f>
        <v>210.61499999999995</v>
      </c>
    </row>
    <row r="622" spans="12:38" x14ac:dyDescent="0.35">
      <c r="L622" s="2">
        <f t="shared" si="39"/>
        <v>44698</v>
      </c>
      <c r="M622" s="5">
        <f>HAVERD!BA626/HAVERD!BB626</f>
        <v>90.529270248596617</v>
      </c>
      <c r="AJ622" s="2">
        <f t="shared" si="40"/>
        <v>44698</v>
      </c>
      <c r="AK622" s="2"/>
      <c r="AL622" s="3">
        <f>IF(HAVERD!H626="",AL621,AVERAGE(HAVERD!H626:Q626))</f>
        <v>217.39699999999999</v>
      </c>
    </row>
    <row r="623" spans="12:38" x14ac:dyDescent="0.35">
      <c r="L623" s="2">
        <f t="shared" si="39"/>
        <v>44699</v>
      </c>
      <c r="M623" s="5">
        <f>HAVERD!BA627/HAVERD!BB627</f>
        <v>88.648997019254011</v>
      </c>
      <c r="AJ623" s="2">
        <f t="shared" si="40"/>
        <v>44699</v>
      </c>
      <c r="AK623" s="2"/>
      <c r="AL623" s="3">
        <f>IF(HAVERD!H627="",AL622,AVERAGE(HAVERD!H627:Q627))</f>
        <v>215.34399999999999</v>
      </c>
    </row>
    <row r="624" spans="12:38" x14ac:dyDescent="0.35">
      <c r="L624" s="2">
        <f t="shared" si="39"/>
        <v>44700</v>
      </c>
      <c r="M624" s="5">
        <f>HAVERD!BA628/HAVERD!BB628</f>
        <v>90.655777083833783</v>
      </c>
      <c r="AJ624" s="2">
        <f t="shared" si="40"/>
        <v>44700</v>
      </c>
      <c r="AK624" s="2"/>
      <c r="AL624" s="3">
        <f>IF(HAVERD!H628="",AL623,AVERAGE(HAVERD!H628:Q628))</f>
        <v>209.50700000000001</v>
      </c>
    </row>
    <row r="625" spans="12:38" x14ac:dyDescent="0.35">
      <c r="L625" s="2">
        <f t="shared" si="39"/>
        <v>44701</v>
      </c>
      <c r="M625" s="5">
        <f>HAVERD!BA629/HAVERD!BB629</f>
        <v>91.151933258463018</v>
      </c>
      <c r="AJ625" s="2">
        <f t="shared" si="40"/>
        <v>44701</v>
      </c>
      <c r="AK625" s="2"/>
      <c r="AL625" s="3">
        <f>IF(HAVERD!H629="",AL624,AVERAGE(HAVERD!H629:Q629))</f>
        <v>204.85599999999999</v>
      </c>
    </row>
    <row r="626" spans="12:38" x14ac:dyDescent="0.35">
      <c r="L626" s="2">
        <f t="shared" ref="L626:L653" si="41">+L621+7</f>
        <v>44704</v>
      </c>
      <c r="M626" s="5">
        <f>HAVERD!BA630/HAVERD!BB630</f>
        <v>91.583803993317943</v>
      </c>
      <c r="AJ626" s="2">
        <f t="shared" si="40"/>
        <v>44704</v>
      </c>
      <c r="AK626" s="2"/>
      <c r="AL626" s="3">
        <f>IF(HAVERD!H630="",AL625,AVERAGE(HAVERD!H630:Q630))</f>
        <v>197.74</v>
      </c>
    </row>
    <row r="627" spans="12:38" x14ac:dyDescent="0.35">
      <c r="L627" s="2">
        <f t="shared" si="41"/>
        <v>44705</v>
      </c>
      <c r="M627" s="5">
        <f>HAVERD!BA631/HAVERD!BB631</f>
        <v>92.431137724550894</v>
      </c>
      <c r="AJ627" s="2">
        <f t="shared" si="40"/>
        <v>44705</v>
      </c>
      <c r="AK627" s="2"/>
      <c r="AL627" s="3">
        <f>IF(HAVERD!H631="",AL626,AVERAGE(HAVERD!H631:Q631))</f>
        <v>203.71599999999998</v>
      </c>
    </row>
    <row r="628" spans="12:38" x14ac:dyDescent="0.35">
      <c r="L628" s="2">
        <f t="shared" si="41"/>
        <v>44706</v>
      </c>
      <c r="M628" s="5">
        <f>HAVERD!BA632/HAVERD!BB632</f>
        <v>92.793941809485858</v>
      </c>
      <c r="AJ628" s="2">
        <f t="shared" si="40"/>
        <v>44706</v>
      </c>
      <c r="AK628" s="2"/>
      <c r="AL628" s="3">
        <f>IF(HAVERD!H632="",AL627,AVERAGE(HAVERD!H632:Q632))</f>
        <v>211.946</v>
      </c>
    </row>
    <row r="629" spans="12:38" x14ac:dyDescent="0.35">
      <c r="L629" s="2">
        <f t="shared" si="41"/>
        <v>44707</v>
      </c>
      <c r="M629" s="5">
        <f>HAVERD!BA633/HAVERD!BB633</f>
        <v>95.291497653702379</v>
      </c>
      <c r="AJ629" s="2">
        <f t="shared" si="40"/>
        <v>44707</v>
      </c>
      <c r="AK629" s="2"/>
      <c r="AL629" s="3">
        <f>IF(HAVERD!H633="",AL628,AVERAGE(HAVERD!H633:Q633))</f>
        <v>211.36399999999998</v>
      </c>
    </row>
    <row r="630" spans="12:38" x14ac:dyDescent="0.35">
      <c r="L630" s="2">
        <f t="shared" si="41"/>
        <v>44708</v>
      </c>
      <c r="M630" s="5">
        <f>HAVERD!BA634/HAVERD!BB634</f>
        <v>96.068172810146649</v>
      </c>
      <c r="AJ630" s="2">
        <f t="shared" si="40"/>
        <v>44708</v>
      </c>
      <c r="AK630" s="2"/>
      <c r="AL630" s="3">
        <f>IF(HAVERD!H634="",AL629,AVERAGE(HAVERD!H634:Q634))</f>
        <v>217.33099999999999</v>
      </c>
    </row>
    <row r="631" spans="12:38" x14ac:dyDescent="0.35">
      <c r="L631" s="2">
        <f t="shared" si="41"/>
        <v>44711</v>
      </c>
      <c r="M631" s="5">
        <f>HAVERD!BA635/HAVERD!BB635</f>
        <v>97.256483238456681</v>
      </c>
      <c r="AJ631" s="2">
        <f t="shared" si="40"/>
        <v>44711</v>
      </c>
      <c r="AK631" s="2"/>
      <c r="AL631" s="3">
        <f>IF(HAVERD!H635="",AL630,AVERAGE(HAVERD!H635:Q635))</f>
        <v>219.64099999999999</v>
      </c>
    </row>
    <row r="632" spans="12:38" x14ac:dyDescent="0.35">
      <c r="L632" s="2">
        <f t="shared" si="41"/>
        <v>44712</v>
      </c>
      <c r="M632" s="5">
        <f>HAVERD!BA636/HAVERD!BB636</f>
        <v>99.619077850964217</v>
      </c>
      <c r="AJ632" s="2">
        <f t="shared" si="40"/>
        <v>44712</v>
      </c>
      <c r="AK632" s="2"/>
      <c r="AL632" s="3">
        <f>IF(HAVERD!H636="",AL631,AVERAGE(HAVERD!H636:Q636))</f>
        <v>219.36500000000001</v>
      </c>
    </row>
    <row r="633" spans="12:38" x14ac:dyDescent="0.35">
      <c r="L633" s="2">
        <f t="shared" si="41"/>
        <v>44713</v>
      </c>
      <c r="M633" s="5">
        <f>HAVERD!BA637/HAVERD!BB637</f>
        <v>97.791293213828425</v>
      </c>
      <c r="AJ633" s="2">
        <f t="shared" si="40"/>
        <v>44713</v>
      </c>
      <c r="AK633" s="2"/>
      <c r="AL633" s="3">
        <f>IF(HAVERD!H637="",AL632,AVERAGE(HAVERD!H637:Q637))</f>
        <v>214.64499999999998</v>
      </c>
    </row>
    <row r="634" spans="12:38" x14ac:dyDescent="0.35">
      <c r="L634" s="2">
        <f t="shared" si="41"/>
        <v>44714</v>
      </c>
      <c r="M634" s="5" t="e">
        <f>HAVERD!BA638/HAVERD!BB638</f>
        <v>#N/A</v>
      </c>
      <c r="AJ634" s="2">
        <f t="shared" si="40"/>
        <v>44714</v>
      </c>
      <c r="AK634" s="2"/>
      <c r="AL634" s="3">
        <f>IF(HAVERD!H638="",AL633,AVERAGE(HAVERD!H638:Q638))</f>
        <v>214.64499999999998</v>
      </c>
    </row>
    <row r="635" spans="12:38" x14ac:dyDescent="0.35">
      <c r="L635" s="2">
        <f t="shared" si="41"/>
        <v>44715</v>
      </c>
      <c r="M635" s="5" t="e">
        <f>HAVERD!BA639/HAVERD!BB639</f>
        <v>#N/A</v>
      </c>
      <c r="AJ635" s="2">
        <f t="shared" si="40"/>
        <v>44715</v>
      </c>
      <c r="AK635" s="2"/>
      <c r="AL635" s="3">
        <f>IF(HAVERD!H639="",AL634,AVERAGE(HAVERD!H639:Q639))</f>
        <v>214.64499999999998</v>
      </c>
    </row>
    <row r="636" spans="12:38" x14ac:dyDescent="0.35">
      <c r="L636" s="2">
        <f t="shared" si="41"/>
        <v>44718</v>
      </c>
      <c r="M636" s="5">
        <f>HAVERD!BA640/HAVERD!BB640</f>
        <v>99.538106235565806</v>
      </c>
      <c r="AJ636" s="2">
        <f t="shared" si="40"/>
        <v>44718</v>
      </c>
      <c r="AK636" s="2"/>
      <c r="AL636" s="3">
        <f>IF(HAVERD!H640="",AL635,AVERAGE(HAVERD!H640:Q640))</f>
        <v>216.56800000000004</v>
      </c>
    </row>
    <row r="637" spans="12:38" x14ac:dyDescent="0.35">
      <c r="L637" s="2">
        <f t="shared" si="41"/>
        <v>44719</v>
      </c>
      <c r="M637" s="5">
        <f>HAVERD!BA641/HAVERD!BB641</f>
        <v>100.8664546899841</v>
      </c>
      <c r="AJ637" s="2">
        <f t="shared" si="40"/>
        <v>44719</v>
      </c>
      <c r="AK637" s="2"/>
      <c r="AL637" s="3">
        <f>IF(HAVERD!H641="",AL636,AVERAGE(HAVERD!H641:Q641))</f>
        <v>212.74299999999999</v>
      </c>
    </row>
    <row r="638" spans="12:38" x14ac:dyDescent="0.35">
      <c r="L638" s="2">
        <f t="shared" si="41"/>
        <v>44720</v>
      </c>
      <c r="M638" s="5">
        <f>HAVERD!BA642/HAVERD!BB642</f>
        <v>102.95641086939199</v>
      </c>
      <c r="AJ638" s="2">
        <f t="shared" si="40"/>
        <v>44720</v>
      </c>
      <c r="AK638" s="2"/>
      <c r="AL638" s="3">
        <f>IF(HAVERD!H642="",AL637,AVERAGE(HAVERD!H642:Q642))</f>
        <v>211.85100000000003</v>
      </c>
    </row>
    <row r="639" spans="12:38" x14ac:dyDescent="0.35">
      <c r="L639" s="2">
        <f t="shared" si="41"/>
        <v>44721</v>
      </c>
      <c r="M639" s="5">
        <f>HAVERD!BA643/HAVERD!BB643</f>
        <v>102.4481658692185</v>
      </c>
      <c r="AJ639" s="2">
        <f t="shared" si="40"/>
        <v>44721</v>
      </c>
      <c r="AK639" s="2"/>
      <c r="AL639" s="3">
        <f>IF(HAVERD!H643="",AL638,AVERAGE(HAVERD!H643:Q643))</f>
        <v>215.006</v>
      </c>
    </row>
    <row r="640" spans="12:38" x14ac:dyDescent="0.35">
      <c r="L640" s="2">
        <f t="shared" si="41"/>
        <v>44722</v>
      </c>
      <c r="M640" s="5">
        <f>HAVERD!BA644/HAVERD!BB644</f>
        <v>103.25717063684978</v>
      </c>
      <c r="AJ640" s="2">
        <f t="shared" si="40"/>
        <v>44722</v>
      </c>
      <c r="AK640" s="2"/>
      <c r="AL640" s="3">
        <f>IF(HAVERD!H644="",AL639,AVERAGE(HAVERD!H644:Q644))</f>
        <v>215.00399999999999</v>
      </c>
    </row>
    <row r="641" spans="12:38" x14ac:dyDescent="0.35">
      <c r="L641" s="2">
        <f t="shared" si="41"/>
        <v>44725</v>
      </c>
      <c r="M641" s="5">
        <f>HAVERD!BA645/HAVERD!BB645</f>
        <v>105.87750391558815</v>
      </c>
      <c r="AJ641" s="2">
        <f t="shared" si="40"/>
        <v>44725</v>
      </c>
      <c r="AK641" s="2"/>
      <c r="AL641" s="3">
        <f>IF(HAVERD!H645="",AL640,AVERAGE(HAVERD!H645:Q645))</f>
        <v>216.56399999999999</v>
      </c>
    </row>
    <row r="642" spans="12:38" x14ac:dyDescent="0.35">
      <c r="L642" s="2">
        <f t="shared" si="41"/>
        <v>44726</v>
      </c>
      <c r="M642" s="5">
        <f>HAVERD!BA646/HAVERD!BB646</f>
        <v>105.84117990167486</v>
      </c>
      <c r="AJ642" s="2">
        <f t="shared" si="40"/>
        <v>44726</v>
      </c>
      <c r="AK642" s="2"/>
      <c r="AL642" s="3">
        <f>IF(HAVERD!H646="",AL641,AVERAGE(HAVERD!H646:Q646))</f>
        <v>233.49600000000004</v>
      </c>
    </row>
    <row r="643" spans="12:38" x14ac:dyDescent="0.35">
      <c r="L643" s="2">
        <f t="shared" si="41"/>
        <v>44727</v>
      </c>
      <c r="M643" s="5">
        <f>HAVERD!BA647/HAVERD!BB647</f>
        <v>103.56373280291729</v>
      </c>
      <c r="AJ643" s="2">
        <f t="shared" si="40"/>
        <v>44727</v>
      </c>
      <c r="AK643" s="2"/>
      <c r="AL643" s="3">
        <f>IF(HAVERD!H647="",AL642,AVERAGE(HAVERD!H647:Q647))</f>
        <v>259.71600000000001</v>
      </c>
    </row>
    <row r="644" spans="12:38" x14ac:dyDescent="0.35">
      <c r="L644" s="2">
        <f t="shared" si="41"/>
        <v>44728</v>
      </c>
      <c r="M644" s="5">
        <f>HAVERD!BA648/HAVERD!BB648</f>
        <v>102.47678018575851</v>
      </c>
      <c r="AJ644" s="2">
        <f t="shared" si="40"/>
        <v>44728</v>
      </c>
      <c r="AK644" s="2"/>
      <c r="AL644" s="3">
        <f>IF(HAVERD!H648="",AL643,AVERAGE(HAVERD!H648:Q648))</f>
        <v>261.60099999999994</v>
      </c>
    </row>
    <row r="645" spans="12:38" x14ac:dyDescent="0.35">
      <c r="L645" s="2">
        <f t="shared" si="41"/>
        <v>44729</v>
      </c>
      <c r="M645" s="5">
        <f>HAVERD!BA649/HAVERD!BB649</f>
        <v>97.865703496962738</v>
      </c>
      <c r="AJ645" s="2">
        <f t="shared" si="40"/>
        <v>44729</v>
      </c>
      <c r="AK645" s="2"/>
      <c r="AL645" s="3">
        <f>IF(HAVERD!H649="",AL644,AVERAGE(HAVERD!H649:Q649))</f>
        <v>244.65400000000005</v>
      </c>
    </row>
    <row r="646" spans="12:38" x14ac:dyDescent="0.35">
      <c r="L646" s="2">
        <f t="shared" si="41"/>
        <v>44732</v>
      </c>
      <c r="M646" s="5">
        <f>HAVERD!BA650/HAVERD!BB650</f>
        <v>96.491228070175438</v>
      </c>
      <c r="AJ646" s="2">
        <f t="shared" si="40"/>
        <v>44732</v>
      </c>
      <c r="AK646" s="2"/>
      <c r="AL646" s="3">
        <f>IF(HAVERD!H650="",AL645,AVERAGE(HAVERD!H650:Q650))</f>
        <v>249.18899999999999</v>
      </c>
    </row>
    <row r="647" spans="12:38" x14ac:dyDescent="0.35">
      <c r="L647" s="2">
        <f t="shared" si="41"/>
        <v>44733</v>
      </c>
      <c r="M647" s="5">
        <f>HAVERD!BA651/HAVERD!BB651</f>
        <v>96.490799544048201</v>
      </c>
      <c r="AJ647" s="2">
        <f t="shared" si="40"/>
        <v>44733</v>
      </c>
      <c r="AK647" s="2"/>
      <c r="AL647" s="3">
        <f>IF(HAVERD!H651="",AL646,AVERAGE(HAVERD!H651:Q651))</f>
        <v>260.31200000000001</v>
      </c>
    </row>
    <row r="648" spans="12:38" x14ac:dyDescent="0.35">
      <c r="L648" s="2">
        <f t="shared" si="41"/>
        <v>44734</v>
      </c>
      <c r="M648" s="5">
        <f>HAVERD!BA652/HAVERD!BB652</f>
        <v>94.287579565856049</v>
      </c>
      <c r="AJ648" s="2">
        <f t="shared" si="40"/>
        <v>44734</v>
      </c>
      <c r="AK648" s="2"/>
      <c r="AL648" s="3">
        <f>IF(HAVERD!H652="",AL647,AVERAGE(HAVERD!H652:Q652))</f>
        <v>266.74299999999999</v>
      </c>
    </row>
    <row r="649" spans="12:38" x14ac:dyDescent="0.35">
      <c r="L649" s="2">
        <f t="shared" si="41"/>
        <v>44735</v>
      </c>
      <c r="M649" s="5">
        <f>HAVERD!BA653/HAVERD!BB653</f>
        <v>93.530468877634377</v>
      </c>
      <c r="AJ649" s="2">
        <f t="shared" ref="AJ649:AJ712" si="42">+AJ644+7</f>
        <v>44735</v>
      </c>
      <c r="AK649" s="2"/>
      <c r="AL649" s="3">
        <f>IF(HAVERD!H653="",AL648,AVERAGE(HAVERD!H653:Q653))</f>
        <v>280.81999999999994</v>
      </c>
    </row>
    <row r="650" spans="12:38" x14ac:dyDescent="0.35">
      <c r="L650" s="2">
        <f t="shared" si="41"/>
        <v>44736</v>
      </c>
      <c r="M650" s="5">
        <f>HAVERD!BA654/HAVERD!BB654</f>
        <v>95.507812500000014</v>
      </c>
      <c r="AJ650" s="2">
        <f t="shared" si="42"/>
        <v>44736</v>
      </c>
      <c r="AK650" s="2"/>
      <c r="AL650" s="3">
        <f>IF(HAVERD!H654="",AL649,AVERAGE(HAVERD!H654:Q654))</f>
        <v>272.95499999999998</v>
      </c>
    </row>
    <row r="651" spans="12:38" x14ac:dyDescent="0.35">
      <c r="L651" s="2">
        <f t="shared" si="41"/>
        <v>44739</v>
      </c>
      <c r="M651" s="5">
        <f>HAVERD!BA655/HAVERD!BB655</f>
        <v>97.285214988214264</v>
      </c>
      <c r="AJ651" s="2">
        <f t="shared" si="42"/>
        <v>44739</v>
      </c>
      <c r="AK651" s="2"/>
      <c r="AL651" s="3">
        <f>IF(HAVERD!H655="",AL650,AVERAGE(HAVERD!H655:Q655))</f>
        <v>275.21199999999999</v>
      </c>
    </row>
    <row r="652" spans="12:38" x14ac:dyDescent="0.35">
      <c r="L652" s="2">
        <f t="shared" si="41"/>
        <v>44740</v>
      </c>
      <c r="M652" s="5">
        <f>HAVERD!BA656/HAVERD!BB656</f>
        <v>100.16392099008277</v>
      </c>
      <c r="AJ652" s="2">
        <f t="shared" si="42"/>
        <v>44740</v>
      </c>
      <c r="AK652" s="2"/>
      <c r="AL652" s="3">
        <f>IF(HAVERD!H656="",AL651,AVERAGE(HAVERD!H656:Q656))</f>
        <v>275.81400000000008</v>
      </c>
    </row>
    <row r="653" spans="12:38" x14ac:dyDescent="0.35">
      <c r="L653" s="2">
        <f t="shared" si="41"/>
        <v>44741</v>
      </c>
      <c r="M653" s="5">
        <f>HAVERD!BA657/HAVERD!BB657</f>
        <v>99.661744080521416</v>
      </c>
      <c r="AJ653" s="2">
        <f t="shared" si="42"/>
        <v>44741</v>
      </c>
      <c r="AK653" s="2"/>
      <c r="AL653" s="3">
        <f>IF(HAVERD!H657="",AL652,AVERAGE(HAVERD!H657:Q657))</f>
        <v>292.07399999999996</v>
      </c>
    </row>
    <row r="654" spans="12:38" x14ac:dyDescent="0.35">
      <c r="L654" s="2">
        <f>+L649+7</f>
        <v>44742</v>
      </c>
      <c r="M654" s="5">
        <f>HAVERD!BA658/HAVERD!BB658</f>
        <v>98.641192456559338</v>
      </c>
      <c r="AJ654" s="2">
        <f t="shared" si="42"/>
        <v>44742</v>
      </c>
      <c r="AK654" s="2"/>
      <c r="AL654" s="3">
        <f>IF(HAVERD!H658="",AL653,AVERAGE(HAVERD!H658:Q658))</f>
        <v>287.65200000000004</v>
      </c>
    </row>
    <row r="655" spans="12:38" x14ac:dyDescent="0.35">
      <c r="L655" s="2">
        <f t="shared" ref="L655:L718" si="43">+L650+7</f>
        <v>44743</v>
      </c>
      <c r="M655" s="5">
        <f>HAVERD!BA659/HAVERD!BB659</f>
        <v>99.300291545189509</v>
      </c>
      <c r="AJ655" s="2">
        <f t="shared" si="42"/>
        <v>44743</v>
      </c>
      <c r="AK655" s="2"/>
      <c r="AL655" s="3">
        <f>IF(HAVERD!H659="",AL654,AVERAGE(HAVERD!H659:Q659))</f>
        <v>291.59800000000001</v>
      </c>
    </row>
    <row r="656" spans="12:38" x14ac:dyDescent="0.35">
      <c r="L656" s="2">
        <f t="shared" si="43"/>
        <v>44746</v>
      </c>
      <c r="M656" s="5">
        <f>HAVERD!BA660/HAVERD!BB660</f>
        <v>100.51993067590988</v>
      </c>
      <c r="AJ656" s="2">
        <f t="shared" si="42"/>
        <v>44746</v>
      </c>
      <c r="AK656" s="2"/>
      <c r="AL656" s="3">
        <f>IF(HAVERD!H660="",AL655,AVERAGE(HAVERD!H660:Q660))</f>
        <v>319.90200000000004</v>
      </c>
    </row>
    <row r="657" spans="12:38" x14ac:dyDescent="0.35">
      <c r="L657" s="2">
        <f t="shared" si="43"/>
        <v>44747</v>
      </c>
      <c r="M657" s="5">
        <f>HAVERD!BA661/HAVERD!BB661</f>
        <v>92.724068479355481</v>
      </c>
      <c r="AJ657" s="2">
        <f t="shared" si="42"/>
        <v>44747</v>
      </c>
      <c r="AK657" s="2"/>
      <c r="AL657" s="3">
        <f>IF(HAVERD!H661="",AL656,AVERAGE(HAVERD!H661:Q661))</f>
        <v>324.34700000000004</v>
      </c>
    </row>
    <row r="658" spans="12:38" x14ac:dyDescent="0.35">
      <c r="L658" s="2">
        <f t="shared" si="43"/>
        <v>44748</v>
      </c>
      <c r="M658" s="5">
        <f>HAVERD!BA662/HAVERD!BB662</f>
        <v>91.118200134318343</v>
      </c>
      <c r="AJ658" s="2">
        <f t="shared" si="42"/>
        <v>44748</v>
      </c>
      <c r="AK658" s="2"/>
      <c r="AL658" s="3">
        <f>IF(HAVERD!H662="",AL657,AVERAGE(HAVERD!H662:Q662))</f>
        <v>341.83600000000001</v>
      </c>
    </row>
    <row r="659" spans="12:38" x14ac:dyDescent="0.35">
      <c r="L659" s="2">
        <f t="shared" si="43"/>
        <v>44749</v>
      </c>
      <c r="M659" s="5">
        <f>HAVERD!BA663/HAVERD!BB663</f>
        <v>94.492125656195327</v>
      </c>
      <c r="AJ659" s="2">
        <f t="shared" si="42"/>
        <v>44749</v>
      </c>
      <c r="AK659" s="2"/>
      <c r="AL659" s="3">
        <f>IF(HAVERD!H663="",AL658,AVERAGE(HAVERD!H663:Q663))</f>
        <v>370.35399999999998</v>
      </c>
    </row>
    <row r="660" spans="12:38" x14ac:dyDescent="0.35">
      <c r="L660" s="2">
        <f t="shared" si="43"/>
        <v>44750</v>
      </c>
      <c r="M660" s="5">
        <f>HAVERD!BA664/HAVERD!BB664</f>
        <v>94.760914760914773</v>
      </c>
      <c r="AJ660" s="2">
        <f t="shared" si="42"/>
        <v>44750</v>
      </c>
      <c r="AK660" s="2"/>
      <c r="AL660" s="3">
        <f>IF(HAVERD!H664="",AL659,AVERAGE(HAVERD!H664:Q664))</f>
        <v>361.05599999999998</v>
      </c>
    </row>
    <row r="661" spans="12:38" x14ac:dyDescent="0.35">
      <c r="L661" s="2">
        <f t="shared" si="43"/>
        <v>44753</v>
      </c>
      <c r="M661" s="5">
        <f>HAVERD!BA665/HAVERD!BB665</f>
        <v>96.634413125788811</v>
      </c>
      <c r="AJ661" s="2">
        <f t="shared" si="42"/>
        <v>44753</v>
      </c>
      <c r="AK661" s="2"/>
      <c r="AL661" s="3">
        <f>IF(HAVERD!H665="",AL660,AVERAGE(HAVERD!H665:Q665))</f>
        <v>348.452</v>
      </c>
    </row>
    <row r="662" spans="12:38" x14ac:dyDescent="0.35">
      <c r="L662" s="2">
        <f t="shared" si="43"/>
        <v>44754</v>
      </c>
      <c r="M662" s="5">
        <f>HAVERD!BA666/HAVERD!BB666</f>
        <v>89.98990578734859</v>
      </c>
      <c r="AJ662" s="2">
        <f t="shared" si="42"/>
        <v>44754</v>
      </c>
      <c r="AK662" s="2"/>
      <c r="AL662" s="3">
        <f>IF(HAVERD!H666="",AL661,AVERAGE(HAVERD!H666:Q666))</f>
        <v>360.07299999999998</v>
      </c>
    </row>
    <row r="663" spans="12:38" x14ac:dyDescent="0.35">
      <c r="L663" s="2">
        <f t="shared" si="43"/>
        <v>44755</v>
      </c>
      <c r="M663" s="5">
        <f>HAVERD!BA667/HAVERD!BB667</f>
        <v>89.65199933076795</v>
      </c>
      <c r="AJ663" s="2">
        <f t="shared" si="42"/>
        <v>44755</v>
      </c>
      <c r="AK663" s="2"/>
      <c r="AL663" s="3">
        <f>IF(HAVERD!H667="",AL662,AVERAGE(HAVERD!H667:Q667))</f>
        <v>366.892</v>
      </c>
    </row>
    <row r="664" spans="12:38" x14ac:dyDescent="0.35">
      <c r="L664" s="2">
        <f t="shared" si="43"/>
        <v>44756</v>
      </c>
      <c r="M664" s="5">
        <f>HAVERD!BA668/HAVERD!BB668</f>
        <v>91.42129826050062</v>
      </c>
      <c r="AJ664" s="2">
        <f t="shared" si="42"/>
        <v>44756</v>
      </c>
      <c r="AK664" s="2"/>
      <c r="AL664" s="3">
        <f>IF(HAVERD!H668="",AL663,AVERAGE(HAVERD!H668:Q668))</f>
        <v>355.964</v>
      </c>
    </row>
    <row r="665" spans="12:38" x14ac:dyDescent="0.35">
      <c r="L665" s="2">
        <f t="shared" si="43"/>
        <v>44757</v>
      </c>
      <c r="M665" s="5">
        <f>HAVERD!BA669/HAVERD!BB669</f>
        <v>94.694221847321813</v>
      </c>
      <c r="AJ665" s="2">
        <f t="shared" si="42"/>
        <v>44757</v>
      </c>
      <c r="AK665" s="2"/>
      <c r="AL665" s="3">
        <f>IF(HAVERD!H669="",AL664,AVERAGE(HAVERD!H669:Q669))</f>
        <v>328.65600000000001</v>
      </c>
    </row>
    <row r="666" spans="12:38" x14ac:dyDescent="0.35">
      <c r="L666" s="2">
        <f t="shared" si="43"/>
        <v>44760</v>
      </c>
      <c r="M666" s="5">
        <f>HAVERD!BA670/HAVERD!BB670</f>
        <v>97.513720272742404</v>
      </c>
      <c r="AJ666" s="2">
        <f t="shared" si="42"/>
        <v>44760</v>
      </c>
      <c r="AK666" s="2"/>
      <c r="AL666" s="3">
        <f>IF(HAVERD!H670="",AL665,AVERAGE(HAVERD!H670:Q670))</f>
        <v>322.072</v>
      </c>
    </row>
    <row r="667" spans="12:38" x14ac:dyDescent="0.35">
      <c r="L667" s="2">
        <f t="shared" si="43"/>
        <v>44761</v>
      </c>
      <c r="M667" s="5">
        <f>HAVERD!BA671/HAVERD!BB671</f>
        <v>95.584933898727854</v>
      </c>
      <c r="AJ667" s="2">
        <f t="shared" si="42"/>
        <v>44761</v>
      </c>
      <c r="AK667" s="2"/>
      <c r="AL667" s="3">
        <f>IF(HAVERD!H671="",AL666,AVERAGE(HAVERD!H671:Q671))</f>
        <v>322.11299999999994</v>
      </c>
    </row>
    <row r="668" spans="12:38" x14ac:dyDescent="0.35">
      <c r="L668" s="2">
        <f t="shared" si="43"/>
        <v>44762</v>
      </c>
      <c r="M668" s="5">
        <f>HAVERD!BA672/HAVERD!BB672</f>
        <v>96.566094349058176</v>
      </c>
      <c r="AJ668" s="2">
        <f t="shared" si="42"/>
        <v>44762</v>
      </c>
      <c r="AK668" s="2"/>
      <c r="AL668" s="3">
        <f>IF(HAVERD!H672="",AL667,AVERAGE(HAVERD!H672:Q672))</f>
        <v>328.79300000000001</v>
      </c>
    </row>
    <row r="669" spans="12:38" x14ac:dyDescent="0.35">
      <c r="L669" s="2">
        <f t="shared" si="43"/>
        <v>44763</v>
      </c>
      <c r="M669" s="5">
        <f>HAVERD!BA673/HAVERD!BB673</f>
        <v>94.425378756173089</v>
      </c>
      <c r="AJ669" s="2">
        <f t="shared" si="42"/>
        <v>44763</v>
      </c>
      <c r="AK669" s="2"/>
      <c r="AL669" s="3">
        <f>IF(HAVERD!H673="",AL668,AVERAGE(HAVERD!H673:Q673))</f>
        <v>328.00399999999996</v>
      </c>
    </row>
    <row r="670" spans="12:38" x14ac:dyDescent="0.35">
      <c r="L670" s="2">
        <f t="shared" si="43"/>
        <v>44764</v>
      </c>
      <c r="M670" s="5">
        <f>HAVERD!BA674/HAVERD!BB674</f>
        <v>88.679401993355484</v>
      </c>
      <c r="AJ670" s="2">
        <f t="shared" si="42"/>
        <v>44764</v>
      </c>
      <c r="AK670" s="2"/>
      <c r="AL670" s="3">
        <f>IF(HAVERD!H674="",AL669,AVERAGE(HAVERD!H674:Q674))</f>
        <v>336.21500000000003</v>
      </c>
    </row>
    <row r="671" spans="12:38" x14ac:dyDescent="0.35">
      <c r="L671" s="2">
        <f t="shared" si="43"/>
        <v>44767</v>
      </c>
      <c r="M671" s="5">
        <f>HAVERD!BA675/HAVERD!BB675</f>
        <v>89.854711498547132</v>
      </c>
      <c r="AJ671" s="2">
        <f t="shared" si="42"/>
        <v>44767</v>
      </c>
      <c r="AK671" s="2"/>
      <c r="AL671" s="3">
        <f>IF(HAVERD!H675="",AL670,AVERAGE(HAVERD!H675:Q675))</f>
        <v>354.56100000000004</v>
      </c>
    </row>
    <row r="672" spans="12:38" x14ac:dyDescent="0.35">
      <c r="L672" s="2">
        <f t="shared" si="43"/>
        <v>44768</v>
      </c>
      <c r="M672" s="5">
        <f>HAVERD!BA676/HAVERD!BB676</f>
        <v>89.106609099966789</v>
      </c>
      <c r="AJ672" s="2">
        <f t="shared" si="42"/>
        <v>44768</v>
      </c>
      <c r="AK672" s="2"/>
      <c r="AL672" s="3">
        <f>IF(HAVERD!H676="",AL671,AVERAGE(HAVERD!H676:Q676))</f>
        <v>391.245</v>
      </c>
    </row>
    <row r="673" spans="12:38" x14ac:dyDescent="0.35">
      <c r="L673" s="2">
        <f t="shared" si="43"/>
        <v>44769</v>
      </c>
      <c r="M673" s="5">
        <f>HAVERD!BA677/HAVERD!BB677</f>
        <v>91.131244285595542</v>
      </c>
      <c r="AJ673" s="2">
        <f t="shared" si="42"/>
        <v>44769</v>
      </c>
      <c r="AK673" s="2"/>
      <c r="AL673" s="3">
        <f>IF(HAVERD!H677="",AL672,AVERAGE(HAVERD!H677:Q677))</f>
        <v>391.17500000000001</v>
      </c>
    </row>
    <row r="674" spans="12:38" x14ac:dyDescent="0.35">
      <c r="L674" s="2">
        <f t="shared" si="43"/>
        <v>44770</v>
      </c>
      <c r="M674" s="5">
        <f>HAVERD!BA678/HAVERD!BB678</f>
        <v>90.539871223377915</v>
      </c>
      <c r="AJ674" s="2">
        <f t="shared" si="42"/>
        <v>44770</v>
      </c>
      <c r="AK674" s="2"/>
      <c r="AL674" s="3">
        <f>IF(HAVERD!H678="",AL673,AVERAGE(HAVERD!H678:Q678))</f>
        <v>382.61</v>
      </c>
    </row>
    <row r="675" spans="12:38" x14ac:dyDescent="0.35">
      <c r="L675" s="2">
        <f t="shared" si="43"/>
        <v>44771</v>
      </c>
      <c r="M675" s="5">
        <f>HAVERD!BA679/HAVERD!BB679</f>
        <v>91.687222496299952</v>
      </c>
      <c r="AJ675" s="2">
        <f t="shared" si="42"/>
        <v>44771</v>
      </c>
      <c r="AK675" s="2"/>
      <c r="AL675" s="3">
        <f>IF(HAVERD!H679="",AL674,AVERAGE(HAVERD!H679:Q679))</f>
        <v>360.43299999999999</v>
      </c>
    </row>
    <row r="676" spans="12:38" x14ac:dyDescent="0.35">
      <c r="L676" s="2">
        <f t="shared" si="43"/>
        <v>44774</v>
      </c>
      <c r="M676" s="5">
        <f>HAVERD!BA680/HAVERD!BB680</f>
        <v>86.371407636570879</v>
      </c>
      <c r="AJ676" s="2">
        <f t="shared" si="42"/>
        <v>44774</v>
      </c>
      <c r="AK676" s="2"/>
      <c r="AL676" s="3">
        <f>IF(HAVERD!H680="",AL675,AVERAGE(HAVERD!H680:Q680))</f>
        <v>373.78599999999994</v>
      </c>
    </row>
    <row r="677" spans="12:38" x14ac:dyDescent="0.35">
      <c r="L677" s="2">
        <f t="shared" si="43"/>
        <v>44775</v>
      </c>
      <c r="M677" s="5">
        <f>HAVERD!BA681/HAVERD!BB681</f>
        <v>87.174660337207399</v>
      </c>
      <c r="AJ677" s="2">
        <f t="shared" si="42"/>
        <v>44775</v>
      </c>
      <c r="AK677" s="2"/>
      <c r="AL677" s="3">
        <f>IF(HAVERD!H681="",AL676,AVERAGE(HAVERD!H681:Q681))</f>
        <v>385.23600000000005</v>
      </c>
    </row>
    <row r="678" spans="12:38" x14ac:dyDescent="0.35">
      <c r="L678" s="2">
        <f t="shared" si="43"/>
        <v>44776</v>
      </c>
      <c r="M678" s="5">
        <f>HAVERD!BA682/HAVERD!BB682</f>
        <v>84.065389696169078</v>
      </c>
      <c r="AJ678" s="2">
        <f t="shared" si="42"/>
        <v>44776</v>
      </c>
      <c r="AK678" s="2"/>
      <c r="AL678" s="3">
        <f>IF(HAVERD!H682="",AL677,AVERAGE(HAVERD!H682:Q682))</f>
        <v>391.84000000000003</v>
      </c>
    </row>
    <row r="679" spans="12:38" x14ac:dyDescent="0.35">
      <c r="L679" s="2">
        <f t="shared" si="43"/>
        <v>44777</v>
      </c>
      <c r="M679" s="5">
        <f>HAVERD!BA683/HAVERD!BB683</f>
        <v>80.909916604739479</v>
      </c>
      <c r="AJ679" s="2">
        <f t="shared" si="42"/>
        <v>44777</v>
      </c>
      <c r="AK679" s="2"/>
      <c r="AL679" s="3">
        <f>IF(HAVERD!H683="",AL678,AVERAGE(HAVERD!H683:Q683))</f>
        <v>396.74600000000004</v>
      </c>
    </row>
    <row r="680" spans="12:38" x14ac:dyDescent="0.35">
      <c r="L680" s="2">
        <f t="shared" si="43"/>
        <v>44778</v>
      </c>
      <c r="M680" s="5">
        <f>HAVERD!BA684/HAVERD!BB684</f>
        <v>83.175787728026535</v>
      </c>
      <c r="AJ680" s="2">
        <f t="shared" si="42"/>
        <v>44778</v>
      </c>
      <c r="AK680" s="2"/>
      <c r="AL680" s="3">
        <f>IF(HAVERD!H684="",AL679,AVERAGE(HAVERD!H684:Q684))</f>
        <v>400.34900000000005</v>
      </c>
    </row>
    <row r="681" spans="12:38" x14ac:dyDescent="0.35">
      <c r="L681" s="2">
        <f t="shared" si="43"/>
        <v>44781</v>
      </c>
      <c r="M681" s="5">
        <f>HAVERD!BA685/HAVERD!BB685</f>
        <v>85.370080039607231</v>
      </c>
      <c r="AJ681" s="2">
        <f t="shared" si="42"/>
        <v>44781</v>
      </c>
      <c r="AK681" s="2"/>
      <c r="AL681" s="3">
        <f>IF(HAVERD!H685="",AL680,AVERAGE(HAVERD!H685:Q685))</f>
        <v>400.14000000000004</v>
      </c>
    </row>
    <row r="682" spans="12:38" x14ac:dyDescent="0.35">
      <c r="L682" s="2">
        <f t="shared" si="43"/>
        <v>44782</v>
      </c>
      <c r="M682" s="5">
        <f>HAVERD!BA686/HAVERD!BB686</f>
        <v>85.878557246856388</v>
      </c>
      <c r="AJ682" s="2">
        <f t="shared" si="42"/>
        <v>44782</v>
      </c>
      <c r="AK682" s="2"/>
      <c r="AL682" s="3">
        <f>IF(HAVERD!H686="",AL681,AVERAGE(HAVERD!H686:Q686))</f>
        <v>412.25799999999998</v>
      </c>
    </row>
    <row r="683" spans="12:38" x14ac:dyDescent="0.35">
      <c r="L683" s="2">
        <f t="shared" si="43"/>
        <v>44783</v>
      </c>
      <c r="M683" s="5">
        <f>HAVERD!BA687/HAVERD!BB687</f>
        <v>85.700301819071711</v>
      </c>
      <c r="AJ683" s="2">
        <f t="shared" si="42"/>
        <v>44783</v>
      </c>
      <c r="AK683" s="2"/>
      <c r="AL683" s="3">
        <f>IF(HAVERD!H687="",AL682,AVERAGE(HAVERD!H687:Q687))</f>
        <v>444.35500000000002</v>
      </c>
    </row>
    <row r="684" spans="12:38" x14ac:dyDescent="0.35">
      <c r="L684" s="2">
        <f t="shared" si="43"/>
        <v>44784</v>
      </c>
      <c r="M684" s="5">
        <f>HAVERD!BA688/HAVERD!BB688</f>
        <v>87.673809913299536</v>
      </c>
      <c r="AJ684" s="2">
        <f t="shared" si="42"/>
        <v>44784</v>
      </c>
      <c r="AK684" s="2"/>
      <c r="AL684" s="3">
        <f>IF(HAVERD!H688="",AL683,AVERAGE(HAVERD!H688:Q688))</f>
        <v>476.42800000000005</v>
      </c>
    </row>
    <row r="685" spans="12:38" x14ac:dyDescent="0.35">
      <c r="L685" s="2">
        <f t="shared" si="43"/>
        <v>44785</v>
      </c>
      <c r="M685" s="5">
        <f>HAVERD!BA689/HAVERD!BB689</f>
        <v>85.575177422016836</v>
      </c>
      <c r="AJ685" s="2">
        <f t="shared" si="42"/>
        <v>44785</v>
      </c>
      <c r="AK685" s="2"/>
      <c r="AL685" s="3">
        <f>IF(HAVERD!H689="",AL684,AVERAGE(HAVERD!H689:Q689))</f>
        <v>474.98199999999997</v>
      </c>
    </row>
    <row r="686" spans="12:38" x14ac:dyDescent="0.35">
      <c r="L686" s="2">
        <f t="shared" si="43"/>
        <v>44788</v>
      </c>
      <c r="M686" s="5">
        <f>HAVERD!BA690/HAVERD!BB690</f>
        <v>81.33278145695364</v>
      </c>
      <c r="AJ686" s="2">
        <f t="shared" si="42"/>
        <v>44788</v>
      </c>
      <c r="AK686" s="2"/>
      <c r="AL686" s="3">
        <f>IF(HAVERD!H690="",AL685,AVERAGE(HAVERD!H690:Q690))</f>
        <v>497.34199999999993</v>
      </c>
    </row>
    <row r="687" spans="12:38" x14ac:dyDescent="0.35">
      <c r="L687" s="2">
        <f t="shared" si="43"/>
        <v>44789</v>
      </c>
      <c r="M687" s="5">
        <f>HAVERD!BA691/HAVERD!BB691</f>
        <v>78.842496899545267</v>
      </c>
      <c r="AJ687" s="2">
        <f t="shared" si="42"/>
        <v>44789</v>
      </c>
      <c r="AK687" s="2"/>
      <c r="AL687" s="3">
        <f>IF(HAVERD!H691="",AL686,AVERAGE(HAVERD!H691:Q691))</f>
        <v>512.0379999999999</v>
      </c>
    </row>
    <row r="688" spans="12:38" x14ac:dyDescent="0.35">
      <c r="L688" s="2">
        <f t="shared" si="43"/>
        <v>44790</v>
      </c>
      <c r="M688" s="5">
        <f>HAVERD!BA692/HAVERD!BB692</f>
        <v>80.720690800398543</v>
      </c>
      <c r="AJ688" s="2">
        <f t="shared" si="42"/>
        <v>44790</v>
      </c>
      <c r="AK688" s="2"/>
      <c r="AL688" s="3">
        <f>IF(HAVERD!H692="",AL687,AVERAGE(HAVERD!H692:Q692))</f>
        <v>515.82899999999995</v>
      </c>
    </row>
    <row r="689" spans="12:38" x14ac:dyDescent="0.35">
      <c r="L689" s="2">
        <f t="shared" si="43"/>
        <v>44791</v>
      </c>
      <c r="M689" s="5">
        <f>HAVERD!BA693/HAVERD!BB693</f>
        <v>80.271598766974918</v>
      </c>
      <c r="AJ689" s="2">
        <f t="shared" si="42"/>
        <v>44791</v>
      </c>
      <c r="AK689" s="2"/>
      <c r="AL689" s="3">
        <f>IF(HAVERD!H693="",AL688,AVERAGE(HAVERD!H693:Q693))</f>
        <v>547.76499999999999</v>
      </c>
    </row>
    <row r="690" spans="12:38" x14ac:dyDescent="0.35">
      <c r="L690" s="2">
        <f t="shared" si="43"/>
        <v>44792</v>
      </c>
      <c r="M690" s="5">
        <f>HAVERD!BA694/HAVERD!BB694</f>
        <v>81.702668360864038</v>
      </c>
      <c r="AJ690" s="2">
        <f t="shared" si="42"/>
        <v>44792</v>
      </c>
      <c r="AK690" s="2"/>
      <c r="AL690" s="3">
        <f>IF(HAVERD!H694="",AL689,AVERAGE(HAVERD!H694:Q694))</f>
        <v>572.45100000000002</v>
      </c>
    </row>
    <row r="691" spans="12:38" x14ac:dyDescent="0.35">
      <c r="L691" s="2">
        <f t="shared" si="43"/>
        <v>44795</v>
      </c>
      <c r="M691" s="5">
        <f>HAVERD!BA695/HAVERD!BB695</f>
        <v>80.627650551314673</v>
      </c>
      <c r="AJ691" s="2">
        <f t="shared" si="42"/>
        <v>44795</v>
      </c>
      <c r="AK691" s="2"/>
      <c r="AL691" s="3">
        <f>IF(HAVERD!H695="",AL690,AVERAGE(HAVERD!H695:Q695))</f>
        <v>625.80399999999997</v>
      </c>
    </row>
    <row r="692" spans="12:38" x14ac:dyDescent="0.35">
      <c r="L692" s="2">
        <f t="shared" si="43"/>
        <v>44796</v>
      </c>
      <c r="M692" s="5">
        <f>HAVERD!BA696/HAVERD!BB696</f>
        <v>83.943638204522443</v>
      </c>
      <c r="AJ692" s="2">
        <f t="shared" si="42"/>
        <v>44796</v>
      </c>
      <c r="AK692" s="2"/>
      <c r="AL692" s="3">
        <f>IF(HAVERD!H696="",AL691,AVERAGE(HAVERD!H696:Q696))</f>
        <v>612.92100000000005</v>
      </c>
    </row>
    <row r="693" spans="12:38" x14ac:dyDescent="0.35">
      <c r="L693" s="2">
        <f t="shared" si="43"/>
        <v>44797</v>
      </c>
      <c r="M693" s="5">
        <f>HAVERD!BA697/HAVERD!BB697</f>
        <v>84.506684718226438</v>
      </c>
      <c r="AJ693" s="2">
        <f t="shared" si="42"/>
        <v>44797</v>
      </c>
      <c r="AK693" s="2"/>
      <c r="AL693" s="3">
        <f>IF(HAVERD!H697="",AL692,AVERAGE(HAVERD!H697:Q697))</f>
        <v>661.40699999999993</v>
      </c>
    </row>
    <row r="694" spans="12:38" x14ac:dyDescent="0.35">
      <c r="L694" s="2">
        <f t="shared" si="43"/>
        <v>44798</v>
      </c>
      <c r="M694" s="5">
        <f>HAVERD!BA698/HAVERD!BB698</f>
        <v>83.553187891087433</v>
      </c>
      <c r="AJ694" s="2">
        <f t="shared" si="42"/>
        <v>44798</v>
      </c>
      <c r="AK694" s="2"/>
      <c r="AL694" s="3">
        <f>IF(HAVERD!H698="",AL693,AVERAGE(HAVERD!H698:Q698))</f>
        <v>722.67</v>
      </c>
    </row>
    <row r="695" spans="12:38" x14ac:dyDescent="0.35">
      <c r="L695" s="2">
        <f t="shared" si="43"/>
        <v>44799</v>
      </c>
      <c r="M695" s="5">
        <f>HAVERD!BA699/HAVERD!BB699</f>
        <v>85.761533242876524</v>
      </c>
      <c r="AJ695" s="2">
        <f t="shared" si="42"/>
        <v>44799</v>
      </c>
      <c r="AK695" s="2"/>
      <c r="AL695" s="3">
        <f>IF(HAVERD!H699="",AL694,AVERAGE(HAVERD!H699:Q699))</f>
        <v>770.41200000000003</v>
      </c>
    </row>
    <row r="696" spans="12:38" x14ac:dyDescent="0.35">
      <c r="L696" s="2">
        <f t="shared" si="43"/>
        <v>44802</v>
      </c>
      <c r="M696" s="5" t="e">
        <f>HAVERD!BA700/HAVERD!BB700</f>
        <v>#N/A</v>
      </c>
      <c r="AJ696" s="2">
        <f t="shared" si="42"/>
        <v>44802</v>
      </c>
      <c r="AK696" s="2"/>
      <c r="AL696" s="3">
        <f>IF(HAVERD!H700="",AL695,AVERAGE(HAVERD!H700:Q700))</f>
        <v>770.41200000000003</v>
      </c>
    </row>
    <row r="697" spans="12:38" x14ac:dyDescent="0.35">
      <c r="L697" s="2">
        <f t="shared" si="43"/>
        <v>44803</v>
      </c>
      <c r="M697" s="5">
        <f>HAVERD!BA701/HAVERD!BB701</f>
        <v>85.409681024847387</v>
      </c>
      <c r="AJ697" s="2">
        <f t="shared" si="42"/>
        <v>44803</v>
      </c>
      <c r="AK697" s="2"/>
      <c r="AL697" s="3">
        <f>IF(HAVERD!H701="",AL696,AVERAGE(HAVERD!H701:Q701))</f>
        <v>584.84500000000003</v>
      </c>
    </row>
    <row r="698" spans="12:38" x14ac:dyDescent="0.35">
      <c r="L698" s="2">
        <f t="shared" si="43"/>
        <v>44804</v>
      </c>
      <c r="M698" s="5">
        <f>HAVERD!BA702/HAVERD!BB702</f>
        <v>82.960989860800822</v>
      </c>
      <c r="AJ698" s="2">
        <f t="shared" si="42"/>
        <v>44804</v>
      </c>
      <c r="AK698" s="2"/>
      <c r="AL698" s="3">
        <f>IF(HAVERD!H702="",AL697,AVERAGE(HAVERD!H702:Q702))</f>
        <v>479.9919999999999</v>
      </c>
    </row>
    <row r="699" spans="12:38" x14ac:dyDescent="0.35">
      <c r="L699" s="2">
        <f t="shared" si="43"/>
        <v>44805</v>
      </c>
      <c r="M699" s="5">
        <f>HAVERD!BA703/HAVERD!BB703</f>
        <v>80.027763317716463</v>
      </c>
      <c r="AJ699" s="2">
        <f t="shared" si="42"/>
        <v>44805</v>
      </c>
      <c r="AK699" s="2"/>
      <c r="AL699" s="3">
        <f>IF(HAVERD!H703="",AL698,AVERAGE(HAVERD!H703:Q703))</f>
        <v>479.23699999999997</v>
      </c>
    </row>
    <row r="700" spans="12:38" x14ac:dyDescent="0.35">
      <c r="L700" s="2">
        <f t="shared" si="43"/>
        <v>44806</v>
      </c>
      <c r="M700" s="5">
        <f>HAVERD!BA704/HAVERD!BB704</f>
        <v>80.360842541436455</v>
      </c>
      <c r="AJ700" s="2">
        <f t="shared" si="42"/>
        <v>44806</v>
      </c>
      <c r="AK700" s="2"/>
      <c r="AL700" s="3">
        <f>IF(HAVERD!H704="",AL699,AVERAGE(HAVERD!H704:Q704))</f>
        <v>450.91399999999993</v>
      </c>
    </row>
    <row r="701" spans="12:38" x14ac:dyDescent="0.35">
      <c r="L701" s="2">
        <f t="shared" si="43"/>
        <v>44809</v>
      </c>
      <c r="M701" s="5">
        <f>HAVERD!BA705/HAVERD!BB705</f>
        <v>81.880594420787347</v>
      </c>
      <c r="AJ701" s="2">
        <f t="shared" si="42"/>
        <v>44809</v>
      </c>
      <c r="AK701" s="2"/>
      <c r="AL701" s="3">
        <f>IF(HAVERD!H705="",AL700,AVERAGE(HAVERD!H705:Q705))</f>
        <v>510.60699999999997</v>
      </c>
    </row>
    <row r="702" spans="12:38" x14ac:dyDescent="0.35">
      <c r="L702" s="2">
        <f t="shared" si="43"/>
        <v>44810</v>
      </c>
      <c r="M702" s="5">
        <f>HAVERD!BA706/HAVERD!BB706</f>
        <v>79.30436291092029</v>
      </c>
      <c r="AJ702" s="2">
        <f t="shared" si="42"/>
        <v>44810</v>
      </c>
      <c r="AK702" s="2"/>
      <c r="AL702" s="3">
        <f>IF(HAVERD!H706="",AL701,AVERAGE(HAVERD!H706:Q706))</f>
        <v>517.36199999999985</v>
      </c>
    </row>
    <row r="703" spans="12:38" x14ac:dyDescent="0.35">
      <c r="L703" s="2">
        <f t="shared" si="43"/>
        <v>44811</v>
      </c>
      <c r="M703" s="5">
        <f>HAVERD!BA707/HAVERD!BB707</f>
        <v>75.721635998953516</v>
      </c>
      <c r="AJ703" s="2">
        <f t="shared" si="42"/>
        <v>44811</v>
      </c>
      <c r="AK703" s="2"/>
      <c r="AL703" s="3">
        <f>IF(HAVERD!H707="",AL702,AVERAGE(HAVERD!H707:Q707))</f>
        <v>498.04799999999994</v>
      </c>
    </row>
    <row r="704" spans="12:38" x14ac:dyDescent="0.35">
      <c r="L704" s="2">
        <f t="shared" si="43"/>
        <v>44812</v>
      </c>
      <c r="M704" s="5">
        <f>HAVERD!BA708/HAVERD!BB708</f>
        <v>76.572970150552607</v>
      </c>
      <c r="AJ704" s="2">
        <f t="shared" si="42"/>
        <v>44812</v>
      </c>
      <c r="AK704" s="2"/>
      <c r="AL704" s="3">
        <f>IF(HAVERD!H708="",AL703,AVERAGE(HAVERD!H708:Q708))</f>
        <v>506.68799999999999</v>
      </c>
    </row>
    <row r="705" spans="12:38" x14ac:dyDescent="0.35">
      <c r="L705" s="2">
        <f t="shared" si="43"/>
        <v>44813</v>
      </c>
      <c r="M705" s="5">
        <f>HAVERD!BA709/HAVERD!BB709</f>
        <v>79.150479150479143</v>
      </c>
      <c r="AJ705" s="2">
        <f t="shared" si="42"/>
        <v>44813</v>
      </c>
      <c r="AK705" s="2"/>
      <c r="AL705" s="3">
        <f>IF(HAVERD!H709="",AL704,AVERAGE(HAVERD!H709:Q709))</f>
        <v>473.61300000000011</v>
      </c>
    </row>
    <row r="706" spans="12:38" x14ac:dyDescent="0.35">
      <c r="L706" s="2">
        <f t="shared" si="43"/>
        <v>44816</v>
      </c>
      <c r="M706" s="5">
        <f>HAVERD!BA710/HAVERD!BB710</f>
        <v>79.844497607655498</v>
      </c>
      <c r="AJ706" s="2">
        <f t="shared" si="42"/>
        <v>44816</v>
      </c>
      <c r="AK706" s="2"/>
      <c r="AL706" s="3">
        <f>IF(HAVERD!H710="",AL705,AVERAGE(HAVERD!H710:Q710))</f>
        <v>438.72699999999998</v>
      </c>
    </row>
    <row r="707" spans="12:38" x14ac:dyDescent="0.35">
      <c r="L707" s="2">
        <f t="shared" si="43"/>
        <v>44817</v>
      </c>
      <c r="M707" s="5">
        <f>HAVERD!BA711/HAVERD!BB711</f>
        <v>79.750454899922033</v>
      </c>
      <c r="AJ707" s="2">
        <f t="shared" si="42"/>
        <v>44817</v>
      </c>
      <c r="AK707" s="2"/>
      <c r="AL707" s="3">
        <f>IF(HAVERD!H711="",AL706,AVERAGE(HAVERD!H711:Q711))</f>
        <v>445.346</v>
      </c>
    </row>
    <row r="708" spans="12:38" x14ac:dyDescent="0.35">
      <c r="L708" s="2">
        <f t="shared" si="43"/>
        <v>44818</v>
      </c>
      <c r="M708" s="5">
        <f>HAVERD!BA712/HAVERD!BB712</f>
        <v>80.164075993091544</v>
      </c>
      <c r="AJ708" s="2">
        <f t="shared" si="42"/>
        <v>44818</v>
      </c>
      <c r="AK708" s="2"/>
      <c r="AL708" s="3">
        <f>IF(HAVERD!H712="",AL707,AVERAGE(HAVERD!H712:Q712))</f>
        <v>478.01799999999992</v>
      </c>
    </row>
    <row r="709" spans="12:38" x14ac:dyDescent="0.35">
      <c r="L709" s="2">
        <f t="shared" si="43"/>
        <v>44819</v>
      </c>
      <c r="M709" s="5">
        <f>HAVERD!BA713/HAVERD!BB713</f>
        <v>77.702349869451695</v>
      </c>
      <c r="AJ709" s="2">
        <f t="shared" si="42"/>
        <v>44819</v>
      </c>
      <c r="AK709" s="2"/>
      <c r="AL709" s="3">
        <f>IF(HAVERD!H713="",AL708,AVERAGE(HAVERD!H713:Q713))</f>
        <v>498.14700000000005</v>
      </c>
    </row>
    <row r="710" spans="12:38" x14ac:dyDescent="0.35">
      <c r="L710" s="2">
        <f t="shared" si="43"/>
        <v>44820</v>
      </c>
      <c r="M710" s="5">
        <f>HAVERD!BA714/HAVERD!BB714</f>
        <v>78.234625142157299</v>
      </c>
      <c r="AJ710" s="2">
        <f t="shared" si="42"/>
        <v>44820</v>
      </c>
      <c r="AK710" s="2"/>
      <c r="AL710" s="3">
        <f>IF(HAVERD!H714="",AL709,AVERAGE(HAVERD!H714:Q714))</f>
        <v>445.99000000000007</v>
      </c>
    </row>
    <row r="711" spans="12:38" x14ac:dyDescent="0.35">
      <c r="L711" s="2">
        <f t="shared" si="43"/>
        <v>44823</v>
      </c>
      <c r="M711" s="5" t="e">
        <f>HAVERD!BA715/HAVERD!BB715</f>
        <v>#N/A</v>
      </c>
      <c r="AJ711" s="2">
        <f t="shared" si="42"/>
        <v>44823</v>
      </c>
      <c r="AK711" s="2"/>
      <c r="AL711" s="3">
        <f>IF(HAVERD!H715="",AL710,AVERAGE(HAVERD!H715:Q715))</f>
        <v>438.04599999999999</v>
      </c>
    </row>
    <row r="712" spans="12:38" x14ac:dyDescent="0.35">
      <c r="L712" s="2">
        <f t="shared" si="43"/>
        <v>44824</v>
      </c>
      <c r="M712" s="5">
        <f>HAVERD!BA716/HAVERD!BB716</f>
        <v>78.51073149364872</v>
      </c>
      <c r="AJ712" s="2">
        <f t="shared" si="42"/>
        <v>44824</v>
      </c>
      <c r="AK712" s="2"/>
      <c r="AL712" s="3">
        <f>IF(HAVERD!H716="",AL711,AVERAGE(HAVERD!H716:Q716))</f>
        <v>461.35299999999995</v>
      </c>
    </row>
    <row r="713" spans="12:38" x14ac:dyDescent="0.35">
      <c r="L713" s="2">
        <f t="shared" si="43"/>
        <v>44825</v>
      </c>
      <c r="M713" s="5">
        <f>HAVERD!BA717/HAVERD!BB717</f>
        <v>79.290567369628519</v>
      </c>
      <c r="AJ713" s="2">
        <f t="shared" ref="AJ713:AJ776" si="44">+AJ708+7</f>
        <v>44825</v>
      </c>
      <c r="AK713" s="2"/>
      <c r="AL713" s="3">
        <f>IF(HAVERD!H717="",AL712,AVERAGE(HAVERD!H717:Q717))</f>
        <v>458.13400000000001</v>
      </c>
    </row>
    <row r="714" spans="12:38" x14ac:dyDescent="0.35">
      <c r="L714" s="2">
        <f t="shared" si="43"/>
        <v>44826</v>
      </c>
      <c r="M714" s="5">
        <f>HAVERD!BA718/HAVERD!BB718</f>
        <v>80.248557478917007</v>
      </c>
      <c r="AJ714" s="2">
        <f t="shared" si="44"/>
        <v>44826</v>
      </c>
      <c r="AK714" s="2"/>
      <c r="AL714" s="3">
        <f>IF(HAVERD!H718="",AL713,AVERAGE(HAVERD!H718:Q718))</f>
        <v>452.14499999999998</v>
      </c>
    </row>
    <row r="715" spans="12:38" x14ac:dyDescent="0.35">
      <c r="L715" s="2">
        <f t="shared" si="43"/>
        <v>44827</v>
      </c>
      <c r="M715" s="5">
        <f>HAVERD!BA719/HAVERD!BB719</f>
        <v>77.351564650821345</v>
      </c>
      <c r="AJ715" s="2">
        <f t="shared" si="44"/>
        <v>44827</v>
      </c>
      <c r="AK715" s="2"/>
      <c r="AL715" s="3">
        <f>IF(HAVERD!H719="",AL714,AVERAGE(HAVERD!H719:Q719))</f>
        <v>461.77200000000005</v>
      </c>
    </row>
    <row r="716" spans="12:38" x14ac:dyDescent="0.35">
      <c r="L716" s="2">
        <f t="shared" si="43"/>
        <v>44830</v>
      </c>
      <c r="M716" s="5">
        <f>HAVERD!BA720/HAVERD!BB720</f>
        <v>76.52730138129229</v>
      </c>
      <c r="AJ716" s="2">
        <f t="shared" si="44"/>
        <v>44830</v>
      </c>
      <c r="AK716" s="2"/>
      <c r="AL716" s="3">
        <f>IF(HAVERD!H720="",AL715,AVERAGE(HAVERD!H720:Q720))</f>
        <v>454.13800000000003</v>
      </c>
    </row>
    <row r="717" spans="12:38" x14ac:dyDescent="0.35">
      <c r="L717" s="2">
        <f t="shared" si="43"/>
        <v>44831</v>
      </c>
      <c r="M717" s="5">
        <f>HAVERD!BA721/HAVERD!BB721</f>
        <v>79.793948394282538</v>
      </c>
      <c r="AJ717" s="2">
        <f t="shared" si="44"/>
        <v>44831</v>
      </c>
      <c r="AK717" s="2"/>
      <c r="AL717" s="3">
        <f>IF(HAVERD!H721="",AL716,AVERAGE(HAVERD!H721:Q721))</f>
        <v>476.42399999999998</v>
      </c>
    </row>
    <row r="718" spans="12:38" x14ac:dyDescent="0.35">
      <c r="L718" s="2">
        <f t="shared" si="43"/>
        <v>44832</v>
      </c>
      <c r="M718" s="5">
        <f>HAVERD!BA722/HAVERD!BB722</f>
        <v>83.341088878548163</v>
      </c>
      <c r="AJ718" s="2">
        <f t="shared" si="44"/>
        <v>44832</v>
      </c>
      <c r="AK718" s="2"/>
      <c r="AL718" s="3">
        <f>IF(HAVERD!H722="",AL717,AVERAGE(HAVERD!H722:Q722))</f>
        <v>523.10900000000004</v>
      </c>
    </row>
    <row r="719" spans="12:38" x14ac:dyDescent="0.35">
      <c r="L719" s="2">
        <f t="shared" ref="L719:L782" si="45">+L714+7</f>
        <v>44833</v>
      </c>
      <c r="M719" s="5">
        <f>HAVERD!BA723/HAVERD!BB723</f>
        <v>81.031357621895964</v>
      </c>
      <c r="AJ719" s="2">
        <f t="shared" si="44"/>
        <v>44833</v>
      </c>
      <c r="AK719" s="2"/>
      <c r="AL719" s="3">
        <f>IF(HAVERD!H723="",AL718,AVERAGE(HAVERD!H723:Q723))</f>
        <v>472.99400000000003</v>
      </c>
    </row>
    <row r="720" spans="12:38" x14ac:dyDescent="0.35">
      <c r="L720" s="2">
        <f t="shared" si="45"/>
        <v>44834</v>
      </c>
      <c r="M720" s="5">
        <f>HAVERD!BA724/HAVERD!BB724</f>
        <v>79.588182632050135</v>
      </c>
      <c r="AJ720" s="2">
        <f t="shared" si="44"/>
        <v>44834</v>
      </c>
      <c r="AK720" s="2"/>
      <c r="AL720" s="3">
        <f>IF(HAVERD!H724="",AL719,AVERAGE(HAVERD!H724:Q724))</f>
        <v>440.73499999999996</v>
      </c>
    </row>
    <row r="721" spans="12:38" x14ac:dyDescent="0.35">
      <c r="L721" s="2">
        <f t="shared" si="45"/>
        <v>44837</v>
      </c>
      <c r="M721" s="5">
        <f>HAVERD!BA725/HAVERD!BB725</f>
        <v>80.390070921985824</v>
      </c>
      <c r="AJ721" s="2">
        <f t="shared" si="44"/>
        <v>44837</v>
      </c>
      <c r="AK721" s="2"/>
      <c r="AL721" s="3">
        <f>IF(HAVERD!H725="",AL720,AVERAGE(HAVERD!H725:Q725))</f>
        <v>393.82299999999998</v>
      </c>
    </row>
    <row r="722" spans="12:38" x14ac:dyDescent="0.35">
      <c r="L722" s="2">
        <f t="shared" si="45"/>
        <v>44838</v>
      </c>
      <c r="M722" s="5">
        <f>HAVERD!BA726/HAVERD!BB726</f>
        <v>82.19922834093299</v>
      </c>
      <c r="AJ722" s="2">
        <f t="shared" si="44"/>
        <v>44838</v>
      </c>
      <c r="AK722" s="2"/>
      <c r="AL722" s="3">
        <f>IF(HAVERD!H726="",AL721,AVERAGE(HAVERD!H726:Q726))</f>
        <v>376.09900000000005</v>
      </c>
    </row>
    <row r="723" spans="12:38" x14ac:dyDescent="0.35">
      <c r="L723" s="2">
        <f t="shared" si="45"/>
        <v>44839</v>
      </c>
      <c r="M723" s="5">
        <f>HAVERD!BA727/HAVERD!BB727</f>
        <v>83.903957314361932</v>
      </c>
      <c r="AJ723" s="2">
        <f t="shared" si="44"/>
        <v>44839</v>
      </c>
      <c r="AK723" s="2"/>
      <c r="AL723" s="3">
        <f>IF(HAVERD!H727="",AL722,AVERAGE(HAVERD!H727:Q727))</f>
        <v>411.12200000000001</v>
      </c>
    </row>
    <row r="724" spans="12:38" x14ac:dyDescent="0.35">
      <c r="L724" s="2">
        <f t="shared" si="45"/>
        <v>44840</v>
      </c>
      <c r="M724" s="5">
        <f>HAVERD!BA728/HAVERD!BB728</f>
        <v>85.409411554603096</v>
      </c>
      <c r="AJ724" s="2">
        <f t="shared" si="44"/>
        <v>44840</v>
      </c>
      <c r="AK724" s="2"/>
      <c r="AL724" s="3">
        <f>IF(HAVERD!H728="",AL723,AVERAGE(HAVERD!H728:Q728))</f>
        <v>422.74699999999996</v>
      </c>
    </row>
    <row r="725" spans="12:38" x14ac:dyDescent="0.35">
      <c r="L725" s="2">
        <f t="shared" si="45"/>
        <v>44841</v>
      </c>
      <c r="M725" s="5">
        <f>HAVERD!BA729/HAVERD!BB729</f>
        <v>88.944859224610965</v>
      </c>
      <c r="AJ725" s="2">
        <f t="shared" si="44"/>
        <v>44841</v>
      </c>
      <c r="AK725" s="2"/>
      <c r="AL725" s="3">
        <f>IF(HAVERD!H729="",AL724,AVERAGE(HAVERD!H729:Q729))</f>
        <v>396.35599999999999</v>
      </c>
    </row>
    <row r="726" spans="12:38" x14ac:dyDescent="0.35">
      <c r="L726" s="2">
        <f t="shared" si="45"/>
        <v>44844</v>
      </c>
      <c r="M726" s="5">
        <f>HAVERD!BA730/HAVERD!BB730</f>
        <v>87.916364952932653</v>
      </c>
      <c r="AJ726" s="2">
        <f t="shared" si="44"/>
        <v>44844</v>
      </c>
      <c r="AK726" s="2"/>
      <c r="AL726" s="3">
        <f>IF(HAVERD!H730="",AL725,AVERAGE(HAVERD!H730:Q730))</f>
        <v>403.911</v>
      </c>
    </row>
    <row r="727" spans="12:38" x14ac:dyDescent="0.35">
      <c r="L727" s="2">
        <f t="shared" si="45"/>
        <v>44845</v>
      </c>
      <c r="M727" s="5">
        <f>HAVERD!BA731/HAVERD!BB731</f>
        <v>85.870251736894346</v>
      </c>
      <c r="AJ727" s="2">
        <f t="shared" si="44"/>
        <v>44845</v>
      </c>
      <c r="AK727" s="2"/>
      <c r="AL727" s="3">
        <f>IF(HAVERD!H731="",AL726,AVERAGE(HAVERD!H731:Q731))</f>
        <v>409.22300000000007</v>
      </c>
    </row>
    <row r="728" spans="12:38" x14ac:dyDescent="0.35">
      <c r="L728" s="2">
        <f t="shared" si="45"/>
        <v>44846</v>
      </c>
      <c r="M728" s="5">
        <f>HAVERD!BA732/HAVERD!BB732</f>
        <v>84.393063583815035</v>
      </c>
      <c r="AJ728" s="2">
        <f t="shared" si="44"/>
        <v>44846</v>
      </c>
      <c r="AK728" s="2"/>
      <c r="AL728" s="3">
        <f>IF(HAVERD!H732="",AL727,AVERAGE(HAVERD!H732:Q732))</f>
        <v>398.75200000000001</v>
      </c>
    </row>
    <row r="729" spans="12:38" x14ac:dyDescent="0.35">
      <c r="L729" s="2">
        <f t="shared" si="45"/>
        <v>44847</v>
      </c>
      <c r="M729" s="5">
        <f>HAVERD!BA733/HAVERD!BB733</f>
        <v>84.684524339236461</v>
      </c>
      <c r="AJ729" s="2">
        <f t="shared" si="44"/>
        <v>44847</v>
      </c>
      <c r="AK729" s="2"/>
      <c r="AL729" s="3">
        <f>IF(HAVERD!H733="",AL728,AVERAGE(HAVERD!H733:Q733))</f>
        <v>382.40300000000008</v>
      </c>
    </row>
    <row r="730" spans="12:38" x14ac:dyDescent="0.35">
      <c r="L730" s="2">
        <f t="shared" si="45"/>
        <v>44848</v>
      </c>
      <c r="M730" s="5">
        <f>HAVERD!BA734/HAVERD!BB734</f>
        <v>81.966047462447776</v>
      </c>
      <c r="AJ730" s="2">
        <f t="shared" si="44"/>
        <v>44848</v>
      </c>
      <c r="AK730" s="2"/>
      <c r="AL730" s="3">
        <f>IF(HAVERD!H734="",AL729,AVERAGE(HAVERD!H734:Q734))</f>
        <v>378.18700000000001</v>
      </c>
    </row>
    <row r="731" spans="12:38" x14ac:dyDescent="0.35">
      <c r="L731" s="2">
        <f t="shared" si="45"/>
        <v>44851</v>
      </c>
      <c r="M731" s="5">
        <f>HAVERD!BA735/HAVERD!BB735</f>
        <v>79.622179464754254</v>
      </c>
      <c r="AJ731" s="2">
        <f t="shared" si="44"/>
        <v>44851</v>
      </c>
      <c r="AK731" s="2"/>
      <c r="AL731" s="3">
        <f>IF(HAVERD!H735="",AL730,AVERAGE(HAVERD!H735:Q735))</f>
        <v>367.54399999999998</v>
      </c>
    </row>
    <row r="732" spans="12:38" x14ac:dyDescent="0.35">
      <c r="L732" s="2">
        <f t="shared" si="45"/>
        <v>44852</v>
      </c>
      <c r="M732" s="5">
        <f>HAVERD!BA736/HAVERD!BB736</f>
        <v>79.014308426073114</v>
      </c>
      <c r="AJ732" s="2">
        <f t="shared" si="44"/>
        <v>44852</v>
      </c>
      <c r="AK732" s="2"/>
      <c r="AL732" s="3">
        <f>IF(HAVERD!H736="",AL731,AVERAGE(HAVERD!H736:Q736))</f>
        <v>343.83499999999998</v>
      </c>
    </row>
    <row r="733" spans="12:38" x14ac:dyDescent="0.35">
      <c r="L733" s="2">
        <f t="shared" si="45"/>
        <v>44853</v>
      </c>
      <c r="M733" s="5">
        <f>HAVERD!BA737/HAVERD!BB737</f>
        <v>81.119005328596813</v>
      </c>
      <c r="AJ733" s="2">
        <f t="shared" si="44"/>
        <v>44853</v>
      </c>
      <c r="AK733" s="2"/>
      <c r="AL733" s="3">
        <f>IF(HAVERD!H737="",AL732,AVERAGE(HAVERD!H737:Q737))</f>
        <v>333.30500000000001</v>
      </c>
    </row>
    <row r="734" spans="12:38" x14ac:dyDescent="0.35">
      <c r="L734" s="2">
        <f t="shared" si="45"/>
        <v>44854</v>
      </c>
      <c r="M734" s="5">
        <f>HAVERD!BA738/HAVERD!BB738</f>
        <v>80.855199222546162</v>
      </c>
      <c r="AJ734" s="2">
        <f t="shared" si="44"/>
        <v>44854</v>
      </c>
      <c r="AK734" s="2"/>
      <c r="AL734" s="3">
        <f>IF(HAVERD!H738="",AL733,AVERAGE(HAVERD!H738:Q738))</f>
        <v>375.38900000000001</v>
      </c>
    </row>
    <row r="735" spans="12:38" x14ac:dyDescent="0.35">
      <c r="L735" s="2">
        <f t="shared" si="45"/>
        <v>44855</v>
      </c>
      <c r="M735" s="5">
        <f>HAVERD!BA739/HAVERD!BB739</f>
        <v>82.527413266223249</v>
      </c>
      <c r="AJ735" s="2">
        <f t="shared" si="44"/>
        <v>44855</v>
      </c>
      <c r="AK735" s="2"/>
      <c r="AL735" s="3">
        <f>IF(HAVERD!H739="",AL734,AVERAGE(HAVERD!H739:Q739))</f>
        <v>357.36499999999995</v>
      </c>
    </row>
    <row r="736" spans="12:38" x14ac:dyDescent="0.35">
      <c r="L736" s="2">
        <f t="shared" si="45"/>
        <v>44858</v>
      </c>
      <c r="M736" s="5">
        <f>HAVERD!BA740/HAVERD!BB740</f>
        <v>80.935124624359204</v>
      </c>
      <c r="AJ736" s="2">
        <f t="shared" si="44"/>
        <v>44858</v>
      </c>
      <c r="AK736" s="2"/>
      <c r="AL736" s="3">
        <f>IF(HAVERD!H740="",AL735,AVERAGE(HAVERD!H740:Q740))</f>
        <v>339.35600000000005</v>
      </c>
    </row>
    <row r="737" spans="12:38" x14ac:dyDescent="0.35">
      <c r="L737" s="2">
        <f t="shared" si="45"/>
        <v>44859</v>
      </c>
      <c r="M737" s="5">
        <f>HAVERD!BA741/HAVERD!BB741</f>
        <v>80.083784255541985</v>
      </c>
      <c r="AJ737" s="2">
        <f t="shared" si="44"/>
        <v>44859</v>
      </c>
      <c r="AK737" s="2"/>
      <c r="AL737" s="3">
        <f>IF(HAVERD!H741="",AL736,AVERAGE(HAVERD!H741:Q741))</f>
        <v>333.93700000000001</v>
      </c>
    </row>
    <row r="738" spans="12:38" x14ac:dyDescent="0.35">
      <c r="L738" s="2">
        <f t="shared" si="45"/>
        <v>44860</v>
      </c>
      <c r="M738" s="5">
        <f>HAVERD!BA742/HAVERD!BB742</f>
        <v>80.112068965517253</v>
      </c>
      <c r="AJ738" s="2">
        <f t="shared" si="44"/>
        <v>44860</v>
      </c>
      <c r="AK738" s="2"/>
      <c r="AL738" s="3">
        <f>IF(HAVERD!H742="",AL737,AVERAGE(HAVERD!H742:Q742))</f>
        <v>325.42500000000001</v>
      </c>
    </row>
    <row r="739" spans="12:38" x14ac:dyDescent="0.35">
      <c r="L739" s="2">
        <f t="shared" si="45"/>
        <v>44861</v>
      </c>
      <c r="M739" s="5">
        <f>HAVERD!BA743/HAVERD!BB743</f>
        <v>81.314221569812631</v>
      </c>
      <c r="AJ739" s="2">
        <f t="shared" si="44"/>
        <v>44861</v>
      </c>
      <c r="AK739" s="2"/>
      <c r="AL739" s="3">
        <f>IF(HAVERD!H743="",AL738,AVERAGE(HAVERD!H743:Q743))</f>
        <v>326.66499999999996</v>
      </c>
    </row>
    <row r="740" spans="12:38" x14ac:dyDescent="0.35">
      <c r="L740" s="2">
        <f t="shared" si="45"/>
        <v>44862</v>
      </c>
      <c r="M740" s="5">
        <f>HAVERD!BA744/HAVERD!BB744</f>
        <v>81.642512077294683</v>
      </c>
      <c r="AJ740" s="2">
        <f t="shared" si="44"/>
        <v>44862</v>
      </c>
      <c r="AK740" s="2"/>
      <c r="AL740" s="3">
        <f>IF(HAVERD!H744="",AL739,AVERAGE(HAVERD!H744:Q744))</f>
        <v>325.76799999999992</v>
      </c>
    </row>
    <row r="741" spans="12:38" x14ac:dyDescent="0.35">
      <c r="L741" s="2">
        <f t="shared" si="45"/>
        <v>44865</v>
      </c>
      <c r="M741" s="5">
        <f>HAVERD!BA745/HAVERD!BB745</f>
        <v>81.031787389265247</v>
      </c>
      <c r="AJ741" s="2">
        <f t="shared" si="44"/>
        <v>44865</v>
      </c>
      <c r="AK741" s="2"/>
      <c r="AL741" s="3">
        <f>IF(HAVERD!H745="",AL740,AVERAGE(HAVERD!H745:Q745))</f>
        <v>304.73700000000002</v>
      </c>
    </row>
    <row r="742" spans="12:38" x14ac:dyDescent="0.35">
      <c r="L742" s="2">
        <f t="shared" si="45"/>
        <v>44866</v>
      </c>
      <c r="M742" s="5">
        <f>HAVERD!BA746/HAVERD!BB746</f>
        <v>83.001745200698096</v>
      </c>
      <c r="AJ742" s="2">
        <f t="shared" si="44"/>
        <v>44866</v>
      </c>
      <c r="AK742" s="2"/>
      <c r="AL742" s="3">
        <f>IF(HAVERD!H746="",AL741,AVERAGE(HAVERD!H746:Q746))</f>
        <v>284.15700000000004</v>
      </c>
    </row>
    <row r="743" spans="12:38" x14ac:dyDescent="0.35">
      <c r="L743" s="2">
        <f t="shared" si="45"/>
        <v>44867</v>
      </c>
      <c r="M743" s="5">
        <f>HAVERD!BA747/HAVERD!BB747</f>
        <v>83.808776062112869</v>
      </c>
      <c r="AJ743" s="2">
        <f t="shared" si="44"/>
        <v>44867</v>
      </c>
      <c r="AK743" s="2"/>
      <c r="AL743" s="3">
        <f>IF(HAVERD!H747="",AL742,AVERAGE(HAVERD!H747:Q747))</f>
        <v>303.59599999999995</v>
      </c>
    </row>
    <row r="744" spans="12:38" x14ac:dyDescent="0.35">
      <c r="L744" s="2">
        <f t="shared" si="45"/>
        <v>44868</v>
      </c>
      <c r="M744" s="5">
        <f>HAVERD!BA748/HAVERD!BB748</f>
        <v>85.240182485016561</v>
      </c>
      <c r="AJ744" s="2">
        <f t="shared" si="44"/>
        <v>44868</v>
      </c>
      <c r="AK744" s="2"/>
      <c r="AL744" s="3">
        <f>IF(HAVERD!H748="",AL743,AVERAGE(HAVERD!H748:Q748))</f>
        <v>311.83900000000006</v>
      </c>
    </row>
    <row r="745" spans="12:38" x14ac:dyDescent="0.35">
      <c r="L745" s="2">
        <f t="shared" si="45"/>
        <v>44869</v>
      </c>
      <c r="M745" s="5">
        <f>HAVERD!BA749/HAVERD!BB749</f>
        <v>88.259288817948047</v>
      </c>
      <c r="AJ745" s="2">
        <f t="shared" si="44"/>
        <v>44869</v>
      </c>
      <c r="AK745" s="2"/>
      <c r="AL745" s="3">
        <f>IF(HAVERD!H749="",AL744,AVERAGE(HAVERD!H749:Q749))</f>
        <v>298.83699999999999</v>
      </c>
    </row>
    <row r="746" spans="12:38" x14ac:dyDescent="0.35">
      <c r="L746" s="2">
        <f t="shared" si="45"/>
        <v>44872</v>
      </c>
      <c r="M746" s="5">
        <f>HAVERD!BA750/HAVERD!BB750</f>
        <v>87.100994243851389</v>
      </c>
      <c r="AJ746" s="2">
        <f t="shared" si="44"/>
        <v>44872</v>
      </c>
      <c r="AK746" s="2"/>
      <c r="AL746" s="3">
        <f>IF(HAVERD!H750="",AL745,AVERAGE(HAVERD!H750:Q750))</f>
        <v>292.286</v>
      </c>
    </row>
    <row r="747" spans="12:38" x14ac:dyDescent="0.35">
      <c r="L747" s="2">
        <f t="shared" si="45"/>
        <v>44873</v>
      </c>
      <c r="M747" s="5">
        <f>HAVERD!BA751/HAVERD!BB751</f>
        <v>83.751297129021083</v>
      </c>
      <c r="AJ747" s="2">
        <f t="shared" si="44"/>
        <v>44873</v>
      </c>
      <c r="AK747" s="2"/>
      <c r="AL747" s="3">
        <f>IF(HAVERD!H751="",AL746,AVERAGE(HAVERD!H751:Q751))</f>
        <v>301.85900000000004</v>
      </c>
    </row>
    <row r="748" spans="12:38" x14ac:dyDescent="0.35">
      <c r="L748" s="2">
        <f t="shared" si="45"/>
        <v>44874</v>
      </c>
      <c r="M748" s="5">
        <f>HAVERD!BA752/HAVERD!BB752</f>
        <v>81.809389836469137</v>
      </c>
      <c r="AJ748" s="2">
        <f t="shared" si="44"/>
        <v>44874</v>
      </c>
      <c r="AK748" s="2"/>
      <c r="AL748" s="3">
        <f>IF(HAVERD!H752="",AL747,AVERAGE(HAVERD!H752:Q752))</f>
        <v>290.67099999999999</v>
      </c>
    </row>
    <row r="749" spans="12:38" x14ac:dyDescent="0.35">
      <c r="L749" s="2">
        <f t="shared" si="45"/>
        <v>44875</v>
      </c>
      <c r="M749" s="5">
        <f>HAVERD!BA753/HAVERD!BB753</f>
        <v>80.707312896043845</v>
      </c>
      <c r="AJ749" s="2">
        <f t="shared" si="44"/>
        <v>44875</v>
      </c>
      <c r="AK749" s="2"/>
      <c r="AL749" s="3">
        <f>IF(HAVERD!H753="",AL748,AVERAGE(HAVERD!H753:Q753))</f>
        <v>289.75800000000004</v>
      </c>
    </row>
    <row r="750" spans="12:38" x14ac:dyDescent="0.35">
      <c r="L750" s="2">
        <f t="shared" si="45"/>
        <v>44876</v>
      </c>
      <c r="M750" s="5">
        <f>HAVERD!BA754/HAVERD!BB754</f>
        <v>81.849838627484289</v>
      </c>
      <c r="AJ750" s="2">
        <f t="shared" si="44"/>
        <v>44876</v>
      </c>
      <c r="AK750" s="2"/>
      <c r="AL750" s="3">
        <f>IF(HAVERD!H754="",AL749,AVERAGE(HAVERD!H754:Q754))</f>
        <v>257.387</v>
      </c>
    </row>
    <row r="751" spans="12:38" x14ac:dyDescent="0.35">
      <c r="L751" s="2">
        <f t="shared" si="45"/>
        <v>44879</v>
      </c>
      <c r="M751" s="5">
        <f>HAVERD!BA755/HAVERD!BB755</f>
        <v>79.79367379998294</v>
      </c>
      <c r="AJ751" s="2">
        <f t="shared" si="44"/>
        <v>44879</v>
      </c>
      <c r="AK751" s="2"/>
      <c r="AL751" s="3">
        <f>IF(HAVERD!H755="",AL750,AVERAGE(HAVERD!H755:Q755))</f>
        <v>286.53499999999997</v>
      </c>
    </row>
    <row r="752" spans="12:38" x14ac:dyDescent="0.35">
      <c r="L752" s="2">
        <f t="shared" si="45"/>
        <v>44880</v>
      </c>
      <c r="M752" s="5">
        <f>HAVERD!BA756/HAVERD!BB756</f>
        <v>79.277007145859599</v>
      </c>
      <c r="AJ752" s="2">
        <f t="shared" si="44"/>
        <v>44880</v>
      </c>
      <c r="AK752" s="2"/>
      <c r="AL752" s="3">
        <f>IF(HAVERD!H756="",AL751,AVERAGE(HAVERD!H756:Q756))</f>
        <v>305.30099999999999</v>
      </c>
    </row>
    <row r="753" spans="12:38" x14ac:dyDescent="0.35">
      <c r="L753" s="2">
        <f t="shared" si="45"/>
        <v>44881</v>
      </c>
      <c r="M753" s="5">
        <f>HAVERD!BA757/HAVERD!BB757</f>
        <v>77.895533686601055</v>
      </c>
      <c r="AJ753" s="2">
        <f t="shared" si="44"/>
        <v>44881</v>
      </c>
      <c r="AK753" s="2"/>
      <c r="AL753" s="3">
        <f>IF(HAVERD!H757="",AL752,AVERAGE(HAVERD!H757:Q757))</f>
        <v>294.26900000000001</v>
      </c>
    </row>
    <row r="754" spans="12:38" x14ac:dyDescent="0.35">
      <c r="L754" s="2">
        <f t="shared" si="45"/>
        <v>44882</v>
      </c>
      <c r="M754" s="5">
        <f>HAVERD!BA758/HAVERD!BB758</f>
        <v>77.262693156732894</v>
      </c>
      <c r="AJ754" s="2">
        <f t="shared" si="44"/>
        <v>44882</v>
      </c>
      <c r="AK754" s="2"/>
      <c r="AL754" s="3">
        <f>IF(HAVERD!H758="",AL753,AVERAGE(HAVERD!H758:Q758))</f>
        <v>294.17400000000004</v>
      </c>
    </row>
    <row r="755" spans="12:38" x14ac:dyDescent="0.35">
      <c r="L755" s="2">
        <f t="shared" si="45"/>
        <v>44883</v>
      </c>
      <c r="M755" s="5">
        <f>HAVERD!BA759/HAVERD!BB759</f>
        <v>74.561918336547336</v>
      </c>
      <c r="AJ755" s="2">
        <f t="shared" si="44"/>
        <v>44883</v>
      </c>
      <c r="AK755" s="2"/>
      <c r="AL755" s="3">
        <f>IF(HAVERD!H759="",AL754,AVERAGE(HAVERD!H759:Q759))</f>
        <v>298.35000000000002</v>
      </c>
    </row>
    <row r="756" spans="12:38" x14ac:dyDescent="0.35">
      <c r="L756" s="2">
        <f t="shared" si="45"/>
        <v>44886</v>
      </c>
      <c r="M756" s="5">
        <f>HAVERD!BA760/HAVERD!BB760</f>
        <v>75.038180892584421</v>
      </c>
      <c r="AJ756" s="2">
        <f t="shared" si="44"/>
        <v>44886</v>
      </c>
      <c r="AK756" s="2"/>
      <c r="AL756" s="3">
        <f>IF(HAVERD!H760="",AL755,AVERAGE(HAVERD!H760:Q760))</f>
        <v>302.70899999999995</v>
      </c>
    </row>
    <row r="757" spans="12:38" x14ac:dyDescent="0.35">
      <c r="L757" s="2">
        <f t="shared" si="45"/>
        <v>44887</v>
      </c>
      <c r="M757" s="5">
        <f>HAVERD!BA761/HAVERD!BB761</f>
        <v>74.621212121212125</v>
      </c>
      <c r="AJ757" s="2">
        <f t="shared" si="44"/>
        <v>44887</v>
      </c>
      <c r="AK757" s="2"/>
      <c r="AL757" s="3">
        <f>IF(HAVERD!H761="",AL756,AVERAGE(HAVERD!H761:Q761))</f>
        <v>314.64499999999998</v>
      </c>
    </row>
    <row r="758" spans="12:38" x14ac:dyDescent="0.35">
      <c r="L758" s="2">
        <f t="shared" si="45"/>
        <v>44888</v>
      </c>
      <c r="M758" s="5">
        <f>HAVERD!BA762/HAVERD!BB762</f>
        <v>71.197679237463745</v>
      </c>
      <c r="AJ758" s="2">
        <f t="shared" si="44"/>
        <v>44888</v>
      </c>
      <c r="AK758" s="2"/>
      <c r="AL758" s="3">
        <f>IF(HAVERD!H762="",AL757,AVERAGE(HAVERD!H762:Q762))</f>
        <v>326.35699999999997</v>
      </c>
    </row>
    <row r="759" spans="12:38" x14ac:dyDescent="0.35">
      <c r="L759" s="2">
        <f t="shared" si="45"/>
        <v>44889</v>
      </c>
      <c r="M759" s="5">
        <f>HAVERD!BA763/HAVERD!BB763</f>
        <v>70.490858178224357</v>
      </c>
      <c r="AJ759" s="2">
        <f t="shared" si="44"/>
        <v>44889</v>
      </c>
      <c r="AK759" s="2"/>
      <c r="AL759" s="3">
        <f>IF(HAVERD!H763="",AL758,AVERAGE(HAVERD!H763:Q763))</f>
        <v>316.88299999999998</v>
      </c>
    </row>
    <row r="760" spans="12:38" x14ac:dyDescent="0.35">
      <c r="L760" s="2">
        <f t="shared" si="45"/>
        <v>44890</v>
      </c>
      <c r="M760" s="5">
        <f>HAVERD!BA764/HAVERD!BB764</f>
        <v>68.954113269946262</v>
      </c>
      <c r="AJ760" s="2">
        <f t="shared" si="44"/>
        <v>44890</v>
      </c>
      <c r="AK760" s="2"/>
      <c r="AL760" s="3">
        <f>IF(HAVERD!H764="",AL759,AVERAGE(HAVERD!H764:Q764))</f>
        <v>319.322</v>
      </c>
    </row>
    <row r="761" spans="12:38" x14ac:dyDescent="0.35">
      <c r="L761" s="2">
        <f t="shared" si="45"/>
        <v>44893</v>
      </c>
      <c r="M761" s="5">
        <f>HAVERD!BA765/HAVERD!BB765</f>
        <v>69.352159468438543</v>
      </c>
      <c r="AJ761" s="2">
        <f t="shared" si="44"/>
        <v>44893</v>
      </c>
      <c r="AK761" s="2"/>
      <c r="AL761" s="3">
        <f>IF(HAVERD!H765="",AL760,AVERAGE(HAVERD!H765:Q765))</f>
        <v>317.52699999999999</v>
      </c>
    </row>
    <row r="762" spans="12:38" x14ac:dyDescent="0.35">
      <c r="L762" s="2">
        <f t="shared" si="45"/>
        <v>44894</v>
      </c>
      <c r="M762" s="5">
        <f>HAVERD!BA766/HAVERD!BB766</f>
        <v>69.338443592734549</v>
      </c>
      <c r="AJ762" s="2">
        <f t="shared" si="44"/>
        <v>44894</v>
      </c>
      <c r="AK762" s="2"/>
      <c r="AL762" s="3">
        <f>IF(HAVERD!H766="",AL761,AVERAGE(HAVERD!H766:Q766))</f>
        <v>334.75</v>
      </c>
    </row>
    <row r="763" spans="12:38" x14ac:dyDescent="0.35">
      <c r="L763" s="2">
        <f t="shared" si="45"/>
        <v>44895</v>
      </c>
      <c r="M763" s="5">
        <f>HAVERD!BA767/HAVERD!BB767</f>
        <v>71.868703828072526</v>
      </c>
      <c r="AJ763" s="2">
        <f t="shared" si="44"/>
        <v>44895</v>
      </c>
      <c r="AK763" s="2"/>
      <c r="AL763" s="3">
        <f>IF(HAVERD!H767="",AL762,AVERAGE(HAVERD!H767:Q767))</f>
        <v>359.25599999999997</v>
      </c>
    </row>
    <row r="764" spans="12:38" x14ac:dyDescent="0.35">
      <c r="L764" s="2">
        <f t="shared" si="45"/>
        <v>44896</v>
      </c>
      <c r="M764" s="5">
        <f>HAVERD!BA768/HAVERD!BB768</f>
        <v>70.335045243335784</v>
      </c>
      <c r="AJ764" s="2">
        <f t="shared" si="44"/>
        <v>44896</v>
      </c>
      <c r="AK764" s="2"/>
      <c r="AL764" s="3">
        <f>IF(HAVERD!H768="",AL763,AVERAGE(HAVERD!H768:Q768))</f>
        <v>347.57400000000001</v>
      </c>
    </row>
    <row r="765" spans="12:38" x14ac:dyDescent="0.35">
      <c r="L765" s="2">
        <f t="shared" si="45"/>
        <v>44897</v>
      </c>
      <c r="M765" s="5">
        <f>HAVERD!BA769/HAVERD!BB769</f>
        <v>70.841519318926004</v>
      </c>
      <c r="AJ765" s="2">
        <f t="shared" si="44"/>
        <v>44897</v>
      </c>
      <c r="AK765" s="2"/>
      <c r="AL765" s="3">
        <f>IF(HAVERD!H769="",AL764,AVERAGE(HAVERD!H769:Q769))</f>
        <v>339.16899999999993</v>
      </c>
    </row>
    <row r="766" spans="12:38" x14ac:dyDescent="0.35">
      <c r="L766" s="2">
        <f t="shared" si="45"/>
        <v>44900</v>
      </c>
      <c r="M766" s="5">
        <f>HAVERD!BA770/HAVERD!BB770</f>
        <v>68.227205761990504</v>
      </c>
      <c r="AJ766" s="2">
        <f t="shared" si="44"/>
        <v>44900</v>
      </c>
      <c r="AK766" s="2"/>
      <c r="AL766" s="3">
        <f>IF(HAVERD!H770="",AL765,AVERAGE(HAVERD!H770:Q770))</f>
        <v>336.46100000000001</v>
      </c>
    </row>
    <row r="767" spans="12:38" x14ac:dyDescent="0.35">
      <c r="L767" s="2">
        <f t="shared" si="45"/>
        <v>44901</v>
      </c>
      <c r="M767" s="5">
        <f>HAVERD!BA771/HAVERD!BB771</f>
        <v>65.384930049905918</v>
      </c>
      <c r="AJ767" s="2">
        <f t="shared" si="44"/>
        <v>44901</v>
      </c>
      <c r="AK767" s="2"/>
      <c r="AL767" s="3">
        <f>IF(HAVERD!H771="",AL766,AVERAGE(HAVERD!H771:Q771))</f>
        <v>343.67400000000004</v>
      </c>
    </row>
    <row r="768" spans="12:38" x14ac:dyDescent="0.35">
      <c r="L768" s="2">
        <f t="shared" si="45"/>
        <v>44902</v>
      </c>
      <c r="M768" s="5">
        <f>HAVERD!BA772/HAVERD!BB772</f>
        <v>63.215281193638305</v>
      </c>
      <c r="AJ768" s="2">
        <f t="shared" si="44"/>
        <v>44902</v>
      </c>
      <c r="AK768" s="2"/>
      <c r="AL768" s="3">
        <f>IF(HAVERD!H772="",AL767,AVERAGE(HAVERD!H772:Q772))</f>
        <v>370.12400000000002</v>
      </c>
    </row>
    <row r="769" spans="12:38" x14ac:dyDescent="0.35">
      <c r="L769" s="2">
        <f t="shared" si="45"/>
        <v>44903</v>
      </c>
      <c r="M769" s="5">
        <f>HAVERD!BA773/HAVERD!BB773</f>
        <v>62.214583844831814</v>
      </c>
      <c r="AJ769" s="2">
        <f t="shared" si="44"/>
        <v>44903</v>
      </c>
      <c r="AK769" s="2"/>
      <c r="AL769" s="3">
        <f>IF(HAVERD!H773="",AL768,AVERAGE(HAVERD!H773:Q773))</f>
        <v>349.44499999999999</v>
      </c>
    </row>
    <row r="770" spans="12:38" x14ac:dyDescent="0.35">
      <c r="L770" s="2">
        <f t="shared" si="45"/>
        <v>44904</v>
      </c>
      <c r="M770" s="5">
        <f>HAVERD!BA774/HAVERD!BB774</f>
        <v>62.114680764538434</v>
      </c>
      <c r="AJ770" s="2">
        <f t="shared" si="44"/>
        <v>44904</v>
      </c>
      <c r="AK770" s="2"/>
      <c r="AL770" s="3">
        <f>IF(HAVERD!H774="",AL769,AVERAGE(HAVERD!H774:Q774))</f>
        <v>348.63</v>
      </c>
    </row>
    <row r="771" spans="12:38" x14ac:dyDescent="0.35">
      <c r="L771" s="2">
        <f t="shared" si="45"/>
        <v>44907</v>
      </c>
      <c r="M771" s="5">
        <f>HAVERD!BA775/HAVERD!BB775</f>
        <v>63.65787970292989</v>
      </c>
      <c r="AJ771" s="2">
        <f t="shared" si="44"/>
        <v>44907</v>
      </c>
      <c r="AK771" s="2"/>
      <c r="AL771" s="3">
        <f>IF(HAVERD!H775="",AL770,AVERAGE(HAVERD!H775:Q775))</f>
        <v>344.54</v>
      </c>
    </row>
    <row r="772" spans="12:38" x14ac:dyDescent="0.35">
      <c r="L772" s="2">
        <f t="shared" si="45"/>
        <v>44908</v>
      </c>
      <c r="M772" s="5">
        <f>HAVERD!BA776/HAVERD!BB776</f>
        <v>64.65510286405808</v>
      </c>
      <c r="AJ772" s="2">
        <f t="shared" si="44"/>
        <v>44908</v>
      </c>
      <c r="AK772" s="2"/>
      <c r="AL772" s="3">
        <f>IF(HAVERD!H776="",AL771,AVERAGE(HAVERD!H776:Q776))</f>
        <v>343.21400000000006</v>
      </c>
    </row>
    <row r="773" spans="12:38" x14ac:dyDescent="0.35">
      <c r="L773" s="2">
        <f t="shared" si="45"/>
        <v>44909</v>
      </c>
      <c r="M773" s="5">
        <f>HAVERD!BA777/HAVERD!BB777</f>
        <v>67.179941954208317</v>
      </c>
      <c r="AJ773" s="2">
        <f t="shared" si="44"/>
        <v>44909</v>
      </c>
      <c r="AK773" s="2"/>
      <c r="AL773" s="3">
        <f>IF(HAVERD!H777="",AL772,AVERAGE(HAVERD!H777:Q777))</f>
        <v>325.89400000000001</v>
      </c>
    </row>
    <row r="774" spans="12:38" x14ac:dyDescent="0.35">
      <c r="L774" s="2">
        <f t="shared" si="45"/>
        <v>44910</v>
      </c>
      <c r="M774" s="5">
        <f>HAVERD!BA778/HAVERD!BB778</f>
        <v>67.381342062193127</v>
      </c>
      <c r="AJ774" s="2">
        <f t="shared" si="44"/>
        <v>44910</v>
      </c>
      <c r="AK774" s="2"/>
      <c r="AL774" s="3">
        <f>IF(HAVERD!H778="",AL773,AVERAGE(HAVERD!H778:Q778))</f>
        <v>333.83499999999992</v>
      </c>
    </row>
    <row r="775" spans="12:38" x14ac:dyDescent="0.35">
      <c r="L775" s="2">
        <f t="shared" si="45"/>
        <v>44911</v>
      </c>
      <c r="M775" s="5">
        <f>HAVERD!BA779/HAVERD!BB779</f>
        <v>65.991936147453302</v>
      </c>
      <c r="AJ775" s="2">
        <f t="shared" si="44"/>
        <v>44911</v>
      </c>
      <c r="AK775" s="2"/>
      <c r="AL775" s="3">
        <f>IF(HAVERD!H779="",AL774,AVERAGE(HAVERD!H779:Q779))</f>
        <v>291.02100000000002</v>
      </c>
    </row>
    <row r="776" spans="12:38" x14ac:dyDescent="0.35">
      <c r="L776" s="2">
        <f t="shared" si="45"/>
        <v>44914</v>
      </c>
      <c r="M776" s="5">
        <f>HAVERD!BA780/HAVERD!BB780</f>
        <v>67.320692497938992</v>
      </c>
      <c r="AJ776" s="2">
        <f t="shared" si="44"/>
        <v>44914</v>
      </c>
      <c r="AK776" s="2"/>
      <c r="AL776" s="3">
        <f>IF(HAVERD!H780="",AL775,AVERAGE(HAVERD!H780:Q780))</f>
        <v>276.70199999999994</v>
      </c>
    </row>
    <row r="777" spans="12:38" x14ac:dyDescent="0.35">
      <c r="L777" s="2">
        <f t="shared" si="45"/>
        <v>44915</v>
      </c>
      <c r="M777" s="5">
        <f>HAVERD!BA781/HAVERD!BB781</f>
        <v>65.450201828816219</v>
      </c>
      <c r="AJ777" s="2">
        <f t="shared" ref="AJ777:AJ840" si="46">+AJ772+7</f>
        <v>44915</v>
      </c>
      <c r="AK777" s="2"/>
      <c r="AL777" s="3">
        <f>IF(HAVERD!H781="",AL776,AVERAGE(HAVERD!H781:Q781))</f>
        <v>271.18200000000002</v>
      </c>
    </row>
    <row r="778" spans="12:38" x14ac:dyDescent="0.35">
      <c r="L778" s="2">
        <f t="shared" si="45"/>
        <v>44916</v>
      </c>
      <c r="M778" s="5">
        <f>HAVERD!BA782/HAVERD!BB782</f>
        <v>66.273020067718221</v>
      </c>
      <c r="AJ778" s="2">
        <f t="shared" si="46"/>
        <v>44916</v>
      </c>
      <c r="AK778" s="2"/>
      <c r="AL778" s="3">
        <f>IF(HAVERD!H782="",AL777,AVERAGE(HAVERD!H782:Q782))</f>
        <v>253.85700000000003</v>
      </c>
    </row>
    <row r="779" spans="12:38" x14ac:dyDescent="0.35">
      <c r="L779" s="2">
        <f t="shared" si="45"/>
        <v>44917</v>
      </c>
      <c r="M779" s="5">
        <f>HAVERD!BA783/HAVERD!BB783</f>
        <v>66.15128844555278</v>
      </c>
      <c r="AJ779" s="2">
        <f t="shared" si="46"/>
        <v>44917</v>
      </c>
      <c r="AK779" s="2"/>
      <c r="AL779" s="3">
        <f>IF(HAVERD!H783="",AL778,AVERAGE(HAVERD!H783:Q783))</f>
        <v>242.09700000000004</v>
      </c>
    </row>
    <row r="780" spans="12:38" x14ac:dyDescent="0.35">
      <c r="L780" s="2">
        <f t="shared" si="45"/>
        <v>44918</v>
      </c>
      <c r="M780" s="5">
        <f>HAVERD!BA784/HAVERD!BB784</f>
        <v>68.309859154929569</v>
      </c>
      <c r="AJ780" s="2">
        <f t="shared" si="46"/>
        <v>44918</v>
      </c>
      <c r="AK780" s="2"/>
      <c r="AL780" s="3">
        <f>IF(HAVERD!H784="",AL779,AVERAGE(HAVERD!H784:Q784))</f>
        <v>229.08699999999999</v>
      </c>
    </row>
    <row r="781" spans="12:38" x14ac:dyDescent="0.35">
      <c r="L781" s="2">
        <f t="shared" si="45"/>
        <v>44921</v>
      </c>
      <c r="M781" s="5" t="e">
        <f>HAVERD!BA785/HAVERD!BB785</f>
        <v>#N/A</v>
      </c>
      <c r="AJ781" s="2">
        <f t="shared" si="46"/>
        <v>44921</v>
      </c>
      <c r="AK781" s="2"/>
      <c r="AL781" s="3" t="e">
        <f>IF(HAVERD!H785="",AL780,AVERAGE(HAVERD!H785:Q785))</f>
        <v>#N/A</v>
      </c>
    </row>
    <row r="782" spans="12:38" x14ac:dyDescent="0.35">
      <c r="L782" s="2">
        <f t="shared" si="45"/>
        <v>44922</v>
      </c>
      <c r="M782" s="5" t="e">
        <f>HAVERD!BA786/HAVERD!BB786</f>
        <v>#N/A</v>
      </c>
      <c r="AJ782" s="2">
        <f t="shared" si="46"/>
        <v>44922</v>
      </c>
      <c r="AK782" s="2"/>
      <c r="AL782" s="3">
        <f>IF(HAVERD!H786="",AL781,AVERAGE(HAVERD!H786:Q786))</f>
        <v>229.08699999999999</v>
      </c>
    </row>
    <row r="783" spans="12:38" x14ac:dyDescent="0.35">
      <c r="L783" s="2">
        <f t="shared" ref="L783:L846" si="47">+L778+7</f>
        <v>44923</v>
      </c>
      <c r="M783" s="5">
        <f>HAVERD!BA787/HAVERD!BB787</f>
        <v>67.874054997092301</v>
      </c>
      <c r="AJ783" s="2">
        <f t="shared" si="46"/>
        <v>44923</v>
      </c>
      <c r="AK783" s="2"/>
      <c r="AL783" s="3">
        <f>IF(HAVERD!H787="",AL782,AVERAGE(HAVERD!H787:Q787))</f>
        <v>220.56899999999996</v>
      </c>
    </row>
    <row r="784" spans="12:38" x14ac:dyDescent="0.35">
      <c r="L784" s="2">
        <f t="shared" si="47"/>
        <v>44924</v>
      </c>
      <c r="M784" s="5">
        <f>HAVERD!BA788/HAVERD!BB788</f>
        <v>67.158855246785564</v>
      </c>
      <c r="AJ784" s="2">
        <f t="shared" si="46"/>
        <v>44924</v>
      </c>
      <c r="AK784" s="2"/>
      <c r="AL784" s="3">
        <f>IF(HAVERD!H788="",AL783,AVERAGE(HAVERD!H788:Q788))</f>
        <v>229.04499999999999</v>
      </c>
    </row>
    <row r="785" spans="12:38" x14ac:dyDescent="0.35">
      <c r="L785" s="2">
        <f t="shared" si="47"/>
        <v>44925</v>
      </c>
      <c r="M785" s="5">
        <f>HAVERD!BA789/HAVERD!BB789</f>
        <v>68.793089127003896</v>
      </c>
      <c r="AJ785" s="2">
        <f t="shared" si="46"/>
        <v>44925</v>
      </c>
      <c r="AK785" s="2"/>
      <c r="AL785" s="3">
        <f>IF(HAVERD!H789="",AL784,AVERAGE(HAVERD!H789:Q789))</f>
        <v>212.47599999999997</v>
      </c>
    </row>
    <row r="786" spans="12:38" x14ac:dyDescent="0.35">
      <c r="L786" s="2">
        <f t="shared" si="47"/>
        <v>44928</v>
      </c>
      <c r="M786" s="5" t="e">
        <f>HAVERD!BA790/HAVERD!BB790</f>
        <v>#N/A</v>
      </c>
      <c r="AJ786" s="2">
        <f>+AJ781+7</f>
        <v>44928</v>
      </c>
      <c r="AK786" s="2" t="s">
        <v>2180</v>
      </c>
      <c r="AL786" s="3" t="e">
        <f>IF(HAVERD!H790="",AL785,AVERAGE(HAVERD!H790:Q790))</f>
        <v>#N/A</v>
      </c>
    </row>
    <row r="787" spans="12:38" x14ac:dyDescent="0.35">
      <c r="L787" s="2">
        <f t="shared" si="47"/>
        <v>44929</v>
      </c>
      <c r="M787" s="5">
        <f>HAVERD!BA791/HAVERD!BB791</f>
        <v>66.922051965356417</v>
      </c>
      <c r="AJ787" s="2">
        <f>+AJ782+7</f>
        <v>44929</v>
      </c>
      <c r="AK787" s="2" t="s">
        <v>2180</v>
      </c>
      <c r="AL787" s="3">
        <f>IF(HAVERD!H791="",AL786,AVERAGE(HAVERD!H791:Q791))</f>
        <v>204.87999999999997</v>
      </c>
    </row>
    <row r="788" spans="12:38" x14ac:dyDescent="0.35">
      <c r="L788" s="2">
        <f t="shared" si="47"/>
        <v>44930</v>
      </c>
      <c r="M788" s="5">
        <f>HAVERD!BA792/HAVERD!BB792</f>
        <v>62.544639149572298</v>
      </c>
      <c r="AJ788" s="2">
        <f>+AJ783+7</f>
        <v>44930</v>
      </c>
      <c r="AK788" s="2" t="s">
        <v>2180</v>
      </c>
      <c r="AL788" s="3">
        <f>IF(HAVERD!H792="",AL787,AVERAGE(HAVERD!H792:Q792))</f>
        <v>183.03500000000003</v>
      </c>
    </row>
    <row r="789" spans="12:38" x14ac:dyDescent="0.35">
      <c r="L789" s="2">
        <f t="shared" si="47"/>
        <v>44931</v>
      </c>
      <c r="M789" s="5">
        <f>HAVERD!BA793/HAVERD!BB793</f>
        <v>64.592979207003964</v>
      </c>
      <c r="AJ789" s="2">
        <f>+AJ784+7</f>
        <v>44931</v>
      </c>
      <c r="AK789" s="2" t="s">
        <v>2180</v>
      </c>
      <c r="AL789" s="3">
        <f>IF(HAVERD!H793="",AL788,AVERAGE(HAVERD!H793:Q793))</f>
        <v>202.81400000000002</v>
      </c>
    </row>
    <row r="790" spans="12:38" x14ac:dyDescent="0.35">
      <c r="L790" s="2">
        <f t="shared" si="47"/>
        <v>44932</v>
      </c>
      <c r="M790" s="5">
        <f>HAVERD!BA794/HAVERD!BB794</f>
        <v>63.426579231343894</v>
      </c>
      <c r="AJ790" s="2">
        <f>+AJ785+7</f>
        <v>44932</v>
      </c>
      <c r="AK790" s="2" t="s">
        <v>2180</v>
      </c>
      <c r="AL790" s="3">
        <f>IF(HAVERD!H794="",AL789,AVERAGE(HAVERD!H794:Q794))</f>
        <v>197.43600000000004</v>
      </c>
    </row>
    <row r="791" spans="12:38" x14ac:dyDescent="0.35">
      <c r="L791" s="2">
        <f t="shared" si="47"/>
        <v>44935</v>
      </c>
      <c r="M791" s="5">
        <f>HAVERD!BA795/HAVERD!BB795</f>
        <v>63.561059624374636</v>
      </c>
      <c r="AJ791" s="2">
        <f t="shared" si="46"/>
        <v>44935</v>
      </c>
      <c r="AK791" s="2" t="s">
        <v>2180</v>
      </c>
      <c r="AL791" s="3">
        <f>IF(HAVERD!H795="",AL790,AVERAGE(HAVERD!H795:Q795))</f>
        <v>205.74799999999999</v>
      </c>
    </row>
    <row r="792" spans="12:38" x14ac:dyDescent="0.35">
      <c r="L792" s="2">
        <f t="shared" si="47"/>
        <v>44936</v>
      </c>
      <c r="M792" s="5">
        <f>HAVERD!BA796/HAVERD!BB796</f>
        <v>64.537372406980566</v>
      </c>
      <c r="AJ792" s="2">
        <f t="shared" si="46"/>
        <v>44936</v>
      </c>
      <c r="AK792" s="2" t="s">
        <v>2180</v>
      </c>
      <c r="AL792" s="3">
        <f>IF(HAVERD!H796="",AL791,AVERAGE(HAVERD!H796:Q796))</f>
        <v>196.43300000000002</v>
      </c>
    </row>
    <row r="793" spans="12:38" x14ac:dyDescent="0.35">
      <c r="L793" s="2">
        <f t="shared" si="47"/>
        <v>44937</v>
      </c>
      <c r="M793" s="5">
        <f>HAVERD!BA797/HAVERD!BB797</f>
        <v>66.867271228359428</v>
      </c>
      <c r="AJ793" s="2">
        <f t="shared" si="46"/>
        <v>44937</v>
      </c>
      <c r="AK793" s="2" t="s">
        <v>2180</v>
      </c>
      <c r="AL793" s="3">
        <f>IF(HAVERD!H797="",AL792,AVERAGE(HAVERD!H797:Q797))</f>
        <v>187.87899999999996</v>
      </c>
    </row>
    <row r="794" spans="12:38" x14ac:dyDescent="0.35">
      <c r="L794" s="2">
        <f t="shared" si="47"/>
        <v>44938</v>
      </c>
      <c r="M794" s="5">
        <f>HAVERD!BA798/HAVERD!BB798</f>
        <v>67.824587336782457</v>
      </c>
      <c r="AJ794" s="2">
        <f t="shared" si="46"/>
        <v>44938</v>
      </c>
      <c r="AK794" s="2" t="s">
        <v>2180</v>
      </c>
      <c r="AL794" s="3">
        <f>IF(HAVERD!H798="",AL793,AVERAGE(HAVERD!H798:Q798))</f>
        <v>189.916</v>
      </c>
    </row>
    <row r="795" spans="12:38" x14ac:dyDescent="0.35">
      <c r="L795" s="2">
        <f t="shared" si="47"/>
        <v>44939</v>
      </c>
      <c r="M795" s="5">
        <f>HAVERD!BA799/HAVERD!BB799</f>
        <v>68.301268931641431</v>
      </c>
      <c r="AJ795" s="2">
        <f t="shared" si="46"/>
        <v>44939</v>
      </c>
      <c r="AK795" s="2" t="s">
        <v>2180</v>
      </c>
      <c r="AL795" s="3">
        <f>IF(HAVERD!H799="",AL794,AVERAGE(HAVERD!H799:Q799))</f>
        <v>183.51900000000001</v>
      </c>
    </row>
    <row r="796" spans="12:38" x14ac:dyDescent="0.35">
      <c r="L796" s="2">
        <f t="shared" si="47"/>
        <v>44942</v>
      </c>
      <c r="M796" s="5">
        <f>HAVERD!BA800/HAVERD!BB800</f>
        <v>67.712600360478461</v>
      </c>
      <c r="AJ796" s="2">
        <f t="shared" si="46"/>
        <v>44942</v>
      </c>
      <c r="AK796" s="2" t="s">
        <v>2180</v>
      </c>
      <c r="AL796" s="3">
        <f>IF(HAVERD!H800="",AL795,AVERAGE(HAVERD!H800:Q800))</f>
        <v>160.83599999999998</v>
      </c>
    </row>
    <row r="797" spans="12:38" x14ac:dyDescent="0.35">
      <c r="L797" s="2">
        <f t="shared" si="47"/>
        <v>44943</v>
      </c>
      <c r="M797" s="5">
        <f>HAVERD!BA801/HAVERD!BB801</f>
        <v>68.713355048859938</v>
      </c>
      <c r="AJ797" s="2">
        <f t="shared" si="46"/>
        <v>44943</v>
      </c>
      <c r="AK797" s="2" t="s">
        <v>2180</v>
      </c>
      <c r="AL797" s="3">
        <f>IF(HAVERD!H801="",AL796,AVERAGE(HAVERD!H801:Q801))</f>
        <v>170.94099999999997</v>
      </c>
    </row>
    <row r="798" spans="12:38" x14ac:dyDescent="0.35">
      <c r="L798" s="2">
        <f t="shared" si="47"/>
        <v>44944</v>
      </c>
      <c r="M798" s="5">
        <f>HAVERD!BA802/HAVERD!BB802</f>
        <v>67.597224463450061</v>
      </c>
      <c r="AJ798" s="2">
        <f t="shared" si="46"/>
        <v>44944</v>
      </c>
      <c r="AK798" s="2" t="s">
        <v>2180</v>
      </c>
      <c r="AL798" s="3">
        <f>IF(HAVERD!H802="",AL797,AVERAGE(HAVERD!H802:Q802))</f>
        <v>173.81900000000002</v>
      </c>
    </row>
    <row r="799" spans="12:38" x14ac:dyDescent="0.35">
      <c r="L799" s="2">
        <f t="shared" si="47"/>
        <v>44945</v>
      </c>
      <c r="M799" s="5">
        <f>HAVERD!BA803/HAVERD!BB803</f>
        <v>68.840521077757103</v>
      </c>
      <c r="AJ799" s="2">
        <f t="shared" si="46"/>
        <v>44945</v>
      </c>
      <c r="AK799" s="2" t="s">
        <v>2180</v>
      </c>
      <c r="AL799" s="3">
        <f>IF(HAVERD!H803="",AL798,AVERAGE(HAVERD!H803:Q803))</f>
        <v>172.696</v>
      </c>
    </row>
    <row r="800" spans="12:38" x14ac:dyDescent="0.35">
      <c r="L800" s="2">
        <f t="shared" si="47"/>
        <v>44946</v>
      </c>
      <c r="M800" s="5">
        <f>HAVERD!BA804/HAVERD!BB804</f>
        <v>70.304794243673683</v>
      </c>
      <c r="AJ800" s="2">
        <f t="shared" si="46"/>
        <v>44946</v>
      </c>
      <c r="AK800" s="2" t="s">
        <v>2180</v>
      </c>
      <c r="AL800" s="3">
        <f>IF(HAVERD!H804="",AL799,AVERAGE(HAVERD!H804:Q804))</f>
        <v>187.97300000000001</v>
      </c>
    </row>
    <row r="801" spans="12:38" x14ac:dyDescent="0.35">
      <c r="L801" s="2">
        <f t="shared" si="47"/>
        <v>44949</v>
      </c>
      <c r="M801" s="5">
        <f>HAVERD!BA805/HAVERD!BB805</f>
        <v>70.779430789133258</v>
      </c>
      <c r="AJ801" s="2">
        <f t="shared" si="46"/>
        <v>44949</v>
      </c>
      <c r="AK801" s="2" t="s">
        <v>2180</v>
      </c>
      <c r="AL801" s="3">
        <f>IF(HAVERD!H805="",AL800,AVERAGE(HAVERD!H805:Q805))</f>
        <v>186.82399999999996</v>
      </c>
    </row>
    <row r="802" spans="12:38" x14ac:dyDescent="0.35">
      <c r="L802" s="2">
        <f t="shared" si="47"/>
        <v>44950</v>
      </c>
      <c r="M802" s="5">
        <f>HAVERD!BA806/HAVERD!BB806</f>
        <v>69.224522939504666</v>
      </c>
      <c r="AJ802" s="2">
        <f t="shared" si="46"/>
        <v>44950</v>
      </c>
      <c r="AK802" s="2" t="s">
        <v>2180</v>
      </c>
      <c r="AL802" s="3">
        <f>IF(HAVERD!H806="",AL801,AVERAGE(HAVERD!H806:Q806))</f>
        <v>168.30699999999999</v>
      </c>
    </row>
    <row r="803" spans="12:38" x14ac:dyDescent="0.35">
      <c r="L803" s="2">
        <f t="shared" si="47"/>
        <v>44951</v>
      </c>
      <c r="M803" s="5">
        <f>HAVERD!BA807/HAVERD!BB807</f>
        <v>68.846091600582611</v>
      </c>
      <c r="AJ803" s="2">
        <f t="shared" si="46"/>
        <v>44951</v>
      </c>
      <c r="AK803" s="2" t="s">
        <v>2180</v>
      </c>
      <c r="AL803" s="3">
        <f>IF(HAVERD!H807="",AL802,AVERAGE(HAVERD!H807:Q807))</f>
        <v>163.36900000000003</v>
      </c>
    </row>
    <row r="804" spans="12:38" x14ac:dyDescent="0.35">
      <c r="L804" s="2">
        <f t="shared" si="47"/>
        <v>44952</v>
      </c>
      <c r="M804" s="5">
        <f>HAVERD!BA808/HAVERD!BB808</f>
        <v>69.83651667206216</v>
      </c>
      <c r="AJ804" s="2">
        <f t="shared" si="46"/>
        <v>44952</v>
      </c>
      <c r="AK804" s="2" t="s">
        <v>2180</v>
      </c>
      <c r="AL804" s="3">
        <f>IF(HAVERD!H808="",AL803,AVERAGE(HAVERD!H808:Q808))</f>
        <v>159.38099999999997</v>
      </c>
    </row>
    <row r="805" spans="12:38" x14ac:dyDescent="0.35">
      <c r="L805" s="2">
        <f t="shared" si="47"/>
        <v>44953</v>
      </c>
      <c r="M805" s="5">
        <f>HAVERD!BA809/HAVERD!BB809</f>
        <v>69.072665479851111</v>
      </c>
      <c r="AJ805" s="2">
        <f t="shared" si="46"/>
        <v>44953</v>
      </c>
      <c r="AK805" s="2" t="s">
        <v>2180</v>
      </c>
      <c r="AL805" s="3">
        <f>IF(HAVERD!H809="",AL804,AVERAGE(HAVERD!H809:Q809))</f>
        <v>159.47</v>
      </c>
    </row>
    <row r="806" spans="12:38" x14ac:dyDescent="0.35">
      <c r="L806" s="2">
        <f t="shared" si="47"/>
        <v>44956</v>
      </c>
      <c r="M806" s="5">
        <f>HAVERD!BA810/HAVERD!BB810</f>
        <v>68.583892075288801</v>
      </c>
      <c r="AJ806" s="2">
        <f t="shared" si="46"/>
        <v>44956</v>
      </c>
      <c r="AK806" s="2" t="s">
        <v>2180</v>
      </c>
      <c r="AL806" s="3">
        <f>IF(HAVERD!H810="",AL805,AVERAGE(HAVERD!H810:Q810))</f>
        <v>160.03399999999999</v>
      </c>
    </row>
    <row r="807" spans="12:38" x14ac:dyDescent="0.35">
      <c r="L807" s="2">
        <f t="shared" si="47"/>
        <v>44957</v>
      </c>
      <c r="M807" s="5">
        <f>HAVERD!BA811/HAVERD!BB811</f>
        <v>67.782562769155774</v>
      </c>
      <c r="AJ807" s="2">
        <f t="shared" si="46"/>
        <v>44957</v>
      </c>
      <c r="AK807" s="2" t="s">
        <v>2180</v>
      </c>
      <c r="AL807" s="3">
        <f>IF(HAVERD!H811="",AL806,AVERAGE(HAVERD!H811:Q811))</f>
        <v>167.97499999999997</v>
      </c>
    </row>
    <row r="808" spans="12:38" x14ac:dyDescent="0.35">
      <c r="L808" s="2">
        <f t="shared" si="47"/>
        <v>44958</v>
      </c>
      <c r="M808" s="5">
        <f>HAVERD!BA812/HAVERD!BB812</f>
        <v>66.209638163232199</v>
      </c>
      <c r="AJ808" s="2">
        <f t="shared" si="46"/>
        <v>44958</v>
      </c>
      <c r="AK808" s="2" t="s">
        <v>2181</v>
      </c>
      <c r="AL808" s="3">
        <f>IF(HAVERD!H812="",AL807,AVERAGE(HAVERD!H812:Q812))</f>
        <v>173.49600000000004</v>
      </c>
    </row>
    <row r="809" spans="12:38" x14ac:dyDescent="0.35">
      <c r="L809" s="2">
        <f t="shared" si="47"/>
        <v>44959</v>
      </c>
      <c r="M809" s="5">
        <f>HAVERD!BA813/HAVERD!BB813</f>
        <v>65.514717840299227</v>
      </c>
      <c r="AJ809" s="2">
        <f t="shared" si="46"/>
        <v>44959</v>
      </c>
      <c r="AK809" s="2" t="s">
        <v>2181</v>
      </c>
      <c r="AL809" s="3">
        <f>IF(HAVERD!H813="",AL808,AVERAGE(HAVERD!H813:Q813))</f>
        <v>169.51400000000001</v>
      </c>
    </row>
    <row r="810" spans="12:38" x14ac:dyDescent="0.35">
      <c r="L810" s="2">
        <f t="shared" si="47"/>
        <v>44960</v>
      </c>
      <c r="M810" s="5">
        <f>HAVERD!BA814/HAVERD!BB814</f>
        <v>65.138372573316815</v>
      </c>
      <c r="AJ810" s="2">
        <f t="shared" si="46"/>
        <v>44960</v>
      </c>
      <c r="AK810" s="2" t="s">
        <v>2181</v>
      </c>
      <c r="AL810" s="3">
        <f>IF(HAVERD!H814="",AL809,AVERAGE(HAVERD!H814:Q814))</f>
        <v>172.12</v>
      </c>
    </row>
    <row r="811" spans="12:38" x14ac:dyDescent="0.35">
      <c r="L811" s="2">
        <f t="shared" si="47"/>
        <v>44963</v>
      </c>
      <c r="M811" s="5">
        <f>HAVERD!BA815/HAVERD!BB815</f>
        <v>66.994089736119207</v>
      </c>
      <c r="AJ811" s="2">
        <f t="shared" si="46"/>
        <v>44963</v>
      </c>
      <c r="AK811" s="2" t="s">
        <v>2181</v>
      </c>
      <c r="AL811" s="3">
        <f>IF(HAVERD!H815="",AL810,AVERAGE(HAVERD!H815:Q815))</f>
        <v>168.62899999999999</v>
      </c>
    </row>
    <row r="812" spans="12:38" x14ac:dyDescent="0.35">
      <c r="L812" s="2">
        <f t="shared" si="47"/>
        <v>44964</v>
      </c>
      <c r="M812" s="5">
        <f>HAVERD!BA816/HAVERD!BB816</f>
        <v>69.013732833957548</v>
      </c>
      <c r="AJ812" s="2">
        <f t="shared" si="46"/>
        <v>44964</v>
      </c>
      <c r="AK812" s="2" t="s">
        <v>2181</v>
      </c>
      <c r="AL812" s="3">
        <f>IF(HAVERD!H816="",AL811,AVERAGE(HAVERD!H816:Q816))</f>
        <v>163.256</v>
      </c>
    </row>
    <row r="813" spans="12:38" x14ac:dyDescent="0.35">
      <c r="L813" s="2">
        <f t="shared" si="47"/>
        <v>44965</v>
      </c>
      <c r="M813" s="5">
        <f>HAVERD!BA817/HAVERD!BB817</f>
        <v>69.694460544837298</v>
      </c>
      <c r="AJ813" s="2">
        <f t="shared" si="46"/>
        <v>44965</v>
      </c>
      <c r="AK813" s="2" t="s">
        <v>2181</v>
      </c>
      <c r="AL813" s="3">
        <f>IF(HAVERD!H817="",AL812,AVERAGE(HAVERD!H817:Q817))</f>
        <v>157.94999999999999</v>
      </c>
    </row>
    <row r="814" spans="12:38" x14ac:dyDescent="0.35">
      <c r="L814" s="2">
        <f t="shared" si="47"/>
        <v>44966</v>
      </c>
      <c r="M814" s="5">
        <f>HAVERD!BA818/HAVERD!BB818</f>
        <v>68.58410715753142</v>
      </c>
      <c r="AJ814" s="2">
        <f t="shared" si="46"/>
        <v>44966</v>
      </c>
      <c r="AK814" s="2" t="s">
        <v>2181</v>
      </c>
      <c r="AL814" s="3">
        <f>IF(HAVERD!H818="",AL813,AVERAGE(HAVERD!H818:Q818))</f>
        <v>154.89500000000001</v>
      </c>
    </row>
    <row r="815" spans="12:38" x14ac:dyDescent="0.35">
      <c r="L815" s="2">
        <f t="shared" si="47"/>
        <v>44967</v>
      </c>
      <c r="M815" s="5">
        <f>HAVERD!BA819/HAVERD!BB819</f>
        <v>70.780188835514323</v>
      </c>
      <c r="AJ815" s="2">
        <f t="shared" si="46"/>
        <v>44967</v>
      </c>
      <c r="AK815" s="2" t="s">
        <v>2181</v>
      </c>
      <c r="AL815" s="3">
        <f>IF(HAVERD!H819="",AL814,AVERAGE(HAVERD!H819:Q819))</f>
        <v>155.34800000000004</v>
      </c>
    </row>
    <row r="816" spans="12:38" x14ac:dyDescent="0.35">
      <c r="L816" s="2">
        <f t="shared" si="47"/>
        <v>44970</v>
      </c>
      <c r="M816" s="5">
        <f>HAVERD!BA820/HAVERD!BB820</f>
        <v>70.841229298838272</v>
      </c>
      <c r="AJ816" s="2">
        <f t="shared" si="46"/>
        <v>44970</v>
      </c>
      <c r="AK816" s="2" t="s">
        <v>2181</v>
      </c>
      <c r="AL816" s="3">
        <f>IF(HAVERD!H820="",AL815,AVERAGE(HAVERD!H820:Q820))</f>
        <v>150.50999999999996</v>
      </c>
    </row>
    <row r="817" spans="12:41" x14ac:dyDescent="0.35">
      <c r="L817" s="2">
        <f t="shared" si="47"/>
        <v>44971</v>
      </c>
      <c r="M817" s="5">
        <f>HAVERD!BA821/HAVERD!BB821</f>
        <v>69.891411648568607</v>
      </c>
      <c r="AJ817" s="2">
        <f t="shared" si="46"/>
        <v>44971</v>
      </c>
      <c r="AK817" s="2" t="s">
        <v>2181</v>
      </c>
      <c r="AL817" s="3">
        <f>IF(HAVERD!H821="",AL816,AVERAGE(HAVERD!H821:Q821))</f>
        <v>149.99999999999997</v>
      </c>
    </row>
    <row r="818" spans="12:41" x14ac:dyDescent="0.35">
      <c r="L818" s="2">
        <f t="shared" si="47"/>
        <v>44972</v>
      </c>
      <c r="M818" s="5">
        <f>HAVERD!BA822/HAVERD!BB822</f>
        <v>70.074148129634267</v>
      </c>
      <c r="AJ818" s="2">
        <f t="shared" si="46"/>
        <v>44972</v>
      </c>
      <c r="AK818" s="2" t="s">
        <v>2181</v>
      </c>
      <c r="AL818" s="3">
        <f>IF(HAVERD!H822="",AL817,AVERAGE(HAVERD!H822:Q822))</f>
        <v>153.97899999999998</v>
      </c>
    </row>
    <row r="819" spans="12:41" x14ac:dyDescent="0.35">
      <c r="L819" s="2">
        <f t="shared" si="47"/>
        <v>44973</v>
      </c>
      <c r="M819" s="5">
        <f>HAVERD!BA823/HAVERD!BB823</f>
        <v>69.802680875863786</v>
      </c>
      <c r="AJ819" s="2">
        <f t="shared" si="46"/>
        <v>44973</v>
      </c>
      <c r="AK819" s="2" t="s">
        <v>2181</v>
      </c>
      <c r="AL819" s="3">
        <f>IF(HAVERD!H823="",AL818,AVERAGE(HAVERD!H823:Q823))</f>
        <v>149.83000000000001</v>
      </c>
    </row>
    <row r="820" spans="12:41" x14ac:dyDescent="0.35">
      <c r="L820" s="2">
        <f t="shared" si="47"/>
        <v>44974</v>
      </c>
      <c r="M820" s="5">
        <f>HAVERD!BA824/HAVERD!BB824</f>
        <v>68.31971995332556</v>
      </c>
      <c r="AJ820" s="2">
        <f t="shared" si="46"/>
        <v>44974</v>
      </c>
      <c r="AK820" s="2" t="s">
        <v>2181</v>
      </c>
      <c r="AL820" s="3">
        <f>IF(HAVERD!H824="",AL819,AVERAGE(HAVERD!H824:Q824))</f>
        <v>144.12299999999999</v>
      </c>
    </row>
    <row r="821" spans="12:41" x14ac:dyDescent="0.35">
      <c r="L821" s="2">
        <f t="shared" si="47"/>
        <v>44977</v>
      </c>
      <c r="M821" s="5">
        <f>HAVERD!BA825/HAVERD!BB825</f>
        <v>68.831060857998011</v>
      </c>
      <c r="AI821" t="s">
        <v>2165</v>
      </c>
      <c r="AJ821" s="2">
        <f t="shared" si="46"/>
        <v>44977</v>
      </c>
      <c r="AK821" s="2" t="s">
        <v>2181</v>
      </c>
      <c r="AL821" s="3">
        <f>IF(HAVERD!H825="",AL820,AVERAGE(HAVERD!H825:Q825))</f>
        <v>143.29299999999998</v>
      </c>
      <c r="AM821" s="3">
        <f>AVERAGE($AL$821:$AL$854,$AL$856:$AL$883)</f>
        <v>136.59927419354841</v>
      </c>
      <c r="AO821" s="3">
        <f>AVERAGE($AL$821:$AL$854,$AL$856:$AL$883)</f>
        <v>136.59927419354841</v>
      </c>
    </row>
    <row r="822" spans="12:41" x14ac:dyDescent="0.35">
      <c r="L822" s="2">
        <f t="shared" si="47"/>
        <v>44978</v>
      </c>
      <c r="M822" s="5">
        <f>HAVERD!BA826/HAVERD!BB826</f>
        <v>67.666199851717607</v>
      </c>
      <c r="AJ822" s="2">
        <f t="shared" si="46"/>
        <v>44978</v>
      </c>
      <c r="AK822" s="2" t="s">
        <v>2181</v>
      </c>
      <c r="AL822" s="3">
        <f>IF(HAVERD!H826="",AL821,AVERAGE(HAVERD!H826:Q826))</f>
        <v>139.19699999999997</v>
      </c>
      <c r="AM822" s="3">
        <f t="shared" ref="AM822:AO884" si="48">AVERAGE($AL$821:$AL$854,$AL$856:$AL$883)</f>
        <v>136.59927419354841</v>
      </c>
      <c r="AO822" s="3">
        <f t="shared" si="48"/>
        <v>136.59927419354841</v>
      </c>
    </row>
    <row r="823" spans="12:41" x14ac:dyDescent="0.35">
      <c r="L823" s="2">
        <f t="shared" si="47"/>
        <v>44979</v>
      </c>
      <c r="M823" s="5">
        <f>HAVERD!BA827/HAVERD!BB827</f>
        <v>65.923593270904107</v>
      </c>
      <c r="AJ823" s="2">
        <f t="shared" si="46"/>
        <v>44979</v>
      </c>
      <c r="AK823" s="2" t="s">
        <v>2181</v>
      </c>
      <c r="AL823" s="3">
        <f>IF(HAVERD!H827="",AL822,AVERAGE(HAVERD!H827:Q827))</f>
        <v>142.25399999999999</v>
      </c>
      <c r="AM823" s="3">
        <f t="shared" si="48"/>
        <v>136.59927419354841</v>
      </c>
      <c r="AO823" s="3">
        <f t="shared" si="48"/>
        <v>136.59927419354841</v>
      </c>
    </row>
    <row r="824" spans="12:41" x14ac:dyDescent="0.35">
      <c r="L824" s="2">
        <f t="shared" si="47"/>
        <v>44980</v>
      </c>
      <c r="M824" s="5">
        <f>HAVERD!BA828/HAVERD!BB828</f>
        <v>68.269150794310903</v>
      </c>
      <c r="AJ824" s="2">
        <f t="shared" si="46"/>
        <v>44980</v>
      </c>
      <c r="AK824" s="2" t="s">
        <v>2181</v>
      </c>
      <c r="AL824" s="3">
        <f>IF(HAVERD!H828="",AL823,AVERAGE(HAVERD!H828:Q828))</f>
        <v>142.47099999999998</v>
      </c>
      <c r="AM824" s="3">
        <f t="shared" si="48"/>
        <v>136.59927419354841</v>
      </c>
      <c r="AO824" s="3">
        <f t="shared" si="48"/>
        <v>136.59927419354841</v>
      </c>
    </row>
    <row r="825" spans="12:41" x14ac:dyDescent="0.35">
      <c r="L825" s="2">
        <f t="shared" si="47"/>
        <v>44981</v>
      </c>
      <c r="M825" s="5">
        <f>HAVERD!BA829/HAVERD!BB829</f>
        <v>68.930575328699447</v>
      </c>
      <c r="AJ825" s="2">
        <f t="shared" si="46"/>
        <v>44981</v>
      </c>
      <c r="AK825" s="2" t="s">
        <v>2181</v>
      </c>
      <c r="AL825" s="3">
        <f>IF(HAVERD!H829="",AL824,AVERAGE(HAVERD!H829:Q829))</f>
        <v>144.786</v>
      </c>
      <c r="AM825" s="3">
        <f t="shared" si="48"/>
        <v>136.59927419354841</v>
      </c>
      <c r="AO825" s="3">
        <f t="shared" si="48"/>
        <v>136.59927419354841</v>
      </c>
    </row>
    <row r="826" spans="12:41" x14ac:dyDescent="0.35">
      <c r="L826" s="2">
        <f t="shared" si="47"/>
        <v>44984</v>
      </c>
      <c r="M826" s="5">
        <f>HAVERD!BA830/HAVERD!BB830</f>
        <v>67.525558972653968</v>
      </c>
      <c r="AJ826" s="2">
        <f t="shared" si="46"/>
        <v>44984</v>
      </c>
      <c r="AK826" s="2" t="s">
        <v>2181</v>
      </c>
      <c r="AL826" s="3">
        <f>IF(HAVERD!H830="",AL825,AVERAGE(HAVERD!H830:Q830))</f>
        <v>137.01500000000001</v>
      </c>
      <c r="AM826" s="3">
        <f t="shared" si="48"/>
        <v>136.59927419354841</v>
      </c>
      <c r="AO826" s="3">
        <f t="shared" si="48"/>
        <v>136.59927419354841</v>
      </c>
    </row>
    <row r="827" spans="12:41" x14ac:dyDescent="0.35">
      <c r="L827" s="2">
        <f t="shared" si="47"/>
        <v>44985</v>
      </c>
      <c r="M827" s="5">
        <f>HAVERD!BA831/HAVERD!BB831</f>
        <v>68.72883455851985</v>
      </c>
      <c r="AJ827" s="2">
        <f t="shared" si="46"/>
        <v>44985</v>
      </c>
      <c r="AK827" s="2" t="s">
        <v>2181</v>
      </c>
      <c r="AL827" s="3">
        <f>IF(HAVERD!H831="",AL826,AVERAGE(HAVERD!H831:Q831))</f>
        <v>136.74300000000002</v>
      </c>
      <c r="AM827" s="3">
        <f t="shared" si="48"/>
        <v>136.59927419354841</v>
      </c>
      <c r="AO827" s="3">
        <f t="shared" si="48"/>
        <v>136.59927419354841</v>
      </c>
    </row>
    <row r="828" spans="12:41" x14ac:dyDescent="0.35">
      <c r="L828" s="2">
        <f t="shared" si="47"/>
        <v>44986</v>
      </c>
      <c r="M828" s="5">
        <f>HAVERD!BA832/HAVERD!BB832</f>
        <v>69.692679270425586</v>
      </c>
      <c r="AJ828" s="2">
        <f t="shared" si="46"/>
        <v>44986</v>
      </c>
      <c r="AK828" s="2" t="s">
        <v>2182</v>
      </c>
      <c r="AL828" s="3">
        <f>IF(HAVERD!H832="",AL827,AVERAGE(HAVERD!H832:Q832))</f>
        <v>138.976</v>
      </c>
      <c r="AM828" s="3">
        <f t="shared" si="48"/>
        <v>136.59927419354841</v>
      </c>
      <c r="AO828" s="3">
        <f t="shared" si="48"/>
        <v>136.59927419354841</v>
      </c>
    </row>
    <row r="829" spans="12:41" x14ac:dyDescent="0.35">
      <c r="L829" s="2">
        <f t="shared" si="47"/>
        <v>44987</v>
      </c>
      <c r="M829" s="5">
        <f>HAVERD!BA833/HAVERD!BB833</f>
        <v>70.394846913167143</v>
      </c>
      <c r="AJ829" s="2">
        <f t="shared" si="46"/>
        <v>44987</v>
      </c>
      <c r="AK829" s="2" t="s">
        <v>2182</v>
      </c>
      <c r="AL829" s="3">
        <f>IF(HAVERD!H833="",AL828,AVERAGE(HAVERD!H833:Q833))</f>
        <v>137.99499999999998</v>
      </c>
      <c r="AM829" s="3">
        <f t="shared" si="48"/>
        <v>136.59927419354841</v>
      </c>
      <c r="AO829" s="3">
        <f t="shared" si="48"/>
        <v>136.59927419354841</v>
      </c>
    </row>
    <row r="830" spans="12:41" x14ac:dyDescent="0.35">
      <c r="L830" s="2">
        <f t="shared" si="47"/>
        <v>44988</v>
      </c>
      <c r="M830" s="5">
        <f>HAVERD!BA834/HAVERD!BB834</f>
        <v>71.58720881689905</v>
      </c>
      <c r="AJ830" s="2">
        <f t="shared" si="46"/>
        <v>44988</v>
      </c>
      <c r="AK830" s="2" t="s">
        <v>2182</v>
      </c>
      <c r="AL830" s="3">
        <f>IF(HAVERD!H834="",AL829,AVERAGE(HAVERD!H834:Q834))</f>
        <v>132.74</v>
      </c>
      <c r="AM830" s="3">
        <f t="shared" si="48"/>
        <v>136.59927419354841</v>
      </c>
      <c r="AO830" s="3">
        <f t="shared" si="48"/>
        <v>136.59927419354841</v>
      </c>
    </row>
    <row r="831" spans="12:41" x14ac:dyDescent="0.35">
      <c r="L831" s="2">
        <f t="shared" si="47"/>
        <v>44991</v>
      </c>
      <c r="M831" s="5">
        <f>HAVERD!BA835/HAVERD!BB835</f>
        <v>71.538076987168807</v>
      </c>
      <c r="AJ831" s="2">
        <f t="shared" si="46"/>
        <v>44991</v>
      </c>
      <c r="AK831" s="2" t="s">
        <v>2182</v>
      </c>
      <c r="AL831" s="3">
        <f>IF(HAVERD!H835="",AL830,AVERAGE(HAVERD!H835:Q835))</f>
        <v>125.857</v>
      </c>
      <c r="AM831" s="3">
        <f t="shared" si="48"/>
        <v>136.59927419354841</v>
      </c>
      <c r="AO831" s="3">
        <f t="shared" si="48"/>
        <v>136.59927419354841</v>
      </c>
    </row>
    <row r="832" spans="12:41" x14ac:dyDescent="0.35">
      <c r="L832" s="2">
        <f t="shared" si="47"/>
        <v>44992</v>
      </c>
      <c r="M832" s="5">
        <f>HAVERD!BA836/HAVERD!BB836</f>
        <v>69.937668463611857</v>
      </c>
      <c r="AJ832" s="2">
        <f t="shared" si="46"/>
        <v>44992</v>
      </c>
      <c r="AK832" s="2" t="s">
        <v>2182</v>
      </c>
      <c r="AL832" s="3">
        <f>IF(HAVERD!H836="",AL831,AVERAGE(HAVERD!H836:Q836))</f>
        <v>128.08700000000002</v>
      </c>
      <c r="AM832" s="3">
        <f t="shared" si="48"/>
        <v>136.59927419354841</v>
      </c>
      <c r="AO832" s="3">
        <f t="shared" si="48"/>
        <v>136.59927419354841</v>
      </c>
    </row>
    <row r="833" spans="12:41" x14ac:dyDescent="0.35">
      <c r="L833" s="2">
        <f t="shared" si="47"/>
        <v>44993</v>
      </c>
      <c r="M833" s="5">
        <f>HAVERD!BA837/HAVERD!BB837</f>
        <v>69.358790234011991</v>
      </c>
      <c r="AJ833" s="2">
        <f t="shared" si="46"/>
        <v>44993</v>
      </c>
      <c r="AK833" s="2" t="s">
        <v>2182</v>
      </c>
      <c r="AL833" s="3">
        <f>IF(HAVERD!H837="",AL832,AVERAGE(HAVERD!H837:Q837))</f>
        <v>127.054</v>
      </c>
      <c r="AM833" s="3">
        <f t="shared" si="48"/>
        <v>136.59927419354841</v>
      </c>
      <c r="AO833" s="3">
        <f t="shared" si="48"/>
        <v>136.59927419354841</v>
      </c>
    </row>
    <row r="834" spans="12:41" x14ac:dyDescent="0.35">
      <c r="L834" s="2">
        <f t="shared" si="47"/>
        <v>44994</v>
      </c>
      <c r="M834" s="5">
        <f>HAVERD!BA838/HAVERD!BB838</f>
        <v>68.11301715438951</v>
      </c>
      <c r="AJ834" s="2">
        <f t="shared" si="46"/>
        <v>44994</v>
      </c>
      <c r="AK834" s="2" t="s">
        <v>2182</v>
      </c>
      <c r="AL834" s="3">
        <f>IF(HAVERD!H838="",AL833,AVERAGE(HAVERD!H838:Q838))</f>
        <v>129.55500000000001</v>
      </c>
      <c r="AM834" s="3">
        <f t="shared" si="48"/>
        <v>136.59927419354841</v>
      </c>
      <c r="AO834" s="3">
        <f t="shared" si="48"/>
        <v>136.59927419354841</v>
      </c>
    </row>
    <row r="835" spans="12:41" x14ac:dyDescent="0.35">
      <c r="L835" s="2">
        <f t="shared" si="47"/>
        <v>44995</v>
      </c>
      <c r="M835" s="5">
        <f>HAVERD!BA839/HAVERD!BB839</f>
        <v>68.00528838208561</v>
      </c>
      <c r="AJ835" s="2">
        <f t="shared" si="46"/>
        <v>44995</v>
      </c>
      <c r="AK835" s="2" t="s">
        <v>2182</v>
      </c>
      <c r="AL835" s="3">
        <f>IF(HAVERD!H839="",AL834,AVERAGE(HAVERD!H839:Q839))</f>
        <v>151.161</v>
      </c>
      <c r="AM835" s="3">
        <f t="shared" si="48"/>
        <v>136.59927419354841</v>
      </c>
      <c r="AO835" s="3">
        <f t="shared" si="48"/>
        <v>136.59927419354841</v>
      </c>
    </row>
    <row r="836" spans="12:41" x14ac:dyDescent="0.35">
      <c r="L836" s="2">
        <f t="shared" si="47"/>
        <v>44998</v>
      </c>
      <c r="M836" s="5">
        <f>HAVERD!BA840/HAVERD!BB840</f>
        <v>65.523480549387287</v>
      </c>
      <c r="AJ836" s="2">
        <f t="shared" si="46"/>
        <v>44998</v>
      </c>
      <c r="AK836" s="2" t="s">
        <v>2182</v>
      </c>
      <c r="AL836" s="3">
        <f>IF(HAVERD!H840="",AL835,AVERAGE(HAVERD!H840:Q840))</f>
        <v>143.81799999999998</v>
      </c>
      <c r="AM836" s="3">
        <f t="shared" si="48"/>
        <v>136.59927419354841</v>
      </c>
      <c r="AO836" s="3">
        <f t="shared" si="48"/>
        <v>136.59927419354841</v>
      </c>
    </row>
    <row r="837" spans="12:41" x14ac:dyDescent="0.35">
      <c r="L837" s="2">
        <f t="shared" si="47"/>
        <v>44999</v>
      </c>
      <c r="M837" s="5">
        <f>HAVERD!BA841/HAVERD!BB841</f>
        <v>63.205993742795982</v>
      </c>
      <c r="AJ837" s="2">
        <f t="shared" si="46"/>
        <v>44999</v>
      </c>
      <c r="AK837" s="2" t="s">
        <v>2182</v>
      </c>
      <c r="AL837" s="3">
        <f>IF(HAVERD!H841="",AL836,AVERAGE(HAVERD!H841:Q841))</f>
        <v>130.458</v>
      </c>
      <c r="AM837" s="3">
        <f t="shared" si="48"/>
        <v>136.59927419354841</v>
      </c>
      <c r="AO837" s="3">
        <f t="shared" si="48"/>
        <v>136.59927419354841</v>
      </c>
    </row>
    <row r="838" spans="12:41" x14ac:dyDescent="0.35">
      <c r="L838" s="2">
        <f t="shared" si="47"/>
        <v>45000</v>
      </c>
      <c r="M838" s="5">
        <f>HAVERD!BA842/HAVERD!BB842</f>
        <v>61.772530761556361</v>
      </c>
      <c r="AJ838" s="2">
        <f t="shared" si="46"/>
        <v>45000</v>
      </c>
      <c r="AK838" s="2" t="s">
        <v>2182</v>
      </c>
      <c r="AL838" s="3">
        <f>IF(HAVERD!H842="",AL837,AVERAGE(HAVERD!H842:Q842))</f>
        <v>126.63800000000001</v>
      </c>
      <c r="AM838" s="3">
        <f t="shared" si="48"/>
        <v>136.59927419354841</v>
      </c>
      <c r="AO838" s="3">
        <f t="shared" si="48"/>
        <v>136.59927419354841</v>
      </c>
    </row>
    <row r="839" spans="12:41" x14ac:dyDescent="0.35">
      <c r="L839" s="2">
        <f t="shared" si="47"/>
        <v>45001</v>
      </c>
      <c r="M839" s="5">
        <f>HAVERD!BA843/HAVERD!BB843</f>
        <v>60.384837724006935</v>
      </c>
      <c r="AJ839" s="2">
        <f t="shared" si="46"/>
        <v>45001</v>
      </c>
      <c r="AK839" s="2" t="s">
        <v>2182</v>
      </c>
      <c r="AL839" s="3">
        <f>IF(HAVERD!H843="",AL838,AVERAGE(HAVERD!H843:Q843))</f>
        <v>131.245</v>
      </c>
      <c r="AM839" s="3">
        <f t="shared" si="48"/>
        <v>136.59927419354841</v>
      </c>
      <c r="AO839" s="3">
        <f t="shared" si="48"/>
        <v>136.59927419354841</v>
      </c>
    </row>
    <row r="840" spans="12:41" x14ac:dyDescent="0.35">
      <c r="L840" s="2">
        <f t="shared" si="47"/>
        <v>45002</v>
      </c>
      <c r="M840" s="5">
        <f>HAVERD!BA844/HAVERD!BB844</f>
        <v>58.509060955518947</v>
      </c>
      <c r="AJ840" s="2">
        <f t="shared" si="46"/>
        <v>45002</v>
      </c>
      <c r="AK840" s="2" t="s">
        <v>2182</v>
      </c>
      <c r="AL840" s="3">
        <f>IF(HAVERD!H844="",AL839,AVERAGE(HAVERD!H844:Q844))</f>
        <v>127.98200000000001</v>
      </c>
      <c r="AM840" s="3">
        <f t="shared" si="48"/>
        <v>136.59927419354841</v>
      </c>
      <c r="AO840" s="3">
        <f t="shared" si="48"/>
        <v>136.59927419354841</v>
      </c>
    </row>
    <row r="841" spans="12:41" x14ac:dyDescent="0.35">
      <c r="L841" s="2">
        <f t="shared" si="47"/>
        <v>45005</v>
      </c>
      <c r="M841" s="5">
        <f>HAVERD!BA845/HAVERD!BB845</f>
        <v>59.094247246022029</v>
      </c>
      <c r="AJ841" s="2">
        <f t="shared" ref="AJ841:AJ904" si="49">+AJ836+7</f>
        <v>45005</v>
      </c>
      <c r="AK841" s="2" t="s">
        <v>2182</v>
      </c>
      <c r="AL841" s="3">
        <f>IF(HAVERD!H845="",AL840,AVERAGE(HAVERD!H845:Q845))</f>
        <v>119.65899999999999</v>
      </c>
      <c r="AM841" s="3">
        <f t="shared" si="48"/>
        <v>136.59927419354841</v>
      </c>
      <c r="AO841" s="3">
        <f t="shared" si="48"/>
        <v>136.59927419354841</v>
      </c>
    </row>
    <row r="842" spans="12:41" x14ac:dyDescent="0.35">
      <c r="L842" s="2">
        <f t="shared" si="47"/>
        <v>45006</v>
      </c>
      <c r="M842" s="5">
        <f>HAVERD!BA846/HAVERD!BB846</f>
        <v>61.315185306657924</v>
      </c>
      <c r="AJ842" s="2">
        <f t="shared" si="49"/>
        <v>45006</v>
      </c>
      <c r="AK842" s="2" t="s">
        <v>2182</v>
      </c>
      <c r="AL842" s="3">
        <f>IF(HAVERD!H846="",AL841,AVERAGE(HAVERD!H846:Q846))</f>
        <v>127.785</v>
      </c>
      <c r="AM842" s="3">
        <f t="shared" si="48"/>
        <v>136.59927419354841</v>
      </c>
      <c r="AO842" s="3">
        <f t="shared" si="48"/>
        <v>136.59927419354841</v>
      </c>
    </row>
    <row r="843" spans="12:41" x14ac:dyDescent="0.35">
      <c r="L843" s="2">
        <f t="shared" si="47"/>
        <v>45007</v>
      </c>
      <c r="M843" s="5">
        <f>HAVERD!BA847/HAVERD!BB847</f>
        <v>62.197514715500326</v>
      </c>
      <c r="AJ843" s="2">
        <f t="shared" si="49"/>
        <v>45007</v>
      </c>
      <c r="AK843" s="2" t="s">
        <v>2182</v>
      </c>
      <c r="AL843" s="3">
        <f>IF(HAVERD!H847="",AL842,AVERAGE(HAVERD!H847:Q847))</f>
        <v>122.97200000000002</v>
      </c>
      <c r="AM843" s="3">
        <f t="shared" si="48"/>
        <v>136.59927419354841</v>
      </c>
      <c r="AO843" s="3">
        <f t="shared" si="48"/>
        <v>136.59927419354841</v>
      </c>
    </row>
    <row r="844" spans="12:41" x14ac:dyDescent="0.35">
      <c r="L844" s="2">
        <f t="shared" si="47"/>
        <v>45008</v>
      </c>
      <c r="M844" s="5">
        <f>HAVERD!BA848/HAVERD!BB848</f>
        <v>60.336148100032482</v>
      </c>
      <c r="AJ844" s="2">
        <f t="shared" si="49"/>
        <v>45008</v>
      </c>
      <c r="AK844" s="2" t="s">
        <v>2182</v>
      </c>
      <c r="AL844" s="3">
        <f>IF(HAVERD!H848="",AL843,AVERAGE(HAVERD!H848:Q848))</f>
        <v>129.76599999999999</v>
      </c>
      <c r="AM844" s="3">
        <f t="shared" si="48"/>
        <v>136.59927419354841</v>
      </c>
      <c r="AO844" s="3">
        <f t="shared" si="48"/>
        <v>136.59927419354841</v>
      </c>
    </row>
    <row r="845" spans="12:41" x14ac:dyDescent="0.35">
      <c r="L845" s="2">
        <f t="shared" si="47"/>
        <v>45009</v>
      </c>
      <c r="M845" s="5">
        <f>HAVERD!BA849/HAVERD!BB849</f>
        <v>60.233965968586389</v>
      </c>
      <c r="AJ845" s="2">
        <f t="shared" si="49"/>
        <v>45009</v>
      </c>
      <c r="AK845" s="2" t="s">
        <v>2182</v>
      </c>
      <c r="AL845" s="3">
        <f>IF(HAVERD!H849="",AL844,AVERAGE(HAVERD!H849:Q849))</f>
        <v>126.22499999999999</v>
      </c>
      <c r="AM845" s="3">
        <f t="shared" si="48"/>
        <v>136.59927419354841</v>
      </c>
      <c r="AO845" s="3">
        <f t="shared" si="48"/>
        <v>136.59927419354841</v>
      </c>
    </row>
    <row r="846" spans="12:41" x14ac:dyDescent="0.35">
      <c r="L846" s="2">
        <f t="shared" si="47"/>
        <v>45012</v>
      </c>
      <c r="M846" s="5">
        <f>HAVERD!BA850/HAVERD!BB850</f>
        <v>62.571288903372981</v>
      </c>
      <c r="AJ846" s="2">
        <f t="shared" si="49"/>
        <v>45012</v>
      </c>
      <c r="AK846" s="2" t="s">
        <v>2182</v>
      </c>
      <c r="AL846" s="3">
        <f>IF(HAVERD!H850="",AL845,AVERAGE(HAVERD!H850:Q850))</f>
        <v>127.869</v>
      </c>
      <c r="AM846" s="3">
        <f t="shared" si="48"/>
        <v>136.59927419354841</v>
      </c>
      <c r="AO846" s="3">
        <f t="shared" si="48"/>
        <v>136.59927419354841</v>
      </c>
    </row>
    <row r="847" spans="12:41" x14ac:dyDescent="0.35">
      <c r="L847" s="2">
        <f t="shared" ref="L847:L910" si="50">+L842+7</f>
        <v>45013</v>
      </c>
      <c r="M847" s="5">
        <f>HAVERD!BA851/HAVERD!BB851</f>
        <v>63.332522105946296</v>
      </c>
      <c r="AJ847" s="2">
        <f t="shared" si="49"/>
        <v>45013</v>
      </c>
      <c r="AK847" s="2" t="s">
        <v>2182</v>
      </c>
      <c r="AL847" s="3">
        <f>IF(HAVERD!H851="",AL846,AVERAGE(HAVERD!H851:Q851))</f>
        <v>129.18199999999999</v>
      </c>
      <c r="AM847" s="3">
        <f t="shared" si="48"/>
        <v>136.59927419354841</v>
      </c>
      <c r="AO847" s="3">
        <f t="shared" si="48"/>
        <v>136.59927419354841</v>
      </c>
    </row>
    <row r="848" spans="12:41" x14ac:dyDescent="0.35">
      <c r="L848" s="2">
        <f t="shared" si="50"/>
        <v>45014</v>
      </c>
      <c r="M848" s="5">
        <f>HAVERD!BA852/HAVERD!BB852</f>
        <v>62.95995451222484</v>
      </c>
      <c r="AJ848" s="2">
        <f t="shared" si="49"/>
        <v>45014</v>
      </c>
      <c r="AK848" s="2" t="s">
        <v>2182</v>
      </c>
      <c r="AL848" s="3">
        <f>IF(HAVERD!H852="",AL847,AVERAGE(HAVERD!H852:Q852))</f>
        <v>129.078</v>
      </c>
      <c r="AM848" s="3">
        <f t="shared" si="48"/>
        <v>136.59927419354841</v>
      </c>
      <c r="AO848" s="3">
        <f t="shared" si="48"/>
        <v>136.59927419354841</v>
      </c>
    </row>
    <row r="849" spans="12:41" x14ac:dyDescent="0.35">
      <c r="L849" s="2">
        <f t="shared" si="50"/>
        <v>45015</v>
      </c>
      <c r="M849" s="5">
        <f>HAVERD!BA853/HAVERD!BB853</f>
        <v>63.368336025848144</v>
      </c>
      <c r="AJ849" s="2">
        <f t="shared" si="49"/>
        <v>45015</v>
      </c>
      <c r="AK849" s="2" t="s">
        <v>2182</v>
      </c>
      <c r="AL849" s="3">
        <f>IF(HAVERD!H853="",AL848,AVERAGE(HAVERD!H853:Q853))</f>
        <v>134.12299999999999</v>
      </c>
      <c r="AM849" s="3">
        <f t="shared" si="48"/>
        <v>136.59927419354841</v>
      </c>
      <c r="AO849" s="3">
        <f t="shared" si="48"/>
        <v>136.59927419354841</v>
      </c>
    </row>
    <row r="850" spans="12:41" x14ac:dyDescent="0.35">
      <c r="L850" s="2">
        <f t="shared" si="50"/>
        <v>45016</v>
      </c>
      <c r="M850" s="5">
        <f>HAVERD!BA854/HAVERD!BB854</f>
        <v>64.048851504367519</v>
      </c>
      <c r="AJ850" s="2">
        <f t="shared" si="49"/>
        <v>45016</v>
      </c>
      <c r="AK850" s="2" t="s">
        <v>2182</v>
      </c>
      <c r="AL850" s="3">
        <f>IF(HAVERD!H854="",AL849,AVERAGE(HAVERD!H854:Q854))</f>
        <v>146.27100000000002</v>
      </c>
      <c r="AM850" s="3">
        <f t="shared" si="48"/>
        <v>136.59927419354841</v>
      </c>
      <c r="AO850" s="3">
        <f t="shared" si="48"/>
        <v>136.59927419354841</v>
      </c>
    </row>
    <row r="851" spans="12:41" x14ac:dyDescent="0.35">
      <c r="L851" s="2">
        <f t="shared" si="50"/>
        <v>45019</v>
      </c>
      <c r="M851" s="5">
        <f>HAVERD!BA855/HAVERD!BB855</f>
        <v>69.218359280471077</v>
      </c>
      <c r="AJ851" s="2">
        <f t="shared" si="49"/>
        <v>45019</v>
      </c>
      <c r="AK851" s="2" t="s">
        <v>2183</v>
      </c>
      <c r="AL851" s="3">
        <f>IF(HAVERD!H855="",AL850,AVERAGE(HAVERD!H855:Q855))</f>
        <v>159.28400000000002</v>
      </c>
      <c r="AM851" s="3">
        <f t="shared" si="48"/>
        <v>136.59927419354841</v>
      </c>
      <c r="AO851" s="3">
        <f t="shared" si="48"/>
        <v>136.59927419354841</v>
      </c>
    </row>
    <row r="852" spans="12:41" x14ac:dyDescent="0.35">
      <c r="L852" s="2">
        <f t="shared" si="50"/>
        <v>45020</v>
      </c>
      <c r="M852" s="5">
        <f>HAVERD!BA856/HAVERD!BB856</f>
        <v>68.472355385107065</v>
      </c>
      <c r="AJ852" s="2">
        <f t="shared" si="49"/>
        <v>45020</v>
      </c>
      <c r="AK852" s="2" t="s">
        <v>2183</v>
      </c>
      <c r="AL852" s="3">
        <f>IF(HAVERD!H856="",AL851,AVERAGE(HAVERD!H856:Q856))</f>
        <v>149.33599999999998</v>
      </c>
      <c r="AM852" s="3">
        <f t="shared" si="48"/>
        <v>136.59927419354841</v>
      </c>
      <c r="AO852" s="3">
        <f t="shared" si="48"/>
        <v>136.59927419354841</v>
      </c>
    </row>
    <row r="853" spans="12:41" x14ac:dyDescent="0.35">
      <c r="L853" s="2">
        <f t="shared" si="50"/>
        <v>45021</v>
      </c>
      <c r="M853" s="5">
        <f>HAVERD!BA857/HAVERD!BB857</f>
        <v>68.98795180722891</v>
      </c>
      <c r="AJ853" s="2">
        <f t="shared" si="49"/>
        <v>45021</v>
      </c>
      <c r="AK853" s="2" t="s">
        <v>2183</v>
      </c>
      <c r="AL853" s="3">
        <f>IF(HAVERD!H857="",AL852,AVERAGE(HAVERD!H857:Q857))</f>
        <v>141.78300000000002</v>
      </c>
      <c r="AM853" s="3">
        <f t="shared" si="48"/>
        <v>136.59927419354841</v>
      </c>
      <c r="AO853" s="3">
        <f t="shared" si="48"/>
        <v>136.59927419354841</v>
      </c>
    </row>
    <row r="854" spans="12:41" x14ac:dyDescent="0.35">
      <c r="L854" s="2">
        <f t="shared" si="50"/>
        <v>45022</v>
      </c>
      <c r="M854" s="5">
        <f>HAVERD!BA858/HAVERD!BB858</f>
        <v>69.615570210712562</v>
      </c>
      <c r="AJ854" s="2">
        <f t="shared" si="49"/>
        <v>45022</v>
      </c>
      <c r="AK854" s="2" t="s">
        <v>2183</v>
      </c>
      <c r="AL854" s="3">
        <f>IF(HAVERD!H858="",AL853,AVERAGE(HAVERD!H858:Q858))</f>
        <v>138.18700000000001</v>
      </c>
      <c r="AM854" s="3">
        <f t="shared" si="48"/>
        <v>136.59927419354841</v>
      </c>
      <c r="AO854" s="3">
        <f t="shared" si="48"/>
        <v>136.59927419354841</v>
      </c>
    </row>
    <row r="855" spans="12:41" x14ac:dyDescent="0.35">
      <c r="L855" s="2">
        <f t="shared" si="50"/>
        <v>45023</v>
      </c>
      <c r="M855" s="5" t="e">
        <f>HAVERD!BA859/HAVERD!BB859</f>
        <v>#N/A</v>
      </c>
      <c r="AJ855" s="2">
        <f t="shared" si="49"/>
        <v>45023</v>
      </c>
      <c r="AK855" s="2" t="s">
        <v>2183</v>
      </c>
      <c r="AL855" s="3" t="e">
        <f>IF(HAVERD!H859="",AL854,AVERAGE(HAVERD!H859:Q859))</f>
        <v>#N/A</v>
      </c>
      <c r="AM855" s="3">
        <f t="shared" si="48"/>
        <v>136.59927419354841</v>
      </c>
      <c r="AO855" s="3">
        <f t="shared" si="48"/>
        <v>136.59927419354841</v>
      </c>
    </row>
    <row r="856" spans="12:41" x14ac:dyDescent="0.35">
      <c r="L856" s="2">
        <f t="shared" si="50"/>
        <v>45026</v>
      </c>
      <c r="M856" s="5" t="e">
        <f>HAVERD!BA860/HAVERD!BB860</f>
        <v>#N/A</v>
      </c>
      <c r="AJ856" s="2">
        <f t="shared" si="49"/>
        <v>45026</v>
      </c>
      <c r="AK856" s="2" t="s">
        <v>2183</v>
      </c>
      <c r="AL856" s="3">
        <f>IF(HAVERD!H860="",AL855,AVERAGE(HAVERD!H860:Q860))</f>
        <v>138.18700000000001</v>
      </c>
      <c r="AM856" s="3">
        <f t="shared" si="48"/>
        <v>136.59927419354841</v>
      </c>
      <c r="AO856" s="3">
        <f t="shared" si="48"/>
        <v>136.59927419354841</v>
      </c>
    </row>
    <row r="857" spans="12:41" x14ac:dyDescent="0.35">
      <c r="L857" s="2">
        <f t="shared" si="50"/>
        <v>45027</v>
      </c>
      <c r="M857" s="5">
        <f>HAVERD!BA861/HAVERD!BB861</f>
        <v>70.243745475022109</v>
      </c>
      <c r="AJ857" s="2">
        <f t="shared" si="49"/>
        <v>45027</v>
      </c>
      <c r="AK857" s="2" t="s">
        <v>2183</v>
      </c>
      <c r="AL857" s="3">
        <f>IF(HAVERD!H861="",AL856,AVERAGE(HAVERD!H861:Q861))</f>
        <v>142.83099999999999</v>
      </c>
      <c r="AM857" s="3">
        <f t="shared" si="48"/>
        <v>136.59927419354841</v>
      </c>
      <c r="AO857" s="3">
        <f t="shared" si="48"/>
        <v>136.59927419354841</v>
      </c>
    </row>
    <row r="858" spans="12:41" x14ac:dyDescent="0.35">
      <c r="L858" s="2">
        <f t="shared" si="50"/>
        <v>45028</v>
      </c>
      <c r="M858" s="5">
        <f>HAVERD!BA862/HAVERD!BB862</f>
        <v>70.84068666773625</v>
      </c>
      <c r="AJ858" s="2">
        <f t="shared" si="49"/>
        <v>45028</v>
      </c>
      <c r="AK858" s="2" t="s">
        <v>2183</v>
      </c>
      <c r="AL858" s="3">
        <f>IF(HAVERD!H862="",AL857,AVERAGE(HAVERD!H862:Q862))</f>
        <v>144.47299999999998</v>
      </c>
      <c r="AM858" s="3">
        <f t="shared" si="48"/>
        <v>136.59927419354841</v>
      </c>
      <c r="AO858" s="3">
        <f t="shared" si="48"/>
        <v>136.59927419354841</v>
      </c>
    </row>
    <row r="859" spans="12:41" x14ac:dyDescent="0.35">
      <c r="L859" s="2">
        <f t="shared" si="50"/>
        <v>45029</v>
      </c>
      <c r="M859" s="5">
        <f>HAVERD!BA863/HAVERD!BB863</f>
        <v>69.15267785771384</v>
      </c>
      <c r="AJ859" s="2">
        <f t="shared" si="49"/>
        <v>45029</v>
      </c>
      <c r="AK859" s="2" t="s">
        <v>2183</v>
      </c>
      <c r="AL859" s="3">
        <f>IF(HAVERD!H863="",AL858,AVERAGE(HAVERD!H863:Q863))</f>
        <v>142.642</v>
      </c>
      <c r="AM859" s="3">
        <f t="shared" si="48"/>
        <v>136.59927419354841</v>
      </c>
      <c r="AO859" s="3">
        <f t="shared" si="48"/>
        <v>136.59927419354841</v>
      </c>
    </row>
    <row r="860" spans="12:41" x14ac:dyDescent="0.35">
      <c r="L860" s="2">
        <f t="shared" si="50"/>
        <v>45030</v>
      </c>
      <c r="M860" s="5">
        <f>HAVERD!BA864/HAVERD!BB864</f>
        <v>70.162327225972362</v>
      </c>
      <c r="AJ860" s="2">
        <f t="shared" si="49"/>
        <v>45030</v>
      </c>
      <c r="AK860" s="2" t="s">
        <v>2183</v>
      </c>
      <c r="AL860" s="3">
        <f>IF(HAVERD!H864="",AL859,AVERAGE(HAVERD!H864:Q864))</f>
        <v>142.22999999999996</v>
      </c>
      <c r="AM860" s="3">
        <f t="shared" si="48"/>
        <v>136.59927419354841</v>
      </c>
      <c r="AO860" s="3">
        <f t="shared" si="48"/>
        <v>136.59927419354841</v>
      </c>
    </row>
    <row r="861" spans="12:41" x14ac:dyDescent="0.35">
      <c r="L861" s="2">
        <f t="shared" si="50"/>
        <v>45033</v>
      </c>
      <c r="M861" s="5">
        <f>HAVERD!BA865/HAVERD!BB865</f>
        <v>69.251920744035587</v>
      </c>
      <c r="AJ861" s="2">
        <f t="shared" si="49"/>
        <v>45033</v>
      </c>
      <c r="AK861" s="2" t="s">
        <v>2183</v>
      </c>
      <c r="AL861" s="3">
        <f>IF(HAVERD!H865="",AL860,AVERAGE(HAVERD!H865:Q865))</f>
        <v>141.458</v>
      </c>
      <c r="AM861" s="3">
        <f t="shared" si="48"/>
        <v>136.59927419354841</v>
      </c>
      <c r="AO861" s="3">
        <f t="shared" si="48"/>
        <v>136.59927419354841</v>
      </c>
    </row>
    <row r="862" spans="12:41" x14ac:dyDescent="0.35">
      <c r="L862" s="2">
        <f t="shared" si="50"/>
        <v>45034</v>
      </c>
      <c r="M862" s="5">
        <f>HAVERD!BA866/HAVERD!BB866</f>
        <v>68.780173801094307</v>
      </c>
      <c r="AJ862" s="2">
        <f t="shared" si="49"/>
        <v>45034</v>
      </c>
      <c r="AK862" s="2" t="s">
        <v>2183</v>
      </c>
      <c r="AL862" s="3">
        <f>IF(HAVERD!H866="",AL861,AVERAGE(HAVERD!H866:Q866))</f>
        <v>143.17599999999999</v>
      </c>
      <c r="AM862" s="3">
        <f t="shared" si="48"/>
        <v>136.59927419354841</v>
      </c>
      <c r="AO862" s="3">
        <f t="shared" si="48"/>
        <v>136.59927419354841</v>
      </c>
    </row>
    <row r="863" spans="12:41" x14ac:dyDescent="0.35">
      <c r="L863" s="2">
        <f t="shared" si="50"/>
        <v>45035</v>
      </c>
      <c r="M863" s="5">
        <f>HAVERD!BA867/HAVERD!BB867</f>
        <v>68.546184738955816</v>
      </c>
      <c r="AJ863" s="2">
        <f t="shared" si="49"/>
        <v>45035</v>
      </c>
      <c r="AK863" s="2" t="s">
        <v>2183</v>
      </c>
      <c r="AL863" s="3">
        <f>IF(HAVERD!H867="",AL862,AVERAGE(HAVERD!H867:Q867))</f>
        <v>138.95099999999999</v>
      </c>
      <c r="AM863" s="3">
        <f t="shared" si="48"/>
        <v>136.59927419354841</v>
      </c>
      <c r="AO863" s="3">
        <f t="shared" si="48"/>
        <v>136.59927419354841</v>
      </c>
    </row>
    <row r="864" spans="12:41" x14ac:dyDescent="0.35">
      <c r="L864" s="2">
        <f t="shared" si="50"/>
        <v>45036</v>
      </c>
      <c r="M864" s="5">
        <f>HAVERD!BA868/HAVERD!BB868</f>
        <v>66.856638304703807</v>
      </c>
      <c r="AJ864" s="2">
        <f t="shared" si="49"/>
        <v>45036</v>
      </c>
      <c r="AK864" s="2" t="s">
        <v>2183</v>
      </c>
      <c r="AL864" s="3">
        <f>IF(HAVERD!H868="",AL863,AVERAGE(HAVERD!H868:Q868))</f>
        <v>138.35499999999999</v>
      </c>
      <c r="AM864" s="3">
        <f t="shared" si="48"/>
        <v>136.59927419354841</v>
      </c>
      <c r="AO864" s="3">
        <f t="shared" si="48"/>
        <v>136.59927419354841</v>
      </c>
    </row>
    <row r="865" spans="12:41" x14ac:dyDescent="0.35">
      <c r="L865" s="2">
        <f t="shared" si="50"/>
        <v>45037</v>
      </c>
      <c r="M865" s="5">
        <f>HAVERD!BA869/HAVERD!BB869</f>
        <v>67.236651072753673</v>
      </c>
      <c r="AJ865" s="2">
        <f t="shared" si="49"/>
        <v>45037</v>
      </c>
      <c r="AK865" s="2" t="s">
        <v>2183</v>
      </c>
      <c r="AL865" s="3">
        <f>IF(HAVERD!H869="",AL864,AVERAGE(HAVERD!H869:Q869))</f>
        <v>137.92500000000001</v>
      </c>
      <c r="AM865" s="3">
        <f t="shared" si="48"/>
        <v>136.59927419354841</v>
      </c>
      <c r="AO865" s="3">
        <f t="shared" si="48"/>
        <v>136.59927419354841</v>
      </c>
    </row>
    <row r="866" spans="12:41" x14ac:dyDescent="0.35">
      <c r="L866" s="2">
        <f t="shared" si="50"/>
        <v>45040</v>
      </c>
      <c r="M866" s="5">
        <f>HAVERD!BA870/HAVERD!BB870</f>
        <v>67.62202954399487</v>
      </c>
      <c r="AJ866" s="2">
        <f t="shared" si="49"/>
        <v>45040</v>
      </c>
      <c r="AK866" s="2" t="s">
        <v>2183</v>
      </c>
      <c r="AL866" s="3">
        <f>IF(HAVERD!H870="",AL865,AVERAGE(HAVERD!H870:Q870))</f>
        <v>136.90600000000001</v>
      </c>
      <c r="AM866" s="3">
        <f t="shared" si="48"/>
        <v>136.59927419354841</v>
      </c>
      <c r="AO866" s="3">
        <f t="shared" si="48"/>
        <v>136.59927419354841</v>
      </c>
    </row>
    <row r="867" spans="12:41" x14ac:dyDescent="0.35">
      <c r="L867" s="2">
        <f t="shared" si="50"/>
        <v>45041</v>
      </c>
      <c r="M867" s="5">
        <f>HAVERD!BA871/HAVERD!BB871</f>
        <v>66.223189808095469</v>
      </c>
      <c r="AJ867" s="2">
        <f t="shared" si="49"/>
        <v>45041</v>
      </c>
      <c r="AK867" s="2" t="s">
        <v>2183</v>
      </c>
      <c r="AL867" s="3">
        <f>IF(HAVERD!H871="",AL866,AVERAGE(HAVERD!H871:Q871))</f>
        <v>138.36099999999999</v>
      </c>
      <c r="AM867" s="3">
        <f t="shared" si="48"/>
        <v>136.59927419354841</v>
      </c>
      <c r="AO867" s="3">
        <f t="shared" si="48"/>
        <v>136.59927419354841</v>
      </c>
    </row>
    <row r="868" spans="12:41" x14ac:dyDescent="0.35">
      <c r="L868" s="2">
        <f t="shared" si="50"/>
        <v>45042</v>
      </c>
      <c r="M868" s="5">
        <f>HAVERD!BA872/HAVERD!BB872</f>
        <v>63.494227068633734</v>
      </c>
      <c r="AJ868" s="2">
        <f t="shared" si="49"/>
        <v>45042</v>
      </c>
      <c r="AK868" s="2" t="s">
        <v>2183</v>
      </c>
      <c r="AL868" s="3">
        <f>IF(HAVERD!H872="",AL867,AVERAGE(HAVERD!H872:Q872))</f>
        <v>137.73099999999999</v>
      </c>
      <c r="AM868" s="3">
        <f t="shared" si="48"/>
        <v>136.59927419354841</v>
      </c>
      <c r="AO868" s="3">
        <f t="shared" si="48"/>
        <v>136.59927419354841</v>
      </c>
    </row>
    <row r="869" spans="12:41" x14ac:dyDescent="0.35">
      <c r="L869" s="2">
        <f t="shared" si="50"/>
        <v>45043</v>
      </c>
      <c r="M869" s="5">
        <f>HAVERD!BA873/HAVERD!BB873</f>
        <v>64.11877701296622</v>
      </c>
      <c r="AJ869" s="2">
        <f t="shared" si="49"/>
        <v>45043</v>
      </c>
      <c r="AK869" s="2" t="s">
        <v>2183</v>
      </c>
      <c r="AL869" s="3">
        <f>IF(HAVERD!H873="",AL868,AVERAGE(HAVERD!H873:Q873))</f>
        <v>141.82</v>
      </c>
      <c r="AM869" s="3">
        <f t="shared" si="48"/>
        <v>136.59927419354841</v>
      </c>
      <c r="AO869" s="3">
        <f t="shared" si="48"/>
        <v>136.59927419354841</v>
      </c>
    </row>
    <row r="870" spans="12:41" x14ac:dyDescent="0.35">
      <c r="L870" s="2">
        <f t="shared" si="50"/>
        <v>45044</v>
      </c>
      <c r="M870" s="5">
        <f>HAVERD!BA874/HAVERD!BB874</f>
        <v>64.714308451376723</v>
      </c>
      <c r="AJ870" s="2">
        <f t="shared" si="49"/>
        <v>45044</v>
      </c>
      <c r="AK870" s="2" t="s">
        <v>2183</v>
      </c>
      <c r="AL870" s="3">
        <f>IF(HAVERD!H874="",AL869,AVERAGE(HAVERD!H874:Q874))</f>
        <v>143.73699999999999</v>
      </c>
      <c r="AM870" s="3">
        <f t="shared" si="48"/>
        <v>136.59927419354841</v>
      </c>
      <c r="AO870" s="3">
        <f t="shared" si="48"/>
        <v>136.59927419354841</v>
      </c>
    </row>
    <row r="871" spans="12:41" x14ac:dyDescent="0.35">
      <c r="L871" s="2">
        <f t="shared" si="50"/>
        <v>45047</v>
      </c>
      <c r="M871" s="5" t="e">
        <f>HAVERD!BA875/HAVERD!BB875</f>
        <v>#N/A</v>
      </c>
      <c r="AJ871" s="2">
        <f t="shared" si="49"/>
        <v>45047</v>
      </c>
      <c r="AK871" s="2" t="s">
        <v>2184</v>
      </c>
      <c r="AL871" s="3">
        <f>IF(HAVERD!H875="",AL870,AVERAGE(HAVERD!H875:Q875))</f>
        <v>143.73699999999999</v>
      </c>
      <c r="AM871" s="3">
        <f t="shared" si="48"/>
        <v>136.59927419354841</v>
      </c>
      <c r="AO871" s="3">
        <f t="shared" si="48"/>
        <v>136.59927419354841</v>
      </c>
    </row>
    <row r="872" spans="12:41" x14ac:dyDescent="0.35">
      <c r="L872" s="2">
        <f t="shared" si="50"/>
        <v>45048</v>
      </c>
      <c r="M872" s="5">
        <f>HAVERD!BA876/HAVERD!BB876</f>
        <v>61.505772931366252</v>
      </c>
      <c r="AJ872" s="2">
        <f t="shared" si="49"/>
        <v>45048</v>
      </c>
      <c r="AK872" s="2" t="s">
        <v>2184</v>
      </c>
      <c r="AL872" s="3">
        <f>IF(HAVERD!H876="",AL871,AVERAGE(HAVERD!H876:Q876))</f>
        <v>142.39299999999997</v>
      </c>
      <c r="AM872" s="3">
        <f t="shared" si="48"/>
        <v>136.59927419354841</v>
      </c>
      <c r="AO872" s="3">
        <f t="shared" si="48"/>
        <v>136.59927419354841</v>
      </c>
    </row>
    <row r="873" spans="12:41" x14ac:dyDescent="0.35">
      <c r="L873" s="2">
        <f t="shared" si="50"/>
        <v>45049</v>
      </c>
      <c r="M873" s="5">
        <f>HAVERD!BA877/HAVERD!BB877</f>
        <v>58.174419532434364</v>
      </c>
      <c r="AJ873" s="2">
        <f t="shared" si="49"/>
        <v>45049</v>
      </c>
      <c r="AK873" s="2" t="s">
        <v>2184</v>
      </c>
      <c r="AL873" s="3">
        <f>IF(HAVERD!H877="",AL872,AVERAGE(HAVERD!H877:Q877))</f>
        <v>140.524</v>
      </c>
      <c r="AM873" s="3">
        <f t="shared" si="48"/>
        <v>136.59927419354841</v>
      </c>
      <c r="AO873" s="3">
        <f t="shared" si="48"/>
        <v>136.59927419354841</v>
      </c>
    </row>
    <row r="874" spans="12:41" x14ac:dyDescent="0.35">
      <c r="L874" s="2">
        <f t="shared" si="50"/>
        <v>45050</v>
      </c>
      <c r="M874" s="5">
        <f>HAVERD!BA878/HAVERD!BB878</f>
        <v>58.065542475342028</v>
      </c>
      <c r="AJ874" s="2">
        <f t="shared" si="49"/>
        <v>45050</v>
      </c>
      <c r="AK874" s="2" t="s">
        <v>2184</v>
      </c>
      <c r="AL874" s="3">
        <f>IF(HAVERD!H878="",AL873,AVERAGE(HAVERD!H878:Q878))</f>
        <v>136.97499999999999</v>
      </c>
      <c r="AM874" s="3">
        <f t="shared" si="48"/>
        <v>136.59927419354841</v>
      </c>
      <c r="AO874" s="3">
        <f t="shared" si="48"/>
        <v>136.59927419354841</v>
      </c>
    </row>
    <row r="875" spans="12:41" x14ac:dyDescent="0.35">
      <c r="L875" s="2">
        <f t="shared" si="50"/>
        <v>45051</v>
      </c>
      <c r="M875" s="5">
        <f>HAVERD!BA879/HAVERD!BB879</f>
        <v>60.069691929991286</v>
      </c>
      <c r="AJ875" s="2">
        <f t="shared" si="49"/>
        <v>45051</v>
      </c>
      <c r="AK875" s="2" t="s">
        <v>2184</v>
      </c>
      <c r="AL875" s="3">
        <f>IF(HAVERD!H879="",AL874,AVERAGE(HAVERD!H879:Q879))</f>
        <v>138.06199999999998</v>
      </c>
      <c r="AM875" s="3">
        <f t="shared" si="48"/>
        <v>136.59927419354841</v>
      </c>
      <c r="AO875" s="3">
        <f t="shared" si="48"/>
        <v>136.59927419354841</v>
      </c>
    </row>
    <row r="876" spans="12:41" x14ac:dyDescent="0.35">
      <c r="L876" s="2">
        <f t="shared" si="50"/>
        <v>45054</v>
      </c>
      <c r="M876" s="5" t="e">
        <f>HAVERD!BA880/HAVERD!BB880</f>
        <v>#N/A</v>
      </c>
      <c r="AJ876" s="2">
        <f t="shared" si="49"/>
        <v>45054</v>
      </c>
      <c r="AK876" s="2" t="s">
        <v>2184</v>
      </c>
      <c r="AL876" s="3">
        <f>IF(HAVERD!H880="",AL875,AVERAGE(HAVERD!H880:Q880))</f>
        <v>138.06199999999998</v>
      </c>
      <c r="AM876" s="3">
        <f t="shared" si="48"/>
        <v>136.59927419354841</v>
      </c>
      <c r="AO876" s="3">
        <f t="shared" si="48"/>
        <v>136.59927419354841</v>
      </c>
    </row>
    <row r="877" spans="12:41" x14ac:dyDescent="0.35">
      <c r="L877" s="2">
        <f t="shared" si="50"/>
        <v>45055</v>
      </c>
      <c r="M877" s="5">
        <f>HAVERD!BA881/HAVERD!BB881</f>
        <v>61.655566127497622</v>
      </c>
      <c r="AJ877" s="2">
        <f t="shared" si="49"/>
        <v>45055</v>
      </c>
      <c r="AK877" s="2" t="s">
        <v>2184</v>
      </c>
      <c r="AL877" s="3">
        <f>IF(HAVERD!H881="",AL876,AVERAGE(HAVERD!H881:Q881))</f>
        <v>139.22899999999998</v>
      </c>
      <c r="AM877" s="3">
        <f t="shared" si="48"/>
        <v>136.59927419354841</v>
      </c>
      <c r="AO877" s="3">
        <f t="shared" si="48"/>
        <v>136.59927419354841</v>
      </c>
    </row>
    <row r="878" spans="12:41" x14ac:dyDescent="0.35">
      <c r="L878" s="2">
        <f t="shared" si="50"/>
        <v>45056</v>
      </c>
      <c r="M878" s="5">
        <f>HAVERD!BA882/HAVERD!BB882</f>
        <v>60.78617847519417</v>
      </c>
      <c r="AJ878" s="2">
        <f t="shared" si="49"/>
        <v>45056</v>
      </c>
      <c r="AK878" s="2" t="s">
        <v>2184</v>
      </c>
      <c r="AL878" s="3">
        <f>IF(HAVERD!H882="",AL877,AVERAGE(HAVERD!H882:Q882))</f>
        <v>139.24699999999999</v>
      </c>
      <c r="AM878" s="3">
        <f t="shared" si="48"/>
        <v>136.59927419354841</v>
      </c>
      <c r="AO878" s="3">
        <f t="shared" si="48"/>
        <v>136.59927419354841</v>
      </c>
    </row>
    <row r="879" spans="12:41" x14ac:dyDescent="0.35">
      <c r="L879" s="2">
        <f t="shared" si="50"/>
        <v>45057</v>
      </c>
      <c r="M879" s="5">
        <f>HAVERD!BA883/HAVERD!BB883</f>
        <v>60.145332588038009</v>
      </c>
      <c r="AJ879" s="2">
        <f t="shared" si="49"/>
        <v>45057</v>
      </c>
      <c r="AK879" s="2" t="s">
        <v>2184</v>
      </c>
      <c r="AL879" s="3">
        <f>IF(HAVERD!H883="",AL878,AVERAGE(HAVERD!H883:Q883))</f>
        <v>139.72200000000001</v>
      </c>
      <c r="AM879" s="3">
        <f t="shared" si="48"/>
        <v>136.59927419354841</v>
      </c>
      <c r="AO879" s="3">
        <f t="shared" si="48"/>
        <v>136.59927419354841</v>
      </c>
    </row>
    <row r="880" spans="12:41" x14ac:dyDescent="0.35">
      <c r="L880" s="2">
        <f t="shared" si="50"/>
        <v>45058</v>
      </c>
      <c r="M880" s="5">
        <f>HAVERD!BA884/HAVERD!BB884</f>
        <v>59.741925142261763</v>
      </c>
      <c r="AJ880" s="2">
        <f t="shared" si="49"/>
        <v>45058</v>
      </c>
      <c r="AK880" s="2" t="s">
        <v>2184</v>
      </c>
      <c r="AL880" s="3">
        <f>IF(HAVERD!H884="",AL879,AVERAGE(HAVERD!H884:Q884))</f>
        <v>133.40600000000001</v>
      </c>
      <c r="AM880" s="3">
        <f t="shared" si="48"/>
        <v>136.59927419354841</v>
      </c>
      <c r="AO880" s="3">
        <f t="shared" si="48"/>
        <v>136.59927419354841</v>
      </c>
    </row>
    <row r="881" spans="12:42" x14ac:dyDescent="0.35">
      <c r="L881" s="2">
        <f t="shared" si="50"/>
        <v>45061</v>
      </c>
      <c r="M881" s="5">
        <f>HAVERD!BA885/HAVERD!BB885</f>
        <v>60.319744204636294</v>
      </c>
      <c r="AJ881" s="2">
        <f t="shared" si="49"/>
        <v>45061</v>
      </c>
      <c r="AK881" s="2" t="s">
        <v>2184</v>
      </c>
      <c r="AL881" s="3">
        <f>IF(HAVERD!H885="",AL880,AVERAGE(HAVERD!H885:Q885))</f>
        <v>124.71100000000001</v>
      </c>
      <c r="AM881" s="3">
        <f t="shared" si="48"/>
        <v>136.59927419354841</v>
      </c>
      <c r="AO881" s="3">
        <f t="shared" si="48"/>
        <v>136.59927419354841</v>
      </c>
    </row>
    <row r="882" spans="12:42" x14ac:dyDescent="0.35">
      <c r="L882" s="2">
        <f t="shared" si="50"/>
        <v>45062</v>
      </c>
      <c r="M882" s="5">
        <f>HAVERD!BA886/HAVERD!BB886</f>
        <v>60.148871458299986</v>
      </c>
      <c r="AJ882" s="2">
        <f t="shared" si="49"/>
        <v>45062</v>
      </c>
      <c r="AK882" s="2" t="s">
        <v>2184</v>
      </c>
      <c r="AL882" s="3">
        <f>IF(HAVERD!H886="",AL881,AVERAGE(HAVERD!H886:Q886))</f>
        <v>120.495</v>
      </c>
      <c r="AM882" s="3">
        <f t="shared" si="48"/>
        <v>136.59927419354841</v>
      </c>
      <c r="AO882" s="3">
        <f t="shared" si="48"/>
        <v>136.59927419354841</v>
      </c>
    </row>
    <row r="883" spans="12:42" x14ac:dyDescent="0.35">
      <c r="L883" s="2">
        <f t="shared" si="50"/>
        <v>45063</v>
      </c>
      <c r="M883" s="5">
        <f>HAVERD!BA887/HAVERD!BB887</f>
        <v>61.751965345740423</v>
      </c>
      <c r="AJ883" s="2">
        <f t="shared" si="49"/>
        <v>45063</v>
      </c>
      <c r="AK883" s="2" t="s">
        <v>2184</v>
      </c>
      <c r="AL883" s="3">
        <f>IF(HAVERD!H887="",AL882,AVERAGE(HAVERD!H887:Q887))</f>
        <v>124.96400000000001</v>
      </c>
      <c r="AM883" s="3">
        <f t="shared" si="48"/>
        <v>136.59927419354841</v>
      </c>
      <c r="AO883" s="3">
        <f>AVERAGE($AL$821:$AL$854,$AL$856:$AL$883)</f>
        <v>136.59927419354841</v>
      </c>
    </row>
    <row r="884" spans="12:42" x14ac:dyDescent="0.35">
      <c r="L884" s="2">
        <f t="shared" si="50"/>
        <v>45064</v>
      </c>
      <c r="M884" s="5">
        <f>HAVERD!BA888/HAVERD!BB888</f>
        <v>61.044403255701511</v>
      </c>
      <c r="AJ884" s="2">
        <f t="shared" si="49"/>
        <v>45064</v>
      </c>
      <c r="AK884" s="2" t="s">
        <v>2184</v>
      </c>
      <c r="AL884" s="3">
        <f>IF(HAVERD!H888="",AL883,AVERAGE(HAVERD!H888:Q888))</f>
        <v>121.845</v>
      </c>
      <c r="AM884" s="3">
        <f t="shared" si="48"/>
        <v>136.59927419354841</v>
      </c>
      <c r="AO884" s="3"/>
    </row>
    <row r="885" spans="12:42" x14ac:dyDescent="0.35">
      <c r="L885" s="2">
        <f t="shared" si="50"/>
        <v>45065</v>
      </c>
      <c r="M885" s="5">
        <f>HAVERD!BA889/HAVERD!BB889</f>
        <v>60.646510131875203</v>
      </c>
      <c r="AI885" t="s">
        <v>2164</v>
      </c>
      <c r="AJ885" s="2">
        <f t="shared" si="49"/>
        <v>45065</v>
      </c>
      <c r="AK885" s="2" t="s">
        <v>2184</v>
      </c>
      <c r="AL885" s="3">
        <f>IF(HAVERD!H889="",AL884,AVERAGE(HAVERD!H889:Q889))</f>
        <v>123.53799999999998</v>
      </c>
      <c r="AM885" s="3">
        <f>AVERAGE($AL$885:$AL$949)</f>
        <v>126.49063076923076</v>
      </c>
      <c r="AP885" s="3">
        <f>AVERAGE($AL$885:$AL$949)</f>
        <v>126.49063076923076</v>
      </c>
    </row>
    <row r="886" spans="12:42" x14ac:dyDescent="0.35">
      <c r="L886" s="2">
        <f t="shared" si="50"/>
        <v>45068</v>
      </c>
      <c r="M886" s="5">
        <f>HAVERD!BA890/HAVERD!BB890</f>
        <v>60.991708926990256</v>
      </c>
      <c r="AJ886" s="2">
        <f t="shared" si="49"/>
        <v>45068</v>
      </c>
      <c r="AK886" s="2" t="s">
        <v>2184</v>
      </c>
      <c r="AL886" s="3">
        <f>IF(HAVERD!H890="",AL885,AVERAGE(HAVERD!H890:Q890))</f>
        <v>124.25399999999999</v>
      </c>
      <c r="AM886" s="3">
        <f t="shared" ref="AM886:AP949" si="51">AVERAGE($AL$885:$AL$949)</f>
        <v>126.49063076923076</v>
      </c>
      <c r="AP886" s="3">
        <f t="shared" si="51"/>
        <v>126.49063076923076</v>
      </c>
    </row>
    <row r="887" spans="12:42" x14ac:dyDescent="0.35">
      <c r="L887" s="2">
        <f t="shared" si="50"/>
        <v>45069</v>
      </c>
      <c r="M887" s="5">
        <f>HAVERD!BA891/HAVERD!BB891</f>
        <v>61.723027375201283</v>
      </c>
      <c r="AJ887" s="2">
        <f t="shared" si="49"/>
        <v>45069</v>
      </c>
      <c r="AK887" s="2" t="s">
        <v>2184</v>
      </c>
      <c r="AL887" s="3">
        <f>IF(HAVERD!H891="",AL886,AVERAGE(HAVERD!H891:Q891))</f>
        <v>123.94200000000001</v>
      </c>
      <c r="AM887" s="3">
        <f t="shared" si="51"/>
        <v>126.49063076923076</v>
      </c>
      <c r="AP887" s="3">
        <f t="shared" si="51"/>
        <v>126.49063076923076</v>
      </c>
    </row>
    <row r="888" spans="12:42" x14ac:dyDescent="0.35">
      <c r="L888" s="2">
        <f t="shared" si="50"/>
        <v>45070</v>
      </c>
      <c r="M888" s="5">
        <f>HAVERD!BA892/HAVERD!BB892</f>
        <v>63.062990215897145</v>
      </c>
      <c r="AJ888" s="2">
        <f t="shared" si="49"/>
        <v>45070</v>
      </c>
      <c r="AK888" s="2" t="s">
        <v>2184</v>
      </c>
      <c r="AL888" s="3">
        <f>IF(HAVERD!H892="",AL887,AVERAGE(HAVERD!H892:Q892))</f>
        <v>123.96199999999999</v>
      </c>
      <c r="AM888" s="3">
        <f t="shared" si="51"/>
        <v>126.49063076923076</v>
      </c>
      <c r="AP888" s="3">
        <f t="shared" si="51"/>
        <v>126.49063076923076</v>
      </c>
    </row>
    <row r="889" spans="12:42" x14ac:dyDescent="0.35">
      <c r="L889" s="2">
        <f t="shared" si="50"/>
        <v>45071</v>
      </c>
      <c r="M889" s="5">
        <f>HAVERD!BA893/HAVERD!BB893</f>
        <v>61.228453508133036</v>
      </c>
      <c r="AJ889" s="2">
        <f t="shared" si="49"/>
        <v>45071</v>
      </c>
      <c r="AK889" s="2" t="s">
        <v>2184</v>
      </c>
      <c r="AL889" s="3">
        <f>IF(HAVERD!H893="",AL888,AVERAGE(HAVERD!H893:Q893))</f>
        <v>114.64000000000001</v>
      </c>
      <c r="AM889" s="3">
        <f t="shared" si="51"/>
        <v>126.49063076923076</v>
      </c>
      <c r="AP889" s="3">
        <f t="shared" si="51"/>
        <v>126.49063076923076</v>
      </c>
    </row>
    <row r="890" spans="12:42" x14ac:dyDescent="0.35">
      <c r="L890" s="2">
        <f t="shared" si="50"/>
        <v>45072</v>
      </c>
      <c r="M890" s="5">
        <f>HAVERD!BA894/HAVERD!BB894</f>
        <v>61.895880635744398</v>
      </c>
      <c r="AJ890" s="2">
        <f t="shared" si="49"/>
        <v>45072</v>
      </c>
      <c r="AK890" s="2" t="s">
        <v>2184</v>
      </c>
      <c r="AL890" s="3">
        <f>IF(HAVERD!H894="",AL889,AVERAGE(HAVERD!H894:Q894))</f>
        <v>108.881</v>
      </c>
      <c r="AM890" s="3">
        <f t="shared" si="51"/>
        <v>126.49063076923076</v>
      </c>
      <c r="AP890" s="3">
        <f t="shared" si="51"/>
        <v>126.49063076923076</v>
      </c>
    </row>
    <row r="891" spans="12:42" x14ac:dyDescent="0.35">
      <c r="L891" s="2">
        <f t="shared" si="50"/>
        <v>45075</v>
      </c>
      <c r="M891" s="5" t="e">
        <f>HAVERD!BA895/HAVERD!BB895</f>
        <v>#N/A</v>
      </c>
      <c r="AJ891" s="2">
        <f t="shared" si="49"/>
        <v>45075</v>
      </c>
      <c r="AK891" s="2" t="s">
        <v>2184</v>
      </c>
      <c r="AL891" s="3">
        <f>IF(HAVERD!H895="",AL890,AVERAGE(HAVERD!H895:Q895))</f>
        <v>108.881</v>
      </c>
      <c r="AM891" s="3">
        <f t="shared" si="51"/>
        <v>126.49063076923076</v>
      </c>
      <c r="AP891" s="3">
        <f t="shared" si="51"/>
        <v>126.49063076923076</v>
      </c>
    </row>
    <row r="892" spans="12:42" x14ac:dyDescent="0.35">
      <c r="L892" s="2">
        <f t="shared" si="50"/>
        <v>45076</v>
      </c>
      <c r="M892" s="5">
        <f>HAVERD!BA896/HAVERD!BB896</f>
        <v>59.124969784868256</v>
      </c>
      <c r="AJ892" s="2">
        <f t="shared" si="49"/>
        <v>45076</v>
      </c>
      <c r="AK892" s="2" t="s">
        <v>2184</v>
      </c>
      <c r="AL892" s="3">
        <f>IF(HAVERD!H896="",AL891,AVERAGE(HAVERD!H896:Q896))</f>
        <v>107.59200000000001</v>
      </c>
      <c r="AM892" s="3">
        <f t="shared" si="51"/>
        <v>126.49063076923076</v>
      </c>
      <c r="AP892" s="3">
        <f t="shared" si="51"/>
        <v>126.49063076923076</v>
      </c>
    </row>
    <row r="893" spans="12:42" x14ac:dyDescent="0.35">
      <c r="L893" s="2">
        <f t="shared" si="50"/>
        <v>45077</v>
      </c>
      <c r="M893" s="5">
        <f>HAVERD!BA897/HAVERD!BB897</f>
        <v>58.076488623527517</v>
      </c>
      <c r="AJ893" s="2">
        <f t="shared" si="49"/>
        <v>45077</v>
      </c>
      <c r="AK893" s="2" t="s">
        <v>2184</v>
      </c>
      <c r="AL893" s="3">
        <f>IF(HAVERD!H897="",AL892,AVERAGE(HAVERD!H897:Q897))</f>
        <v>111.96199999999999</v>
      </c>
      <c r="AM893" s="3">
        <f t="shared" si="51"/>
        <v>126.49063076923076</v>
      </c>
      <c r="AP893" s="3">
        <f t="shared" si="51"/>
        <v>126.49063076923076</v>
      </c>
    </row>
    <row r="894" spans="12:42" x14ac:dyDescent="0.35">
      <c r="L894" s="2">
        <f t="shared" si="50"/>
        <v>45078</v>
      </c>
      <c r="M894" s="5">
        <f>HAVERD!BA898/HAVERD!BB898</f>
        <v>59.230277866496337</v>
      </c>
      <c r="AJ894" s="2">
        <f t="shared" si="49"/>
        <v>45078</v>
      </c>
      <c r="AK894" s="2" t="s">
        <v>2186</v>
      </c>
      <c r="AL894" s="3">
        <f>IF(HAVERD!H898="",AL893,AVERAGE(HAVERD!H898:Q898))</f>
        <v>106.87</v>
      </c>
      <c r="AM894" s="3">
        <f t="shared" si="51"/>
        <v>126.49063076923076</v>
      </c>
      <c r="AP894" s="3">
        <f t="shared" si="51"/>
        <v>126.49063076923076</v>
      </c>
    </row>
    <row r="895" spans="12:42" x14ac:dyDescent="0.35">
      <c r="L895" s="2">
        <f t="shared" si="50"/>
        <v>45079</v>
      </c>
      <c r="M895" s="5">
        <f>HAVERD!BA899/HAVERD!BB899</f>
        <v>60.873047657188629</v>
      </c>
      <c r="AJ895" s="2">
        <f t="shared" si="49"/>
        <v>45079</v>
      </c>
      <c r="AK895" s="2" t="s">
        <v>2186</v>
      </c>
      <c r="AL895" s="3">
        <f>IF(HAVERD!H899="",AL894,AVERAGE(HAVERD!H899:Q899))</f>
        <v>107.28500000000001</v>
      </c>
      <c r="AM895" s="3">
        <f t="shared" si="51"/>
        <v>126.49063076923076</v>
      </c>
      <c r="AP895" s="3">
        <f t="shared" si="51"/>
        <v>126.49063076923076</v>
      </c>
    </row>
    <row r="896" spans="12:42" x14ac:dyDescent="0.35">
      <c r="L896" s="2">
        <f t="shared" si="50"/>
        <v>45082</v>
      </c>
      <c r="M896" s="5">
        <f>HAVERD!BA900/HAVERD!BB900</f>
        <v>61.732473811442382</v>
      </c>
      <c r="AJ896" s="2">
        <f t="shared" si="49"/>
        <v>45082</v>
      </c>
      <c r="AK896" s="2" t="s">
        <v>2186</v>
      </c>
      <c r="AL896" s="3">
        <f>IF(HAVERD!H900="",AL895,AVERAGE(HAVERD!H900:Q900))</f>
        <v>113.67699999999999</v>
      </c>
      <c r="AM896" s="3">
        <f t="shared" si="51"/>
        <v>126.49063076923076</v>
      </c>
      <c r="AP896" s="3">
        <f t="shared" si="51"/>
        <v>126.49063076923076</v>
      </c>
    </row>
    <row r="897" spans="12:42" x14ac:dyDescent="0.35">
      <c r="L897" s="2">
        <f t="shared" si="50"/>
        <v>45083</v>
      </c>
      <c r="M897" s="5">
        <f>HAVERD!BA901/HAVERD!BB901</f>
        <v>61.428110896196003</v>
      </c>
      <c r="AJ897" s="2">
        <f t="shared" si="49"/>
        <v>45083</v>
      </c>
      <c r="AK897" s="2" t="s">
        <v>2186</v>
      </c>
      <c r="AL897" s="3">
        <f>IF(HAVERD!H901="",AL896,AVERAGE(HAVERD!H901:Q901))</f>
        <v>106.896</v>
      </c>
      <c r="AM897" s="3">
        <f t="shared" si="51"/>
        <v>126.49063076923076</v>
      </c>
      <c r="AP897" s="3">
        <f t="shared" si="51"/>
        <v>126.49063076923076</v>
      </c>
    </row>
    <row r="898" spans="12:42" x14ac:dyDescent="0.35">
      <c r="L898" s="2">
        <f t="shared" si="50"/>
        <v>45084</v>
      </c>
      <c r="M898" s="5">
        <f>HAVERD!BA902/HAVERD!BB902</f>
        <v>61.667469106082486</v>
      </c>
      <c r="AJ898" s="2">
        <f t="shared" si="49"/>
        <v>45084</v>
      </c>
      <c r="AK898" s="2" t="s">
        <v>2186</v>
      </c>
      <c r="AL898" s="3">
        <f>IF(HAVERD!H902="",AL897,AVERAGE(HAVERD!H902:Q902))</f>
        <v>107.72</v>
      </c>
      <c r="AM898" s="3">
        <f t="shared" si="51"/>
        <v>126.49063076923076</v>
      </c>
      <c r="AP898" s="3">
        <f t="shared" si="51"/>
        <v>126.49063076923076</v>
      </c>
    </row>
    <row r="899" spans="12:42" x14ac:dyDescent="0.35">
      <c r="L899" s="2">
        <f t="shared" si="50"/>
        <v>45085</v>
      </c>
      <c r="M899" s="5">
        <f>HAVERD!BA903/HAVERD!BB903</f>
        <v>60.534503390506572</v>
      </c>
      <c r="AJ899" s="2">
        <f t="shared" si="49"/>
        <v>45085</v>
      </c>
      <c r="AK899" s="2" t="s">
        <v>2186</v>
      </c>
      <c r="AL899" s="3">
        <f>IF(HAVERD!H903="",AL898,AVERAGE(HAVERD!H903:Q903))</f>
        <v>109.62899999999999</v>
      </c>
      <c r="AM899" s="3">
        <f t="shared" si="51"/>
        <v>126.49063076923076</v>
      </c>
      <c r="AP899" s="3">
        <f t="shared" si="51"/>
        <v>126.49063076923076</v>
      </c>
    </row>
    <row r="900" spans="12:42" x14ac:dyDescent="0.35">
      <c r="L900" s="2">
        <f t="shared" si="50"/>
        <v>45086</v>
      </c>
      <c r="M900" s="5">
        <f>HAVERD!BA904/HAVERD!BB904</f>
        <v>59.411764705882348</v>
      </c>
      <c r="AJ900" s="2">
        <f t="shared" si="49"/>
        <v>45086</v>
      </c>
      <c r="AK900" s="2" t="s">
        <v>2186</v>
      </c>
      <c r="AL900" s="3">
        <f>IF(HAVERD!H904="",AL899,AVERAGE(HAVERD!H904:Q904))</f>
        <v>118.128</v>
      </c>
      <c r="AM900" s="3">
        <f t="shared" si="51"/>
        <v>126.49063076923076</v>
      </c>
      <c r="AP900" s="3">
        <f t="shared" si="51"/>
        <v>126.49063076923076</v>
      </c>
    </row>
    <row r="901" spans="12:42" x14ac:dyDescent="0.35">
      <c r="L901" s="2">
        <f t="shared" si="50"/>
        <v>45089</v>
      </c>
      <c r="M901" s="5">
        <f>HAVERD!BA905/HAVERD!BB905</f>
        <v>57.394084732214232</v>
      </c>
      <c r="AJ901" s="2">
        <f t="shared" si="49"/>
        <v>45089</v>
      </c>
      <c r="AK901" s="2" t="s">
        <v>2186</v>
      </c>
      <c r="AL901" s="3">
        <f>IF(HAVERD!H905="",AL900,AVERAGE(HAVERD!H905:Q905))</f>
        <v>119.94200000000004</v>
      </c>
      <c r="AM901" s="3">
        <f t="shared" si="51"/>
        <v>126.49063076923076</v>
      </c>
      <c r="AP901" s="3">
        <f t="shared" si="51"/>
        <v>126.49063076923076</v>
      </c>
    </row>
    <row r="902" spans="12:42" x14ac:dyDescent="0.35">
      <c r="L902" s="2">
        <f t="shared" si="50"/>
        <v>45090</v>
      </c>
      <c r="M902" s="5">
        <f>HAVERD!BA906/HAVERD!BB906</f>
        <v>58.901935893367181</v>
      </c>
      <c r="AJ902" s="2">
        <f t="shared" si="49"/>
        <v>45090</v>
      </c>
      <c r="AK902" s="2" t="s">
        <v>2186</v>
      </c>
      <c r="AL902" s="3">
        <f>IF(HAVERD!H906="",AL901,AVERAGE(HAVERD!H906:Q906))</f>
        <v>127.751</v>
      </c>
      <c r="AM902" s="3">
        <f t="shared" si="51"/>
        <v>126.49063076923076</v>
      </c>
      <c r="AP902" s="3">
        <f t="shared" si="51"/>
        <v>126.49063076923076</v>
      </c>
    </row>
    <row r="903" spans="12:42" x14ac:dyDescent="0.35">
      <c r="L903" s="2">
        <f t="shared" si="50"/>
        <v>45091</v>
      </c>
      <c r="M903" s="5">
        <f>HAVERD!BA907/HAVERD!BB907</f>
        <v>57.805608065532446</v>
      </c>
      <c r="AJ903" s="2">
        <f t="shared" si="49"/>
        <v>45091</v>
      </c>
      <c r="AK903" s="2" t="s">
        <v>2186</v>
      </c>
      <c r="AL903" s="3">
        <f>IF(HAVERD!H907="",AL902,AVERAGE(HAVERD!H907:Q907))</f>
        <v>136.089</v>
      </c>
      <c r="AM903" s="3">
        <f t="shared" si="51"/>
        <v>126.49063076923076</v>
      </c>
      <c r="AP903" s="3">
        <f t="shared" si="51"/>
        <v>126.49063076923076</v>
      </c>
    </row>
    <row r="904" spans="12:42" x14ac:dyDescent="0.35">
      <c r="L904" s="2">
        <f t="shared" si="50"/>
        <v>45092</v>
      </c>
      <c r="M904" s="5">
        <f>HAVERD!BA908/HAVERD!BB908</f>
        <v>59.444400847524129</v>
      </c>
      <c r="AJ904" s="2">
        <f t="shared" si="49"/>
        <v>45092</v>
      </c>
      <c r="AK904" s="2" t="s">
        <v>2186</v>
      </c>
      <c r="AL904" s="3">
        <f>IF(HAVERD!H908="",AL903,AVERAGE(HAVERD!H908:Q908))</f>
        <v>143.512</v>
      </c>
      <c r="AM904" s="3">
        <f t="shared" si="51"/>
        <v>126.49063076923076</v>
      </c>
      <c r="AP904" s="3">
        <f t="shared" si="51"/>
        <v>126.49063076923076</v>
      </c>
    </row>
    <row r="905" spans="12:42" x14ac:dyDescent="0.35">
      <c r="L905" s="2">
        <f t="shared" si="50"/>
        <v>45093</v>
      </c>
      <c r="M905" s="5">
        <f>HAVERD!BA909/HAVERD!BB909</f>
        <v>59.912581954417739</v>
      </c>
      <c r="AJ905" s="2">
        <f t="shared" ref="AJ905:AJ968" si="52">+AJ900+7</f>
        <v>45093</v>
      </c>
      <c r="AK905" s="2" t="s">
        <v>2186</v>
      </c>
      <c r="AL905" s="3">
        <f>IF(HAVERD!H909="",AL904,AVERAGE(HAVERD!H909:Q909))</f>
        <v>130.06200000000001</v>
      </c>
      <c r="AM905" s="3">
        <f t="shared" si="51"/>
        <v>126.49063076923076</v>
      </c>
      <c r="AP905" s="3">
        <f t="shared" si="51"/>
        <v>126.49063076923076</v>
      </c>
    </row>
    <row r="906" spans="12:42" x14ac:dyDescent="0.35">
      <c r="L906" s="2">
        <f t="shared" si="50"/>
        <v>45096</v>
      </c>
      <c r="M906" s="5">
        <f>HAVERD!BA910/HAVERD!BB910</f>
        <v>59.463894967177239</v>
      </c>
      <c r="AJ906" s="2">
        <f t="shared" si="52"/>
        <v>45096</v>
      </c>
      <c r="AK906" s="2" t="s">
        <v>2186</v>
      </c>
      <c r="AL906" s="3">
        <f>IF(HAVERD!H910="",AL905,AVERAGE(HAVERD!H910:Q910))</f>
        <v>129.72499999999999</v>
      </c>
      <c r="AM906" s="3">
        <f t="shared" si="51"/>
        <v>126.49063076923076</v>
      </c>
      <c r="AP906" s="3">
        <f t="shared" si="51"/>
        <v>126.49063076923076</v>
      </c>
    </row>
    <row r="907" spans="12:42" x14ac:dyDescent="0.35">
      <c r="L907" s="2">
        <f t="shared" si="50"/>
        <v>45097</v>
      </c>
      <c r="M907" s="5">
        <f>HAVERD!BA911/HAVERD!BB911</f>
        <v>59.513152728700433</v>
      </c>
      <c r="AJ907" s="2">
        <f t="shared" si="52"/>
        <v>45097</v>
      </c>
      <c r="AK907" s="2" t="s">
        <v>2186</v>
      </c>
      <c r="AL907" s="3">
        <f>IF(HAVERD!H911="",AL906,AVERAGE(HAVERD!H911:Q911))</f>
        <v>136.89500000000001</v>
      </c>
      <c r="AM907" s="3">
        <f t="shared" si="51"/>
        <v>126.49063076923076</v>
      </c>
      <c r="AP907" s="3">
        <f t="shared" si="51"/>
        <v>126.49063076923076</v>
      </c>
    </row>
    <row r="908" spans="12:42" x14ac:dyDescent="0.35">
      <c r="L908" s="2">
        <f t="shared" si="50"/>
        <v>45098</v>
      </c>
      <c r="M908" s="5">
        <f>HAVERD!BA912/HAVERD!BB912</f>
        <v>60.419448590055772</v>
      </c>
      <c r="AJ908" s="2">
        <f t="shared" si="52"/>
        <v>45098</v>
      </c>
      <c r="AK908" s="2" t="s">
        <v>2186</v>
      </c>
      <c r="AL908" s="3">
        <f>IF(HAVERD!H912="",AL907,AVERAGE(HAVERD!H912:Q912))</f>
        <v>135.66700000000003</v>
      </c>
      <c r="AM908" s="3">
        <f t="shared" si="51"/>
        <v>126.49063076923076</v>
      </c>
      <c r="AP908" s="3">
        <f t="shared" si="51"/>
        <v>126.49063076923076</v>
      </c>
    </row>
    <row r="909" spans="12:42" x14ac:dyDescent="0.35">
      <c r="L909" s="2">
        <f t="shared" si="50"/>
        <v>45099</v>
      </c>
      <c r="M909" s="5">
        <f>HAVERD!BA913/HAVERD!BB913</f>
        <v>58.038938608886802</v>
      </c>
      <c r="AJ909" s="2">
        <f t="shared" si="52"/>
        <v>45099</v>
      </c>
      <c r="AK909" s="2" t="s">
        <v>2186</v>
      </c>
      <c r="AL909" s="3">
        <f>IF(HAVERD!H913="",AL908,AVERAGE(HAVERD!H913:Q913))</f>
        <v>133.07499999999999</v>
      </c>
      <c r="AM909" s="3">
        <f t="shared" si="51"/>
        <v>126.49063076923076</v>
      </c>
      <c r="AP909" s="3">
        <f t="shared" si="51"/>
        <v>126.49063076923076</v>
      </c>
    </row>
    <row r="910" spans="12:42" x14ac:dyDescent="0.35">
      <c r="L910" s="2">
        <f t="shared" si="50"/>
        <v>45100</v>
      </c>
      <c r="M910" s="5">
        <f>HAVERD!BA914/HAVERD!BB914</f>
        <v>57.871135237196135</v>
      </c>
      <c r="AJ910" s="2">
        <f t="shared" si="52"/>
        <v>45100</v>
      </c>
      <c r="AK910" s="2" t="s">
        <v>2186</v>
      </c>
      <c r="AL910" s="3">
        <f>IF(HAVERD!H914="",AL909,AVERAGE(HAVERD!H914:Q914))</f>
        <v>129.71200000000002</v>
      </c>
      <c r="AM910" s="3">
        <f t="shared" si="51"/>
        <v>126.49063076923076</v>
      </c>
      <c r="AP910" s="3">
        <f t="shared" si="51"/>
        <v>126.49063076923076</v>
      </c>
    </row>
    <row r="911" spans="12:42" x14ac:dyDescent="0.35">
      <c r="L911" s="2">
        <f t="shared" ref="L911:L974" si="53">+L906+7</f>
        <v>45103</v>
      </c>
      <c r="M911" s="5">
        <f>HAVERD!BA915/HAVERD!BB915</f>
        <v>58.116295538594699</v>
      </c>
      <c r="AJ911" s="2">
        <f t="shared" si="52"/>
        <v>45103</v>
      </c>
      <c r="AK911" s="2" t="s">
        <v>2186</v>
      </c>
      <c r="AL911" s="3">
        <f>IF(HAVERD!H915="",AL910,AVERAGE(HAVERD!H915:Q915))</f>
        <v>128.17599999999999</v>
      </c>
      <c r="AM911" s="3">
        <f t="shared" si="51"/>
        <v>126.49063076923076</v>
      </c>
      <c r="AP911" s="3">
        <f t="shared" si="51"/>
        <v>126.49063076923076</v>
      </c>
    </row>
    <row r="912" spans="12:42" x14ac:dyDescent="0.35">
      <c r="L912" s="2">
        <f t="shared" si="53"/>
        <v>45104</v>
      </c>
      <c r="M912" s="5">
        <f>HAVERD!BA916/HAVERD!BB916</f>
        <v>56.394162874627334</v>
      </c>
      <c r="AJ912" s="2">
        <f t="shared" si="52"/>
        <v>45104</v>
      </c>
      <c r="AK912" s="2" t="s">
        <v>2186</v>
      </c>
      <c r="AL912" s="3">
        <f>IF(HAVERD!H916="",AL911,AVERAGE(HAVERD!H916:Q916))</f>
        <v>130.35499999999996</v>
      </c>
      <c r="AM912" s="3">
        <f t="shared" si="51"/>
        <v>126.49063076923076</v>
      </c>
      <c r="AP912" s="3">
        <f t="shared" si="51"/>
        <v>126.49063076923076</v>
      </c>
    </row>
    <row r="913" spans="12:42" x14ac:dyDescent="0.35">
      <c r="L913" s="2">
        <f t="shared" si="53"/>
        <v>45105</v>
      </c>
      <c r="M913" s="5">
        <f>HAVERD!BA917/HAVERD!BB917</f>
        <v>58.379578246392896</v>
      </c>
      <c r="AJ913" s="2">
        <f t="shared" si="52"/>
        <v>45105</v>
      </c>
      <c r="AK913" s="2" t="s">
        <v>2186</v>
      </c>
      <c r="AL913" s="3">
        <f>IF(HAVERD!H917="",AL912,AVERAGE(HAVERD!H917:Q917))</f>
        <v>129.74100000000001</v>
      </c>
      <c r="AM913" s="3">
        <f t="shared" si="51"/>
        <v>126.49063076923076</v>
      </c>
      <c r="AP913" s="3">
        <f t="shared" si="51"/>
        <v>126.49063076923076</v>
      </c>
    </row>
    <row r="914" spans="12:42" x14ac:dyDescent="0.35">
      <c r="L914" s="2">
        <f t="shared" si="53"/>
        <v>45106</v>
      </c>
      <c r="M914" s="5">
        <f>HAVERD!BA918/HAVERD!BB918</f>
        <v>58.535425582501183</v>
      </c>
      <c r="AJ914" s="2">
        <f t="shared" si="52"/>
        <v>45106</v>
      </c>
      <c r="AK914" s="2" t="s">
        <v>2186</v>
      </c>
      <c r="AL914" s="3">
        <f>IF(HAVERD!H918="",AL913,AVERAGE(HAVERD!H918:Q918))</f>
        <v>131.524</v>
      </c>
      <c r="AM914" s="3">
        <f t="shared" si="51"/>
        <v>126.49063076923076</v>
      </c>
      <c r="AP914" s="3">
        <f t="shared" si="51"/>
        <v>126.49063076923076</v>
      </c>
    </row>
    <row r="915" spans="12:42" x14ac:dyDescent="0.35">
      <c r="L915" s="2">
        <f t="shared" si="53"/>
        <v>45107</v>
      </c>
      <c r="M915" s="5">
        <f>HAVERD!BA919/HAVERD!BB919</f>
        <v>58.604687745792042</v>
      </c>
      <c r="AJ915" s="2">
        <f t="shared" si="52"/>
        <v>45107</v>
      </c>
      <c r="AK915" s="2" t="s">
        <v>2186</v>
      </c>
      <c r="AL915" s="3">
        <f>IF(HAVERD!H919="",AL914,AVERAGE(HAVERD!H919:Q919))</f>
        <v>134.18200000000002</v>
      </c>
      <c r="AM915" s="3">
        <f t="shared" si="51"/>
        <v>126.49063076923076</v>
      </c>
      <c r="AP915" s="3">
        <f t="shared" si="51"/>
        <v>126.49063076923076</v>
      </c>
    </row>
    <row r="916" spans="12:42" x14ac:dyDescent="0.35">
      <c r="L916" s="2">
        <f t="shared" si="53"/>
        <v>45110</v>
      </c>
      <c r="M916" s="5">
        <f>HAVERD!BA920/HAVERD!BB920</f>
        <v>58.728032153834029</v>
      </c>
      <c r="AJ916" s="2">
        <f t="shared" si="52"/>
        <v>45110</v>
      </c>
      <c r="AK916" s="2" t="s">
        <v>2185</v>
      </c>
      <c r="AL916" s="3">
        <f>IF(HAVERD!H920="",AL915,AVERAGE(HAVERD!H920:Q920))</f>
        <v>128.922</v>
      </c>
      <c r="AM916" s="3">
        <f t="shared" si="51"/>
        <v>126.49063076923076</v>
      </c>
      <c r="AP916" s="3">
        <f t="shared" si="51"/>
        <v>126.49063076923076</v>
      </c>
    </row>
    <row r="917" spans="12:42" x14ac:dyDescent="0.35">
      <c r="L917" s="2">
        <f t="shared" si="53"/>
        <v>45111</v>
      </c>
      <c r="M917" s="5">
        <f>HAVERD!BA921/HAVERD!BB921</f>
        <v>59.90099009900991</v>
      </c>
      <c r="AJ917" s="2">
        <f t="shared" si="52"/>
        <v>45111</v>
      </c>
      <c r="AK917" s="2" t="s">
        <v>2185</v>
      </c>
      <c r="AL917" s="3">
        <f>IF(HAVERD!H921="",AL916,AVERAGE(HAVERD!H921:Q921))</f>
        <v>132.73700000000002</v>
      </c>
      <c r="AM917" s="3">
        <f t="shared" si="51"/>
        <v>126.49063076923076</v>
      </c>
      <c r="AP917" s="3">
        <f t="shared" si="51"/>
        <v>126.49063076923076</v>
      </c>
    </row>
    <row r="918" spans="12:42" x14ac:dyDescent="0.35">
      <c r="L918" s="2">
        <f t="shared" si="53"/>
        <v>45112</v>
      </c>
      <c r="M918" s="5">
        <f>HAVERD!BA922/HAVERD!BB922</f>
        <v>60.349166404529718</v>
      </c>
      <c r="AJ918" s="2">
        <f t="shared" si="52"/>
        <v>45112</v>
      </c>
      <c r="AK918" s="2" t="s">
        <v>2185</v>
      </c>
      <c r="AL918" s="3">
        <f>IF(HAVERD!H922="",AL917,AVERAGE(HAVERD!H922:Q922))</f>
        <v>133.684</v>
      </c>
      <c r="AM918" s="3">
        <f t="shared" si="51"/>
        <v>126.49063076923076</v>
      </c>
      <c r="AP918" s="3">
        <f t="shared" si="51"/>
        <v>126.49063076923076</v>
      </c>
    </row>
    <row r="919" spans="12:42" x14ac:dyDescent="0.35">
      <c r="L919" s="2">
        <f t="shared" si="53"/>
        <v>45113</v>
      </c>
      <c r="M919" s="5">
        <f>HAVERD!BA923/HAVERD!BB923</f>
        <v>60.428481411468177</v>
      </c>
      <c r="AJ919" s="2">
        <f t="shared" si="52"/>
        <v>45113</v>
      </c>
      <c r="AK919" s="2" t="s">
        <v>2185</v>
      </c>
      <c r="AL919" s="3">
        <f>IF(HAVERD!H923="",AL918,AVERAGE(HAVERD!H923:Q923))</f>
        <v>133.404</v>
      </c>
      <c r="AM919" s="3">
        <f t="shared" si="51"/>
        <v>126.49063076923076</v>
      </c>
      <c r="AP919" s="3">
        <f t="shared" si="51"/>
        <v>126.49063076923076</v>
      </c>
    </row>
    <row r="920" spans="12:42" x14ac:dyDescent="0.35">
      <c r="L920" s="2">
        <f t="shared" si="53"/>
        <v>45114</v>
      </c>
      <c r="M920" s="5">
        <f>HAVERD!BA924/HAVERD!BB924</f>
        <v>61.419103313840154</v>
      </c>
      <c r="AJ920" s="2">
        <f t="shared" si="52"/>
        <v>45114</v>
      </c>
      <c r="AK920" s="2" t="s">
        <v>2185</v>
      </c>
      <c r="AL920" s="3">
        <f>IF(HAVERD!H924="",AL919,AVERAGE(HAVERD!H924:Q924))</f>
        <v>138.25</v>
      </c>
      <c r="AM920" s="3">
        <f t="shared" si="51"/>
        <v>126.49063076923076</v>
      </c>
      <c r="AP920" s="3">
        <f t="shared" si="51"/>
        <v>126.49063076923076</v>
      </c>
    </row>
    <row r="921" spans="12:42" x14ac:dyDescent="0.35">
      <c r="L921" s="2">
        <f t="shared" si="53"/>
        <v>45117</v>
      </c>
      <c r="M921" s="5">
        <f>HAVERD!BA925/HAVERD!BB925</f>
        <v>60.733515411626996</v>
      </c>
      <c r="AJ921" s="2">
        <f t="shared" si="52"/>
        <v>45117</v>
      </c>
      <c r="AK921" s="2" t="s">
        <v>2185</v>
      </c>
      <c r="AL921" s="3">
        <f>IF(HAVERD!H925="",AL920,AVERAGE(HAVERD!H925:Q925))</f>
        <v>130.08800000000002</v>
      </c>
      <c r="AM921" s="3">
        <f t="shared" si="51"/>
        <v>126.49063076923076</v>
      </c>
      <c r="AP921" s="3">
        <f t="shared" si="51"/>
        <v>126.49063076923076</v>
      </c>
    </row>
    <row r="922" spans="12:42" x14ac:dyDescent="0.35">
      <c r="L922" s="2">
        <f t="shared" si="53"/>
        <v>45118</v>
      </c>
      <c r="M922" s="5">
        <f>HAVERD!BA926/HAVERD!BB926</f>
        <v>61.673257346669772</v>
      </c>
      <c r="AJ922" s="2">
        <f t="shared" si="52"/>
        <v>45118</v>
      </c>
      <c r="AK922" s="2" t="s">
        <v>2185</v>
      </c>
      <c r="AL922" s="3">
        <f>IF(HAVERD!H926="",AL921,AVERAGE(HAVERD!H926:Q926))</f>
        <v>123.37099999999998</v>
      </c>
      <c r="AM922" s="3">
        <f t="shared" si="51"/>
        <v>126.49063076923076</v>
      </c>
      <c r="AP922" s="3">
        <f t="shared" si="51"/>
        <v>126.49063076923076</v>
      </c>
    </row>
    <row r="923" spans="12:42" x14ac:dyDescent="0.35">
      <c r="L923" s="2">
        <f t="shared" si="53"/>
        <v>45119</v>
      </c>
      <c r="M923" s="5">
        <f>HAVERD!BA927/HAVERD!BB927</f>
        <v>61.821958913595438</v>
      </c>
      <c r="AJ923" s="2">
        <f t="shared" si="52"/>
        <v>45119</v>
      </c>
      <c r="AK923" s="2" t="s">
        <v>2185</v>
      </c>
      <c r="AL923" s="3">
        <f>IF(HAVERD!H927="",AL922,AVERAGE(HAVERD!H927:Q927))</f>
        <v>119.85500000000002</v>
      </c>
      <c r="AM923" s="3">
        <f t="shared" si="51"/>
        <v>126.49063076923076</v>
      </c>
      <c r="AP923" s="3">
        <f t="shared" si="51"/>
        <v>126.49063076923076</v>
      </c>
    </row>
    <row r="924" spans="12:42" x14ac:dyDescent="0.35">
      <c r="L924" s="2">
        <f t="shared" si="53"/>
        <v>45120</v>
      </c>
      <c r="M924" s="5">
        <f>HAVERD!BA928/HAVERD!BB928</f>
        <v>62.002440140308074</v>
      </c>
      <c r="AJ924" s="2">
        <f t="shared" si="52"/>
        <v>45120</v>
      </c>
      <c r="AK924" s="2" t="s">
        <v>2185</v>
      </c>
      <c r="AL924" s="3">
        <f>IF(HAVERD!H928="",AL923,AVERAGE(HAVERD!H928:Q928))</f>
        <v>120.03600000000002</v>
      </c>
      <c r="AM924" s="3">
        <f t="shared" si="51"/>
        <v>126.49063076923076</v>
      </c>
      <c r="AP924" s="3">
        <f t="shared" si="51"/>
        <v>126.49063076923076</v>
      </c>
    </row>
    <row r="925" spans="12:42" x14ac:dyDescent="0.35">
      <c r="L925" s="2">
        <f t="shared" si="53"/>
        <v>45121</v>
      </c>
      <c r="M925" s="5">
        <f>HAVERD!BA929/HAVERD!BB929</f>
        <v>60.917962793534613</v>
      </c>
      <c r="AJ925" s="2">
        <f t="shared" si="52"/>
        <v>45121</v>
      </c>
      <c r="AK925" s="2" t="s">
        <v>2185</v>
      </c>
      <c r="AL925" s="3">
        <f>IF(HAVERD!H929="",AL924,AVERAGE(HAVERD!H929:Q929))</f>
        <v>122.20899999999999</v>
      </c>
      <c r="AM925" s="3">
        <f t="shared" si="51"/>
        <v>126.49063076923076</v>
      </c>
      <c r="AP925" s="3">
        <f t="shared" si="51"/>
        <v>126.49063076923076</v>
      </c>
    </row>
    <row r="926" spans="12:42" x14ac:dyDescent="0.35">
      <c r="L926" s="2">
        <f t="shared" si="53"/>
        <v>45124</v>
      </c>
      <c r="M926" s="5">
        <f>HAVERD!BA930/HAVERD!BB930</f>
        <v>59.471028894664421</v>
      </c>
      <c r="AJ926" s="2">
        <f t="shared" si="52"/>
        <v>45124</v>
      </c>
      <c r="AK926" s="2" t="s">
        <v>2185</v>
      </c>
      <c r="AL926" s="3">
        <f>IF(HAVERD!H930="",AL925,AVERAGE(HAVERD!H930:Q930))</f>
        <v>121.57300000000001</v>
      </c>
      <c r="AM926" s="3">
        <f t="shared" si="51"/>
        <v>126.49063076923076</v>
      </c>
      <c r="AP926" s="3">
        <f t="shared" si="51"/>
        <v>126.49063076923076</v>
      </c>
    </row>
    <row r="927" spans="12:42" x14ac:dyDescent="0.35">
      <c r="L927" s="2">
        <f t="shared" si="53"/>
        <v>45125</v>
      </c>
      <c r="M927" s="5">
        <f>HAVERD!BA931/HAVERD!BB931</f>
        <v>60.805748795963616</v>
      </c>
      <c r="AJ927" s="2">
        <f t="shared" si="52"/>
        <v>45125</v>
      </c>
      <c r="AK927" s="2" t="s">
        <v>2185</v>
      </c>
      <c r="AL927" s="3">
        <f>IF(HAVERD!H931="",AL926,AVERAGE(HAVERD!H931:Q931))</f>
        <v>127.98000000000002</v>
      </c>
      <c r="AM927" s="3">
        <f t="shared" si="51"/>
        <v>126.49063076923076</v>
      </c>
      <c r="AP927" s="3">
        <f t="shared" si="51"/>
        <v>126.49063076923076</v>
      </c>
    </row>
    <row r="928" spans="12:42" x14ac:dyDescent="0.35">
      <c r="L928" s="2">
        <f t="shared" si="53"/>
        <v>45126</v>
      </c>
      <c r="M928" s="5">
        <f>HAVERD!BA932/HAVERD!BB932</f>
        <v>61.60651920838184</v>
      </c>
      <c r="AJ928" s="2">
        <f t="shared" si="52"/>
        <v>45126</v>
      </c>
      <c r="AK928" s="2" t="s">
        <v>2185</v>
      </c>
      <c r="AL928" s="3">
        <f>IF(HAVERD!H932="",AL927,AVERAGE(HAVERD!H932:Q932))</f>
        <v>132.52699999999999</v>
      </c>
      <c r="AM928" s="3">
        <f t="shared" si="51"/>
        <v>126.49063076923076</v>
      </c>
      <c r="AP928" s="3">
        <f t="shared" si="51"/>
        <v>126.49063076923076</v>
      </c>
    </row>
    <row r="929" spans="12:42" x14ac:dyDescent="0.35">
      <c r="L929" s="2">
        <f t="shared" si="53"/>
        <v>45127</v>
      </c>
      <c r="M929" s="5">
        <f>HAVERD!BA933/HAVERD!BB933</f>
        <v>61.95626799470859</v>
      </c>
      <c r="AJ929" s="2">
        <f t="shared" si="52"/>
        <v>45127</v>
      </c>
      <c r="AK929" s="2" t="s">
        <v>2185</v>
      </c>
      <c r="AL929" s="3">
        <f>IF(HAVERD!H933="",AL928,AVERAGE(HAVERD!H933:Q933))</f>
        <v>135.114</v>
      </c>
      <c r="AM929" s="3">
        <f t="shared" si="51"/>
        <v>126.49063076923076</v>
      </c>
      <c r="AP929" s="3">
        <f t="shared" si="51"/>
        <v>126.49063076923076</v>
      </c>
    </row>
    <row r="930" spans="12:42" x14ac:dyDescent="0.35">
      <c r="L930" s="2">
        <f t="shared" si="53"/>
        <v>45128</v>
      </c>
      <c r="M930" s="5">
        <f>HAVERD!BA934/HAVERD!BB934</f>
        <v>63.106267029972756</v>
      </c>
      <c r="AJ930" s="2">
        <f t="shared" si="52"/>
        <v>45128</v>
      </c>
      <c r="AK930" s="2" t="s">
        <v>2185</v>
      </c>
      <c r="AL930" s="3">
        <f>IF(HAVERD!H934="",AL929,AVERAGE(HAVERD!H934:Q934))</f>
        <v>133.09</v>
      </c>
      <c r="AM930" s="3">
        <f t="shared" si="51"/>
        <v>126.49063076923076</v>
      </c>
      <c r="AP930" s="3">
        <f t="shared" si="51"/>
        <v>126.49063076923076</v>
      </c>
    </row>
    <row r="931" spans="12:42" x14ac:dyDescent="0.35">
      <c r="L931" s="2">
        <f t="shared" si="53"/>
        <v>45131</v>
      </c>
      <c r="M931" s="5">
        <f>HAVERD!BA935/HAVERD!BB935</f>
        <v>64.391043145821953</v>
      </c>
      <c r="AJ931" s="2">
        <f t="shared" si="52"/>
        <v>45131</v>
      </c>
      <c r="AK931" s="2" t="s">
        <v>2185</v>
      </c>
      <c r="AL931" s="3">
        <f>IF(HAVERD!H935="",AL930,AVERAGE(HAVERD!H935:Q935))</f>
        <v>136.13799999999998</v>
      </c>
      <c r="AM931" s="3">
        <f t="shared" si="51"/>
        <v>126.49063076923076</v>
      </c>
      <c r="AP931" s="3">
        <f t="shared" si="51"/>
        <v>126.49063076923076</v>
      </c>
    </row>
    <row r="932" spans="12:42" x14ac:dyDescent="0.35">
      <c r="L932" s="2">
        <f t="shared" si="53"/>
        <v>45132</v>
      </c>
      <c r="M932" s="5">
        <f>HAVERD!BA936/HAVERD!BB936</f>
        <v>64.919103920348462</v>
      </c>
      <c r="AJ932" s="2">
        <f t="shared" si="52"/>
        <v>45132</v>
      </c>
      <c r="AK932" s="2" t="s">
        <v>2185</v>
      </c>
      <c r="AL932" s="3">
        <f>IF(HAVERD!H936="",AL931,AVERAGE(HAVERD!H936:Q936))</f>
        <v>138.47800000000001</v>
      </c>
      <c r="AM932" s="3">
        <f t="shared" si="51"/>
        <v>126.49063076923076</v>
      </c>
      <c r="AP932" s="3">
        <f t="shared" si="51"/>
        <v>126.49063076923076</v>
      </c>
    </row>
    <row r="933" spans="12:42" x14ac:dyDescent="0.35">
      <c r="L933" s="2">
        <f t="shared" si="53"/>
        <v>45133</v>
      </c>
      <c r="M933" s="5">
        <f>HAVERD!BA937/HAVERD!BB937</f>
        <v>64.211096494621998</v>
      </c>
      <c r="AJ933" s="2">
        <f t="shared" si="52"/>
        <v>45133</v>
      </c>
      <c r="AK933" s="2" t="s">
        <v>2185</v>
      </c>
      <c r="AL933" s="3">
        <f>IF(HAVERD!H937="",AL932,AVERAGE(HAVERD!H937:Q937))</f>
        <v>131.428</v>
      </c>
      <c r="AM933" s="3">
        <f t="shared" si="51"/>
        <v>126.49063076923076</v>
      </c>
      <c r="AP933" s="3">
        <f t="shared" si="51"/>
        <v>126.49063076923076</v>
      </c>
    </row>
    <row r="934" spans="12:42" x14ac:dyDescent="0.35">
      <c r="L934" s="2">
        <f t="shared" si="53"/>
        <v>45134</v>
      </c>
      <c r="M934" s="5">
        <f>HAVERD!BA938/HAVERD!BB938</f>
        <v>65.592653124756794</v>
      </c>
      <c r="AJ934" s="2">
        <f t="shared" si="52"/>
        <v>45134</v>
      </c>
      <c r="AK934" s="2" t="s">
        <v>2185</v>
      </c>
      <c r="AL934" s="3">
        <f>IF(HAVERD!H938="",AL933,AVERAGE(HAVERD!H938:Q938))</f>
        <v>130.79499999999999</v>
      </c>
      <c r="AM934" s="3">
        <f t="shared" si="51"/>
        <v>126.49063076923076</v>
      </c>
      <c r="AP934" s="3">
        <f t="shared" si="51"/>
        <v>126.49063076923076</v>
      </c>
    </row>
    <row r="935" spans="12:42" x14ac:dyDescent="0.35">
      <c r="L935" s="2">
        <f t="shared" si="53"/>
        <v>45135</v>
      </c>
      <c r="M935" s="5">
        <f>HAVERD!BA939/HAVERD!BB939</f>
        <v>65.679415422885569</v>
      </c>
      <c r="AJ935" s="2">
        <f t="shared" si="52"/>
        <v>45135</v>
      </c>
      <c r="AK935" s="2" t="s">
        <v>2185</v>
      </c>
      <c r="AL935" s="3">
        <f>IF(HAVERD!H939="",AL934,AVERAGE(HAVERD!H939:Q939))</f>
        <v>126.31699999999998</v>
      </c>
      <c r="AM935" s="3">
        <f t="shared" si="51"/>
        <v>126.49063076923076</v>
      </c>
      <c r="AP935" s="3">
        <f t="shared" si="51"/>
        <v>126.49063076923076</v>
      </c>
    </row>
    <row r="936" spans="12:42" x14ac:dyDescent="0.35">
      <c r="L936" s="2">
        <f t="shared" si="53"/>
        <v>45138</v>
      </c>
      <c r="M936" s="5">
        <f>HAVERD!BA940/HAVERD!BB940</f>
        <v>66.252040736997586</v>
      </c>
      <c r="AJ936" s="2">
        <f t="shared" si="52"/>
        <v>45138</v>
      </c>
      <c r="AK936" s="2" t="s">
        <v>2185</v>
      </c>
      <c r="AL936" s="3">
        <f>IF(HAVERD!H940="",AL935,AVERAGE(HAVERD!H940:Q940))</f>
        <v>129.24700000000001</v>
      </c>
      <c r="AM936" s="3">
        <f t="shared" si="51"/>
        <v>126.49063076923076</v>
      </c>
      <c r="AP936" s="3">
        <f t="shared" si="51"/>
        <v>126.49063076923076</v>
      </c>
    </row>
    <row r="937" spans="12:42" x14ac:dyDescent="0.35">
      <c r="L937" s="2">
        <f t="shared" si="53"/>
        <v>45139</v>
      </c>
      <c r="M937" s="5">
        <f>HAVERD!BA941/HAVERD!BB941</f>
        <v>66.87039648957844</v>
      </c>
      <c r="AJ937" s="2">
        <f t="shared" si="52"/>
        <v>45139</v>
      </c>
      <c r="AK937" s="2" t="s">
        <v>2187</v>
      </c>
      <c r="AL937" s="3">
        <f>IF(HAVERD!H941="",AL936,AVERAGE(HAVERD!H941:Q941))</f>
        <v>125.96299999999999</v>
      </c>
      <c r="AM937" s="3">
        <f t="shared" si="51"/>
        <v>126.49063076923076</v>
      </c>
      <c r="AP937" s="3">
        <f t="shared" si="51"/>
        <v>126.49063076923076</v>
      </c>
    </row>
    <row r="938" spans="12:42" x14ac:dyDescent="0.35">
      <c r="L938" s="2">
        <f t="shared" si="53"/>
        <v>45140</v>
      </c>
      <c r="M938" s="5">
        <f>HAVERD!BA942/HAVERD!BB942</f>
        <v>66.206950902356382</v>
      </c>
      <c r="AJ938" s="2">
        <f t="shared" si="52"/>
        <v>45140</v>
      </c>
      <c r="AK938" s="2" t="s">
        <v>2187</v>
      </c>
      <c r="AL938" s="3">
        <f>IF(HAVERD!H942="",AL937,AVERAGE(HAVERD!H942:Q942))</f>
        <v>125.119</v>
      </c>
      <c r="AM938" s="3">
        <f t="shared" si="51"/>
        <v>126.49063076923076</v>
      </c>
      <c r="AP938" s="3">
        <f t="shared" si="51"/>
        <v>126.49063076923076</v>
      </c>
    </row>
    <row r="939" spans="12:42" x14ac:dyDescent="0.35">
      <c r="L939" s="2">
        <f t="shared" si="53"/>
        <v>45141</v>
      </c>
      <c r="M939" s="5">
        <f>HAVERD!BA943/HAVERD!BB943</f>
        <v>67.882176892179245</v>
      </c>
      <c r="AJ939" s="2">
        <f t="shared" si="52"/>
        <v>45141</v>
      </c>
      <c r="AK939" s="2" t="s">
        <v>2187</v>
      </c>
      <c r="AL939" s="3">
        <f>IF(HAVERD!H943="",AL938,AVERAGE(HAVERD!H943:Q943))</f>
        <v>125.724</v>
      </c>
      <c r="AM939" s="3">
        <f t="shared" si="51"/>
        <v>126.49063076923076</v>
      </c>
      <c r="AP939" s="3">
        <f t="shared" si="51"/>
        <v>126.49063076923076</v>
      </c>
    </row>
    <row r="940" spans="12:42" x14ac:dyDescent="0.35">
      <c r="L940" s="2">
        <f t="shared" si="53"/>
        <v>45142</v>
      </c>
      <c r="M940" s="5">
        <f>HAVERD!BA944/HAVERD!BB944</f>
        <v>68.495727835698048</v>
      </c>
      <c r="AJ940" s="2">
        <f t="shared" si="52"/>
        <v>45142</v>
      </c>
      <c r="AK940" s="2" t="s">
        <v>2187</v>
      </c>
      <c r="AL940" s="3">
        <f>IF(HAVERD!H944="",AL939,AVERAGE(HAVERD!H944:Q944))</f>
        <v>124.976</v>
      </c>
      <c r="AM940" s="3">
        <f t="shared" si="51"/>
        <v>126.49063076923076</v>
      </c>
      <c r="AP940" s="3">
        <f t="shared" si="51"/>
        <v>126.49063076923076</v>
      </c>
    </row>
    <row r="941" spans="12:42" x14ac:dyDescent="0.35">
      <c r="L941" s="2">
        <f t="shared" si="53"/>
        <v>45145</v>
      </c>
      <c r="M941" s="5">
        <f>HAVERD!BA945/HAVERD!BB945</f>
        <v>67.702787347322271</v>
      </c>
      <c r="AJ941" s="2">
        <f t="shared" si="52"/>
        <v>45145</v>
      </c>
      <c r="AK941" s="2" t="s">
        <v>2187</v>
      </c>
      <c r="AL941" s="3">
        <f>IF(HAVERD!H945="",AL940,AVERAGE(HAVERD!H945:Q945))</f>
        <v>126.26999999999998</v>
      </c>
      <c r="AM941" s="3">
        <f t="shared" si="51"/>
        <v>126.49063076923076</v>
      </c>
      <c r="AP941" s="3">
        <f t="shared" si="51"/>
        <v>126.49063076923076</v>
      </c>
    </row>
    <row r="942" spans="12:42" x14ac:dyDescent="0.35">
      <c r="L942" s="2">
        <f t="shared" si="53"/>
        <v>45146</v>
      </c>
      <c r="M942" s="5">
        <f>HAVERD!BA946/HAVERD!BB946</f>
        <v>69.171513912906775</v>
      </c>
      <c r="AJ942" s="2">
        <f t="shared" si="52"/>
        <v>45146</v>
      </c>
      <c r="AK942" s="2" t="s">
        <v>2187</v>
      </c>
      <c r="AL942" s="3">
        <f>IF(HAVERD!H946="",AL941,AVERAGE(HAVERD!H946:Q946))</f>
        <v>125.93800000000002</v>
      </c>
      <c r="AM942" s="3">
        <f t="shared" si="51"/>
        <v>126.49063076923076</v>
      </c>
      <c r="AP942" s="3">
        <f t="shared" si="51"/>
        <v>126.49063076923076</v>
      </c>
    </row>
    <row r="943" spans="12:42" x14ac:dyDescent="0.35">
      <c r="L943" s="2">
        <f t="shared" si="53"/>
        <v>45147</v>
      </c>
      <c r="M943" s="5">
        <f>HAVERD!BA947/HAVERD!BB947</f>
        <v>70.146088595664466</v>
      </c>
      <c r="AJ943" s="2">
        <f t="shared" si="52"/>
        <v>45147</v>
      </c>
      <c r="AK943" s="2" t="s">
        <v>2187</v>
      </c>
      <c r="AL943" s="3">
        <f>IF(HAVERD!H947="",AL942,AVERAGE(HAVERD!H947:Q947))</f>
        <v>134.45400000000001</v>
      </c>
      <c r="AM943" s="3">
        <f t="shared" si="51"/>
        <v>126.49063076923076</v>
      </c>
      <c r="AP943" s="3">
        <f t="shared" si="51"/>
        <v>126.49063076923076</v>
      </c>
    </row>
    <row r="944" spans="12:42" x14ac:dyDescent="0.35">
      <c r="L944" s="2">
        <f t="shared" si="53"/>
        <v>45148</v>
      </c>
      <c r="M944" s="5">
        <f>HAVERD!BA948/HAVERD!BB948</f>
        <v>68.661170003926188</v>
      </c>
      <c r="AJ944" s="2">
        <f t="shared" si="52"/>
        <v>45148</v>
      </c>
      <c r="AK944" s="2" t="s">
        <v>2187</v>
      </c>
      <c r="AL944" s="3">
        <f>IF(HAVERD!H948="",AL943,AVERAGE(HAVERD!H948:Q948))</f>
        <v>131.79000000000002</v>
      </c>
      <c r="AM944" s="3">
        <f t="shared" si="51"/>
        <v>126.49063076923076</v>
      </c>
      <c r="AP944" s="3">
        <f t="shared" si="51"/>
        <v>126.49063076923076</v>
      </c>
    </row>
    <row r="945" spans="12:43" x14ac:dyDescent="0.35">
      <c r="L945" s="2">
        <f t="shared" si="53"/>
        <v>45149</v>
      </c>
      <c r="M945" s="5">
        <f>HAVERD!BA949/HAVERD!BB949</f>
        <v>69.165421222370796</v>
      </c>
      <c r="AJ945" s="2">
        <f t="shared" si="52"/>
        <v>45149</v>
      </c>
      <c r="AK945" s="2" t="s">
        <v>2187</v>
      </c>
      <c r="AL945" s="3">
        <f>IF(HAVERD!H949="",AL944,AVERAGE(HAVERD!H949:Q949))</f>
        <v>132.07900000000001</v>
      </c>
      <c r="AM945" s="3">
        <f t="shared" si="51"/>
        <v>126.49063076923076</v>
      </c>
      <c r="AP945" s="3">
        <f t="shared" si="51"/>
        <v>126.49063076923076</v>
      </c>
    </row>
    <row r="946" spans="12:43" x14ac:dyDescent="0.35">
      <c r="L946" s="2">
        <f t="shared" si="53"/>
        <v>45152</v>
      </c>
      <c r="M946" s="5">
        <f>HAVERD!BA950/HAVERD!BB950</f>
        <v>69.030882236790148</v>
      </c>
      <c r="AJ946" s="2">
        <f t="shared" si="52"/>
        <v>45152</v>
      </c>
      <c r="AK946" s="2" t="s">
        <v>2187</v>
      </c>
      <c r="AL946" s="3">
        <f>IF(HAVERD!H950="",AL945,AVERAGE(HAVERD!H950:Q950))</f>
        <v>131.983</v>
      </c>
      <c r="AM946" s="3">
        <f t="shared" si="51"/>
        <v>126.49063076923076</v>
      </c>
      <c r="AP946" s="3">
        <f t="shared" si="51"/>
        <v>126.49063076923076</v>
      </c>
    </row>
    <row r="947" spans="12:43" x14ac:dyDescent="0.35">
      <c r="L947" s="2">
        <f t="shared" si="53"/>
        <v>45153</v>
      </c>
      <c r="M947" s="5">
        <f>HAVERD!BA951/HAVERD!BB951</f>
        <v>67.697136131816407</v>
      </c>
      <c r="AJ947" s="2">
        <f t="shared" si="52"/>
        <v>45153</v>
      </c>
      <c r="AK947" s="2" t="s">
        <v>2187</v>
      </c>
      <c r="AL947" s="3">
        <f>IF(HAVERD!H951="",AL946,AVERAGE(HAVERD!H951:Q951))</f>
        <v>140.74499999999998</v>
      </c>
      <c r="AM947" s="3">
        <f t="shared" si="51"/>
        <v>126.49063076923076</v>
      </c>
      <c r="AP947" s="3">
        <f t="shared" si="51"/>
        <v>126.49063076923076</v>
      </c>
    </row>
    <row r="948" spans="12:43" x14ac:dyDescent="0.35">
      <c r="L948" s="2">
        <f t="shared" si="53"/>
        <v>45154</v>
      </c>
      <c r="M948" s="5">
        <f>HAVERD!BA952/HAVERD!BB952</f>
        <v>66.251078177683667</v>
      </c>
      <c r="AJ948" s="2">
        <f t="shared" si="52"/>
        <v>45154</v>
      </c>
      <c r="AK948" s="2" t="s">
        <v>2187</v>
      </c>
      <c r="AL948" s="3">
        <f>IF(HAVERD!H952="",AL947,AVERAGE(HAVERD!H952:Q952))</f>
        <v>139.12499999999994</v>
      </c>
      <c r="AM948" s="3">
        <f t="shared" si="51"/>
        <v>126.49063076923076</v>
      </c>
      <c r="AP948" s="3">
        <f t="shared" si="51"/>
        <v>126.49063076923076</v>
      </c>
    </row>
    <row r="949" spans="12:43" x14ac:dyDescent="0.35">
      <c r="L949" s="2">
        <f t="shared" si="53"/>
        <v>45155</v>
      </c>
      <c r="M949" s="5">
        <f>HAVERD!BA953/HAVERD!BB953</f>
        <v>66.818217449243548</v>
      </c>
      <c r="AJ949" s="2">
        <f t="shared" si="52"/>
        <v>45155</v>
      </c>
      <c r="AK949" s="2" t="s">
        <v>2187</v>
      </c>
      <c r="AL949" s="3">
        <f>IF(HAVERD!H953="",AL948,AVERAGE(HAVERD!H953:Q953))</f>
        <v>138.21700000000001</v>
      </c>
      <c r="AM949" s="3">
        <f t="shared" si="51"/>
        <v>126.49063076923076</v>
      </c>
      <c r="AP949" s="3">
        <f t="shared" si="51"/>
        <v>126.49063076923076</v>
      </c>
    </row>
    <row r="950" spans="12:43" x14ac:dyDescent="0.35">
      <c r="L950" s="2">
        <f t="shared" si="53"/>
        <v>45156</v>
      </c>
      <c r="M950" s="5">
        <f>HAVERD!BA954/HAVERD!BB954</f>
        <v>67.568417741428121</v>
      </c>
      <c r="AJ950" s="2">
        <f t="shared" si="52"/>
        <v>45156</v>
      </c>
      <c r="AK950" s="2" t="s">
        <v>2187</v>
      </c>
      <c r="AL950" s="3">
        <f>IF(HAVERD!H954="",AL949,AVERAGE(HAVERD!H954:Q954))</f>
        <v>139.55600000000001</v>
      </c>
    </row>
    <row r="951" spans="12:43" x14ac:dyDescent="0.35">
      <c r="L951" s="2">
        <f t="shared" si="53"/>
        <v>45159</v>
      </c>
      <c r="M951" s="5">
        <f>HAVERD!BA955/HAVERD!BB955</f>
        <v>67.132867132867133</v>
      </c>
      <c r="AI951" t="s">
        <v>2166</v>
      </c>
      <c r="AJ951" s="2">
        <f t="shared" si="52"/>
        <v>45159</v>
      </c>
      <c r="AK951" s="2" t="s">
        <v>2187</v>
      </c>
      <c r="AL951" s="3">
        <f>IF(HAVERD!H955="",AL950,AVERAGE(HAVERD!H955:Q955))</f>
        <v>145.31</v>
      </c>
      <c r="AM951" s="3">
        <f t="shared" ref="AM951:AM1013" si="54">AVERAGE($AL$951:$AL$1014)</f>
        <v>130.74664062500005</v>
      </c>
      <c r="AQ951" s="3">
        <f t="shared" ref="AQ951:AQ1013" si="55">AVERAGE($AL$951:$AL$1014)</f>
        <v>130.74664062500005</v>
      </c>
    </row>
    <row r="952" spans="12:43" x14ac:dyDescent="0.35">
      <c r="L952" s="2">
        <f t="shared" si="53"/>
        <v>45160</v>
      </c>
      <c r="M952" s="5">
        <f>HAVERD!BA956/HAVERD!BB956</f>
        <v>66.525290606346218</v>
      </c>
      <c r="AJ952" s="2">
        <f t="shared" si="52"/>
        <v>45160</v>
      </c>
      <c r="AK952" s="2" t="s">
        <v>2187</v>
      </c>
      <c r="AL952" s="3">
        <f>IF(HAVERD!H956="",AL951,AVERAGE(HAVERD!H956:Q956))</f>
        <v>145.78399999999999</v>
      </c>
      <c r="AM952" s="3">
        <f t="shared" si="54"/>
        <v>130.74664062500005</v>
      </c>
      <c r="AQ952" s="3">
        <f t="shared" si="55"/>
        <v>130.74664062500005</v>
      </c>
    </row>
    <row r="953" spans="12:43" x14ac:dyDescent="0.35">
      <c r="L953" s="2">
        <f t="shared" si="53"/>
        <v>45161</v>
      </c>
      <c r="M953" s="5">
        <f>HAVERD!BA957/HAVERD!BB957</f>
        <v>66.183079713001661</v>
      </c>
      <c r="AJ953" s="2">
        <f t="shared" si="52"/>
        <v>45161</v>
      </c>
      <c r="AK953" s="2" t="s">
        <v>2187</v>
      </c>
      <c r="AL953" s="3">
        <f>IF(HAVERD!H957="",AL952,AVERAGE(HAVERD!H957:Q957))</f>
        <v>139.75600000000003</v>
      </c>
      <c r="AM953" s="3">
        <f t="shared" si="54"/>
        <v>130.74664062500005</v>
      </c>
      <c r="AQ953" s="3">
        <f t="shared" si="55"/>
        <v>130.74664062500005</v>
      </c>
    </row>
    <row r="954" spans="12:43" x14ac:dyDescent="0.35">
      <c r="L954" s="2">
        <f t="shared" si="53"/>
        <v>45162</v>
      </c>
      <c r="M954" s="5">
        <f>HAVERD!BA958/HAVERD!BB958</f>
        <v>66.469006957621758</v>
      </c>
      <c r="AJ954" s="2">
        <f t="shared" si="52"/>
        <v>45162</v>
      </c>
      <c r="AK954" s="2" t="s">
        <v>2187</v>
      </c>
      <c r="AL954" s="3">
        <f>IF(HAVERD!H958="",AL953,AVERAGE(HAVERD!H958:Q958))</f>
        <v>128.99299999999999</v>
      </c>
      <c r="AM954" s="3">
        <f t="shared" si="54"/>
        <v>130.74664062500005</v>
      </c>
      <c r="AQ954" s="3">
        <f t="shared" si="55"/>
        <v>130.74664062500005</v>
      </c>
    </row>
    <row r="955" spans="12:43" x14ac:dyDescent="0.35">
      <c r="L955" s="2">
        <f t="shared" si="53"/>
        <v>45163</v>
      </c>
      <c r="M955" s="5">
        <f>HAVERD!BA959/HAVERD!BB959</f>
        <v>68.042058308108963</v>
      </c>
      <c r="AJ955" s="2">
        <f t="shared" si="52"/>
        <v>45163</v>
      </c>
      <c r="AK955" s="2" t="s">
        <v>2187</v>
      </c>
      <c r="AL955" s="3">
        <f>IF(HAVERD!H959="",AL954,AVERAGE(HAVERD!H959:Q959))</f>
        <v>132.43800000000002</v>
      </c>
      <c r="AM955" s="3">
        <f t="shared" si="54"/>
        <v>130.74664062500005</v>
      </c>
      <c r="AQ955" s="3">
        <f t="shared" si="55"/>
        <v>130.74664062500005</v>
      </c>
    </row>
    <row r="956" spans="12:43" x14ac:dyDescent="0.35">
      <c r="L956" s="2">
        <f t="shared" si="53"/>
        <v>45166</v>
      </c>
      <c r="M956" s="5" t="e">
        <f>HAVERD!BA960/HAVERD!BB960</f>
        <v>#N/A</v>
      </c>
      <c r="AJ956" s="2">
        <f t="shared" si="52"/>
        <v>45166</v>
      </c>
      <c r="AK956" s="2" t="s">
        <v>2187</v>
      </c>
      <c r="AL956" s="3">
        <f>IF(HAVERD!H960="",AL955,AVERAGE(HAVERD!H960:Q960))</f>
        <v>132.43800000000002</v>
      </c>
      <c r="AM956" s="3">
        <f t="shared" si="54"/>
        <v>130.74664062500005</v>
      </c>
      <c r="AQ956" s="3">
        <f t="shared" si="55"/>
        <v>130.74664062500005</v>
      </c>
    </row>
    <row r="957" spans="12:43" x14ac:dyDescent="0.35">
      <c r="L957" s="2">
        <f t="shared" si="53"/>
        <v>45167</v>
      </c>
      <c r="M957" s="5">
        <f>HAVERD!BA961/HAVERD!BB961</f>
        <v>68.607514496782912</v>
      </c>
      <c r="AJ957" s="2">
        <f t="shared" si="52"/>
        <v>45167</v>
      </c>
      <c r="AK957" s="2" t="s">
        <v>2187</v>
      </c>
      <c r="AL957" s="3">
        <f>IF(HAVERD!H961="",AL956,AVERAGE(HAVERD!H961:Q961))</f>
        <v>134.69900000000001</v>
      </c>
      <c r="AM957" s="3">
        <f t="shared" si="54"/>
        <v>130.74664062500005</v>
      </c>
      <c r="AQ957" s="3">
        <f t="shared" si="55"/>
        <v>130.74664062500005</v>
      </c>
    </row>
    <row r="958" spans="12:43" x14ac:dyDescent="0.35">
      <c r="L958" s="2">
        <f t="shared" si="53"/>
        <v>45168</v>
      </c>
      <c r="M958" s="5">
        <f>HAVERD!BA962/HAVERD!BB962</f>
        <v>68.060029857782666</v>
      </c>
      <c r="AJ958" s="2">
        <f t="shared" si="52"/>
        <v>45168</v>
      </c>
      <c r="AK958" s="2" t="s">
        <v>2187</v>
      </c>
      <c r="AL958" s="3">
        <f>IF(HAVERD!H962="",AL957,AVERAGE(HAVERD!H962:Q962))</f>
        <v>138.16900000000001</v>
      </c>
      <c r="AM958" s="3">
        <f t="shared" si="54"/>
        <v>130.74664062500005</v>
      </c>
      <c r="AQ958" s="3">
        <f t="shared" si="55"/>
        <v>130.74664062500005</v>
      </c>
    </row>
    <row r="959" spans="12:43" x14ac:dyDescent="0.35">
      <c r="L959" s="2">
        <f t="shared" si="53"/>
        <v>45169</v>
      </c>
      <c r="M959" s="5">
        <f>HAVERD!BA963/HAVERD!BB963</f>
        <v>68.878718535469105</v>
      </c>
      <c r="AJ959" s="2">
        <f t="shared" si="52"/>
        <v>45169</v>
      </c>
      <c r="AK959" s="2" t="s">
        <v>2187</v>
      </c>
      <c r="AL959" s="3">
        <f>IF(HAVERD!H963="",AL958,AVERAGE(HAVERD!H963:Q963))</f>
        <v>133.52700000000002</v>
      </c>
      <c r="AM959" s="3">
        <f t="shared" si="54"/>
        <v>130.74664062500005</v>
      </c>
      <c r="AQ959" s="3">
        <f t="shared" si="55"/>
        <v>130.74664062500005</v>
      </c>
    </row>
    <row r="960" spans="12:43" x14ac:dyDescent="0.35">
      <c r="L960" s="2">
        <f t="shared" si="53"/>
        <v>45170</v>
      </c>
      <c r="M960" s="5">
        <f>HAVERD!BA964/HAVERD!BB964</f>
        <v>71.305174736508448</v>
      </c>
      <c r="AJ960" s="2">
        <f t="shared" si="52"/>
        <v>45170</v>
      </c>
      <c r="AK960" s="2" t="s">
        <v>2188</v>
      </c>
      <c r="AL960" s="3">
        <f>IF(HAVERD!H964="",AL959,AVERAGE(HAVERD!H964:Q964))</f>
        <v>134.01</v>
      </c>
      <c r="AM960" s="3">
        <f t="shared" si="54"/>
        <v>130.74664062500005</v>
      </c>
      <c r="AQ960" s="3">
        <f t="shared" si="55"/>
        <v>130.74664062500005</v>
      </c>
    </row>
    <row r="961" spans="12:43" x14ac:dyDescent="0.35">
      <c r="L961" s="2">
        <f t="shared" si="53"/>
        <v>45173</v>
      </c>
      <c r="M961" s="5">
        <f>HAVERD!BA965/HAVERD!BB965</f>
        <v>71.659533999048975</v>
      </c>
      <c r="AJ961" s="2">
        <f t="shared" si="52"/>
        <v>45173</v>
      </c>
      <c r="AK961" s="2" t="s">
        <v>2188</v>
      </c>
      <c r="AL961" s="3">
        <f>IF(HAVERD!H965="",AL960,AVERAGE(HAVERD!H965:Q965))</f>
        <v>131.334</v>
      </c>
      <c r="AM961" s="3">
        <f t="shared" si="54"/>
        <v>130.74664062500005</v>
      </c>
      <c r="AQ961" s="3">
        <f t="shared" si="55"/>
        <v>130.74664062500005</v>
      </c>
    </row>
    <row r="962" spans="12:43" x14ac:dyDescent="0.35">
      <c r="L962" s="2">
        <f t="shared" si="53"/>
        <v>45174</v>
      </c>
      <c r="M962" s="5">
        <f>HAVERD!BA966/HAVERD!BB966</f>
        <v>72.685996495140984</v>
      </c>
      <c r="AJ962" s="2">
        <f t="shared" si="52"/>
        <v>45174</v>
      </c>
      <c r="AK962" s="2" t="s">
        <v>2188</v>
      </c>
      <c r="AL962" s="3">
        <f>IF(HAVERD!H966="",AL961,AVERAGE(HAVERD!H966:Q966))</f>
        <v>132.86900000000003</v>
      </c>
      <c r="AM962" s="3">
        <f t="shared" si="54"/>
        <v>130.74664062500005</v>
      </c>
      <c r="AQ962" s="3">
        <f t="shared" si="55"/>
        <v>130.74664062500005</v>
      </c>
    </row>
    <row r="963" spans="12:43" x14ac:dyDescent="0.35">
      <c r="L963" s="2">
        <f t="shared" si="53"/>
        <v>45175</v>
      </c>
      <c r="M963" s="5">
        <f>HAVERD!BA967/HAVERD!BB967</f>
        <v>73.484909134576895</v>
      </c>
      <c r="AJ963" s="2">
        <f t="shared" si="52"/>
        <v>45175</v>
      </c>
      <c r="AK963" s="2" t="s">
        <v>2188</v>
      </c>
      <c r="AL963" s="3">
        <f>IF(HAVERD!H967="",AL962,AVERAGE(HAVERD!H967:Q967))</f>
        <v>128.15899999999996</v>
      </c>
      <c r="AM963" s="3">
        <f t="shared" si="54"/>
        <v>130.74664062500005</v>
      </c>
      <c r="AQ963" s="3">
        <f t="shared" si="55"/>
        <v>130.74664062500005</v>
      </c>
    </row>
    <row r="964" spans="12:43" x14ac:dyDescent="0.35">
      <c r="L964" s="2">
        <f t="shared" si="53"/>
        <v>45176</v>
      </c>
      <c r="M964" s="5">
        <f>HAVERD!BA968/HAVERD!BB968</f>
        <v>73.06829111894838</v>
      </c>
      <c r="AJ964" s="2">
        <f t="shared" si="52"/>
        <v>45176</v>
      </c>
      <c r="AK964" s="2" t="s">
        <v>2188</v>
      </c>
      <c r="AL964" s="3">
        <f>IF(HAVERD!H968="",AL963,AVERAGE(HAVERD!H968:Q968))</f>
        <v>129.905</v>
      </c>
      <c r="AM964" s="3">
        <f t="shared" si="54"/>
        <v>130.74664062500005</v>
      </c>
      <c r="AQ964" s="3">
        <f t="shared" si="55"/>
        <v>130.74664062500005</v>
      </c>
    </row>
    <row r="965" spans="12:43" x14ac:dyDescent="0.35">
      <c r="L965" s="2">
        <f t="shared" si="53"/>
        <v>45177</v>
      </c>
      <c r="M965" s="5">
        <f>HAVERD!BA969/HAVERD!BB969</f>
        <v>73.568281938325995</v>
      </c>
      <c r="AJ965" s="2">
        <f t="shared" si="52"/>
        <v>45177</v>
      </c>
      <c r="AK965" s="2" t="s">
        <v>2188</v>
      </c>
      <c r="AL965" s="3">
        <f>IF(HAVERD!H969="",AL964,AVERAGE(HAVERD!H969:Q969))</f>
        <v>129.47999999999999</v>
      </c>
      <c r="AM965" s="3">
        <f t="shared" si="54"/>
        <v>130.74664062500005</v>
      </c>
      <c r="AQ965" s="3">
        <f t="shared" si="55"/>
        <v>130.74664062500005</v>
      </c>
    </row>
    <row r="966" spans="12:43" x14ac:dyDescent="0.35">
      <c r="L966" s="2">
        <f t="shared" si="53"/>
        <v>45180</v>
      </c>
      <c r="M966" s="5">
        <f>HAVERD!BA970/HAVERD!BB970</f>
        <v>73.405698778833113</v>
      </c>
      <c r="AJ966" s="2">
        <f t="shared" si="52"/>
        <v>45180</v>
      </c>
      <c r="AK966" s="2" t="s">
        <v>2188</v>
      </c>
      <c r="AL966" s="3">
        <f>IF(HAVERD!H970="",AL965,AVERAGE(HAVERD!H970:Q970))</f>
        <v>130.023</v>
      </c>
      <c r="AM966" s="3">
        <f t="shared" si="54"/>
        <v>130.74664062500005</v>
      </c>
      <c r="AQ966" s="3">
        <f t="shared" si="55"/>
        <v>130.74664062500005</v>
      </c>
    </row>
    <row r="967" spans="12:43" x14ac:dyDescent="0.35">
      <c r="L967" s="2">
        <f t="shared" si="53"/>
        <v>45181</v>
      </c>
      <c r="M967" s="5">
        <f>HAVERD!BA971/HAVERD!BB971</f>
        <v>75.06818546446334</v>
      </c>
      <c r="AJ967" s="2">
        <f t="shared" si="52"/>
        <v>45181</v>
      </c>
      <c r="AK967" s="2" t="s">
        <v>2188</v>
      </c>
      <c r="AL967" s="3">
        <f>IF(HAVERD!H971="",AL966,AVERAGE(HAVERD!H971:Q971))</f>
        <v>129.60499999999999</v>
      </c>
      <c r="AM967" s="3">
        <f t="shared" si="54"/>
        <v>130.74664062500005</v>
      </c>
      <c r="AQ967" s="3">
        <f t="shared" si="55"/>
        <v>130.74664062500005</v>
      </c>
    </row>
    <row r="968" spans="12:43" x14ac:dyDescent="0.35">
      <c r="L968" s="2">
        <f t="shared" si="53"/>
        <v>45182</v>
      </c>
      <c r="M968" s="5">
        <f>HAVERD!BA972/HAVERD!BB972</f>
        <v>74.491593274619689</v>
      </c>
      <c r="AJ968" s="2">
        <f t="shared" si="52"/>
        <v>45182</v>
      </c>
      <c r="AK968" s="2" t="s">
        <v>2188</v>
      </c>
      <c r="AL968" s="3">
        <f>IF(HAVERD!H972="",AL967,AVERAGE(HAVERD!H972:Q972))</f>
        <v>132.37800000000001</v>
      </c>
      <c r="AM968" s="3">
        <f t="shared" si="54"/>
        <v>130.74664062500005</v>
      </c>
      <c r="AQ968" s="3">
        <f t="shared" si="55"/>
        <v>130.74664062500005</v>
      </c>
    </row>
    <row r="969" spans="12:43" x14ac:dyDescent="0.35">
      <c r="L969" s="2">
        <f t="shared" si="53"/>
        <v>45183</v>
      </c>
      <c r="M969" s="5">
        <f>HAVERD!BA973/HAVERD!BB973</f>
        <v>76.681433749496577</v>
      </c>
      <c r="AJ969" s="2">
        <f t="shared" ref="AJ969:AJ1032" si="56">+AJ964+7</f>
        <v>45183</v>
      </c>
      <c r="AK969" s="2" t="s">
        <v>2188</v>
      </c>
      <c r="AL969" s="3">
        <f>IF(HAVERD!H973="",AL968,AVERAGE(HAVERD!H973:Q973))</f>
        <v>130.54700000000003</v>
      </c>
      <c r="AM969" s="3">
        <f t="shared" si="54"/>
        <v>130.74664062500005</v>
      </c>
      <c r="AQ969" s="3">
        <f t="shared" si="55"/>
        <v>130.74664062500005</v>
      </c>
    </row>
    <row r="970" spans="12:43" x14ac:dyDescent="0.35">
      <c r="L970" s="2">
        <f t="shared" si="53"/>
        <v>45184</v>
      </c>
      <c r="M970" s="5">
        <f>HAVERD!BA974/HAVERD!BB974</f>
        <v>77.087535296490515</v>
      </c>
      <c r="AJ970" s="2">
        <f t="shared" si="56"/>
        <v>45184</v>
      </c>
      <c r="AK970" s="2" t="s">
        <v>2188</v>
      </c>
      <c r="AL970" s="3">
        <f>IF(HAVERD!H974="",AL969,AVERAGE(HAVERD!H974:Q974))</f>
        <v>132.125</v>
      </c>
      <c r="AM970" s="3">
        <f t="shared" si="54"/>
        <v>130.74664062500005</v>
      </c>
      <c r="AQ970" s="3">
        <f t="shared" si="55"/>
        <v>130.74664062500005</v>
      </c>
    </row>
    <row r="971" spans="12:43" x14ac:dyDescent="0.35">
      <c r="L971" s="2">
        <f t="shared" si="53"/>
        <v>45187</v>
      </c>
      <c r="M971" s="5">
        <f>HAVERD!BA975/HAVERD!BB975</f>
        <v>77.504038772213249</v>
      </c>
      <c r="AJ971" s="2">
        <f t="shared" si="56"/>
        <v>45187</v>
      </c>
      <c r="AK971" s="2" t="s">
        <v>2188</v>
      </c>
      <c r="AL971" s="3">
        <f>IF(HAVERD!H975="",AL970,AVERAGE(HAVERD!H975:Q975))</f>
        <v>129.21199999999999</v>
      </c>
      <c r="AM971" s="3">
        <f t="shared" si="54"/>
        <v>130.74664062500005</v>
      </c>
      <c r="AQ971" s="3">
        <f t="shared" si="55"/>
        <v>130.74664062500005</v>
      </c>
    </row>
    <row r="972" spans="12:43" x14ac:dyDescent="0.35">
      <c r="L972" s="2">
        <f t="shared" si="53"/>
        <v>45188</v>
      </c>
      <c r="M972" s="5">
        <f>HAVERD!BA976/HAVERD!BB976</f>
        <v>77.49556523141429</v>
      </c>
      <c r="AJ972" s="2">
        <f t="shared" si="56"/>
        <v>45188</v>
      </c>
      <c r="AK972" s="2" t="s">
        <v>2188</v>
      </c>
      <c r="AL972" s="3">
        <f>IF(HAVERD!H976="",AL971,AVERAGE(HAVERD!H976:Q976))</f>
        <v>130.01399999999998</v>
      </c>
      <c r="AM972" s="3">
        <f t="shared" si="54"/>
        <v>130.74664062500005</v>
      </c>
      <c r="AQ972" s="3">
        <f t="shared" si="55"/>
        <v>130.74664062500005</v>
      </c>
    </row>
    <row r="973" spans="12:43" x14ac:dyDescent="0.35">
      <c r="L973" s="2">
        <f t="shared" si="53"/>
        <v>45189</v>
      </c>
      <c r="M973" s="5">
        <f>HAVERD!BA977/HAVERD!BB977</f>
        <v>76.270366188094854</v>
      </c>
      <c r="AJ973" s="2">
        <f t="shared" si="56"/>
        <v>45189</v>
      </c>
      <c r="AK973" s="2" t="s">
        <v>2188</v>
      </c>
      <c r="AL973" s="3">
        <f>IF(HAVERD!H977="",AL972,AVERAGE(HAVERD!H977:Q977))</f>
        <v>127.94400000000003</v>
      </c>
      <c r="AM973" s="3">
        <f t="shared" si="54"/>
        <v>130.74664062500005</v>
      </c>
      <c r="AQ973" s="3">
        <f t="shared" si="55"/>
        <v>130.74664062500005</v>
      </c>
    </row>
    <row r="974" spans="12:43" x14ac:dyDescent="0.35">
      <c r="L974" s="2">
        <f t="shared" si="53"/>
        <v>45190</v>
      </c>
      <c r="M974" s="5">
        <f>HAVERD!BA978/HAVERD!BB978</f>
        <v>76.253255208333343</v>
      </c>
      <c r="AJ974" s="2">
        <f t="shared" si="56"/>
        <v>45190</v>
      </c>
      <c r="AK974" s="2" t="s">
        <v>2188</v>
      </c>
      <c r="AL974" s="3">
        <f>IF(HAVERD!H978="",AL973,AVERAGE(HAVERD!H978:Q978))</f>
        <v>128.19300000000001</v>
      </c>
      <c r="AM974" s="3">
        <f t="shared" si="54"/>
        <v>130.74664062500005</v>
      </c>
      <c r="AQ974" s="3">
        <f t="shared" si="55"/>
        <v>130.74664062500005</v>
      </c>
    </row>
    <row r="975" spans="12:43" x14ac:dyDescent="0.35">
      <c r="L975" s="2">
        <f t="shared" ref="L975:L992" si="57">+L970+7</f>
        <v>45191</v>
      </c>
      <c r="M975" s="5">
        <f>HAVERD!BA979/HAVERD!BB979</f>
        <v>76.632694659600489</v>
      </c>
      <c r="AJ975" s="2">
        <f t="shared" si="56"/>
        <v>45191</v>
      </c>
      <c r="AK975" s="2" t="s">
        <v>2188</v>
      </c>
      <c r="AL975" s="3">
        <f>IF(HAVERD!H979="",AL974,AVERAGE(HAVERD!H979:Q979))</f>
        <v>128.79000000000002</v>
      </c>
      <c r="AM975" s="3">
        <f t="shared" si="54"/>
        <v>130.74664062500005</v>
      </c>
      <c r="AQ975" s="3">
        <f t="shared" si="55"/>
        <v>130.74664062500005</v>
      </c>
    </row>
    <row r="976" spans="12:43" x14ac:dyDescent="0.35">
      <c r="L976" s="2">
        <f t="shared" si="57"/>
        <v>45194</v>
      </c>
      <c r="M976" s="5">
        <f>HAVERD!BA980/HAVERD!BB980</f>
        <v>77.070011477291359</v>
      </c>
      <c r="AJ976" s="2">
        <f t="shared" si="56"/>
        <v>45194</v>
      </c>
      <c r="AK976" s="2" t="s">
        <v>2188</v>
      </c>
      <c r="AL976" s="3">
        <f>IF(HAVERD!H980="",AL975,AVERAGE(HAVERD!H980:Q980))</f>
        <v>132.10199999999998</v>
      </c>
      <c r="AM976" s="3">
        <f t="shared" si="54"/>
        <v>130.74664062500005</v>
      </c>
      <c r="AQ976" s="3">
        <f t="shared" si="55"/>
        <v>130.74664062500005</v>
      </c>
    </row>
    <row r="977" spans="12:43" x14ac:dyDescent="0.35">
      <c r="L977" s="2">
        <f t="shared" si="57"/>
        <v>45195</v>
      </c>
      <c r="M977" s="5">
        <f>HAVERD!BA981/HAVERD!BB981</f>
        <v>77.629848783694925</v>
      </c>
      <c r="AJ977" s="2">
        <f t="shared" si="56"/>
        <v>45195</v>
      </c>
      <c r="AK977" s="2" t="s">
        <v>2188</v>
      </c>
      <c r="AL977" s="3">
        <f>IF(HAVERD!H981="",AL976,AVERAGE(HAVERD!H981:Q981))</f>
        <v>125.46499999999999</v>
      </c>
      <c r="AM977" s="3">
        <f t="shared" si="54"/>
        <v>130.74664062500005</v>
      </c>
      <c r="AQ977" s="3">
        <f t="shared" si="55"/>
        <v>130.74664062500005</v>
      </c>
    </row>
    <row r="978" spans="12:43" x14ac:dyDescent="0.35">
      <c r="L978" s="2">
        <f t="shared" si="57"/>
        <v>45196</v>
      </c>
      <c r="M978" s="5">
        <f>HAVERD!BA982/HAVERD!BB982</f>
        <v>80.049464138499573</v>
      </c>
      <c r="AJ978" s="2">
        <f t="shared" si="56"/>
        <v>45196</v>
      </c>
      <c r="AK978" s="2" t="s">
        <v>2188</v>
      </c>
      <c r="AL978" s="3">
        <f>IF(HAVERD!H982="",AL977,AVERAGE(HAVERD!H982:Q982))</f>
        <v>123.79999999999998</v>
      </c>
      <c r="AM978" s="3">
        <f t="shared" si="54"/>
        <v>130.74664062500005</v>
      </c>
      <c r="AQ978" s="3">
        <f t="shared" si="55"/>
        <v>130.74664062500005</v>
      </c>
    </row>
    <row r="979" spans="12:43" x14ac:dyDescent="0.35">
      <c r="L979" s="2">
        <f t="shared" si="57"/>
        <v>45197</v>
      </c>
      <c r="M979" s="5">
        <f>HAVERD!BA983/HAVERD!BB983</f>
        <v>79.226102639777011</v>
      </c>
      <c r="AJ979" s="2">
        <f t="shared" si="56"/>
        <v>45197</v>
      </c>
      <c r="AK979" s="2" t="s">
        <v>2188</v>
      </c>
      <c r="AL979" s="3">
        <f>IF(HAVERD!H983="",AL978,AVERAGE(HAVERD!H983:Q983))</f>
        <v>121.922</v>
      </c>
      <c r="AM979" s="3">
        <f t="shared" si="54"/>
        <v>130.74664062500005</v>
      </c>
      <c r="AQ979" s="3">
        <f t="shared" si="55"/>
        <v>130.74664062500005</v>
      </c>
    </row>
    <row r="980" spans="12:43" x14ac:dyDescent="0.35">
      <c r="L980" s="2">
        <f t="shared" si="57"/>
        <v>45198</v>
      </c>
      <c r="M980" s="5">
        <f>HAVERD!BA984/HAVERD!BB984</f>
        <v>78.528713033505369</v>
      </c>
      <c r="AJ980" s="2">
        <f t="shared" si="56"/>
        <v>45198</v>
      </c>
      <c r="AK980" s="2" t="s">
        <v>2188</v>
      </c>
      <c r="AL980" s="3">
        <f>IF(HAVERD!H984="",AL979,AVERAGE(HAVERD!H984:Q984))</f>
        <v>122.477</v>
      </c>
      <c r="AM980" s="3">
        <f t="shared" si="54"/>
        <v>130.74664062500005</v>
      </c>
      <c r="AQ980" s="3">
        <f t="shared" si="55"/>
        <v>130.74664062500005</v>
      </c>
    </row>
    <row r="981" spans="12:43" x14ac:dyDescent="0.35">
      <c r="L981" s="2">
        <f t="shared" si="57"/>
        <v>45201</v>
      </c>
      <c r="M981" s="5">
        <f>HAVERD!BA985/HAVERD!BB985</f>
        <v>75.24335918165319</v>
      </c>
      <c r="AJ981" s="2">
        <f t="shared" si="56"/>
        <v>45201</v>
      </c>
      <c r="AK981" s="2" t="s">
        <v>2189</v>
      </c>
      <c r="AL981" s="3">
        <f>IF(HAVERD!H985="",AL980,AVERAGE(HAVERD!H985:Q985))</f>
        <v>118.53899999999999</v>
      </c>
      <c r="AM981" s="3">
        <f t="shared" si="54"/>
        <v>130.74664062500005</v>
      </c>
      <c r="AQ981" s="3">
        <f t="shared" si="55"/>
        <v>130.74664062500005</v>
      </c>
    </row>
    <row r="982" spans="12:43" x14ac:dyDescent="0.35">
      <c r="L982" s="2">
        <f t="shared" si="57"/>
        <v>45202</v>
      </c>
      <c r="M982" s="5">
        <f>HAVERD!BA986/HAVERD!BB986</f>
        <v>78.19536423841059</v>
      </c>
      <c r="AJ982" s="2">
        <f t="shared" si="56"/>
        <v>45202</v>
      </c>
      <c r="AK982" s="2" t="s">
        <v>2189</v>
      </c>
      <c r="AL982" s="3">
        <f>IF(HAVERD!H986="",AL981,AVERAGE(HAVERD!H986:Q986))</f>
        <v>113.14000000000001</v>
      </c>
      <c r="AM982" s="3">
        <f t="shared" si="54"/>
        <v>130.74664062500005</v>
      </c>
      <c r="AQ982" s="3">
        <f t="shared" si="55"/>
        <v>130.74664062500005</v>
      </c>
    </row>
    <row r="983" spans="12:43" x14ac:dyDescent="0.35">
      <c r="L983" s="2">
        <f t="shared" si="57"/>
        <v>45203</v>
      </c>
      <c r="M983" s="5">
        <f>HAVERD!BA987/HAVERD!BB987</f>
        <v>74.147750722245149</v>
      </c>
      <c r="AJ983" s="2">
        <f t="shared" si="56"/>
        <v>45203</v>
      </c>
      <c r="AK983" s="2" t="s">
        <v>2189</v>
      </c>
      <c r="AL983" s="3">
        <f>IF(HAVERD!H987="",AL982,AVERAGE(HAVERD!H987:Q987))</f>
        <v>115.96799999999999</v>
      </c>
      <c r="AM983" s="3">
        <f t="shared" si="54"/>
        <v>130.74664062500005</v>
      </c>
      <c r="AQ983" s="3">
        <f t="shared" si="55"/>
        <v>130.74664062500005</v>
      </c>
    </row>
    <row r="984" spans="12:43" x14ac:dyDescent="0.35">
      <c r="L984" s="2">
        <f t="shared" si="57"/>
        <v>45204</v>
      </c>
      <c r="M984" s="5">
        <f>HAVERD!BA988/HAVERD!BB988</f>
        <v>72.598684210526315</v>
      </c>
      <c r="AJ984" s="2">
        <f t="shared" si="56"/>
        <v>45204</v>
      </c>
      <c r="AK984" s="2" t="s">
        <v>2189</v>
      </c>
      <c r="AL984" s="3">
        <f>IF(HAVERD!H988="",AL983,AVERAGE(HAVERD!H988:Q988))</f>
        <v>113.49299999999998</v>
      </c>
      <c r="AM984" s="3">
        <f t="shared" si="54"/>
        <v>130.74664062500005</v>
      </c>
      <c r="AQ984" s="3">
        <f t="shared" si="55"/>
        <v>130.74664062500005</v>
      </c>
    </row>
    <row r="985" spans="12:43" x14ac:dyDescent="0.35">
      <c r="L985" s="2">
        <f t="shared" si="57"/>
        <v>45205</v>
      </c>
      <c r="M985" s="5">
        <f>HAVERD!BA989/HAVERD!BB989</f>
        <v>72.08729898260583</v>
      </c>
      <c r="AJ985" s="2">
        <f t="shared" si="56"/>
        <v>45205</v>
      </c>
      <c r="AK985" s="2" t="s">
        <v>2189</v>
      </c>
      <c r="AL985" s="3">
        <f>IF(HAVERD!H989="",AL984,AVERAGE(HAVERD!H989:Q989))</f>
        <v>115.744</v>
      </c>
      <c r="AM985" s="3">
        <f t="shared" si="54"/>
        <v>130.74664062500005</v>
      </c>
      <c r="AQ985" s="3">
        <f t="shared" si="55"/>
        <v>130.74664062500005</v>
      </c>
    </row>
    <row r="986" spans="12:43" x14ac:dyDescent="0.35">
      <c r="L986" s="2">
        <f t="shared" si="57"/>
        <v>45208</v>
      </c>
      <c r="M986" s="5">
        <f>HAVERD!BA990/HAVERD!BB990</f>
        <v>74.832104832104832</v>
      </c>
      <c r="AJ986" s="2">
        <f t="shared" si="56"/>
        <v>45208</v>
      </c>
      <c r="AK986" s="2" t="s">
        <v>2189</v>
      </c>
      <c r="AL986" s="3">
        <f>IF(HAVERD!H990="",AL985,AVERAGE(HAVERD!H990:Q990))</f>
        <v>124.27299999999998</v>
      </c>
      <c r="AM986" s="3">
        <f t="shared" si="54"/>
        <v>130.74664062500005</v>
      </c>
      <c r="AQ986" s="3">
        <f t="shared" si="55"/>
        <v>130.74664062500005</v>
      </c>
    </row>
    <row r="987" spans="12:43" x14ac:dyDescent="0.35">
      <c r="L987" s="2">
        <f t="shared" si="57"/>
        <v>45209</v>
      </c>
      <c r="M987" s="5">
        <f>HAVERD!BA991/HAVERD!BB991</f>
        <v>73.998531451415516</v>
      </c>
      <c r="AJ987" s="2">
        <f t="shared" si="56"/>
        <v>45209</v>
      </c>
      <c r="AK987" s="2" t="s">
        <v>2189</v>
      </c>
      <c r="AL987" s="3">
        <f>IF(HAVERD!H991="",AL986,AVERAGE(HAVERD!H991:Q991))</f>
        <v>134.35599999999999</v>
      </c>
      <c r="AM987" s="3">
        <f t="shared" si="54"/>
        <v>130.74664062500005</v>
      </c>
      <c r="AQ987" s="3">
        <f t="shared" si="55"/>
        <v>130.74664062500005</v>
      </c>
    </row>
    <row r="988" spans="12:43" x14ac:dyDescent="0.35">
      <c r="L988" s="2">
        <f t="shared" si="57"/>
        <v>45210</v>
      </c>
      <c r="M988" s="5">
        <f>HAVERD!BA992/HAVERD!BB992</f>
        <v>71.133853151397005</v>
      </c>
      <c r="AJ988" s="2">
        <f t="shared" si="56"/>
        <v>45210</v>
      </c>
      <c r="AK988" s="2" t="s">
        <v>2189</v>
      </c>
      <c r="AL988" s="3">
        <f>IF(HAVERD!H992="",AL987,AVERAGE(HAVERD!H992:Q992))</f>
        <v>129.57300000000001</v>
      </c>
      <c r="AM988" s="3">
        <f t="shared" si="54"/>
        <v>130.74664062500005</v>
      </c>
      <c r="AQ988" s="3">
        <f t="shared" si="55"/>
        <v>130.74664062500005</v>
      </c>
    </row>
    <row r="989" spans="12:43" x14ac:dyDescent="0.35">
      <c r="L989" s="2">
        <f t="shared" si="57"/>
        <v>45211</v>
      </c>
      <c r="M989" s="5">
        <f>HAVERD!BA993/HAVERD!BB993</f>
        <v>72.375962010807271</v>
      </c>
      <c r="AJ989" s="2">
        <f t="shared" si="56"/>
        <v>45211</v>
      </c>
      <c r="AK989" s="2" t="s">
        <v>2189</v>
      </c>
      <c r="AL989" s="3">
        <f>IF(HAVERD!H993="",AL988,AVERAGE(HAVERD!H993:Q993))</f>
        <v>141.23099999999999</v>
      </c>
      <c r="AM989" s="3">
        <f t="shared" si="54"/>
        <v>130.74664062500005</v>
      </c>
      <c r="AQ989" s="3">
        <f t="shared" si="55"/>
        <v>130.74664062500005</v>
      </c>
    </row>
    <row r="990" spans="12:43" x14ac:dyDescent="0.35">
      <c r="L990" s="2">
        <f t="shared" si="57"/>
        <v>45212</v>
      </c>
      <c r="M990" s="5">
        <f>HAVERD!BA994/HAVERD!BB994</f>
        <v>77.695412239518987</v>
      </c>
      <c r="AJ990" s="2">
        <f t="shared" si="56"/>
        <v>45212</v>
      </c>
      <c r="AK990" s="2" t="s">
        <v>2189</v>
      </c>
      <c r="AL990" s="3">
        <f>IF(HAVERD!H994="",AL989,AVERAGE(HAVERD!H994:Q994))</f>
        <v>145.17599999999999</v>
      </c>
      <c r="AM990" s="3">
        <f t="shared" si="54"/>
        <v>130.74664062500005</v>
      </c>
      <c r="AQ990" s="3">
        <f t="shared" si="55"/>
        <v>130.74664062500005</v>
      </c>
    </row>
    <row r="991" spans="12:43" x14ac:dyDescent="0.35">
      <c r="L991" s="2">
        <f t="shared" si="57"/>
        <v>45215</v>
      </c>
      <c r="M991" s="5">
        <f>HAVERD!BA995/HAVERD!BB995</f>
        <v>74.649273935515623</v>
      </c>
      <c r="AJ991" s="2">
        <f t="shared" si="56"/>
        <v>45215</v>
      </c>
      <c r="AK991" s="2" t="s">
        <v>2189</v>
      </c>
      <c r="AL991" s="3">
        <f>IF(HAVERD!H995="",AL990,AVERAGE(HAVERD!H995:Q995))</f>
        <v>136.68299999999999</v>
      </c>
      <c r="AM991" s="3">
        <f t="shared" si="54"/>
        <v>130.74664062500005</v>
      </c>
      <c r="AQ991" s="3">
        <f t="shared" si="55"/>
        <v>130.74664062500005</v>
      </c>
    </row>
    <row r="992" spans="12:43" x14ac:dyDescent="0.35">
      <c r="L992" s="2">
        <f t="shared" si="57"/>
        <v>45216</v>
      </c>
      <c r="M992" s="5">
        <f>HAVERD!BA996/HAVERD!BB996</f>
        <v>75.948120177310784</v>
      </c>
      <c r="AJ992" s="2">
        <f t="shared" si="56"/>
        <v>45216</v>
      </c>
      <c r="AK992" s="2" t="s">
        <v>2189</v>
      </c>
      <c r="AL992" s="3">
        <f>IF(HAVERD!H996="",AL991,AVERAGE(HAVERD!H996:Q996))</f>
        <v>138.36799999999999</v>
      </c>
      <c r="AM992" s="3">
        <f t="shared" si="54"/>
        <v>130.74664062500005</v>
      </c>
      <c r="AQ992" s="3">
        <f t="shared" si="55"/>
        <v>130.74664062500005</v>
      </c>
    </row>
    <row r="993" spans="12:43" x14ac:dyDescent="0.35">
      <c r="L993" s="2">
        <f>+L988+7</f>
        <v>45217</v>
      </c>
      <c r="M993" s="5">
        <f>HAVERD!BA997/HAVERD!BB997</f>
        <v>75.736868104725843</v>
      </c>
      <c r="AJ993" s="2">
        <f t="shared" si="56"/>
        <v>45217</v>
      </c>
      <c r="AK993" s="2" t="s">
        <v>2189</v>
      </c>
      <c r="AL993" s="3">
        <f>IF(HAVERD!H997="",AL992,AVERAGE(HAVERD!H997:Q997))</f>
        <v>143.899</v>
      </c>
      <c r="AM993" s="3">
        <f t="shared" si="54"/>
        <v>130.74664062500005</v>
      </c>
      <c r="AQ993" s="3">
        <f t="shared" si="55"/>
        <v>130.74664062500005</v>
      </c>
    </row>
    <row r="994" spans="12:43" x14ac:dyDescent="0.35">
      <c r="L994" s="2">
        <f t="shared" ref="L994:L1004" si="58">+L989+7</f>
        <v>45218</v>
      </c>
      <c r="M994" s="5">
        <f>HAVERD!BA998/HAVERD!BB998</f>
        <v>76.686156633451375</v>
      </c>
      <c r="AJ994" s="2">
        <f t="shared" si="56"/>
        <v>45218</v>
      </c>
      <c r="AK994" s="2" t="s">
        <v>2189</v>
      </c>
      <c r="AL994" s="3">
        <f>IF(HAVERD!H998="",AL993,AVERAGE(HAVERD!H998:Q998))</f>
        <v>144.02100000000002</v>
      </c>
      <c r="AM994" s="3">
        <f t="shared" si="54"/>
        <v>130.74664062500005</v>
      </c>
      <c r="AQ994" s="3">
        <f t="shared" si="55"/>
        <v>130.74664062500005</v>
      </c>
    </row>
    <row r="995" spans="12:43" x14ac:dyDescent="0.35">
      <c r="L995" s="2">
        <f t="shared" si="58"/>
        <v>45219</v>
      </c>
      <c r="M995" s="5">
        <f>HAVERD!BA999/HAVERD!BB999</f>
        <v>77.135802469135797</v>
      </c>
      <c r="AJ995" s="2">
        <f t="shared" si="56"/>
        <v>45219</v>
      </c>
      <c r="AK995" s="2" t="s">
        <v>2189</v>
      </c>
      <c r="AL995" s="3">
        <f>IF(HAVERD!H999="",AL994,AVERAGE(HAVERD!H999:Q999))</f>
        <v>145.63200000000001</v>
      </c>
      <c r="AM995" s="3">
        <f t="shared" si="54"/>
        <v>130.74664062500005</v>
      </c>
      <c r="AQ995" s="3">
        <f t="shared" si="55"/>
        <v>130.74664062500005</v>
      </c>
    </row>
    <row r="996" spans="12:43" x14ac:dyDescent="0.35">
      <c r="L996" s="2">
        <f t="shared" si="58"/>
        <v>45222</v>
      </c>
      <c r="M996" s="5">
        <f>HAVERD!BA1000/HAVERD!BB1000</f>
        <v>75.262123197903009</v>
      </c>
      <c r="AJ996" s="2">
        <f t="shared" si="56"/>
        <v>45222</v>
      </c>
      <c r="AK996" s="2" t="s">
        <v>2189</v>
      </c>
      <c r="AL996" s="3">
        <f>IF(HAVERD!H1000="",AL995,AVERAGE(HAVERD!H1000:Q1000))</f>
        <v>145.82699999999994</v>
      </c>
      <c r="AM996" s="3">
        <f t="shared" si="54"/>
        <v>130.74664062500005</v>
      </c>
      <c r="AQ996" s="3">
        <f t="shared" si="55"/>
        <v>130.74664062500005</v>
      </c>
    </row>
    <row r="997" spans="12:43" x14ac:dyDescent="0.35">
      <c r="L997" s="2">
        <f t="shared" si="58"/>
        <v>45223</v>
      </c>
      <c r="M997" s="5">
        <f>HAVERD!BA1001/HAVERD!BB1001</f>
        <v>72.261455082936436</v>
      </c>
      <c r="AJ997" s="2">
        <f t="shared" si="56"/>
        <v>45223</v>
      </c>
      <c r="AK997" s="2" t="s">
        <v>2189</v>
      </c>
      <c r="AL997" s="3">
        <f>IF(HAVERD!H1001="",AL996,AVERAGE(HAVERD!H1001:Q1001))</f>
        <v>139.08499999999998</v>
      </c>
      <c r="AM997" s="3">
        <f t="shared" si="54"/>
        <v>130.74664062500005</v>
      </c>
      <c r="AQ997" s="3">
        <f t="shared" si="55"/>
        <v>130.74664062500005</v>
      </c>
    </row>
    <row r="998" spans="12:43" x14ac:dyDescent="0.35">
      <c r="L998" s="2">
        <f t="shared" si="58"/>
        <v>45224</v>
      </c>
      <c r="M998" s="5">
        <f>HAVERD!BA1002/HAVERD!BB1002</f>
        <v>74.225955204216078</v>
      </c>
      <c r="AJ998" s="2">
        <f t="shared" si="56"/>
        <v>45224</v>
      </c>
      <c r="AK998" s="2" t="s">
        <v>2189</v>
      </c>
      <c r="AL998" s="3">
        <f>IF(HAVERD!H1002="",AL997,AVERAGE(HAVERD!H1002:Q1002))</f>
        <v>137.16299999999998</v>
      </c>
      <c r="AM998" s="3">
        <f t="shared" si="54"/>
        <v>130.74664062500005</v>
      </c>
      <c r="AQ998" s="3">
        <f t="shared" si="55"/>
        <v>130.74664062500005</v>
      </c>
    </row>
    <row r="999" spans="12:43" x14ac:dyDescent="0.35">
      <c r="L999" s="2">
        <f t="shared" si="58"/>
        <v>45225</v>
      </c>
      <c r="M999" s="5">
        <f>HAVERD!BA1003/HAVERD!BB1003</f>
        <v>72.972527019222838</v>
      </c>
      <c r="AJ999" s="2">
        <f t="shared" si="56"/>
        <v>45225</v>
      </c>
      <c r="AK999" s="2" t="s">
        <v>2189</v>
      </c>
      <c r="AL999" s="3">
        <f>IF(HAVERD!H1003="",AL998,AVERAGE(HAVERD!H1003:Q1003))</f>
        <v>137.82000000000002</v>
      </c>
      <c r="AM999" s="3">
        <f t="shared" si="54"/>
        <v>130.74664062500005</v>
      </c>
      <c r="AQ999" s="3">
        <f t="shared" si="55"/>
        <v>130.74664062500005</v>
      </c>
    </row>
    <row r="1000" spans="12:43" x14ac:dyDescent="0.35">
      <c r="L1000" s="2">
        <f t="shared" si="58"/>
        <v>45226</v>
      </c>
      <c r="M1000" s="5">
        <f>HAVERD!BA1004/HAVERD!BB1004</f>
        <v>74.730252862202462</v>
      </c>
      <c r="AJ1000" s="2">
        <f t="shared" si="56"/>
        <v>45226</v>
      </c>
      <c r="AK1000" s="2" t="s">
        <v>2189</v>
      </c>
      <c r="AL1000" s="3">
        <f>IF(HAVERD!H1004="",AL999,AVERAGE(HAVERD!H1004:Q1004))</f>
        <v>137.86799999999999</v>
      </c>
      <c r="AM1000" s="3">
        <f t="shared" si="54"/>
        <v>130.74664062500005</v>
      </c>
      <c r="AQ1000" s="3">
        <f t="shared" si="55"/>
        <v>130.74664062500005</v>
      </c>
    </row>
    <row r="1001" spans="12:43" x14ac:dyDescent="0.35">
      <c r="L1001" s="2">
        <f t="shared" si="58"/>
        <v>45229</v>
      </c>
      <c r="M1001" s="5">
        <f>HAVERD!BA1005/HAVERD!BB1005</f>
        <v>74.638038828562031</v>
      </c>
      <c r="AJ1001" s="2">
        <f t="shared" si="56"/>
        <v>45229</v>
      </c>
      <c r="AK1001" s="2" t="s">
        <v>2189</v>
      </c>
      <c r="AL1001" s="3">
        <f>IF(HAVERD!H1005="",AL1000,AVERAGE(HAVERD!H1005:Q1005))</f>
        <v>137.90600000000001</v>
      </c>
      <c r="AM1001" s="3">
        <f t="shared" si="54"/>
        <v>130.74664062500005</v>
      </c>
      <c r="AQ1001" s="3">
        <f t="shared" si="55"/>
        <v>130.74664062500005</v>
      </c>
    </row>
    <row r="1002" spans="12:43" x14ac:dyDescent="0.35">
      <c r="L1002" s="2">
        <f t="shared" si="58"/>
        <v>45230</v>
      </c>
      <c r="M1002" s="5">
        <f>HAVERD!BA1006/HAVERD!BB1006</f>
        <v>71.551013680566996</v>
      </c>
      <c r="AJ1002" s="2">
        <f t="shared" si="56"/>
        <v>45230</v>
      </c>
      <c r="AK1002" s="2" t="s">
        <v>2189</v>
      </c>
      <c r="AL1002" s="3">
        <f>IF(HAVERD!H1006="",AL1001,AVERAGE(HAVERD!H1006:Q1006))</f>
        <v>127.99100000000001</v>
      </c>
      <c r="AM1002" s="3">
        <f t="shared" si="54"/>
        <v>130.74664062500005</v>
      </c>
      <c r="AQ1002" s="3">
        <f t="shared" si="55"/>
        <v>130.74664062500005</v>
      </c>
    </row>
    <row r="1003" spans="12:43" x14ac:dyDescent="0.35">
      <c r="L1003" s="2">
        <f t="shared" si="58"/>
        <v>45231</v>
      </c>
      <c r="M1003" s="5">
        <f>HAVERD!BA1007/HAVERD!BB1007</f>
        <v>71.680686128979062</v>
      </c>
      <c r="AJ1003" s="2">
        <f t="shared" si="56"/>
        <v>45231</v>
      </c>
      <c r="AK1003" s="2" t="s">
        <v>2190</v>
      </c>
      <c r="AL1003" s="3">
        <f>IF(HAVERD!H1007="",AL1002,AVERAGE(HAVERD!H1007:Q1007))</f>
        <v>127.30499999999998</v>
      </c>
      <c r="AM1003" s="3">
        <f t="shared" si="54"/>
        <v>130.74664062500005</v>
      </c>
      <c r="AQ1003" s="3">
        <f t="shared" si="55"/>
        <v>130.74664062500005</v>
      </c>
    </row>
    <row r="1004" spans="12:43" x14ac:dyDescent="0.35">
      <c r="L1004" s="2">
        <f t="shared" si="58"/>
        <v>45232</v>
      </c>
      <c r="M1004" s="5">
        <f>HAVERD!BA1008/HAVERD!BB1008</f>
        <v>73.129056107779505</v>
      </c>
      <c r="AJ1004" s="2">
        <f t="shared" si="56"/>
        <v>45232</v>
      </c>
      <c r="AK1004" s="2" t="s">
        <v>2190</v>
      </c>
      <c r="AL1004" s="3">
        <f>IF(HAVERD!H1008="",AL1003,AVERAGE(HAVERD!H1008:Q1008))</f>
        <v>128.75200000000001</v>
      </c>
      <c r="AM1004" s="3">
        <f t="shared" si="54"/>
        <v>130.74664062500005</v>
      </c>
      <c r="AQ1004" s="3">
        <f t="shared" si="55"/>
        <v>130.74664062500005</v>
      </c>
    </row>
    <row r="1005" spans="12:43" x14ac:dyDescent="0.35">
      <c r="L1005" s="2">
        <f>+L1000+7</f>
        <v>45233</v>
      </c>
      <c r="M1005" s="5">
        <f>HAVERD!BA1009/HAVERD!BB1009</f>
        <v>70.758910530994896</v>
      </c>
      <c r="AJ1005" s="2">
        <f t="shared" si="56"/>
        <v>45233</v>
      </c>
      <c r="AK1005" s="2" t="s">
        <v>2190</v>
      </c>
      <c r="AL1005" s="3">
        <f>IF(HAVERD!H1009="",AL1004,AVERAGE(HAVERD!H1009:Q1009))</f>
        <v>128.61699999999999</v>
      </c>
      <c r="AM1005" s="3">
        <f t="shared" si="54"/>
        <v>130.74664062500005</v>
      </c>
      <c r="AQ1005" s="3">
        <f t="shared" si="55"/>
        <v>130.74664062500005</v>
      </c>
    </row>
    <row r="1006" spans="12:43" x14ac:dyDescent="0.35">
      <c r="L1006" s="2">
        <f t="shared" ref="L1006:L1042" si="59">+L1001+7</f>
        <v>45236</v>
      </c>
      <c r="M1006" s="5">
        <f>HAVERD!BA1010/HAVERD!BB1010</f>
        <v>70.428329434540615</v>
      </c>
      <c r="AJ1006" s="2">
        <f t="shared" si="56"/>
        <v>45236</v>
      </c>
      <c r="AK1006" s="2" t="s">
        <v>2190</v>
      </c>
      <c r="AL1006" s="3">
        <f>IF(HAVERD!H1010="",AL1005,AVERAGE(HAVERD!H1010:Q1010))</f>
        <v>120.58900000000001</v>
      </c>
      <c r="AM1006" s="3">
        <f t="shared" si="54"/>
        <v>130.74664062500005</v>
      </c>
      <c r="AQ1006" s="3">
        <f t="shared" si="55"/>
        <v>130.74664062500005</v>
      </c>
    </row>
    <row r="1007" spans="12:43" x14ac:dyDescent="0.35">
      <c r="L1007" s="2">
        <f t="shared" si="59"/>
        <v>45237</v>
      </c>
      <c r="M1007" s="5">
        <f>HAVERD!BA1011/HAVERD!BB1011</f>
        <v>67.801706623323867</v>
      </c>
      <c r="AJ1007" s="2">
        <f t="shared" si="56"/>
        <v>45237</v>
      </c>
      <c r="AK1007" s="2" t="s">
        <v>2190</v>
      </c>
      <c r="AL1007" s="3">
        <f>IF(HAVERD!H1011="",AL1006,AVERAGE(HAVERD!H1011:Q1011))</f>
        <v>123.11199999999999</v>
      </c>
      <c r="AM1007" s="3">
        <f t="shared" si="54"/>
        <v>130.74664062500005</v>
      </c>
      <c r="AQ1007" s="3">
        <f t="shared" si="55"/>
        <v>130.74664062500005</v>
      </c>
    </row>
    <row r="1008" spans="12:43" x14ac:dyDescent="0.35">
      <c r="L1008" s="2">
        <f t="shared" si="59"/>
        <v>45238</v>
      </c>
      <c r="M1008" s="5">
        <f>HAVERD!BA1012/HAVERD!BB1012</f>
        <v>66.24918672739102</v>
      </c>
      <c r="AJ1008" s="2">
        <f t="shared" si="56"/>
        <v>45238</v>
      </c>
      <c r="AK1008" s="2" t="s">
        <v>2190</v>
      </c>
      <c r="AL1008" s="3">
        <f>IF(HAVERD!H1012="",AL1007,AVERAGE(HAVERD!H1012:Q1012))</f>
        <v>122.08899999999998</v>
      </c>
      <c r="AM1008" s="3">
        <f t="shared" si="54"/>
        <v>130.74664062500005</v>
      </c>
      <c r="AQ1008" s="3">
        <f t="shared" si="55"/>
        <v>130.74664062500005</v>
      </c>
    </row>
    <row r="1009" spans="12:44" x14ac:dyDescent="0.35">
      <c r="L1009" s="2">
        <f t="shared" si="59"/>
        <v>45239</v>
      </c>
      <c r="M1009" s="5">
        <f>HAVERD!BA1013/HAVERD!BB1013</f>
        <v>66.525596158541546</v>
      </c>
      <c r="AJ1009" s="2">
        <f t="shared" si="56"/>
        <v>45239</v>
      </c>
      <c r="AK1009" s="2" t="s">
        <v>2190</v>
      </c>
      <c r="AL1009" s="3">
        <f>IF(HAVERD!H1013="",AL1008,AVERAGE(HAVERD!H1013:Q1013))</f>
        <v>127.46</v>
      </c>
      <c r="AM1009" s="3">
        <f t="shared" si="54"/>
        <v>130.74664062500005</v>
      </c>
      <c r="AQ1009" s="3">
        <f t="shared" si="55"/>
        <v>130.74664062500005</v>
      </c>
    </row>
    <row r="1010" spans="12:44" x14ac:dyDescent="0.35">
      <c r="L1010" s="2">
        <f t="shared" si="59"/>
        <v>45240</v>
      </c>
      <c r="M1010" s="5">
        <f>HAVERD!BA1014/HAVERD!BB1014</f>
        <v>68.585013936710936</v>
      </c>
      <c r="AJ1010" s="2">
        <f t="shared" si="56"/>
        <v>45240</v>
      </c>
      <c r="AK1010" s="2" t="s">
        <v>2190</v>
      </c>
      <c r="AL1010" s="3">
        <f>IF(HAVERD!H1014="",AL1009,AVERAGE(HAVERD!H1014:Q1014))</f>
        <v>123.79400000000001</v>
      </c>
      <c r="AM1010" s="3">
        <f t="shared" si="54"/>
        <v>130.74664062500005</v>
      </c>
      <c r="AQ1010" s="3">
        <f t="shared" si="55"/>
        <v>130.74664062500005</v>
      </c>
    </row>
    <row r="1011" spans="12:44" x14ac:dyDescent="0.35">
      <c r="L1011" s="2">
        <f t="shared" si="59"/>
        <v>45243</v>
      </c>
      <c r="M1011" s="5">
        <f>HAVERD!BA1015/HAVERD!BB1015</f>
        <v>68.628091079735569</v>
      </c>
      <c r="AJ1011" s="2">
        <f t="shared" si="56"/>
        <v>45243</v>
      </c>
      <c r="AK1011" s="2" t="s">
        <v>2190</v>
      </c>
      <c r="AL1011" s="3">
        <f>IF(HAVERD!H1015="",AL1010,AVERAGE(HAVERD!H1015:Q1015))</f>
        <v>125.88399999999999</v>
      </c>
      <c r="AM1011" s="3">
        <f t="shared" si="54"/>
        <v>130.74664062500005</v>
      </c>
      <c r="AQ1011" s="3">
        <f t="shared" si="55"/>
        <v>130.74664062500005</v>
      </c>
    </row>
    <row r="1012" spans="12:44" x14ac:dyDescent="0.35">
      <c r="L1012" s="2">
        <f t="shared" si="59"/>
        <v>45244</v>
      </c>
      <c r="M1012" s="5">
        <f>HAVERD!BA1016/HAVERD!BB1016</f>
        <v>67.603372139702927</v>
      </c>
      <c r="AJ1012" s="2">
        <f t="shared" si="56"/>
        <v>45244</v>
      </c>
      <c r="AK1012" s="2" t="s">
        <v>2190</v>
      </c>
      <c r="AL1012" s="3">
        <f>IF(HAVERD!H1016="",AL1011,AVERAGE(HAVERD!H1016:Q1016))</f>
        <v>125.87100000000001</v>
      </c>
      <c r="AM1012" s="3">
        <f t="shared" si="54"/>
        <v>130.74664062500005</v>
      </c>
      <c r="AQ1012" s="3">
        <f t="shared" si="55"/>
        <v>130.74664062500005</v>
      </c>
    </row>
    <row r="1013" spans="12:44" x14ac:dyDescent="0.35">
      <c r="L1013" s="2">
        <f t="shared" si="59"/>
        <v>45245</v>
      </c>
      <c r="M1013" s="5">
        <f>HAVERD!BA1017/HAVERD!BB1017</f>
        <v>66.216650594664102</v>
      </c>
      <c r="AJ1013" s="2">
        <f t="shared" si="56"/>
        <v>45245</v>
      </c>
      <c r="AK1013" s="2" t="s">
        <v>2190</v>
      </c>
      <c r="AL1013" s="3">
        <f>IF(HAVERD!H1017="",AL1012,AVERAGE(HAVERD!H1017:Q1017))</f>
        <v>125.58399999999999</v>
      </c>
      <c r="AM1013" s="3">
        <f t="shared" si="54"/>
        <v>130.74664062500005</v>
      </c>
      <c r="AQ1013" s="3">
        <f t="shared" si="55"/>
        <v>130.74664062500005</v>
      </c>
    </row>
    <row r="1014" spans="12:44" x14ac:dyDescent="0.35">
      <c r="L1014" s="2">
        <f t="shared" si="59"/>
        <v>45246</v>
      </c>
      <c r="M1014" s="5">
        <f>HAVERD!BA1018/HAVERD!BB1018</f>
        <v>62.463837994214082</v>
      </c>
      <c r="AJ1014" s="2">
        <f t="shared" si="56"/>
        <v>45246</v>
      </c>
      <c r="AK1014" s="2" t="s">
        <v>2190</v>
      </c>
      <c r="AL1014" s="3">
        <f>IF(HAVERD!H1018="",AL1013,AVERAGE(HAVERD!H1018:Q1018))</f>
        <v>123.50399999999998</v>
      </c>
      <c r="AM1014" s="3">
        <f>AVERAGE($AL$951:$AL$1014)</f>
        <v>130.74664062500005</v>
      </c>
      <c r="AQ1014" s="3">
        <f>AVERAGE($AL$951:$AL$1014)</f>
        <v>130.74664062500005</v>
      </c>
    </row>
    <row r="1015" spans="12:44" x14ac:dyDescent="0.35">
      <c r="L1015" s="2">
        <f t="shared" si="59"/>
        <v>45247</v>
      </c>
      <c r="M1015" s="5">
        <f>HAVERD!BA1019/HAVERD!BB1019</f>
        <v>65.326148154106008</v>
      </c>
      <c r="AJ1015" s="2">
        <f t="shared" si="56"/>
        <v>45247</v>
      </c>
      <c r="AK1015" s="2" t="s">
        <v>2190</v>
      </c>
      <c r="AL1015" s="3">
        <f>IF(HAVERD!H1019="",AL1014,AVERAGE(HAVERD!H1019:Q1019))</f>
        <v>121.86600000000001</v>
      </c>
      <c r="AM1015" s="3"/>
      <c r="AQ1015" s="3">
        <f>AVERAGE($AL$951:$AL$1014)</f>
        <v>130.74664062500005</v>
      </c>
    </row>
    <row r="1016" spans="12:44" x14ac:dyDescent="0.35">
      <c r="L1016" s="2">
        <f t="shared" si="59"/>
        <v>45250</v>
      </c>
      <c r="M1016" s="5">
        <f>HAVERD!BA1020/HAVERD!BB1020</f>
        <v>66.637316897462568</v>
      </c>
      <c r="AI1016" t="s">
        <v>1322</v>
      </c>
      <c r="AJ1016" s="2">
        <f t="shared" si="56"/>
        <v>45250</v>
      </c>
      <c r="AK1016" s="2" t="s">
        <v>2190</v>
      </c>
      <c r="AL1016" s="3">
        <f>IF(HAVERD!H1020="",AL1015,AVERAGE(HAVERD!H1020:Q1020))</f>
        <v>122.98400000000001</v>
      </c>
      <c r="AM1016" s="3">
        <f>AVERAGE($AL$1016:$AL$1040,$AL$1042:$AL$1045,$AL$1047:$AL$1079)</f>
        <v>92.593193548387077</v>
      </c>
      <c r="AR1016" s="3">
        <f>AVERAGE($AL$1016:$AL$1040,$AL$1042:$AL$1045,$AL$1047:$AL$1079)</f>
        <v>92.593193548387077</v>
      </c>
    </row>
    <row r="1017" spans="12:44" x14ac:dyDescent="0.35">
      <c r="L1017" s="2">
        <f t="shared" si="59"/>
        <v>45251</v>
      </c>
      <c r="M1017" s="5">
        <f>HAVERD!BA1021/HAVERD!BB1021</f>
        <v>65.762387297534502</v>
      </c>
      <c r="AJ1017" s="2">
        <f t="shared" si="56"/>
        <v>45251</v>
      </c>
      <c r="AK1017" s="2" t="s">
        <v>2190</v>
      </c>
      <c r="AL1017" s="3">
        <f>IF(HAVERD!H1021="",AL1016,AVERAGE(HAVERD!H1021:Q1021))</f>
        <v>119.63399999999999</v>
      </c>
      <c r="AM1017" s="3">
        <f t="shared" ref="AM1017:AM1079" si="60">AVERAGE($AL$1016:$AL$1040,$AL$1042:$AL$1045,$AL$1047:$AL$1079)</f>
        <v>92.593193548387077</v>
      </c>
      <c r="AR1017" s="3">
        <f t="shared" ref="AR1017:AR1080" si="61">AVERAGE($AL$1016:$AL$1040,$AL$1042:$AL$1045,$AL$1047:$AL$1079)</f>
        <v>92.593193548387077</v>
      </c>
    </row>
    <row r="1018" spans="12:44" x14ac:dyDescent="0.35">
      <c r="L1018" s="2">
        <f t="shared" si="59"/>
        <v>45252</v>
      </c>
      <c r="M1018" s="5">
        <f>HAVERD!BA1022/HAVERD!BB1022</f>
        <v>65.617977528089895</v>
      </c>
      <c r="AJ1018" s="2">
        <f t="shared" si="56"/>
        <v>45252</v>
      </c>
      <c r="AK1018" s="2" t="s">
        <v>2190</v>
      </c>
      <c r="AL1018" s="3">
        <f>IF(HAVERD!H1022="",AL1017,AVERAGE(HAVERD!H1022:Q1022))</f>
        <v>119.60800000000002</v>
      </c>
      <c r="AM1018" s="3">
        <f t="shared" si="60"/>
        <v>92.593193548387077</v>
      </c>
      <c r="AR1018" s="3">
        <f t="shared" si="61"/>
        <v>92.593193548387077</v>
      </c>
    </row>
    <row r="1019" spans="12:44" x14ac:dyDescent="0.35">
      <c r="L1019" s="2">
        <f t="shared" si="59"/>
        <v>45253</v>
      </c>
      <c r="M1019" s="5">
        <f>HAVERD!BA1023/HAVERD!BB1023</f>
        <v>64.519990423749093</v>
      </c>
      <c r="AJ1019" s="2">
        <f t="shared" si="56"/>
        <v>45253</v>
      </c>
      <c r="AK1019" s="2" t="s">
        <v>2190</v>
      </c>
      <c r="AL1019" s="3">
        <f>IF(HAVERD!H1023="",AL1018,AVERAGE(HAVERD!H1023:Q1023))</f>
        <v>123.51700000000001</v>
      </c>
      <c r="AM1019" s="3">
        <f t="shared" si="60"/>
        <v>92.593193548387077</v>
      </c>
      <c r="AR1019" s="3">
        <f t="shared" si="61"/>
        <v>92.593193548387077</v>
      </c>
    </row>
    <row r="1020" spans="12:44" x14ac:dyDescent="0.35">
      <c r="L1020" s="2">
        <f t="shared" si="59"/>
        <v>45254</v>
      </c>
      <c r="M1020" s="5">
        <f>HAVERD!BA1024/HAVERD!BB1024</f>
        <v>63.309010152284266</v>
      </c>
      <c r="AJ1020" s="2">
        <f t="shared" si="56"/>
        <v>45254</v>
      </c>
      <c r="AK1020" s="2" t="s">
        <v>2190</v>
      </c>
      <c r="AL1020" s="3">
        <f>IF(HAVERD!H1024="",AL1019,AVERAGE(HAVERD!H1024:Q1024))</f>
        <v>122.47</v>
      </c>
      <c r="AM1020" s="3">
        <f t="shared" si="60"/>
        <v>92.593193548387077</v>
      </c>
      <c r="AR1020" s="3">
        <f t="shared" si="61"/>
        <v>92.593193548387077</v>
      </c>
    </row>
    <row r="1021" spans="12:44" x14ac:dyDescent="0.35">
      <c r="L1021" s="2">
        <f t="shared" si="59"/>
        <v>45257</v>
      </c>
      <c r="M1021" s="5">
        <f>HAVERD!BA1025/HAVERD!BB1025</f>
        <v>63.052272546997699</v>
      </c>
      <c r="AJ1021" s="2">
        <f t="shared" si="56"/>
        <v>45257</v>
      </c>
      <c r="AK1021" s="2" t="s">
        <v>2190</v>
      </c>
      <c r="AL1021" s="3">
        <f>IF(HAVERD!H1025="",AL1020,AVERAGE(HAVERD!H1025:Q1025))</f>
        <v>117.05799999999999</v>
      </c>
      <c r="AM1021" s="3">
        <f t="shared" si="60"/>
        <v>92.593193548387077</v>
      </c>
      <c r="AR1021" s="3">
        <f t="shared" si="61"/>
        <v>92.593193548387077</v>
      </c>
    </row>
    <row r="1022" spans="12:44" x14ac:dyDescent="0.35">
      <c r="L1022" s="2">
        <f t="shared" si="59"/>
        <v>45258</v>
      </c>
      <c r="M1022" s="5">
        <f>HAVERD!BA1026/HAVERD!BB1026</f>
        <v>64.385397776551287</v>
      </c>
      <c r="AJ1022" s="2">
        <f t="shared" si="56"/>
        <v>45258</v>
      </c>
      <c r="AK1022" s="2" t="s">
        <v>2190</v>
      </c>
      <c r="AL1022" s="3">
        <f>IF(HAVERD!H1026="",AL1021,AVERAGE(HAVERD!H1026:Q1026))</f>
        <v>114.01000000000002</v>
      </c>
      <c r="AM1022" s="3">
        <f t="shared" si="60"/>
        <v>92.593193548387077</v>
      </c>
      <c r="AR1022" s="3">
        <f t="shared" si="61"/>
        <v>92.593193548387077</v>
      </c>
    </row>
    <row r="1023" spans="12:44" x14ac:dyDescent="0.35">
      <c r="L1023" s="2">
        <f t="shared" si="59"/>
        <v>45259</v>
      </c>
      <c r="M1023" s="5">
        <f>HAVERD!BA1027/HAVERD!BB1027</f>
        <v>65.354020634795617</v>
      </c>
      <c r="AJ1023" s="2">
        <f t="shared" si="56"/>
        <v>45259</v>
      </c>
      <c r="AK1023" s="2" t="s">
        <v>2190</v>
      </c>
      <c r="AL1023" s="3">
        <f>IF(HAVERD!H1027="",AL1022,AVERAGE(HAVERD!H1027:Q1027))</f>
        <v>108.501</v>
      </c>
      <c r="AM1023" s="3">
        <f t="shared" si="60"/>
        <v>92.593193548387077</v>
      </c>
      <c r="AR1023" s="3">
        <f t="shared" si="61"/>
        <v>92.593193548387077</v>
      </c>
    </row>
    <row r="1024" spans="12:44" x14ac:dyDescent="0.35">
      <c r="L1024" s="2">
        <f t="shared" si="59"/>
        <v>45260</v>
      </c>
      <c r="M1024" s="5">
        <f>HAVERD!BA1028/HAVERD!BB1028</f>
        <v>64.570164348925402</v>
      </c>
      <c r="AJ1024" s="2">
        <f t="shared" si="56"/>
        <v>45260</v>
      </c>
      <c r="AK1024" s="2" t="s">
        <v>2190</v>
      </c>
      <c r="AL1024" s="3">
        <f>IF(HAVERD!H1028="",AL1023,AVERAGE(HAVERD!H1028:Q1028))</f>
        <v>111.76300000000001</v>
      </c>
      <c r="AM1024" s="3">
        <f t="shared" si="60"/>
        <v>92.593193548387077</v>
      </c>
      <c r="AR1024" s="3">
        <f t="shared" si="61"/>
        <v>92.593193548387077</v>
      </c>
    </row>
    <row r="1025" spans="12:44" x14ac:dyDescent="0.35">
      <c r="L1025" s="2">
        <f t="shared" si="59"/>
        <v>45261</v>
      </c>
      <c r="M1025" s="5">
        <f>HAVERD!BA1029/HAVERD!BB1029</f>
        <v>62.303126236644239</v>
      </c>
      <c r="AJ1025" s="2">
        <f t="shared" si="56"/>
        <v>45261</v>
      </c>
      <c r="AK1025" s="2" t="s">
        <v>2191</v>
      </c>
      <c r="AL1025" s="3">
        <f>IF(HAVERD!H1029="",AL1024,AVERAGE(HAVERD!H1029:Q1029))</f>
        <v>114.38699999999999</v>
      </c>
      <c r="AM1025" s="3">
        <f t="shared" si="60"/>
        <v>92.593193548387077</v>
      </c>
      <c r="AR1025" s="3">
        <f t="shared" si="61"/>
        <v>92.593193548387077</v>
      </c>
    </row>
    <row r="1026" spans="12:44" x14ac:dyDescent="0.35">
      <c r="L1026" s="2">
        <f t="shared" si="59"/>
        <v>45264</v>
      </c>
      <c r="M1026" s="5">
        <f>HAVERD!BA1030/HAVERD!BB1030</f>
        <v>61.972724389470336</v>
      </c>
      <c r="AJ1026" s="2">
        <f t="shared" si="56"/>
        <v>45264</v>
      </c>
      <c r="AK1026" s="2" t="s">
        <v>2191</v>
      </c>
      <c r="AL1026" s="3">
        <f>IF(HAVERD!H1030="",AL1025,AVERAGE(HAVERD!H1030:Q1030))</f>
        <v>107.372</v>
      </c>
      <c r="AM1026" s="3">
        <f t="shared" si="60"/>
        <v>92.593193548387077</v>
      </c>
      <c r="AR1026" s="3">
        <f t="shared" si="61"/>
        <v>92.593193548387077</v>
      </c>
    </row>
    <row r="1027" spans="12:44" x14ac:dyDescent="0.35">
      <c r="L1027" s="2">
        <f t="shared" si="59"/>
        <v>45265</v>
      </c>
      <c r="M1027" s="5">
        <f>HAVERD!BA1031/HAVERD!BB1031</f>
        <v>61.262189804170291</v>
      </c>
      <c r="AJ1027" s="2">
        <f t="shared" si="56"/>
        <v>45265</v>
      </c>
      <c r="AK1027" s="2" t="s">
        <v>2191</v>
      </c>
      <c r="AL1027" s="3">
        <f>IF(HAVERD!H1031="",AL1026,AVERAGE(HAVERD!H1031:Q1031))</f>
        <v>102.453</v>
      </c>
      <c r="AM1027" s="3">
        <f t="shared" si="60"/>
        <v>92.593193548387077</v>
      </c>
      <c r="AR1027" s="3">
        <f t="shared" si="61"/>
        <v>92.593193548387077</v>
      </c>
    </row>
    <row r="1028" spans="12:44" x14ac:dyDescent="0.35">
      <c r="L1028" s="2">
        <f t="shared" si="59"/>
        <v>45266</v>
      </c>
      <c r="M1028" s="5">
        <f>HAVERD!BA1032/HAVERD!BB1032</f>
        <v>59.024855078218053</v>
      </c>
      <c r="AJ1028" s="2">
        <f t="shared" si="56"/>
        <v>45266</v>
      </c>
      <c r="AK1028" s="2" t="s">
        <v>2191</v>
      </c>
      <c r="AL1028" s="3">
        <f>IF(HAVERD!H1032="",AL1027,AVERAGE(HAVERD!H1032:Q1032))</f>
        <v>105.21400000000001</v>
      </c>
      <c r="AM1028" s="3">
        <f t="shared" si="60"/>
        <v>92.593193548387077</v>
      </c>
      <c r="AR1028" s="3">
        <f t="shared" si="61"/>
        <v>92.593193548387077</v>
      </c>
    </row>
    <row r="1029" spans="12:44" x14ac:dyDescent="0.35">
      <c r="L1029" s="2">
        <f t="shared" si="59"/>
        <v>45267</v>
      </c>
      <c r="M1029" s="5">
        <f>HAVERD!BA1033/HAVERD!BB1033</f>
        <v>59.018609829807531</v>
      </c>
      <c r="AJ1029" s="2">
        <f t="shared" si="56"/>
        <v>45267</v>
      </c>
      <c r="AK1029" s="2" t="s">
        <v>2191</v>
      </c>
      <c r="AL1029" s="3">
        <f>IF(HAVERD!H1033="",AL1028,AVERAGE(HAVERD!H1033:Q1033))</f>
        <v>106.36200000000001</v>
      </c>
      <c r="AM1029" s="3">
        <f t="shared" si="60"/>
        <v>92.593193548387077</v>
      </c>
      <c r="AR1029" s="3">
        <f t="shared" si="61"/>
        <v>92.593193548387077</v>
      </c>
    </row>
    <row r="1030" spans="12:44" x14ac:dyDescent="0.35">
      <c r="L1030" s="2">
        <f t="shared" si="59"/>
        <v>45268</v>
      </c>
      <c r="M1030" s="5">
        <f>HAVERD!BA1034/HAVERD!BB1034</f>
        <v>60.524428150155416</v>
      </c>
      <c r="AJ1030" s="2">
        <f t="shared" si="56"/>
        <v>45268</v>
      </c>
      <c r="AK1030" s="2" t="s">
        <v>2191</v>
      </c>
      <c r="AL1030" s="3">
        <f>IF(HAVERD!H1034="",AL1029,AVERAGE(HAVERD!H1034:Q1034))</f>
        <v>103.93600000000001</v>
      </c>
      <c r="AM1030" s="3">
        <f t="shared" si="60"/>
        <v>92.593193548387077</v>
      </c>
      <c r="AR1030" s="3">
        <f t="shared" si="61"/>
        <v>92.593193548387077</v>
      </c>
    </row>
    <row r="1031" spans="12:44" x14ac:dyDescent="0.35">
      <c r="L1031" s="2">
        <f t="shared" si="59"/>
        <v>45271</v>
      </c>
      <c r="M1031" s="5">
        <f>HAVERD!BA1035/HAVERD!BB1035</f>
        <v>60.35375667277507</v>
      </c>
      <c r="AJ1031" s="2">
        <f t="shared" si="56"/>
        <v>45271</v>
      </c>
      <c r="AK1031" s="2" t="s">
        <v>2191</v>
      </c>
      <c r="AL1031" s="3">
        <f>IF(HAVERD!H1035="",AL1030,AVERAGE(HAVERD!H1035:Q1035))</f>
        <v>98.524999999999991</v>
      </c>
      <c r="AM1031" s="3">
        <f t="shared" si="60"/>
        <v>92.593193548387077</v>
      </c>
      <c r="AR1031" s="3">
        <f t="shared" si="61"/>
        <v>92.593193548387077</v>
      </c>
    </row>
    <row r="1032" spans="12:44" x14ac:dyDescent="0.35">
      <c r="L1032" s="2">
        <f t="shared" si="59"/>
        <v>45272</v>
      </c>
      <c r="M1032" s="5">
        <f>HAVERD!BA1036/HAVERD!BB1036</f>
        <v>59.000079611495899</v>
      </c>
      <c r="AJ1032" s="2">
        <f t="shared" si="56"/>
        <v>45272</v>
      </c>
      <c r="AK1032" s="2" t="s">
        <v>2191</v>
      </c>
      <c r="AL1032" s="3">
        <f>IF(HAVERD!H1036="",AL1031,AVERAGE(HAVERD!H1036:Q1036))</f>
        <v>95.329000000000008</v>
      </c>
      <c r="AM1032" s="3">
        <f t="shared" si="60"/>
        <v>92.593193548387077</v>
      </c>
      <c r="AR1032" s="3">
        <f t="shared" si="61"/>
        <v>92.593193548387077</v>
      </c>
    </row>
    <row r="1033" spans="12:44" x14ac:dyDescent="0.35">
      <c r="L1033" s="2">
        <f t="shared" si="59"/>
        <v>45273</v>
      </c>
      <c r="M1033" s="5">
        <f>HAVERD!BA1037/HAVERD!BB1037</f>
        <v>59.188887114801219</v>
      </c>
      <c r="AJ1033" s="2">
        <f t="shared" ref="AJ1033:AJ1096" si="62">+AJ1028+7</f>
        <v>45273</v>
      </c>
      <c r="AK1033" s="2" t="s">
        <v>2191</v>
      </c>
      <c r="AL1033" s="3">
        <f>IF(HAVERD!H1037="",AL1032,AVERAGE(HAVERD!H1037:Q1037))</f>
        <v>97.957999999999998</v>
      </c>
      <c r="AM1033" s="3">
        <f t="shared" si="60"/>
        <v>92.593193548387077</v>
      </c>
      <c r="AR1033" s="3">
        <f t="shared" si="61"/>
        <v>92.593193548387077</v>
      </c>
    </row>
    <row r="1034" spans="12:44" x14ac:dyDescent="0.35">
      <c r="L1034" s="2">
        <f t="shared" si="59"/>
        <v>45274</v>
      </c>
      <c r="M1034" s="5">
        <f>HAVERD!BA1038/HAVERD!BB1038</f>
        <v>60.384012539184951</v>
      </c>
      <c r="AJ1034" s="2">
        <f t="shared" si="62"/>
        <v>45274</v>
      </c>
      <c r="AK1034" s="2" t="s">
        <v>2191</v>
      </c>
      <c r="AL1034" s="3">
        <f>IF(HAVERD!H1038="",AL1033,AVERAGE(HAVERD!H1038:Q1038))</f>
        <v>96.436000000000007</v>
      </c>
      <c r="AM1034" s="3">
        <f t="shared" si="60"/>
        <v>92.593193548387077</v>
      </c>
      <c r="AR1034" s="3">
        <f t="shared" si="61"/>
        <v>92.593193548387077</v>
      </c>
    </row>
    <row r="1035" spans="12:44" x14ac:dyDescent="0.35">
      <c r="L1035" s="2">
        <f t="shared" si="59"/>
        <v>45275</v>
      </c>
      <c r="M1035" s="5">
        <f>HAVERD!BA1039/HAVERD!BB1039</f>
        <v>60.508701472556893</v>
      </c>
      <c r="AJ1035" s="2">
        <f t="shared" si="62"/>
        <v>45275</v>
      </c>
      <c r="AK1035" s="2" t="s">
        <v>2191</v>
      </c>
      <c r="AL1035" s="3">
        <f>IF(HAVERD!H1039="",AL1034,AVERAGE(HAVERD!H1039:Q1039))</f>
        <v>92.774000000000001</v>
      </c>
      <c r="AM1035" s="3">
        <f t="shared" si="60"/>
        <v>92.593193548387077</v>
      </c>
      <c r="AR1035" s="3">
        <f t="shared" si="61"/>
        <v>92.593193548387077</v>
      </c>
    </row>
    <row r="1036" spans="12:44" x14ac:dyDescent="0.35">
      <c r="L1036" s="2">
        <f t="shared" si="59"/>
        <v>45278</v>
      </c>
      <c r="M1036" s="5">
        <f>HAVERD!BA1040/HAVERD!BB1040</f>
        <v>62.388295769078688</v>
      </c>
      <c r="AJ1036" s="2">
        <f t="shared" si="62"/>
        <v>45278</v>
      </c>
      <c r="AK1036" s="2" t="s">
        <v>2191</v>
      </c>
      <c r="AL1036" s="3">
        <f>IF(HAVERD!H1040="",AL1035,AVERAGE(HAVERD!H1040:Q1040))</f>
        <v>97.674999999999997</v>
      </c>
      <c r="AM1036" s="3">
        <f t="shared" si="60"/>
        <v>92.593193548387077</v>
      </c>
      <c r="AR1036" s="3">
        <f t="shared" si="61"/>
        <v>92.593193548387077</v>
      </c>
    </row>
    <row r="1037" spans="12:44" x14ac:dyDescent="0.35">
      <c r="L1037" s="2">
        <f t="shared" si="59"/>
        <v>45279</v>
      </c>
      <c r="M1037" s="5">
        <f>HAVERD!BA1041/HAVERD!BB1041</f>
        <v>62.657979433236513</v>
      </c>
      <c r="AJ1037" s="2">
        <f t="shared" si="62"/>
        <v>45279</v>
      </c>
      <c r="AK1037" s="2" t="s">
        <v>2191</v>
      </c>
      <c r="AL1037" s="3">
        <f>IF(HAVERD!H1041="",AL1036,AVERAGE(HAVERD!H1041:Q1041))</f>
        <v>91.227999999999994</v>
      </c>
      <c r="AM1037" s="3">
        <f t="shared" si="60"/>
        <v>92.593193548387077</v>
      </c>
      <c r="AR1037" s="3">
        <f t="shared" si="61"/>
        <v>92.593193548387077</v>
      </c>
    </row>
    <row r="1038" spans="12:44" x14ac:dyDescent="0.35">
      <c r="L1038" s="2">
        <f t="shared" si="59"/>
        <v>45280</v>
      </c>
      <c r="M1038" s="5">
        <f>HAVERD!BA1042/HAVERD!BB1042</f>
        <v>64.019576886643506</v>
      </c>
      <c r="AJ1038" s="2">
        <f t="shared" si="62"/>
        <v>45280</v>
      </c>
      <c r="AK1038" s="2" t="s">
        <v>2191</v>
      </c>
      <c r="AL1038" s="3">
        <f>IF(HAVERD!H1042="",AL1037,AVERAGE(HAVERD!H1042:Q1042))</f>
        <v>93.455000000000013</v>
      </c>
      <c r="AM1038" s="3">
        <f t="shared" si="60"/>
        <v>92.593193548387077</v>
      </c>
      <c r="AR1038" s="3">
        <f t="shared" si="61"/>
        <v>92.593193548387077</v>
      </c>
    </row>
    <row r="1039" spans="12:44" x14ac:dyDescent="0.35">
      <c r="L1039" s="2">
        <f t="shared" si="59"/>
        <v>45281</v>
      </c>
      <c r="M1039" s="5">
        <f>HAVERD!BA1043/HAVERD!BB1043</f>
        <v>63.787926675094816</v>
      </c>
      <c r="AJ1039" s="2">
        <f t="shared" si="62"/>
        <v>45281</v>
      </c>
      <c r="AK1039" s="2" t="s">
        <v>2191</v>
      </c>
      <c r="AL1039" s="3">
        <f>IF(HAVERD!H1043="",AL1038,AVERAGE(HAVERD!H1043:Q1043))</f>
        <v>94.027000000000015</v>
      </c>
      <c r="AM1039" s="3">
        <f t="shared" si="60"/>
        <v>92.593193548387077</v>
      </c>
      <c r="AR1039" s="3">
        <f t="shared" si="61"/>
        <v>92.593193548387077</v>
      </c>
    </row>
    <row r="1040" spans="12:44" x14ac:dyDescent="0.35">
      <c r="L1040" s="2">
        <f t="shared" si="59"/>
        <v>45282</v>
      </c>
      <c r="M1040" s="5">
        <f>HAVERD!BA1044/HAVERD!BB1044</f>
        <v>63.093740169864738</v>
      </c>
      <c r="AJ1040" s="2">
        <f t="shared" si="62"/>
        <v>45282</v>
      </c>
      <c r="AK1040" s="2" t="s">
        <v>2191</v>
      </c>
      <c r="AL1040" s="3">
        <f>IF(HAVERD!H1044="",AL1039,AVERAGE(HAVERD!H1044:Q1044))</f>
        <v>93.993000000000009</v>
      </c>
      <c r="AM1040" s="3">
        <f t="shared" si="60"/>
        <v>92.593193548387077</v>
      </c>
      <c r="AR1040" s="3">
        <f t="shared" si="61"/>
        <v>92.593193548387077</v>
      </c>
    </row>
    <row r="1041" spans="12:44" x14ac:dyDescent="0.35">
      <c r="L1041" s="2">
        <f t="shared" si="59"/>
        <v>45285</v>
      </c>
      <c r="M1041" s="5" t="e">
        <f>HAVERD!BA1045/HAVERD!BB1045</f>
        <v>#N/A</v>
      </c>
      <c r="AJ1041" s="2">
        <f t="shared" si="62"/>
        <v>45285</v>
      </c>
      <c r="AK1041" s="2" t="s">
        <v>2191</v>
      </c>
      <c r="AL1041" s="3" t="e">
        <f>IF(HAVERD!H1045="",AL1040,AVERAGE(HAVERD!H1045:Q1045))</f>
        <v>#N/A</v>
      </c>
      <c r="AM1041" s="3">
        <f t="shared" si="60"/>
        <v>92.593193548387077</v>
      </c>
      <c r="AR1041" s="3">
        <f t="shared" si="61"/>
        <v>92.593193548387077</v>
      </c>
    </row>
    <row r="1042" spans="12:44" x14ac:dyDescent="0.35">
      <c r="L1042" s="2">
        <f t="shared" si="59"/>
        <v>45286</v>
      </c>
      <c r="M1042" s="5" t="e">
        <f>HAVERD!BA1046/HAVERD!BB1046</f>
        <v>#N/A</v>
      </c>
      <c r="AJ1042" s="2">
        <f t="shared" si="62"/>
        <v>45286</v>
      </c>
      <c r="AK1042" s="2" t="s">
        <v>2191</v>
      </c>
      <c r="AL1042" s="3">
        <f>IF(HAVERD!H1046="",AL1041,AVERAGE(HAVERD!H1046:Q1046))</f>
        <v>93.993000000000009</v>
      </c>
      <c r="AM1042" s="3">
        <f t="shared" si="60"/>
        <v>92.593193548387077</v>
      </c>
      <c r="AR1042" s="3">
        <f t="shared" si="61"/>
        <v>92.593193548387077</v>
      </c>
    </row>
    <row r="1043" spans="12:44" x14ac:dyDescent="0.35">
      <c r="L1043" s="2">
        <f>+L1038+7</f>
        <v>45287</v>
      </c>
      <c r="M1043" s="5">
        <f>HAVERD!BA1047/HAVERD!BB1047</f>
        <v>63.312221440300263</v>
      </c>
      <c r="AJ1043" s="2">
        <f t="shared" si="62"/>
        <v>45287</v>
      </c>
      <c r="AK1043" s="2" t="s">
        <v>2191</v>
      </c>
      <c r="AL1043" s="3">
        <f>IF(HAVERD!H1047="",AL1042,AVERAGE(HAVERD!H1047:Q1047))</f>
        <v>97.106000000000009</v>
      </c>
      <c r="AM1043" s="3">
        <f t="shared" si="60"/>
        <v>92.593193548387077</v>
      </c>
      <c r="AR1043" s="3">
        <f t="shared" si="61"/>
        <v>92.593193548387077</v>
      </c>
    </row>
    <row r="1044" spans="12:44" x14ac:dyDescent="0.35">
      <c r="L1044" s="2">
        <f t="shared" ref="L1044:L1056" si="63">+L1039+7</f>
        <v>45288</v>
      </c>
      <c r="M1044" s="5">
        <f>HAVERD!BA1048/HAVERD!BB1048</f>
        <v>61.895066562255295</v>
      </c>
      <c r="AJ1044" s="2">
        <f t="shared" si="62"/>
        <v>45288</v>
      </c>
      <c r="AK1044" s="2" t="s">
        <v>2191</v>
      </c>
      <c r="AL1044" s="3">
        <f>IF(HAVERD!H1048="",AL1043,AVERAGE(HAVERD!H1048:Q1048))</f>
        <v>92.954999999999998</v>
      </c>
      <c r="AM1044" s="3">
        <f t="shared" si="60"/>
        <v>92.593193548387077</v>
      </c>
      <c r="AR1044" s="3">
        <f t="shared" si="61"/>
        <v>92.593193548387077</v>
      </c>
    </row>
    <row r="1045" spans="12:44" x14ac:dyDescent="0.35">
      <c r="L1045" s="2">
        <f t="shared" si="63"/>
        <v>45289</v>
      </c>
      <c r="M1045" s="5">
        <f>HAVERD!BA1049/HAVERD!BB1049</f>
        <v>60.947673962500978</v>
      </c>
      <c r="AJ1045" s="2">
        <f t="shared" si="62"/>
        <v>45289</v>
      </c>
      <c r="AK1045" s="2" t="s">
        <v>2191</v>
      </c>
      <c r="AL1045" s="3">
        <f>IF(HAVERD!H1049="",AL1044,AVERAGE(HAVERD!H1049:Q1049))</f>
        <v>91.534999999999997</v>
      </c>
      <c r="AM1045" s="3">
        <f t="shared" si="60"/>
        <v>92.593193548387077</v>
      </c>
      <c r="AR1045" s="3">
        <f t="shared" si="61"/>
        <v>92.593193548387077</v>
      </c>
    </row>
    <row r="1046" spans="12:44" x14ac:dyDescent="0.35">
      <c r="L1046" s="2">
        <f t="shared" si="63"/>
        <v>45292</v>
      </c>
      <c r="M1046" s="5" t="e">
        <f>HAVERD!BA1050/HAVERD!BB1050</f>
        <v>#N/A</v>
      </c>
      <c r="AJ1046" s="2">
        <f t="shared" si="62"/>
        <v>45292</v>
      </c>
      <c r="AK1046" s="2" t="s">
        <v>2180</v>
      </c>
      <c r="AL1046" s="3" t="e">
        <f>IF(HAVERD!H1050="",AL1045,AVERAGE(HAVERD!H1050:Q1050))</f>
        <v>#N/A</v>
      </c>
      <c r="AM1046" s="3">
        <f t="shared" si="60"/>
        <v>92.593193548387077</v>
      </c>
      <c r="AR1046" s="3">
        <f t="shared" si="61"/>
        <v>92.593193548387077</v>
      </c>
    </row>
    <row r="1047" spans="12:44" x14ac:dyDescent="0.35">
      <c r="L1047" s="2">
        <f t="shared" si="63"/>
        <v>45293</v>
      </c>
      <c r="M1047" s="5">
        <f>HAVERD!BA1051/HAVERD!BB1051</f>
        <v>60.388118811881185</v>
      </c>
      <c r="AJ1047" s="2">
        <f t="shared" si="62"/>
        <v>45293</v>
      </c>
      <c r="AK1047" s="2" t="s">
        <v>2180</v>
      </c>
      <c r="AL1047" s="3">
        <f>IF(HAVERD!H1051="",AL1046,AVERAGE(HAVERD!H1051:Q1051))</f>
        <v>86.957000000000022</v>
      </c>
      <c r="AM1047" s="3">
        <f t="shared" si="60"/>
        <v>92.593193548387077</v>
      </c>
      <c r="AR1047" s="3">
        <f t="shared" si="61"/>
        <v>92.593193548387077</v>
      </c>
    </row>
    <row r="1048" spans="12:44" x14ac:dyDescent="0.35">
      <c r="L1048" s="2">
        <f t="shared" si="63"/>
        <v>45294</v>
      </c>
      <c r="M1048" s="5">
        <f>HAVERD!BA1052/HAVERD!BB1052</f>
        <v>61.118150142540394</v>
      </c>
      <c r="AJ1048" s="2">
        <f t="shared" si="62"/>
        <v>45294</v>
      </c>
      <c r="AK1048" s="2" t="s">
        <v>2180</v>
      </c>
      <c r="AL1048" s="3">
        <f>IF(HAVERD!H1052="",AL1047,AVERAGE(HAVERD!H1052:Q1052))</f>
        <v>90.122</v>
      </c>
      <c r="AM1048" s="3">
        <f t="shared" si="60"/>
        <v>92.593193548387077</v>
      </c>
      <c r="AR1048" s="3">
        <f t="shared" si="61"/>
        <v>92.593193548387077</v>
      </c>
    </row>
    <row r="1049" spans="12:44" x14ac:dyDescent="0.35">
      <c r="L1049" s="2">
        <f t="shared" si="63"/>
        <v>45295</v>
      </c>
      <c r="M1049" s="5">
        <f>HAVERD!BA1053/HAVERD!BB1053</f>
        <v>59.681864713756994</v>
      </c>
      <c r="AJ1049" s="2">
        <f t="shared" si="62"/>
        <v>45295</v>
      </c>
      <c r="AK1049" s="2" t="s">
        <v>2180</v>
      </c>
      <c r="AL1049" s="3">
        <f>IF(HAVERD!H1053="",AL1048,AVERAGE(HAVERD!H1053:Q1053))</f>
        <v>92.115000000000009</v>
      </c>
      <c r="AM1049" s="3">
        <f t="shared" si="60"/>
        <v>92.593193548387077</v>
      </c>
      <c r="AR1049" s="3">
        <f t="shared" si="61"/>
        <v>92.593193548387077</v>
      </c>
    </row>
    <row r="1050" spans="12:44" x14ac:dyDescent="0.35">
      <c r="L1050" s="2">
        <f t="shared" si="63"/>
        <v>45296</v>
      </c>
      <c r="M1050" s="5">
        <f>HAVERD!BA1054/HAVERD!BB1054</f>
        <v>61.409974905897123</v>
      </c>
      <c r="AJ1050" s="2">
        <f t="shared" si="62"/>
        <v>45296</v>
      </c>
      <c r="AK1050" s="2" t="s">
        <v>2180</v>
      </c>
      <c r="AL1050" s="3">
        <f>IF(HAVERD!H1054="",AL1049,AVERAGE(HAVERD!H1054:Q1054))</f>
        <v>94.22399999999999</v>
      </c>
      <c r="AM1050" s="3">
        <f t="shared" si="60"/>
        <v>92.593193548387077</v>
      </c>
      <c r="AR1050" s="3">
        <f t="shared" si="61"/>
        <v>92.593193548387077</v>
      </c>
    </row>
    <row r="1051" spans="12:44" x14ac:dyDescent="0.35">
      <c r="L1051" s="2">
        <f t="shared" si="63"/>
        <v>45299</v>
      </c>
      <c r="M1051" s="5">
        <f>HAVERD!BA1055/HAVERD!BB1055</f>
        <v>59.192156862745101</v>
      </c>
      <c r="AJ1051" s="2">
        <f t="shared" si="62"/>
        <v>45299</v>
      </c>
      <c r="AK1051" s="2" t="s">
        <v>2180</v>
      </c>
      <c r="AL1051" s="3">
        <f>IF(HAVERD!H1055="",AL1050,AVERAGE(HAVERD!H1055:Q1055))</f>
        <v>87.926999999999992</v>
      </c>
      <c r="AM1051" s="3">
        <f t="shared" si="60"/>
        <v>92.593193548387077</v>
      </c>
      <c r="AR1051" s="3">
        <f t="shared" si="61"/>
        <v>92.593193548387077</v>
      </c>
    </row>
    <row r="1052" spans="12:44" x14ac:dyDescent="0.35">
      <c r="L1052" s="2">
        <f t="shared" si="63"/>
        <v>45300</v>
      </c>
      <c r="M1052" s="5">
        <f>HAVERD!BA1056/HAVERD!BB1056</f>
        <v>61.374370277078086</v>
      </c>
      <c r="AJ1052" s="2">
        <f t="shared" si="62"/>
        <v>45300</v>
      </c>
      <c r="AK1052" s="2" t="s">
        <v>2180</v>
      </c>
      <c r="AL1052" s="3">
        <f>IF(HAVERD!H1056="",AL1051,AVERAGE(HAVERD!H1056:Q1056))</f>
        <v>85.876999999999995</v>
      </c>
      <c r="AM1052" s="3">
        <f t="shared" si="60"/>
        <v>92.593193548387077</v>
      </c>
      <c r="AR1052" s="3">
        <f t="shared" si="61"/>
        <v>92.593193548387077</v>
      </c>
    </row>
    <row r="1053" spans="12:44" x14ac:dyDescent="0.35">
      <c r="L1053" s="2">
        <f t="shared" si="63"/>
        <v>45301</v>
      </c>
      <c r="M1053" s="5">
        <f>HAVERD!BA1057/HAVERD!BB1057</f>
        <v>61.60489949748743</v>
      </c>
      <c r="AJ1053" s="2">
        <f t="shared" si="62"/>
        <v>45301</v>
      </c>
      <c r="AK1053" s="2" t="s">
        <v>2180</v>
      </c>
      <c r="AL1053" s="3">
        <f>IF(HAVERD!H1057="",AL1052,AVERAGE(HAVERD!H1057:Q1057))</f>
        <v>86.495999999999995</v>
      </c>
      <c r="AM1053" s="3">
        <f t="shared" si="60"/>
        <v>92.593193548387077</v>
      </c>
      <c r="AR1053" s="3">
        <f t="shared" si="61"/>
        <v>92.593193548387077</v>
      </c>
    </row>
    <row r="1054" spans="12:44" x14ac:dyDescent="0.35">
      <c r="L1054" s="2">
        <f t="shared" si="63"/>
        <v>45302</v>
      </c>
      <c r="M1054" s="5">
        <f>HAVERD!BA1058/HAVERD!BB1058</f>
        <v>63.087934560327191</v>
      </c>
      <c r="AJ1054" s="2">
        <f t="shared" si="62"/>
        <v>45302</v>
      </c>
      <c r="AK1054" s="2" t="s">
        <v>2180</v>
      </c>
      <c r="AL1054" s="3">
        <f>IF(HAVERD!H1058="",AL1053,AVERAGE(HAVERD!H1058:Q1058))</f>
        <v>86.209000000000017</v>
      </c>
      <c r="AM1054" s="3">
        <f t="shared" si="60"/>
        <v>92.593193548387077</v>
      </c>
      <c r="AR1054" s="3">
        <f t="shared" si="61"/>
        <v>92.593193548387077</v>
      </c>
    </row>
    <row r="1055" spans="12:44" x14ac:dyDescent="0.35">
      <c r="L1055" s="2">
        <f t="shared" si="63"/>
        <v>45303</v>
      </c>
      <c r="M1055" s="5">
        <f>HAVERD!BA1059/HAVERD!BB1059</f>
        <v>62.604811535146148</v>
      </c>
      <c r="AJ1055" s="2">
        <f t="shared" si="62"/>
        <v>45303</v>
      </c>
      <c r="AK1055" s="2" t="s">
        <v>2180</v>
      </c>
      <c r="AL1055" s="3">
        <f>IF(HAVERD!H1059="",AL1054,AVERAGE(HAVERD!H1059:Q1059))</f>
        <v>88.323000000000008</v>
      </c>
      <c r="AM1055" s="3">
        <f t="shared" si="60"/>
        <v>92.593193548387077</v>
      </c>
      <c r="AR1055" s="3">
        <f t="shared" si="61"/>
        <v>92.593193548387077</v>
      </c>
    </row>
    <row r="1056" spans="12:44" x14ac:dyDescent="0.35">
      <c r="L1056" s="2">
        <f t="shared" si="63"/>
        <v>45306</v>
      </c>
      <c r="M1056" s="5">
        <f>HAVERD!BA1060/HAVERD!BB1060</f>
        <v>62.650223863011554</v>
      </c>
      <c r="AJ1056" s="2">
        <f t="shared" si="62"/>
        <v>45306</v>
      </c>
      <c r="AK1056" s="2" t="s">
        <v>2180</v>
      </c>
      <c r="AL1056" s="3">
        <f>IF(HAVERD!H1060="",AL1055,AVERAGE(HAVERD!H1060:Q1060))</f>
        <v>83.870999999999995</v>
      </c>
      <c r="AM1056" s="3">
        <f t="shared" si="60"/>
        <v>92.593193548387077</v>
      </c>
      <c r="AR1056" s="3">
        <f t="shared" si="61"/>
        <v>92.593193548387077</v>
      </c>
    </row>
    <row r="1057" spans="12:44" x14ac:dyDescent="0.35">
      <c r="L1057" s="2">
        <f>+L1052+7</f>
        <v>45307</v>
      </c>
      <c r="M1057" s="5">
        <f>HAVERD!BA1061/HAVERD!BB1061</f>
        <v>63.28464271614687</v>
      </c>
      <c r="AJ1057" s="2">
        <f t="shared" si="62"/>
        <v>45307</v>
      </c>
      <c r="AK1057" s="2" t="s">
        <v>2180</v>
      </c>
      <c r="AL1057" s="3">
        <f>IF(HAVERD!H1061="",AL1056,AVERAGE(HAVERD!H1061:Q1061))</f>
        <v>83.224999999999994</v>
      </c>
      <c r="AM1057" s="3">
        <f t="shared" si="60"/>
        <v>92.593193548387077</v>
      </c>
      <c r="AR1057" s="3">
        <f t="shared" si="61"/>
        <v>92.593193548387077</v>
      </c>
    </row>
    <row r="1058" spans="12:44" x14ac:dyDescent="0.35">
      <c r="L1058" s="2">
        <f t="shared" ref="L1058:L1065" si="64">+L1053+7</f>
        <v>45308</v>
      </c>
      <c r="M1058" s="5">
        <f>HAVERD!BA1062/HAVERD!BB1062</f>
        <v>62.316321693790485</v>
      </c>
      <c r="AJ1058" s="2">
        <f t="shared" si="62"/>
        <v>45308</v>
      </c>
      <c r="AK1058" s="2" t="s">
        <v>2180</v>
      </c>
      <c r="AL1058" s="3">
        <f>IF(HAVERD!H1062="",AL1057,AVERAGE(HAVERD!H1062:Q1062))</f>
        <v>78.671999999999997</v>
      </c>
      <c r="AM1058" s="3">
        <f t="shared" si="60"/>
        <v>92.593193548387077</v>
      </c>
      <c r="AR1058" s="3">
        <f t="shared" si="61"/>
        <v>92.593193548387077</v>
      </c>
    </row>
    <row r="1059" spans="12:44" x14ac:dyDescent="0.35">
      <c r="L1059" s="2">
        <f t="shared" si="64"/>
        <v>45309</v>
      </c>
      <c r="M1059" s="5">
        <f>HAVERD!BA1063/HAVERD!BB1063</f>
        <v>63.952020202020201</v>
      </c>
      <c r="AJ1059" s="2">
        <f t="shared" si="62"/>
        <v>45309</v>
      </c>
      <c r="AK1059" s="2" t="s">
        <v>2180</v>
      </c>
      <c r="AL1059" s="3">
        <f>IF(HAVERD!H1063="",AL1058,AVERAGE(HAVERD!H1063:Q1063))</f>
        <v>79.47999999999999</v>
      </c>
      <c r="AM1059" s="3">
        <f t="shared" si="60"/>
        <v>92.593193548387077</v>
      </c>
      <c r="AR1059" s="3">
        <f t="shared" si="61"/>
        <v>92.593193548387077</v>
      </c>
    </row>
    <row r="1060" spans="12:44" x14ac:dyDescent="0.35">
      <c r="L1060" s="2">
        <f t="shared" si="64"/>
        <v>45310</v>
      </c>
      <c r="M1060" s="5">
        <f>HAVERD!BA1064/HAVERD!BB1064</f>
        <v>63.651419558359613</v>
      </c>
      <c r="AJ1060" s="2">
        <f t="shared" si="62"/>
        <v>45310</v>
      </c>
      <c r="AK1060" s="2" t="s">
        <v>2180</v>
      </c>
      <c r="AL1060" s="3">
        <f>IF(HAVERD!H1064="",AL1059,AVERAGE(HAVERD!H1064:Q1064))</f>
        <v>81.239000000000004</v>
      </c>
      <c r="AM1060" s="3">
        <f t="shared" si="60"/>
        <v>92.593193548387077</v>
      </c>
      <c r="AR1060" s="3">
        <f t="shared" si="61"/>
        <v>92.593193548387077</v>
      </c>
    </row>
    <row r="1061" spans="12:44" x14ac:dyDescent="0.35">
      <c r="L1061" s="2">
        <f t="shared" si="64"/>
        <v>45313</v>
      </c>
      <c r="M1061" s="5">
        <f>HAVERD!BA1065/HAVERD!BB1065</f>
        <v>64.22451065167833</v>
      </c>
      <c r="AJ1061" s="2">
        <f t="shared" si="62"/>
        <v>45313</v>
      </c>
      <c r="AK1061" s="2" t="s">
        <v>2180</v>
      </c>
      <c r="AL1061" s="3">
        <f>IF(HAVERD!H1065="",AL1060,AVERAGE(HAVERD!H1065:Q1065))</f>
        <v>79.027000000000001</v>
      </c>
      <c r="AM1061" s="3">
        <f t="shared" si="60"/>
        <v>92.593193548387077</v>
      </c>
      <c r="AR1061" s="3">
        <f t="shared" si="61"/>
        <v>92.593193548387077</v>
      </c>
    </row>
    <row r="1062" spans="12:44" x14ac:dyDescent="0.35">
      <c r="L1062" s="2">
        <f t="shared" si="64"/>
        <v>45314</v>
      </c>
      <c r="M1062" s="5">
        <f>HAVERD!BA1066/HAVERD!BB1066</f>
        <v>64.771830096320869</v>
      </c>
      <c r="AJ1062" s="2">
        <f t="shared" si="62"/>
        <v>45314</v>
      </c>
      <c r="AK1062" s="2" t="s">
        <v>2180</v>
      </c>
      <c r="AL1062" s="3">
        <f>IF(HAVERD!H1066="",AL1061,AVERAGE(HAVERD!H1066:Q1066))</f>
        <v>79.623000000000005</v>
      </c>
      <c r="AM1062" s="3">
        <f t="shared" si="60"/>
        <v>92.593193548387077</v>
      </c>
      <c r="AR1062" s="3">
        <f t="shared" si="61"/>
        <v>92.593193548387077</v>
      </c>
    </row>
    <row r="1063" spans="12:44" x14ac:dyDescent="0.35">
      <c r="L1063" s="2">
        <f t="shared" si="64"/>
        <v>45315</v>
      </c>
      <c r="M1063" s="5">
        <f>HAVERD!BA1067/HAVERD!BB1067</f>
        <v>64.416215792362578</v>
      </c>
      <c r="AJ1063" s="2">
        <f t="shared" si="62"/>
        <v>45315</v>
      </c>
      <c r="AK1063" s="2" t="s">
        <v>2180</v>
      </c>
      <c r="AL1063" s="3">
        <f>IF(HAVERD!H1067="",AL1062,AVERAGE(HAVERD!H1067:Q1067))</f>
        <v>82.992000000000004</v>
      </c>
      <c r="AM1063" s="3">
        <f t="shared" si="60"/>
        <v>92.593193548387077</v>
      </c>
      <c r="AR1063" s="3">
        <f t="shared" si="61"/>
        <v>92.593193548387077</v>
      </c>
    </row>
    <row r="1064" spans="12:44" x14ac:dyDescent="0.35">
      <c r="L1064" s="2">
        <f t="shared" si="64"/>
        <v>45316</v>
      </c>
      <c r="M1064" s="5">
        <f>HAVERD!BA1068/HAVERD!BB1068</f>
        <v>64.826771653543304</v>
      </c>
      <c r="AJ1064" s="2">
        <f t="shared" si="62"/>
        <v>45316</v>
      </c>
      <c r="AK1064" s="2" t="s">
        <v>2180</v>
      </c>
      <c r="AL1064" s="3">
        <f>IF(HAVERD!H1068="",AL1063,AVERAGE(HAVERD!H1068:Q1068))</f>
        <v>80.782999999999987</v>
      </c>
      <c r="AM1064" s="3">
        <f t="shared" si="60"/>
        <v>92.593193548387077</v>
      </c>
      <c r="AR1064" s="3">
        <f t="shared" si="61"/>
        <v>92.593193548387077</v>
      </c>
    </row>
    <row r="1065" spans="12:44" x14ac:dyDescent="0.35">
      <c r="L1065" s="2">
        <f t="shared" si="64"/>
        <v>45317</v>
      </c>
      <c r="M1065" s="5">
        <f>HAVERD!BA1069/HAVERD!BB1069</f>
        <v>65.503419004951667</v>
      </c>
      <c r="AJ1065" s="2">
        <f t="shared" si="62"/>
        <v>45317</v>
      </c>
      <c r="AK1065" s="2" t="s">
        <v>2180</v>
      </c>
      <c r="AL1065" s="3">
        <f>IF(HAVERD!H1069="",AL1064,AVERAGE(HAVERD!H1069:Q1069))</f>
        <v>81.174000000000007</v>
      </c>
      <c r="AM1065" s="3">
        <f t="shared" si="60"/>
        <v>92.593193548387077</v>
      </c>
      <c r="AR1065" s="3">
        <f t="shared" si="61"/>
        <v>92.593193548387077</v>
      </c>
    </row>
    <row r="1066" spans="12:44" x14ac:dyDescent="0.35">
      <c r="L1066" s="2">
        <f>+L1061+7</f>
        <v>45320</v>
      </c>
      <c r="M1066" s="5">
        <f>HAVERD!BA1070/HAVERD!BB1070</f>
        <v>66.248619656097176</v>
      </c>
      <c r="AJ1066" s="2">
        <f t="shared" si="62"/>
        <v>45320</v>
      </c>
      <c r="AK1066" s="2" t="s">
        <v>2180</v>
      </c>
      <c r="AL1066" s="3">
        <f>IF(HAVERD!H1070="",AL1065,AVERAGE(HAVERD!H1070:Q1070))</f>
        <v>81.131</v>
      </c>
      <c r="AM1066" s="3">
        <f t="shared" si="60"/>
        <v>92.593193548387077</v>
      </c>
      <c r="AR1066" s="3">
        <f t="shared" si="61"/>
        <v>92.593193548387077</v>
      </c>
    </row>
    <row r="1067" spans="12:44" x14ac:dyDescent="0.35">
      <c r="L1067" s="2">
        <f t="shared" ref="L1067:L1130" si="65">+L1062+7</f>
        <v>45321</v>
      </c>
      <c r="M1067" s="5">
        <f>HAVERD!BA1071/HAVERD!BB1071</f>
        <v>66.42981209537345</v>
      </c>
      <c r="AJ1067" s="2">
        <f t="shared" si="62"/>
        <v>45321</v>
      </c>
      <c r="AK1067" s="2" t="s">
        <v>2180</v>
      </c>
      <c r="AL1067" s="3">
        <f>IF(HAVERD!H1071="",AL1066,AVERAGE(HAVERD!H1071:Q1071))</f>
        <v>83.281000000000006</v>
      </c>
      <c r="AM1067" s="3">
        <f t="shared" si="60"/>
        <v>92.593193548387077</v>
      </c>
      <c r="AR1067" s="3">
        <f t="shared" si="61"/>
        <v>92.593193548387077</v>
      </c>
    </row>
    <row r="1068" spans="12:44" x14ac:dyDescent="0.35">
      <c r="L1068" s="2">
        <f t="shared" si="65"/>
        <v>45322</v>
      </c>
      <c r="M1068" s="5">
        <f>HAVERD!BA1072/HAVERD!BB1072</f>
        <v>65.16924526820074</v>
      </c>
      <c r="AJ1068" s="2">
        <f t="shared" si="62"/>
        <v>45322</v>
      </c>
      <c r="AK1068" s="2" t="s">
        <v>2180</v>
      </c>
      <c r="AL1068" s="3">
        <f>IF(HAVERD!H1072="",AL1067,AVERAGE(HAVERD!H1072:Q1072))</f>
        <v>85.459000000000003</v>
      </c>
      <c r="AM1068" s="3">
        <f t="shared" si="60"/>
        <v>92.593193548387077</v>
      </c>
      <c r="AR1068" s="3">
        <f t="shared" si="61"/>
        <v>92.593193548387077</v>
      </c>
    </row>
    <row r="1069" spans="12:44" x14ac:dyDescent="0.35">
      <c r="L1069" s="2">
        <f t="shared" si="65"/>
        <v>45323</v>
      </c>
      <c r="M1069" s="5">
        <f>HAVERD!BA1073/HAVERD!BB1073</f>
        <v>64.816275035483372</v>
      </c>
      <c r="AJ1069" s="2">
        <f t="shared" si="62"/>
        <v>45323</v>
      </c>
      <c r="AK1069" s="2" t="s">
        <v>2181</v>
      </c>
      <c r="AL1069" s="3">
        <f>IF(HAVERD!H1073="",AL1068,AVERAGE(HAVERD!H1073:Q1073))</f>
        <v>83.840999999999994</v>
      </c>
      <c r="AM1069" s="3">
        <f t="shared" si="60"/>
        <v>92.593193548387077</v>
      </c>
      <c r="AR1069" s="3">
        <f t="shared" si="61"/>
        <v>92.593193548387077</v>
      </c>
    </row>
    <row r="1070" spans="12:44" x14ac:dyDescent="0.35">
      <c r="L1070" s="2">
        <f t="shared" si="65"/>
        <v>45324</v>
      </c>
      <c r="M1070" s="5">
        <f>HAVERD!BA1074/HAVERD!BB1074</f>
        <v>62.842695741486928</v>
      </c>
      <c r="AJ1070" s="2">
        <f t="shared" si="62"/>
        <v>45324</v>
      </c>
      <c r="AK1070" s="2" t="s">
        <v>2181</v>
      </c>
      <c r="AL1070" s="3">
        <f>IF(HAVERD!H1074="",AL1069,AVERAGE(HAVERD!H1074:Q1074))</f>
        <v>83.843000000000004</v>
      </c>
      <c r="AM1070" s="3">
        <f t="shared" si="60"/>
        <v>92.593193548387077</v>
      </c>
      <c r="AR1070" s="3">
        <f t="shared" si="61"/>
        <v>92.593193548387077</v>
      </c>
    </row>
    <row r="1071" spans="12:44" x14ac:dyDescent="0.35">
      <c r="L1071" s="2">
        <f t="shared" si="65"/>
        <v>45327</v>
      </c>
      <c r="M1071" s="5">
        <f>HAVERD!BA1075/HAVERD!BB1075</f>
        <v>63.333599552751373</v>
      </c>
      <c r="AJ1071" s="2">
        <f t="shared" si="62"/>
        <v>45327</v>
      </c>
      <c r="AK1071" s="2" t="s">
        <v>2181</v>
      </c>
      <c r="AL1071" s="3">
        <f>IF(HAVERD!H1075="",AL1070,AVERAGE(HAVERD!H1075:Q1075))</f>
        <v>81.703999999999994</v>
      </c>
      <c r="AM1071" s="3">
        <f t="shared" si="60"/>
        <v>92.593193548387077</v>
      </c>
      <c r="AR1071" s="3">
        <f t="shared" si="61"/>
        <v>92.593193548387077</v>
      </c>
    </row>
    <row r="1072" spans="12:44" x14ac:dyDescent="0.35">
      <c r="L1072" s="2">
        <f t="shared" si="65"/>
        <v>45328</v>
      </c>
      <c r="M1072" s="5">
        <f>HAVERD!BA1076/HAVERD!BB1076</f>
        <v>63.973920648803364</v>
      </c>
      <c r="AJ1072" s="2">
        <f t="shared" si="62"/>
        <v>45328</v>
      </c>
      <c r="AK1072" s="2" t="s">
        <v>2181</v>
      </c>
      <c r="AL1072" s="3">
        <f>IF(HAVERD!H1076="",AL1071,AVERAGE(HAVERD!H1076:Q1076))</f>
        <v>81.48</v>
      </c>
      <c r="AM1072" s="3">
        <f t="shared" si="60"/>
        <v>92.593193548387077</v>
      </c>
      <c r="AR1072" s="3">
        <f t="shared" si="61"/>
        <v>92.593193548387077</v>
      </c>
    </row>
    <row r="1073" spans="12:45" x14ac:dyDescent="0.35">
      <c r="L1073" s="2">
        <f t="shared" si="65"/>
        <v>45329</v>
      </c>
      <c r="M1073" s="5">
        <f>HAVERD!BA1077/HAVERD!BB1077</f>
        <v>64.265357821405956</v>
      </c>
      <c r="AJ1073" s="2">
        <f t="shared" si="62"/>
        <v>45329</v>
      </c>
      <c r="AK1073" s="2" t="s">
        <v>2181</v>
      </c>
      <c r="AL1073" s="3">
        <f>IF(HAVERD!H1077="",AL1072,AVERAGE(HAVERD!H1077:Q1077))</f>
        <v>79.951999999999998</v>
      </c>
      <c r="AM1073" s="3">
        <f t="shared" si="60"/>
        <v>92.593193548387077</v>
      </c>
      <c r="AR1073" s="3">
        <f t="shared" si="61"/>
        <v>92.593193548387077</v>
      </c>
    </row>
    <row r="1074" spans="12:45" x14ac:dyDescent="0.35">
      <c r="L1074" s="2">
        <f t="shared" si="65"/>
        <v>45330</v>
      </c>
      <c r="M1074" s="5">
        <f>HAVERD!BA1078/HAVERD!BB1078</f>
        <v>65.854819516065064</v>
      </c>
      <c r="AJ1074" s="2">
        <f t="shared" si="62"/>
        <v>45330</v>
      </c>
      <c r="AK1074" s="2" t="s">
        <v>2181</v>
      </c>
      <c r="AL1074" s="3">
        <f>IF(HAVERD!H1078="",AL1073,AVERAGE(HAVERD!H1078:Q1078))</f>
        <v>78.363</v>
      </c>
      <c r="AM1074" s="3">
        <f t="shared" si="60"/>
        <v>92.593193548387077</v>
      </c>
      <c r="AR1074" s="3">
        <f t="shared" si="61"/>
        <v>92.593193548387077</v>
      </c>
    </row>
    <row r="1075" spans="12:45" x14ac:dyDescent="0.35">
      <c r="L1075" s="2">
        <f t="shared" si="65"/>
        <v>45331</v>
      </c>
      <c r="M1075" s="5">
        <f>HAVERD!BA1079/HAVERD!BB1079</f>
        <v>66.165294490183655</v>
      </c>
      <c r="AJ1075" s="2">
        <f t="shared" si="62"/>
        <v>45331</v>
      </c>
      <c r="AK1075" s="2" t="s">
        <v>2181</v>
      </c>
      <c r="AL1075" s="3">
        <f>IF(HAVERD!H1079="",AL1074,AVERAGE(HAVERD!H1079:Q1079))</f>
        <v>76.201999999999984</v>
      </c>
      <c r="AM1075" s="3">
        <f t="shared" si="60"/>
        <v>92.593193548387077</v>
      </c>
      <c r="AR1075" s="3">
        <f t="shared" si="61"/>
        <v>92.593193548387077</v>
      </c>
    </row>
    <row r="1076" spans="12:45" x14ac:dyDescent="0.35">
      <c r="L1076" s="2">
        <f t="shared" si="65"/>
        <v>45334</v>
      </c>
      <c r="M1076" s="5">
        <f>HAVERD!BA1080/HAVERD!BB1080</f>
        <v>66.49227110582639</v>
      </c>
      <c r="AJ1076" s="2">
        <f t="shared" si="62"/>
        <v>45334</v>
      </c>
      <c r="AK1076" s="2" t="s">
        <v>2181</v>
      </c>
      <c r="AL1076" s="3">
        <f>IF(HAVERD!H1080="",AL1075,AVERAGE(HAVERD!H1080:Q1080))</f>
        <v>74.190000000000012</v>
      </c>
      <c r="AM1076" s="3">
        <f t="shared" si="60"/>
        <v>92.593193548387077</v>
      </c>
      <c r="AR1076" s="3">
        <f t="shared" si="61"/>
        <v>92.593193548387077</v>
      </c>
    </row>
    <row r="1077" spans="12:45" x14ac:dyDescent="0.35">
      <c r="L1077" s="2">
        <f t="shared" si="65"/>
        <v>45335</v>
      </c>
      <c r="M1077" s="5">
        <f>HAVERD!BA1081/HAVERD!BB1081</f>
        <v>67.23275930481708</v>
      </c>
      <c r="AJ1077" s="2">
        <f t="shared" si="62"/>
        <v>45335</v>
      </c>
      <c r="AK1077" s="2" t="s">
        <v>2181</v>
      </c>
      <c r="AL1077" s="3">
        <f>IF(HAVERD!H1081="",AL1076,AVERAGE(HAVERD!H1081:Q1081))</f>
        <v>73</v>
      </c>
      <c r="AM1077" s="3">
        <f t="shared" si="60"/>
        <v>92.593193548387077</v>
      </c>
      <c r="AR1077" s="3">
        <f t="shared" si="61"/>
        <v>92.593193548387077</v>
      </c>
    </row>
    <row r="1078" spans="12:45" x14ac:dyDescent="0.35">
      <c r="L1078" s="2">
        <f t="shared" si="65"/>
        <v>45336</v>
      </c>
      <c r="M1078" s="5">
        <f>HAVERD!BA1082/HAVERD!BB1082</f>
        <v>67.264323850506017</v>
      </c>
      <c r="AJ1078" s="2">
        <f t="shared" si="62"/>
        <v>45336</v>
      </c>
      <c r="AK1078" s="2" t="s">
        <v>2181</v>
      </c>
      <c r="AL1078" s="3">
        <f>IF(HAVERD!H1082="",AL1077,AVERAGE(HAVERD!H1082:Q1082))</f>
        <v>71.641999999999996</v>
      </c>
      <c r="AM1078" s="3">
        <f t="shared" si="60"/>
        <v>92.593193548387077</v>
      </c>
      <c r="AR1078" s="3">
        <f t="shared" si="61"/>
        <v>92.593193548387077</v>
      </c>
    </row>
    <row r="1079" spans="12:45" x14ac:dyDescent="0.35">
      <c r="L1079" s="2">
        <f t="shared" si="65"/>
        <v>45337</v>
      </c>
      <c r="M1079" s="5">
        <f>HAVERD!BA1083/HAVERD!BB1083</f>
        <v>67.008343265792618</v>
      </c>
      <c r="AJ1079" s="2">
        <f t="shared" si="62"/>
        <v>45337</v>
      </c>
      <c r="AK1079" s="2" t="s">
        <v>2181</v>
      </c>
      <c r="AL1079" s="3">
        <f>IF(HAVERD!H1083="",AL1078,AVERAGE(HAVERD!H1083:Q1083))</f>
        <v>72.096000000000004</v>
      </c>
      <c r="AM1079" s="3">
        <f t="shared" si="60"/>
        <v>92.593193548387077</v>
      </c>
      <c r="AR1079" s="3">
        <f t="shared" si="61"/>
        <v>92.593193548387077</v>
      </c>
    </row>
    <row r="1080" spans="12:45" x14ac:dyDescent="0.35">
      <c r="L1080" s="2">
        <f t="shared" si="65"/>
        <v>45338</v>
      </c>
      <c r="M1080" s="5">
        <f>HAVERD!BA1084/HAVERD!BB1084</f>
        <v>67.450731087094724</v>
      </c>
      <c r="AJ1080" s="2">
        <f t="shared" si="62"/>
        <v>45338</v>
      </c>
      <c r="AK1080" s="2" t="s">
        <v>2181</v>
      </c>
      <c r="AL1080" s="3">
        <f>IF(HAVERD!H1084="",AL1079,AVERAGE(HAVERD!H1084:Q1084))</f>
        <v>72.027000000000001</v>
      </c>
      <c r="AR1080" s="3">
        <f t="shared" si="61"/>
        <v>92.593193548387077</v>
      </c>
    </row>
    <row r="1081" spans="12:45" x14ac:dyDescent="0.35">
      <c r="L1081" s="2">
        <f t="shared" si="65"/>
        <v>45341</v>
      </c>
      <c r="M1081" s="5">
        <f>HAVERD!BA1085/HAVERD!BB1085</f>
        <v>67.94311591324383</v>
      </c>
      <c r="AI1081" t="s">
        <v>1323</v>
      </c>
      <c r="AJ1081" s="2">
        <f t="shared" si="62"/>
        <v>45341</v>
      </c>
      <c r="AK1081" s="2" t="s">
        <v>2181</v>
      </c>
      <c r="AL1081" s="3">
        <f>IF(HAVERD!H1085="",AL1080,AVERAGE(HAVERD!H1085:Q1085))</f>
        <v>69.853999999999985</v>
      </c>
      <c r="AM1081" s="3">
        <f>AVERAGE($AL$1081:$AL$1109,$AL$1111:$AL$1144)</f>
        <v>81.688301587301623</v>
      </c>
      <c r="AS1081" s="3">
        <f>AVERAGE($AL$1081:$AL$1109,$AL$1111:$AL$1144)</f>
        <v>81.688301587301623</v>
      </c>
    </row>
    <row r="1082" spans="12:45" x14ac:dyDescent="0.35">
      <c r="L1082" s="2">
        <f t="shared" si="65"/>
        <v>45342</v>
      </c>
      <c r="M1082" s="5">
        <f>HAVERD!BA1086/HAVERD!BB1086</f>
        <v>66.956247038382557</v>
      </c>
      <c r="AJ1082" s="2">
        <f t="shared" si="62"/>
        <v>45342</v>
      </c>
      <c r="AK1082" s="2" t="s">
        <v>2181</v>
      </c>
      <c r="AL1082" s="3">
        <f>IF(HAVERD!H1086="",AL1081,AVERAGE(HAVERD!H1086:Q1086))</f>
        <v>71.338999999999999</v>
      </c>
      <c r="AM1082" s="3">
        <f t="shared" ref="AM1082:AM1144" si="66">AVERAGE($AL$1081:$AL$1109,$AL$1111:$AL$1144)</f>
        <v>81.688301587301623</v>
      </c>
      <c r="AS1082" s="3">
        <f t="shared" ref="AS1082:AS1145" si="67">AVERAGE($AL$1081:$AL$1109,$AL$1111:$AL$1144)</f>
        <v>81.688301587301623</v>
      </c>
    </row>
    <row r="1083" spans="12:45" x14ac:dyDescent="0.35">
      <c r="L1083" s="2">
        <f t="shared" si="65"/>
        <v>45343</v>
      </c>
      <c r="M1083" s="5">
        <f>HAVERD!BA1087/HAVERD!BB1087</f>
        <v>67.21376466856961</v>
      </c>
      <c r="AJ1083" s="2">
        <f t="shared" si="62"/>
        <v>45343</v>
      </c>
      <c r="AK1083" s="2" t="s">
        <v>2181</v>
      </c>
      <c r="AL1083" s="3">
        <f>IF(HAVERD!H1087="",AL1082,AVERAGE(HAVERD!H1087:Q1087))</f>
        <v>71.042999999999992</v>
      </c>
      <c r="AM1083" s="3">
        <f t="shared" si="66"/>
        <v>81.688301587301623</v>
      </c>
      <c r="AS1083" s="3">
        <f t="shared" si="67"/>
        <v>81.688301587301623</v>
      </c>
    </row>
    <row r="1084" spans="12:45" x14ac:dyDescent="0.35">
      <c r="L1084" s="2">
        <f t="shared" si="65"/>
        <v>45344</v>
      </c>
      <c r="M1084" s="5">
        <f>HAVERD!BA1088/HAVERD!BB1088</f>
        <v>68.013628080183821</v>
      </c>
      <c r="AJ1084" s="2">
        <f t="shared" si="62"/>
        <v>45344</v>
      </c>
      <c r="AK1084" s="2" t="s">
        <v>2181</v>
      </c>
      <c r="AL1084" s="3">
        <f>IF(HAVERD!H1088="",AL1083,AVERAGE(HAVERD!H1088:Q1088))</f>
        <v>69.286000000000016</v>
      </c>
      <c r="AM1084" s="3">
        <f t="shared" si="66"/>
        <v>81.688301587301623</v>
      </c>
      <c r="AS1084" s="3">
        <f t="shared" si="67"/>
        <v>81.688301587301623</v>
      </c>
    </row>
    <row r="1085" spans="12:45" x14ac:dyDescent="0.35">
      <c r="L1085" s="2">
        <f t="shared" si="65"/>
        <v>45345</v>
      </c>
      <c r="M1085" s="5">
        <f>HAVERD!BA1089/HAVERD!BB1089</f>
        <v>66.403723278378166</v>
      </c>
      <c r="AJ1085" s="2">
        <f t="shared" si="62"/>
        <v>45345</v>
      </c>
      <c r="AK1085" s="2" t="s">
        <v>2181</v>
      </c>
      <c r="AL1085" s="3">
        <f>IF(HAVERD!H1089="",AL1084,AVERAGE(HAVERD!H1089:Q1089))</f>
        <v>67.635999999999996</v>
      </c>
      <c r="AM1085" s="3">
        <f t="shared" si="66"/>
        <v>81.688301587301623</v>
      </c>
      <c r="AS1085" s="3">
        <f t="shared" si="67"/>
        <v>81.688301587301623</v>
      </c>
    </row>
    <row r="1086" spans="12:45" x14ac:dyDescent="0.35">
      <c r="L1086" s="2">
        <f t="shared" si="65"/>
        <v>45348</v>
      </c>
      <c r="M1086" s="5">
        <f>HAVERD!BA1090/HAVERD!BB1090</f>
        <v>66.233049511195219</v>
      </c>
      <c r="AJ1086" s="2">
        <f t="shared" si="62"/>
        <v>45348</v>
      </c>
      <c r="AK1086" s="2" t="s">
        <v>2181</v>
      </c>
      <c r="AL1086" s="3">
        <f>IF(HAVERD!H1090="",AL1085,AVERAGE(HAVERD!H1090:Q1090))</f>
        <v>69.75</v>
      </c>
      <c r="AM1086" s="3">
        <f t="shared" si="66"/>
        <v>81.688301587301623</v>
      </c>
      <c r="AS1086" s="3">
        <f t="shared" si="67"/>
        <v>81.688301587301623</v>
      </c>
    </row>
    <row r="1087" spans="12:45" x14ac:dyDescent="0.35">
      <c r="L1087" s="2">
        <f t="shared" si="65"/>
        <v>45349</v>
      </c>
      <c r="M1087" s="5">
        <f>HAVERD!BA1091/HAVERD!BB1091</f>
        <v>66.072695734447692</v>
      </c>
      <c r="AJ1087" s="2">
        <f t="shared" si="62"/>
        <v>45349</v>
      </c>
      <c r="AK1087" s="2" t="s">
        <v>2181</v>
      </c>
      <c r="AL1087" s="3">
        <f>IF(HAVERD!H1091="",AL1086,AVERAGE(HAVERD!H1091:Q1091))</f>
        <v>71.080000000000013</v>
      </c>
      <c r="AM1087" s="3">
        <f t="shared" si="66"/>
        <v>81.688301587301623</v>
      </c>
      <c r="AS1087" s="3">
        <f t="shared" si="67"/>
        <v>81.688301587301623</v>
      </c>
    </row>
    <row r="1088" spans="12:45" x14ac:dyDescent="0.35">
      <c r="L1088" s="2">
        <f t="shared" si="65"/>
        <v>45350</v>
      </c>
      <c r="M1088" s="5">
        <f>HAVERD!BA1092/HAVERD!BB1092</f>
        <v>66.450644116019916</v>
      </c>
      <c r="AJ1088" s="2">
        <f t="shared" si="62"/>
        <v>45350</v>
      </c>
      <c r="AK1088" s="2" t="s">
        <v>2181</v>
      </c>
      <c r="AL1088" s="3">
        <f>IF(HAVERD!H1092="",AL1087,AVERAGE(HAVERD!H1092:Q1092))</f>
        <v>74.072999999999993</v>
      </c>
      <c r="AM1088" s="3">
        <f t="shared" si="66"/>
        <v>81.688301587301623</v>
      </c>
      <c r="AS1088" s="3">
        <f t="shared" si="67"/>
        <v>81.688301587301623</v>
      </c>
    </row>
    <row r="1089" spans="12:45" x14ac:dyDescent="0.35">
      <c r="L1089" s="2">
        <f t="shared" si="65"/>
        <v>45351</v>
      </c>
      <c r="M1089" s="5">
        <f>HAVERD!BA1093/HAVERD!BB1093</f>
        <v>66.853754940711468</v>
      </c>
      <c r="AJ1089" s="2">
        <f t="shared" si="62"/>
        <v>45351</v>
      </c>
      <c r="AK1089" s="2" t="s">
        <v>2181</v>
      </c>
      <c r="AL1089" s="3">
        <f>IF(HAVERD!H1093="",AL1088,AVERAGE(HAVERD!H1093:Q1093))</f>
        <v>73.602000000000004</v>
      </c>
      <c r="AM1089" s="3">
        <f t="shared" si="66"/>
        <v>81.688301587301623</v>
      </c>
      <c r="AS1089" s="3">
        <f t="shared" si="67"/>
        <v>81.688301587301623</v>
      </c>
    </row>
    <row r="1090" spans="12:45" x14ac:dyDescent="0.35">
      <c r="L1090" s="2">
        <f t="shared" si="65"/>
        <v>45352</v>
      </c>
      <c r="M1090" s="5">
        <f>HAVERD!BA1094/HAVERD!BB1094</f>
        <v>67.040784065760349</v>
      </c>
      <c r="AJ1090" s="2">
        <f t="shared" si="62"/>
        <v>45352</v>
      </c>
      <c r="AK1090" s="2" t="s">
        <v>2182</v>
      </c>
      <c r="AL1090" s="3">
        <f>IF(HAVERD!H1094="",AL1089,AVERAGE(HAVERD!H1094:Q1094))</f>
        <v>75.474999999999994</v>
      </c>
      <c r="AM1090" s="3">
        <f t="shared" si="66"/>
        <v>81.688301587301623</v>
      </c>
      <c r="AS1090" s="3">
        <f t="shared" si="67"/>
        <v>81.688301587301623</v>
      </c>
    </row>
    <row r="1091" spans="12:45" x14ac:dyDescent="0.35">
      <c r="L1091" s="2">
        <f t="shared" si="65"/>
        <v>45355</v>
      </c>
      <c r="M1091" s="5">
        <f>HAVERD!BA1095/HAVERD!BB1095</f>
        <v>68.183965978894307</v>
      </c>
      <c r="AJ1091" s="2">
        <f t="shared" si="62"/>
        <v>45355</v>
      </c>
      <c r="AK1091" s="2" t="s">
        <v>2182</v>
      </c>
      <c r="AL1091" s="3">
        <f>IF(HAVERD!H1095="",AL1090,AVERAGE(HAVERD!H1095:Q1095))</f>
        <v>77.259999999999991</v>
      </c>
      <c r="AM1091" s="3">
        <f t="shared" si="66"/>
        <v>81.688301587301623</v>
      </c>
      <c r="AS1091" s="3">
        <f t="shared" si="67"/>
        <v>81.688301587301623</v>
      </c>
    </row>
    <row r="1092" spans="12:45" x14ac:dyDescent="0.35">
      <c r="L1092" s="2">
        <f t="shared" si="65"/>
        <v>45356</v>
      </c>
      <c r="M1092" s="5">
        <f>HAVERD!BA1096/HAVERD!BB1096</f>
        <v>67.404963870562355</v>
      </c>
      <c r="AJ1092" s="2">
        <f t="shared" si="62"/>
        <v>45356</v>
      </c>
      <c r="AK1092" s="2" t="s">
        <v>2182</v>
      </c>
      <c r="AL1092" s="3">
        <f>IF(HAVERD!H1096="",AL1091,AVERAGE(HAVERD!H1096:Q1096))</f>
        <v>78.34</v>
      </c>
      <c r="AM1092" s="3">
        <f t="shared" si="66"/>
        <v>81.688301587301623</v>
      </c>
      <c r="AS1092" s="3">
        <f t="shared" si="67"/>
        <v>81.688301587301623</v>
      </c>
    </row>
    <row r="1093" spans="12:45" x14ac:dyDescent="0.35">
      <c r="L1093" s="2">
        <f t="shared" si="65"/>
        <v>45357</v>
      </c>
      <c r="M1093" s="5">
        <f>HAVERD!BA1097/HAVERD!BB1097</f>
        <v>67.951031939103828</v>
      </c>
      <c r="AJ1093" s="2">
        <f t="shared" si="62"/>
        <v>45357</v>
      </c>
      <c r="AK1093" s="2" t="s">
        <v>2182</v>
      </c>
      <c r="AL1093" s="3">
        <f>IF(HAVERD!H1097="",AL1092,AVERAGE(HAVERD!H1097:Q1097))</f>
        <v>77.013999999999996</v>
      </c>
      <c r="AM1093" s="3">
        <f t="shared" si="66"/>
        <v>81.688301587301623</v>
      </c>
      <c r="AS1093" s="3">
        <f t="shared" si="67"/>
        <v>81.688301587301623</v>
      </c>
    </row>
    <row r="1094" spans="12:45" x14ac:dyDescent="0.35">
      <c r="L1094" s="2">
        <f t="shared" si="65"/>
        <v>45358</v>
      </c>
      <c r="M1094" s="5">
        <f>HAVERD!BA1098/HAVERD!BB1098</f>
        <v>66.36953632027523</v>
      </c>
      <c r="AJ1094" s="2">
        <f t="shared" si="62"/>
        <v>45358</v>
      </c>
      <c r="AK1094" s="2" t="s">
        <v>2182</v>
      </c>
      <c r="AL1094" s="3">
        <f>IF(HAVERD!H1098="",AL1093,AVERAGE(HAVERD!H1098:Q1098))</f>
        <v>75.41</v>
      </c>
      <c r="AM1094" s="3">
        <f t="shared" si="66"/>
        <v>81.688301587301623</v>
      </c>
      <c r="AS1094" s="3">
        <f t="shared" si="67"/>
        <v>81.688301587301623</v>
      </c>
    </row>
    <row r="1095" spans="12:45" x14ac:dyDescent="0.35">
      <c r="L1095" s="2">
        <f t="shared" si="65"/>
        <v>45359</v>
      </c>
      <c r="M1095" s="5">
        <f>HAVERD!BA1099/HAVERD!BB1099</f>
        <v>65.43746603524572</v>
      </c>
      <c r="AJ1095" s="2">
        <f t="shared" si="62"/>
        <v>45359</v>
      </c>
      <c r="AK1095" s="2" t="s">
        <v>2182</v>
      </c>
      <c r="AL1095" s="3">
        <f>IF(HAVERD!H1099="",AL1094,AVERAGE(HAVERD!H1099:Q1099))</f>
        <v>75.772000000000006</v>
      </c>
      <c r="AM1095" s="3">
        <f t="shared" si="66"/>
        <v>81.688301587301623</v>
      </c>
      <c r="AS1095" s="3">
        <f t="shared" si="67"/>
        <v>81.688301587301623</v>
      </c>
    </row>
    <row r="1096" spans="12:45" x14ac:dyDescent="0.35">
      <c r="L1096" s="2">
        <f t="shared" si="65"/>
        <v>45362</v>
      </c>
      <c r="M1096" s="5">
        <f>HAVERD!BA1100/HAVERD!BB1100</f>
        <v>65.162046075751661</v>
      </c>
      <c r="AJ1096" s="2">
        <f t="shared" si="62"/>
        <v>45362</v>
      </c>
      <c r="AK1096" s="2" t="s">
        <v>2182</v>
      </c>
      <c r="AL1096" s="3">
        <f>IF(HAVERD!H1100="",AL1095,AVERAGE(HAVERD!H1100:Q1100))</f>
        <v>73.105000000000004</v>
      </c>
      <c r="AM1096" s="3">
        <f t="shared" si="66"/>
        <v>81.688301587301623</v>
      </c>
      <c r="AS1096" s="3">
        <f t="shared" si="67"/>
        <v>81.688301587301623</v>
      </c>
    </row>
    <row r="1097" spans="12:45" x14ac:dyDescent="0.35">
      <c r="L1097" s="2">
        <f t="shared" si="65"/>
        <v>45363</v>
      </c>
      <c r="M1097" s="5">
        <f>HAVERD!BA1101/HAVERD!BB1101</f>
        <v>65.441176470588232</v>
      </c>
      <c r="AJ1097" s="2">
        <f t="shared" ref="AJ1097:AJ1160" si="68">+AJ1092+7</f>
        <v>45363</v>
      </c>
      <c r="AK1097" s="2" t="s">
        <v>2182</v>
      </c>
      <c r="AL1097" s="3">
        <f>IF(HAVERD!H1101="",AL1096,AVERAGE(HAVERD!H1101:Q1101))</f>
        <v>72.304000000000002</v>
      </c>
      <c r="AM1097" s="3">
        <f t="shared" si="66"/>
        <v>81.688301587301623</v>
      </c>
      <c r="AS1097" s="3">
        <f t="shared" si="67"/>
        <v>81.688301587301623</v>
      </c>
    </row>
    <row r="1098" spans="12:45" x14ac:dyDescent="0.35">
      <c r="L1098" s="2">
        <f t="shared" si="65"/>
        <v>45364</v>
      </c>
      <c r="M1098" s="5">
        <f>HAVERD!BA1102/HAVERD!BB1102</f>
        <v>65.601312807689297</v>
      </c>
      <c r="AJ1098" s="2">
        <f t="shared" si="68"/>
        <v>45364</v>
      </c>
      <c r="AK1098" s="2" t="s">
        <v>2182</v>
      </c>
      <c r="AL1098" s="3">
        <f>IF(HAVERD!H1102="",AL1097,AVERAGE(HAVERD!H1102:Q1102))</f>
        <v>72.376000000000005</v>
      </c>
      <c r="AM1098" s="3">
        <f t="shared" si="66"/>
        <v>81.688301587301623</v>
      </c>
      <c r="AS1098" s="3">
        <f t="shared" si="67"/>
        <v>81.688301587301623</v>
      </c>
    </row>
    <row r="1099" spans="12:45" x14ac:dyDescent="0.35">
      <c r="L1099" s="2">
        <f t="shared" si="65"/>
        <v>45365</v>
      </c>
      <c r="M1099" s="5">
        <f>HAVERD!BA1103/HAVERD!BB1103</f>
        <v>67.592374676394442</v>
      </c>
      <c r="AJ1099" s="2">
        <f t="shared" si="68"/>
        <v>45365</v>
      </c>
      <c r="AK1099" s="2" t="s">
        <v>2182</v>
      </c>
      <c r="AL1099" s="3">
        <f>IF(HAVERD!H1103="",AL1098,AVERAGE(HAVERD!H1103:Q1103))</f>
        <v>74.725999999999999</v>
      </c>
      <c r="AM1099" s="3">
        <f t="shared" si="66"/>
        <v>81.688301587301623</v>
      </c>
      <c r="AS1099" s="3">
        <f t="shared" si="67"/>
        <v>81.688301587301623</v>
      </c>
    </row>
    <row r="1100" spans="12:45" x14ac:dyDescent="0.35">
      <c r="L1100" s="2">
        <f t="shared" si="65"/>
        <v>45366</v>
      </c>
      <c r="M1100" s="5">
        <f>HAVERD!BA1104/HAVERD!BB1104</f>
        <v>67.025117739403456</v>
      </c>
      <c r="AJ1100" s="2">
        <f t="shared" si="68"/>
        <v>45366</v>
      </c>
      <c r="AK1100" s="2" t="s">
        <v>2182</v>
      </c>
      <c r="AL1100" s="3">
        <f>IF(HAVERD!H1104="",AL1099,AVERAGE(HAVERD!H1104:Q1104))</f>
        <v>76.739999999999995</v>
      </c>
      <c r="AM1100" s="3">
        <f t="shared" si="66"/>
        <v>81.688301587301623</v>
      </c>
      <c r="AS1100" s="3">
        <f t="shared" si="67"/>
        <v>81.688301587301623</v>
      </c>
    </row>
    <row r="1101" spans="12:45" x14ac:dyDescent="0.35">
      <c r="L1101" s="2">
        <f t="shared" si="65"/>
        <v>45369</v>
      </c>
      <c r="M1101" s="5">
        <f>HAVERD!BA1105/HAVERD!BB1105</f>
        <v>67.910154716092038</v>
      </c>
      <c r="AJ1101" s="2">
        <f t="shared" si="68"/>
        <v>45369</v>
      </c>
      <c r="AK1101" s="2" t="s">
        <v>2182</v>
      </c>
      <c r="AL1101" s="3">
        <f>IF(HAVERD!H1105="",AL1100,AVERAGE(HAVERD!H1105:Q1105))</f>
        <v>80.349000000000018</v>
      </c>
      <c r="AM1101" s="3">
        <f t="shared" si="66"/>
        <v>81.688301587301623</v>
      </c>
      <c r="AS1101" s="3">
        <f t="shared" si="67"/>
        <v>81.688301587301623</v>
      </c>
    </row>
    <row r="1102" spans="12:45" x14ac:dyDescent="0.35">
      <c r="L1102" s="2">
        <f t="shared" si="65"/>
        <v>45370</v>
      </c>
      <c r="M1102" s="5">
        <f>HAVERD!BA1106/HAVERD!BB1106</f>
        <v>68.727873495397688</v>
      </c>
      <c r="AJ1102" s="2">
        <f t="shared" si="68"/>
        <v>45370</v>
      </c>
      <c r="AK1102" s="2" t="s">
        <v>2182</v>
      </c>
      <c r="AL1102" s="3">
        <f>IF(HAVERD!H1106="",AL1101,AVERAGE(HAVERD!H1106:Q1106))</f>
        <v>80.463999999999999</v>
      </c>
      <c r="AM1102" s="3">
        <f t="shared" si="66"/>
        <v>81.688301587301623</v>
      </c>
      <c r="AS1102" s="3">
        <f t="shared" si="67"/>
        <v>81.688301587301623</v>
      </c>
    </row>
    <row r="1103" spans="12:45" x14ac:dyDescent="0.35">
      <c r="L1103" s="2">
        <f t="shared" si="65"/>
        <v>45371</v>
      </c>
      <c r="M1103" s="5">
        <f>HAVERD!BA1107/HAVERD!BB1107</f>
        <v>67.476988435213599</v>
      </c>
      <c r="AJ1103" s="2">
        <f t="shared" si="68"/>
        <v>45371</v>
      </c>
      <c r="AK1103" s="2" t="s">
        <v>2182</v>
      </c>
      <c r="AL1103" s="3">
        <f>IF(HAVERD!H1107="",AL1102,AVERAGE(HAVERD!H1107:Q1107))</f>
        <v>78.214999999999989</v>
      </c>
      <c r="AM1103" s="3">
        <f t="shared" si="66"/>
        <v>81.688301587301623</v>
      </c>
      <c r="AS1103" s="3">
        <f t="shared" si="67"/>
        <v>81.688301587301623</v>
      </c>
    </row>
    <row r="1104" spans="12:45" x14ac:dyDescent="0.35">
      <c r="L1104" s="2">
        <f t="shared" si="65"/>
        <v>45372</v>
      </c>
      <c r="M1104" s="5">
        <f>HAVERD!BA1108/HAVERD!BB1108</f>
        <v>67.035048942216619</v>
      </c>
      <c r="AJ1104" s="2">
        <f t="shared" si="68"/>
        <v>45372</v>
      </c>
      <c r="AK1104" s="2" t="s">
        <v>2182</v>
      </c>
      <c r="AL1104" s="3">
        <f>IF(HAVERD!H1108="",AL1103,AVERAGE(HAVERD!H1108:Q1108))</f>
        <v>76.177999999999997</v>
      </c>
      <c r="AM1104" s="3">
        <f t="shared" si="66"/>
        <v>81.688301587301623</v>
      </c>
      <c r="AS1104" s="3">
        <f t="shared" si="67"/>
        <v>81.688301587301623</v>
      </c>
    </row>
    <row r="1105" spans="12:45" x14ac:dyDescent="0.35">
      <c r="L1105" s="2">
        <f t="shared" si="65"/>
        <v>45373</v>
      </c>
      <c r="M1105" s="5">
        <f>HAVERD!BA1109/HAVERD!BB1109</f>
        <v>67.351797476390772</v>
      </c>
      <c r="AJ1105" s="2">
        <f t="shared" si="68"/>
        <v>45373</v>
      </c>
      <c r="AK1105" s="2" t="s">
        <v>2182</v>
      </c>
      <c r="AL1105" s="3">
        <f>IF(HAVERD!H1109="",AL1104,AVERAGE(HAVERD!H1109:Q1109))</f>
        <v>79.319000000000003</v>
      </c>
      <c r="AM1105" s="3">
        <f t="shared" si="66"/>
        <v>81.688301587301623</v>
      </c>
      <c r="AS1105" s="3">
        <f t="shared" si="67"/>
        <v>81.688301587301623</v>
      </c>
    </row>
    <row r="1106" spans="12:45" x14ac:dyDescent="0.35">
      <c r="L1106" s="2">
        <f t="shared" si="65"/>
        <v>45376</v>
      </c>
      <c r="M1106" s="5">
        <f>HAVERD!BA1110/HAVERD!BB1110</f>
        <v>68.153420324238837</v>
      </c>
      <c r="AJ1106" s="2">
        <f t="shared" si="68"/>
        <v>45376</v>
      </c>
      <c r="AK1106" s="2" t="s">
        <v>2182</v>
      </c>
      <c r="AL1106" s="3">
        <f>IF(HAVERD!H1110="",AL1105,AVERAGE(HAVERD!H1110:Q1110))</f>
        <v>81.40100000000001</v>
      </c>
      <c r="AM1106" s="3">
        <f t="shared" si="66"/>
        <v>81.688301587301623</v>
      </c>
      <c r="AS1106" s="3">
        <f t="shared" si="67"/>
        <v>81.688301587301623</v>
      </c>
    </row>
    <row r="1107" spans="12:45" x14ac:dyDescent="0.35">
      <c r="L1107" s="2">
        <f t="shared" si="65"/>
        <v>45377</v>
      </c>
      <c r="M1107" s="5">
        <f>HAVERD!BA1111/HAVERD!BB1111</f>
        <v>68.031358885017426</v>
      </c>
      <c r="AJ1107" s="2">
        <f t="shared" si="68"/>
        <v>45377</v>
      </c>
      <c r="AK1107" s="2" t="s">
        <v>2182</v>
      </c>
      <c r="AL1107" s="3">
        <f>IF(HAVERD!H1111="",AL1106,AVERAGE(HAVERD!H1111:Q1111))</f>
        <v>78.719000000000008</v>
      </c>
      <c r="AM1107" s="3">
        <f t="shared" si="66"/>
        <v>81.688301587301623</v>
      </c>
      <c r="AS1107" s="3">
        <f t="shared" si="67"/>
        <v>81.688301587301623</v>
      </c>
    </row>
    <row r="1108" spans="12:45" x14ac:dyDescent="0.35">
      <c r="L1108" s="2">
        <f t="shared" si="65"/>
        <v>45378</v>
      </c>
      <c r="M1108" s="5">
        <f>HAVERD!BA1112/HAVERD!BB1112</f>
        <v>67.257898487607889</v>
      </c>
      <c r="AJ1108" s="2">
        <f t="shared" si="68"/>
        <v>45378</v>
      </c>
      <c r="AK1108" s="2" t="s">
        <v>2182</v>
      </c>
      <c r="AL1108" s="3">
        <f>IF(HAVERD!H1112="",AL1107,AVERAGE(HAVERD!H1112:Q1112))</f>
        <v>80.01700000000001</v>
      </c>
      <c r="AM1108" s="3">
        <f t="shared" si="66"/>
        <v>81.688301587301623</v>
      </c>
      <c r="AS1108" s="3">
        <f t="shared" si="67"/>
        <v>81.688301587301623</v>
      </c>
    </row>
    <row r="1109" spans="12:45" x14ac:dyDescent="0.35">
      <c r="L1109" s="2">
        <f t="shared" si="65"/>
        <v>45379</v>
      </c>
      <c r="M1109" s="5">
        <f>HAVERD!BA1113/HAVERD!BB1113</f>
        <v>68.215642811906264</v>
      </c>
      <c r="AJ1109" s="2">
        <f t="shared" si="68"/>
        <v>45379</v>
      </c>
      <c r="AK1109" s="2" t="s">
        <v>2182</v>
      </c>
      <c r="AL1109" s="3">
        <f>IF(HAVERD!H1113="",AL1108,AVERAGE(HAVERD!H1113:Q1113))</f>
        <v>79.832999999999998</v>
      </c>
      <c r="AM1109" s="3">
        <f t="shared" si="66"/>
        <v>81.688301587301623</v>
      </c>
      <c r="AS1109" s="3">
        <f t="shared" si="67"/>
        <v>81.688301587301623</v>
      </c>
    </row>
    <row r="1110" spans="12:45" x14ac:dyDescent="0.35">
      <c r="L1110" s="2">
        <f t="shared" si="65"/>
        <v>45380</v>
      </c>
      <c r="M1110" s="5" t="e">
        <f>HAVERD!BA1114/HAVERD!BB1114</f>
        <v>#N/A</v>
      </c>
      <c r="AJ1110" s="2">
        <f t="shared" si="68"/>
        <v>45380</v>
      </c>
      <c r="AK1110" s="2" t="s">
        <v>2182</v>
      </c>
      <c r="AL1110" s="3" t="e">
        <f>IF(HAVERD!H1114="",AL1109,AVERAGE(HAVERD!H1114:Q1114))</f>
        <v>#N/A</v>
      </c>
      <c r="AM1110" s="3">
        <f t="shared" si="66"/>
        <v>81.688301587301623</v>
      </c>
      <c r="AS1110" s="3">
        <f t="shared" si="67"/>
        <v>81.688301587301623</v>
      </c>
    </row>
    <row r="1111" spans="12:45" x14ac:dyDescent="0.35">
      <c r="L1111" s="2">
        <f t="shared" si="65"/>
        <v>45383</v>
      </c>
      <c r="M1111" s="5" t="e">
        <f>HAVERD!BA1115/HAVERD!BB1115</f>
        <v>#N/A</v>
      </c>
      <c r="AJ1111" s="2">
        <f t="shared" si="68"/>
        <v>45383</v>
      </c>
      <c r="AK1111" s="2" t="s">
        <v>2183</v>
      </c>
      <c r="AL1111" s="3">
        <f>IF(HAVERD!H1115="",AL1110,AVERAGE(HAVERD!H1115:Q1115))</f>
        <v>79.832999999999998</v>
      </c>
      <c r="AM1111" s="3">
        <f t="shared" si="66"/>
        <v>81.688301587301623</v>
      </c>
      <c r="AS1111" s="3">
        <f t="shared" si="67"/>
        <v>81.688301587301623</v>
      </c>
    </row>
    <row r="1112" spans="12:45" x14ac:dyDescent="0.35">
      <c r="L1112" s="2">
        <f t="shared" si="65"/>
        <v>45384</v>
      </c>
      <c r="M1112" s="5">
        <f>HAVERD!BA1116/HAVERD!BB1116</f>
        <v>69.730245882072097</v>
      </c>
      <c r="AJ1112" s="2">
        <f t="shared" si="68"/>
        <v>45384</v>
      </c>
      <c r="AK1112" s="2" t="s">
        <v>2183</v>
      </c>
      <c r="AL1112" s="3">
        <f>IF(HAVERD!H1116="",AL1111,AVERAGE(HAVERD!H1116:Q1116))</f>
        <v>77.749999999999986</v>
      </c>
      <c r="AM1112" s="3">
        <f t="shared" si="66"/>
        <v>81.688301587301623</v>
      </c>
      <c r="AS1112" s="3">
        <f t="shared" si="67"/>
        <v>81.688301587301623</v>
      </c>
    </row>
    <row r="1113" spans="12:45" x14ac:dyDescent="0.35">
      <c r="L1113" s="2">
        <f t="shared" si="65"/>
        <v>45385</v>
      </c>
      <c r="M1113" s="5">
        <f>HAVERD!BA1117/HAVERD!BB1117</f>
        <v>71.796497345272996</v>
      </c>
      <c r="AJ1113" s="2">
        <f t="shared" si="68"/>
        <v>45385</v>
      </c>
      <c r="AK1113" s="2" t="s">
        <v>2183</v>
      </c>
      <c r="AL1113" s="3">
        <f>IF(HAVERD!H1117="",AL1112,AVERAGE(HAVERD!H1117:Q1117))</f>
        <v>76.869</v>
      </c>
      <c r="AM1113" s="3">
        <f t="shared" si="66"/>
        <v>81.688301587301623</v>
      </c>
      <c r="AS1113" s="3">
        <f t="shared" si="67"/>
        <v>81.688301587301623</v>
      </c>
    </row>
    <row r="1114" spans="12:45" x14ac:dyDescent="0.35">
      <c r="L1114" s="2">
        <f t="shared" si="65"/>
        <v>45386</v>
      </c>
      <c r="M1114" s="5">
        <f>HAVERD!BA1118/HAVERD!BB1118</f>
        <v>71.297758130723082</v>
      </c>
      <c r="AJ1114" s="2">
        <f t="shared" si="68"/>
        <v>45386</v>
      </c>
      <c r="AK1114" s="2" t="s">
        <v>2183</v>
      </c>
      <c r="AL1114" s="3">
        <f>IF(HAVERD!H1118="",AL1113,AVERAGE(HAVERD!H1118:Q1118))</f>
        <v>78.063999999999993</v>
      </c>
      <c r="AM1114" s="3">
        <f t="shared" si="66"/>
        <v>81.688301587301623</v>
      </c>
      <c r="AS1114" s="3">
        <f t="shared" si="67"/>
        <v>81.688301587301623</v>
      </c>
    </row>
    <row r="1115" spans="12:45" x14ac:dyDescent="0.35">
      <c r="L1115" s="2">
        <f t="shared" si="65"/>
        <v>45387</v>
      </c>
      <c r="M1115" s="5">
        <f>HAVERD!BA1119/HAVERD!BB1119</f>
        <v>73.571145461751883</v>
      </c>
      <c r="AJ1115" s="2">
        <f t="shared" si="68"/>
        <v>45387</v>
      </c>
      <c r="AK1115" s="2" t="s">
        <v>2183</v>
      </c>
      <c r="AL1115" s="3">
        <f>IF(HAVERD!H1119="",AL1114,AVERAGE(HAVERD!H1119:Q1119))</f>
        <v>79.638999999999996</v>
      </c>
      <c r="AM1115" s="3">
        <f t="shared" si="66"/>
        <v>81.688301587301623</v>
      </c>
      <c r="AS1115" s="3">
        <f t="shared" si="67"/>
        <v>81.688301587301623</v>
      </c>
    </row>
    <row r="1116" spans="12:45" x14ac:dyDescent="0.35">
      <c r="L1116" s="2">
        <f t="shared" si="65"/>
        <v>45390</v>
      </c>
      <c r="M1116" s="5">
        <f>HAVERD!BA1120/HAVERD!BB1120</f>
        <v>72.531035028069908</v>
      </c>
      <c r="AJ1116" s="2">
        <f t="shared" si="68"/>
        <v>45390</v>
      </c>
      <c r="AK1116" s="2" t="s">
        <v>2183</v>
      </c>
      <c r="AL1116" s="3">
        <f>IF(HAVERD!H1120="",AL1115,AVERAGE(HAVERD!H1120:Q1120))</f>
        <v>83.333000000000013</v>
      </c>
      <c r="AM1116" s="3">
        <f t="shared" si="66"/>
        <v>81.688301587301623</v>
      </c>
      <c r="AS1116" s="3">
        <f t="shared" si="67"/>
        <v>81.688301587301623</v>
      </c>
    </row>
    <row r="1117" spans="12:45" x14ac:dyDescent="0.35">
      <c r="L1117" s="2">
        <f t="shared" si="65"/>
        <v>45391</v>
      </c>
      <c r="M1117" s="5">
        <f>HAVERD!BA1121/HAVERD!BB1121</f>
        <v>72.686390532544365</v>
      </c>
      <c r="AJ1117" s="2">
        <f t="shared" si="68"/>
        <v>45391</v>
      </c>
      <c r="AK1117" s="2" t="s">
        <v>2183</v>
      </c>
      <c r="AL1117" s="3">
        <f>IF(HAVERD!H1121="",AL1116,AVERAGE(HAVERD!H1121:Q1121))</f>
        <v>82.622</v>
      </c>
      <c r="AM1117" s="3">
        <f t="shared" si="66"/>
        <v>81.688301587301623</v>
      </c>
      <c r="AS1117" s="3">
        <f t="shared" si="67"/>
        <v>81.688301587301623</v>
      </c>
    </row>
    <row r="1118" spans="12:45" x14ac:dyDescent="0.35">
      <c r="L1118" s="2">
        <f t="shared" si="65"/>
        <v>45392</v>
      </c>
      <c r="M1118" s="5">
        <f>HAVERD!BA1122/HAVERD!BB1122</f>
        <v>72.87123985357313</v>
      </c>
      <c r="AJ1118" s="2">
        <f t="shared" si="68"/>
        <v>45392</v>
      </c>
      <c r="AK1118" s="2" t="s">
        <v>2183</v>
      </c>
      <c r="AL1118" s="3">
        <f>IF(HAVERD!H1122="",AL1117,AVERAGE(HAVERD!H1122:Q1122))</f>
        <v>82.421999999999997</v>
      </c>
      <c r="AM1118" s="3">
        <f t="shared" si="66"/>
        <v>81.688301587301623</v>
      </c>
      <c r="AS1118" s="3">
        <f t="shared" si="67"/>
        <v>81.688301587301623</v>
      </c>
    </row>
    <row r="1119" spans="12:45" x14ac:dyDescent="0.35">
      <c r="L1119" s="2">
        <f t="shared" si="65"/>
        <v>45393</v>
      </c>
      <c r="M1119" s="5">
        <f>HAVERD!BA1123/HAVERD!BB1123</f>
        <v>73.075079872204469</v>
      </c>
      <c r="AJ1119" s="2">
        <f t="shared" si="68"/>
        <v>45393</v>
      </c>
      <c r="AK1119" s="2" t="s">
        <v>2183</v>
      </c>
      <c r="AL1119" s="3">
        <f>IF(HAVERD!H1123="",AL1118,AVERAGE(HAVERD!H1123:Q1123))</f>
        <v>88.166000000000011</v>
      </c>
      <c r="AM1119" s="3">
        <f t="shared" si="66"/>
        <v>81.688301587301623</v>
      </c>
      <c r="AS1119" s="3">
        <f t="shared" si="67"/>
        <v>81.688301587301623</v>
      </c>
    </row>
    <row r="1120" spans="12:45" x14ac:dyDescent="0.35">
      <c r="L1120" s="2">
        <f t="shared" si="65"/>
        <v>45394</v>
      </c>
      <c r="M1120" s="5">
        <f>HAVERD!BA1124/HAVERD!BB1124</f>
        <v>74.885404101326898</v>
      </c>
      <c r="AJ1120" s="2">
        <f t="shared" si="68"/>
        <v>45394</v>
      </c>
      <c r="AK1120" s="2" t="s">
        <v>2183</v>
      </c>
      <c r="AL1120" s="3">
        <f>IF(HAVERD!H1124="",AL1119,AVERAGE(HAVERD!H1124:Q1124))</f>
        <v>91.170999999999992</v>
      </c>
      <c r="AM1120" s="3">
        <f t="shared" si="66"/>
        <v>81.688301587301623</v>
      </c>
      <c r="AS1120" s="3">
        <f t="shared" si="67"/>
        <v>81.688301587301623</v>
      </c>
    </row>
    <row r="1121" spans="12:45" x14ac:dyDescent="0.35">
      <c r="L1121" s="2">
        <f t="shared" si="65"/>
        <v>45397</v>
      </c>
      <c r="M1121" s="5">
        <f>HAVERD!BA1125/HAVERD!BB1125</f>
        <v>72.957995341739618</v>
      </c>
      <c r="AJ1121" s="2">
        <f t="shared" si="68"/>
        <v>45397</v>
      </c>
      <c r="AK1121" s="2" t="s">
        <v>2183</v>
      </c>
      <c r="AL1121" s="3">
        <f>IF(HAVERD!H1125="",AL1120,AVERAGE(HAVERD!H1125:Q1125))</f>
        <v>91.075999999999993</v>
      </c>
      <c r="AM1121" s="3">
        <f t="shared" si="66"/>
        <v>81.688301587301623</v>
      </c>
      <c r="AS1121" s="3">
        <f t="shared" si="67"/>
        <v>81.688301587301623</v>
      </c>
    </row>
    <row r="1122" spans="12:45" x14ac:dyDescent="0.35">
      <c r="L1122" s="2">
        <f t="shared" si="65"/>
        <v>45398</v>
      </c>
      <c r="M1122" s="5">
        <f>HAVERD!BA1126/HAVERD!BB1126</f>
        <v>73.372448159459907</v>
      </c>
      <c r="AJ1122" s="2">
        <f t="shared" si="68"/>
        <v>45398</v>
      </c>
      <c r="AK1122" s="2" t="s">
        <v>2183</v>
      </c>
      <c r="AL1122" s="3">
        <f>IF(HAVERD!H1126="",AL1121,AVERAGE(HAVERD!H1126:Q1126))</f>
        <v>94.820000000000007</v>
      </c>
      <c r="AM1122" s="3">
        <f t="shared" si="66"/>
        <v>81.688301587301623</v>
      </c>
      <c r="AS1122" s="3">
        <f t="shared" si="67"/>
        <v>81.688301587301623</v>
      </c>
    </row>
    <row r="1123" spans="12:45" x14ac:dyDescent="0.35">
      <c r="L1123" s="2">
        <f t="shared" si="65"/>
        <v>45399</v>
      </c>
      <c r="M1123" s="5">
        <f>HAVERD!BA1127/HAVERD!BB1127</f>
        <v>71.91967871485943</v>
      </c>
      <c r="AJ1123" s="2">
        <f t="shared" si="68"/>
        <v>45399</v>
      </c>
      <c r="AK1123" s="2" t="s">
        <v>2183</v>
      </c>
      <c r="AL1123" s="3">
        <f>IF(HAVERD!H1127="",AL1122,AVERAGE(HAVERD!H1127:Q1127))</f>
        <v>90.589000000000013</v>
      </c>
      <c r="AM1123" s="3">
        <f t="shared" si="66"/>
        <v>81.688301587301623</v>
      </c>
      <c r="AS1123" s="3">
        <f t="shared" si="67"/>
        <v>81.688301587301623</v>
      </c>
    </row>
    <row r="1124" spans="12:45" x14ac:dyDescent="0.35">
      <c r="L1124" s="2">
        <f t="shared" si="65"/>
        <v>45400</v>
      </c>
      <c r="M1124" s="5">
        <f>HAVERD!BA1128/HAVERD!BB1128</f>
        <v>70.990035358405663</v>
      </c>
      <c r="AJ1124" s="2">
        <f t="shared" si="68"/>
        <v>45400</v>
      </c>
      <c r="AK1124" s="2" t="s">
        <v>2183</v>
      </c>
      <c r="AL1124" s="3">
        <f>IF(HAVERD!H1128="",AL1123,AVERAGE(HAVERD!H1128:Q1128))</f>
        <v>93.186000000000007</v>
      </c>
      <c r="AM1124" s="3">
        <f t="shared" si="66"/>
        <v>81.688301587301623</v>
      </c>
      <c r="AS1124" s="3">
        <f t="shared" si="67"/>
        <v>81.688301587301623</v>
      </c>
    </row>
    <row r="1125" spans="12:45" x14ac:dyDescent="0.35">
      <c r="L1125" s="2">
        <f t="shared" si="65"/>
        <v>45401</v>
      </c>
      <c r="M1125" s="5">
        <f>HAVERD!BA1129/HAVERD!BB1129</f>
        <v>70.741515200257354</v>
      </c>
      <c r="AJ1125" s="2">
        <f t="shared" si="68"/>
        <v>45401</v>
      </c>
      <c r="AK1125" s="2" t="s">
        <v>2183</v>
      </c>
      <c r="AL1125" s="3">
        <f>IF(HAVERD!H1129="",AL1124,AVERAGE(HAVERD!H1129:Q1129))</f>
        <v>90.126000000000005</v>
      </c>
      <c r="AM1125" s="3">
        <f t="shared" si="66"/>
        <v>81.688301587301623</v>
      </c>
      <c r="AS1125" s="3">
        <f t="shared" si="67"/>
        <v>81.688301587301623</v>
      </c>
    </row>
    <row r="1126" spans="12:45" x14ac:dyDescent="0.35">
      <c r="L1126" s="2">
        <f t="shared" si="65"/>
        <v>45404</v>
      </c>
      <c r="M1126" s="5">
        <f>HAVERD!BA1130/HAVERD!BB1130</f>
        <v>70.797177844457053</v>
      </c>
      <c r="AJ1126" s="2">
        <f t="shared" si="68"/>
        <v>45404</v>
      </c>
      <c r="AK1126" s="2" t="s">
        <v>2183</v>
      </c>
      <c r="AL1126" s="3">
        <f>IF(HAVERD!H1130="",AL1125,AVERAGE(HAVERD!H1130:Q1130))</f>
        <v>87.224999999999994</v>
      </c>
      <c r="AM1126" s="3">
        <f t="shared" si="66"/>
        <v>81.688301587301623</v>
      </c>
      <c r="AS1126" s="3">
        <f t="shared" si="67"/>
        <v>81.688301587301623</v>
      </c>
    </row>
    <row r="1127" spans="12:45" x14ac:dyDescent="0.35">
      <c r="L1127" s="2">
        <f t="shared" si="65"/>
        <v>45405</v>
      </c>
      <c r="M1127" s="5">
        <f>HAVERD!BA1131/HAVERD!BB1131</f>
        <v>71.01262768438832</v>
      </c>
      <c r="AJ1127" s="2">
        <f t="shared" si="68"/>
        <v>45405</v>
      </c>
      <c r="AK1127" s="2" t="s">
        <v>2183</v>
      </c>
      <c r="AL1127" s="3">
        <f>IF(HAVERD!H1131="",AL1126,AVERAGE(HAVERD!H1131:Q1131))</f>
        <v>85.106999999999999</v>
      </c>
      <c r="AM1127" s="3">
        <f t="shared" si="66"/>
        <v>81.688301587301623</v>
      </c>
      <c r="AS1127" s="3">
        <f t="shared" si="67"/>
        <v>81.688301587301623</v>
      </c>
    </row>
    <row r="1128" spans="12:45" x14ac:dyDescent="0.35">
      <c r="L1128" s="2">
        <f t="shared" si="65"/>
        <v>45406</v>
      </c>
      <c r="M1128" s="5">
        <f>HAVERD!BA1132/HAVERD!BB1132</f>
        <v>71.599774792889889</v>
      </c>
      <c r="AJ1128" s="2">
        <f t="shared" si="68"/>
        <v>45406</v>
      </c>
      <c r="AK1128" s="2" t="s">
        <v>2183</v>
      </c>
      <c r="AL1128" s="3">
        <f>IF(HAVERD!H1132="",AL1127,AVERAGE(HAVERD!H1132:Q1132))</f>
        <v>85.969000000000023</v>
      </c>
      <c r="AM1128" s="3">
        <f t="shared" si="66"/>
        <v>81.688301587301623</v>
      </c>
      <c r="AS1128" s="3">
        <f t="shared" si="67"/>
        <v>81.688301587301623</v>
      </c>
    </row>
    <row r="1129" spans="12:45" x14ac:dyDescent="0.35">
      <c r="L1129" s="2">
        <f t="shared" si="65"/>
        <v>45407</v>
      </c>
      <c r="M1129" s="5">
        <f>HAVERD!BA1133/HAVERD!BB1133</f>
        <v>70.542077027784458</v>
      </c>
      <c r="AJ1129" s="2">
        <f t="shared" si="68"/>
        <v>45407</v>
      </c>
      <c r="AK1129" s="2" t="s">
        <v>2183</v>
      </c>
      <c r="AL1129" s="3">
        <f>IF(HAVERD!H1133="",AL1128,AVERAGE(HAVERD!H1133:Q1133))</f>
        <v>87.585999999999984</v>
      </c>
      <c r="AM1129" s="3">
        <f t="shared" si="66"/>
        <v>81.688301587301623</v>
      </c>
      <c r="AS1129" s="3">
        <f t="shared" si="67"/>
        <v>81.688301587301623</v>
      </c>
    </row>
    <row r="1130" spans="12:45" x14ac:dyDescent="0.35">
      <c r="L1130" s="2">
        <f t="shared" si="65"/>
        <v>45408</v>
      </c>
      <c r="M1130" s="5">
        <f>HAVERD!BA1134/HAVERD!BB1134</f>
        <v>72.179425453378272</v>
      </c>
      <c r="AJ1130" s="2">
        <f t="shared" si="68"/>
        <v>45408</v>
      </c>
      <c r="AK1130" s="2" t="s">
        <v>2183</v>
      </c>
      <c r="AL1130" s="3">
        <f>IF(HAVERD!H1134="",AL1129,AVERAGE(HAVERD!H1134:Q1134))</f>
        <v>85.992999999999995</v>
      </c>
      <c r="AM1130" s="3">
        <f t="shared" si="66"/>
        <v>81.688301587301623</v>
      </c>
      <c r="AS1130" s="3">
        <f t="shared" si="67"/>
        <v>81.688301587301623</v>
      </c>
    </row>
    <row r="1131" spans="12:45" x14ac:dyDescent="0.35">
      <c r="L1131" s="2">
        <f t="shared" ref="L1131:L1194" si="69">+L1126+7</f>
        <v>45411</v>
      </c>
      <c r="M1131" s="5">
        <f>HAVERD!BA1135/HAVERD!BB1135</f>
        <v>70.481351609818304</v>
      </c>
      <c r="AJ1131" s="2">
        <f t="shared" si="68"/>
        <v>45411</v>
      </c>
      <c r="AK1131" s="2" t="s">
        <v>2183</v>
      </c>
      <c r="AL1131" s="3">
        <f>IF(HAVERD!H1135="",AL1130,AVERAGE(HAVERD!H1135:Q1135))</f>
        <v>83.339999999999989</v>
      </c>
      <c r="AM1131" s="3">
        <f t="shared" si="66"/>
        <v>81.688301587301623</v>
      </c>
      <c r="AS1131" s="3">
        <f t="shared" si="67"/>
        <v>81.688301587301623</v>
      </c>
    </row>
    <row r="1132" spans="12:45" x14ac:dyDescent="0.35">
      <c r="L1132" s="2">
        <f t="shared" si="69"/>
        <v>45412</v>
      </c>
      <c r="M1132" s="5">
        <f>HAVERD!BA1136/HAVERD!BB1136</f>
        <v>70.471246006389777</v>
      </c>
      <c r="AJ1132" s="2">
        <f t="shared" si="68"/>
        <v>45412</v>
      </c>
      <c r="AK1132" s="2" t="s">
        <v>2183</v>
      </c>
      <c r="AL1132" s="3">
        <f>IF(HAVERD!H1136="",AL1131,AVERAGE(HAVERD!H1136:Q1136))</f>
        <v>86.612999999999971</v>
      </c>
      <c r="AM1132" s="3">
        <f t="shared" si="66"/>
        <v>81.688301587301623</v>
      </c>
      <c r="AS1132" s="3">
        <f t="shared" si="67"/>
        <v>81.688301587301623</v>
      </c>
    </row>
    <row r="1133" spans="12:45" x14ac:dyDescent="0.35">
      <c r="L1133" s="2">
        <f t="shared" si="69"/>
        <v>45413</v>
      </c>
      <c r="M1133" s="5">
        <f>HAVERD!BA1137/HAVERD!BB1137</f>
        <v>66.882804995196921</v>
      </c>
      <c r="AJ1133" s="2">
        <f t="shared" si="68"/>
        <v>45413</v>
      </c>
      <c r="AK1133" s="2" t="s">
        <v>2184</v>
      </c>
      <c r="AL1133" s="3">
        <f>IF(HAVERD!H1137="",AL1132,AVERAGE(HAVERD!H1137:Q1137))</f>
        <v>85.984000000000009</v>
      </c>
      <c r="AM1133" s="3">
        <f t="shared" si="66"/>
        <v>81.688301587301623</v>
      </c>
      <c r="AS1133" s="3">
        <f t="shared" si="67"/>
        <v>81.688301587301623</v>
      </c>
    </row>
    <row r="1134" spans="12:45" x14ac:dyDescent="0.35">
      <c r="L1134" s="2">
        <f t="shared" si="69"/>
        <v>45414</v>
      </c>
      <c r="M1134" s="5">
        <f>HAVERD!BA1138/HAVERD!BB1138</f>
        <v>67.929515418502206</v>
      </c>
      <c r="AJ1134" s="2">
        <f t="shared" si="68"/>
        <v>45414</v>
      </c>
      <c r="AK1134" s="2" t="s">
        <v>2184</v>
      </c>
      <c r="AL1134" s="3">
        <f>IF(HAVERD!H1138="",AL1133,AVERAGE(HAVERD!H1138:Q1138))</f>
        <v>90.929000000000002</v>
      </c>
      <c r="AM1134" s="3">
        <f t="shared" si="66"/>
        <v>81.688301587301623</v>
      </c>
      <c r="AS1134" s="3">
        <f t="shared" si="67"/>
        <v>81.688301587301623</v>
      </c>
    </row>
    <row r="1135" spans="12:45" x14ac:dyDescent="0.35">
      <c r="L1135" s="2">
        <f t="shared" si="69"/>
        <v>45415</v>
      </c>
      <c r="M1135" s="5">
        <f>HAVERD!BA1139/HAVERD!BB1139</f>
        <v>66.634783994898768</v>
      </c>
      <c r="AJ1135" s="2">
        <f t="shared" si="68"/>
        <v>45415</v>
      </c>
      <c r="AK1135" s="2" t="s">
        <v>2184</v>
      </c>
      <c r="AL1135" s="3">
        <f>IF(HAVERD!H1139="",AL1134,AVERAGE(HAVERD!H1139:Q1139))</f>
        <v>90.201999999999998</v>
      </c>
      <c r="AM1135" s="3">
        <f t="shared" si="66"/>
        <v>81.688301587301623</v>
      </c>
      <c r="AS1135" s="3">
        <f t="shared" si="67"/>
        <v>81.688301587301623</v>
      </c>
    </row>
    <row r="1136" spans="12:45" x14ac:dyDescent="0.35">
      <c r="L1136" s="2">
        <f t="shared" si="69"/>
        <v>45418</v>
      </c>
      <c r="M1136" s="5" t="e">
        <f>HAVERD!BA1140/HAVERD!BB1140</f>
        <v>#N/A</v>
      </c>
      <c r="AJ1136" s="2">
        <f t="shared" si="68"/>
        <v>45418</v>
      </c>
      <c r="AK1136" s="2" t="s">
        <v>2184</v>
      </c>
      <c r="AL1136" s="3">
        <f>IF(HAVERD!H1140="",AL1135,AVERAGE(HAVERD!H1140:Q1140))</f>
        <v>90.201999999999998</v>
      </c>
      <c r="AM1136" s="3">
        <f t="shared" si="66"/>
        <v>81.688301587301623</v>
      </c>
      <c r="AS1136" s="3">
        <f t="shared" si="67"/>
        <v>81.688301587301623</v>
      </c>
    </row>
    <row r="1137" spans="12:46" x14ac:dyDescent="0.35">
      <c r="L1137" s="2">
        <f t="shared" si="69"/>
        <v>45419</v>
      </c>
      <c r="M1137" s="5">
        <f>HAVERD!BA1141/HAVERD!BB1141</f>
        <v>65.867452604747484</v>
      </c>
      <c r="AJ1137" s="2">
        <f t="shared" si="68"/>
        <v>45419</v>
      </c>
      <c r="AK1137" s="2" t="s">
        <v>2184</v>
      </c>
      <c r="AL1137" s="3">
        <f>IF(HAVERD!H1141="",AL1136,AVERAGE(HAVERD!H1141:Q1141))</f>
        <v>91.635999999999996</v>
      </c>
      <c r="AM1137" s="3">
        <f t="shared" si="66"/>
        <v>81.688301587301623</v>
      </c>
      <c r="AS1137" s="3">
        <f t="shared" si="67"/>
        <v>81.688301587301623</v>
      </c>
    </row>
    <row r="1138" spans="12:46" x14ac:dyDescent="0.35">
      <c r="L1138" s="2">
        <f t="shared" si="69"/>
        <v>45420</v>
      </c>
      <c r="M1138" s="5">
        <f>HAVERD!BA1142/HAVERD!BB1142</f>
        <v>65.988953814135911</v>
      </c>
      <c r="AJ1138" s="2">
        <f t="shared" si="68"/>
        <v>45420</v>
      </c>
      <c r="AK1138" s="2" t="s">
        <v>2184</v>
      </c>
      <c r="AL1138" s="3">
        <f>IF(HAVERD!H1142="",AL1137,AVERAGE(HAVERD!H1142:Q1142))</f>
        <v>90.885999999999996</v>
      </c>
      <c r="AM1138" s="3">
        <f t="shared" si="66"/>
        <v>81.688301587301623</v>
      </c>
      <c r="AS1138" s="3">
        <f t="shared" si="67"/>
        <v>81.688301587301623</v>
      </c>
    </row>
    <row r="1139" spans="12:46" x14ac:dyDescent="0.35">
      <c r="L1139" s="2">
        <f t="shared" si="69"/>
        <v>45421</v>
      </c>
      <c r="M1139" s="5">
        <f>HAVERD!BA1143/HAVERD!BB1143</f>
        <v>66.552109974424539</v>
      </c>
      <c r="AJ1139" s="2">
        <f t="shared" si="68"/>
        <v>45421</v>
      </c>
      <c r="AK1139" s="2" t="s">
        <v>2184</v>
      </c>
      <c r="AL1139" s="3">
        <f>IF(HAVERD!H1143="",AL1138,AVERAGE(HAVERD!H1143:Q1143))</f>
        <v>92.035999999999987</v>
      </c>
      <c r="AM1139" s="3">
        <f t="shared" si="66"/>
        <v>81.688301587301623</v>
      </c>
      <c r="AS1139" s="3">
        <f t="shared" si="67"/>
        <v>81.688301587301623</v>
      </c>
    </row>
    <row r="1140" spans="12:46" x14ac:dyDescent="0.35">
      <c r="L1140" s="2">
        <f t="shared" si="69"/>
        <v>45422</v>
      </c>
      <c r="M1140" s="5">
        <f>HAVERD!BA1144/HAVERD!BB1144</f>
        <v>66.66933162775824</v>
      </c>
      <c r="AJ1140" s="2">
        <f t="shared" si="68"/>
        <v>45422</v>
      </c>
      <c r="AK1140" s="2" t="s">
        <v>2184</v>
      </c>
      <c r="AL1140" s="3">
        <f>IF(HAVERD!H1144="",AL1139,AVERAGE(HAVERD!H1144:Q1144))</f>
        <v>90.436000000000007</v>
      </c>
      <c r="AM1140" s="3">
        <f t="shared" si="66"/>
        <v>81.688301587301623</v>
      </c>
      <c r="AS1140" s="3">
        <f t="shared" si="67"/>
        <v>81.688301587301623</v>
      </c>
    </row>
    <row r="1141" spans="12:46" x14ac:dyDescent="0.35">
      <c r="L1141" s="2">
        <f t="shared" si="69"/>
        <v>45425</v>
      </c>
      <c r="M1141" s="5">
        <f>HAVERD!BA1145/HAVERD!BB1145</f>
        <v>66.210300087558707</v>
      </c>
      <c r="AJ1141" s="2">
        <f t="shared" si="68"/>
        <v>45425</v>
      </c>
      <c r="AK1141" s="2" t="s">
        <v>2184</v>
      </c>
      <c r="AL1141" s="3">
        <f>IF(HAVERD!H1145="",AL1140,AVERAGE(HAVERD!H1145:Q1145))</f>
        <v>89.507999999999996</v>
      </c>
      <c r="AM1141" s="3">
        <f t="shared" si="66"/>
        <v>81.688301587301623</v>
      </c>
      <c r="AS1141" s="3">
        <f t="shared" si="67"/>
        <v>81.688301587301623</v>
      </c>
    </row>
    <row r="1142" spans="12:46" x14ac:dyDescent="0.35">
      <c r="L1142" s="2">
        <f t="shared" si="69"/>
        <v>45426</v>
      </c>
      <c r="M1142" s="5">
        <f>HAVERD!BA1146/HAVERD!BB1146</f>
        <v>64.341885773294152</v>
      </c>
      <c r="AJ1142" s="2">
        <f t="shared" si="68"/>
        <v>45426</v>
      </c>
      <c r="AK1142" s="2" t="s">
        <v>2184</v>
      </c>
      <c r="AL1142" s="3">
        <f>IF(HAVERD!H1146="",AL1141,AVERAGE(HAVERD!H1146:Q1146))</f>
        <v>90.626999999999995</v>
      </c>
      <c r="AM1142" s="3">
        <f t="shared" si="66"/>
        <v>81.688301587301623</v>
      </c>
      <c r="AS1142" s="3">
        <f t="shared" si="67"/>
        <v>81.688301587301623</v>
      </c>
    </row>
    <row r="1143" spans="12:46" x14ac:dyDescent="0.35">
      <c r="L1143" s="2">
        <f t="shared" si="69"/>
        <v>45427</v>
      </c>
      <c r="M1143" s="5">
        <f>HAVERD!BA1147/HAVERD!BB1147</f>
        <v>63.230294884971151</v>
      </c>
      <c r="AJ1143" s="2">
        <f t="shared" si="68"/>
        <v>45427</v>
      </c>
      <c r="AK1143" s="2" t="s">
        <v>2184</v>
      </c>
      <c r="AL1143" s="3">
        <f>IF(HAVERD!H1147="",AL1142,AVERAGE(HAVERD!H1147:Q1147))</f>
        <v>90.290999999999983</v>
      </c>
      <c r="AM1143" s="3">
        <f t="shared" si="66"/>
        <v>81.688301587301623</v>
      </c>
      <c r="AS1143" s="3">
        <f t="shared" si="67"/>
        <v>81.688301587301623</v>
      </c>
    </row>
    <row r="1144" spans="12:46" x14ac:dyDescent="0.35">
      <c r="L1144" s="2">
        <f t="shared" si="69"/>
        <v>45428</v>
      </c>
      <c r="M1144" s="5">
        <f>HAVERD!BA1148/HAVERD!BB1148</f>
        <v>64.453741711398806</v>
      </c>
      <c r="AJ1144" s="2">
        <f t="shared" si="68"/>
        <v>45428</v>
      </c>
      <c r="AK1144" s="2" t="s">
        <v>2184</v>
      </c>
      <c r="AL1144" s="3">
        <f>IF(HAVERD!H1148="",AL1143,AVERAGE(HAVERD!H1148:Q1148))</f>
        <v>91.446999999999989</v>
      </c>
      <c r="AM1144" s="3">
        <f t="shared" si="66"/>
        <v>81.688301587301623</v>
      </c>
      <c r="AS1144" s="3">
        <f t="shared" si="67"/>
        <v>81.688301587301623</v>
      </c>
    </row>
    <row r="1145" spans="12:46" x14ac:dyDescent="0.35">
      <c r="L1145" s="2">
        <f t="shared" si="69"/>
        <v>45429</v>
      </c>
      <c r="M1145" s="5">
        <f>HAVERD!BA1149/HAVERD!BB1149</f>
        <v>64.766104898409196</v>
      </c>
      <c r="AJ1145" s="2">
        <f t="shared" si="68"/>
        <v>45429</v>
      </c>
      <c r="AK1145" s="2" t="s">
        <v>2184</v>
      </c>
      <c r="AL1145" s="3">
        <f>IF(HAVERD!H1149="",AL1144,AVERAGE(HAVERD!H1149:Q1149))</f>
        <v>92.003</v>
      </c>
      <c r="AS1145" s="3">
        <f t="shared" si="67"/>
        <v>81.688301587301623</v>
      </c>
    </row>
    <row r="1146" spans="12:46" x14ac:dyDescent="0.35">
      <c r="L1146" s="2">
        <f t="shared" si="69"/>
        <v>45432</v>
      </c>
      <c r="M1146" s="5">
        <f>HAVERD!BA1150/HAVERD!BB1150</f>
        <v>64.455461126849229</v>
      </c>
      <c r="AI1146" t="s">
        <v>1318</v>
      </c>
      <c r="AJ1146" s="2">
        <f t="shared" si="68"/>
        <v>45432</v>
      </c>
      <c r="AK1146" s="2" t="s">
        <v>2184</v>
      </c>
      <c r="AL1146" s="3">
        <f>IF(HAVERD!H1150="",AL1145,AVERAGE(HAVERD!H1150:Q1150))</f>
        <v>94.126999999999995</v>
      </c>
      <c r="AM1146" s="3">
        <f t="shared" ref="AM1146:AM1208" si="70">AVERAGE($AL$1146:$AL$1209)</f>
        <v>96.642046875000034</v>
      </c>
      <c r="AT1146" s="3">
        <f t="shared" ref="AT1146:AT1208" si="71">AVERAGE($AL$1146:$AL$1209)</f>
        <v>96.642046875000034</v>
      </c>
    </row>
    <row r="1147" spans="12:46" x14ac:dyDescent="0.35">
      <c r="L1147" s="2">
        <f t="shared" si="69"/>
        <v>45433</v>
      </c>
      <c r="M1147" s="5">
        <f>HAVERD!BA1151/HAVERD!BB1151</f>
        <v>63.837145327359899</v>
      </c>
      <c r="AJ1147" s="2">
        <f t="shared" si="68"/>
        <v>45433</v>
      </c>
      <c r="AK1147" s="2" t="s">
        <v>2184</v>
      </c>
      <c r="AL1147" s="3">
        <f>IF(HAVERD!H1151="",AL1146,AVERAGE(HAVERD!H1151:Q1151))</f>
        <v>97.021000000000001</v>
      </c>
      <c r="AM1147" s="3">
        <f t="shared" si="70"/>
        <v>96.642046875000034</v>
      </c>
      <c r="AT1147" s="3">
        <f t="shared" si="71"/>
        <v>96.642046875000034</v>
      </c>
    </row>
    <row r="1148" spans="12:46" x14ac:dyDescent="0.35">
      <c r="L1148" s="2">
        <f t="shared" si="69"/>
        <v>45434</v>
      </c>
      <c r="M1148" s="5">
        <f>HAVERD!BA1152/HAVERD!BB1152</f>
        <v>62.794718641936505</v>
      </c>
      <c r="AJ1148" s="2">
        <f t="shared" si="68"/>
        <v>45434</v>
      </c>
      <c r="AK1148" s="2" t="s">
        <v>2184</v>
      </c>
      <c r="AL1148" s="3">
        <f>IF(HAVERD!H1152="",AL1147,AVERAGE(HAVERD!H1152:Q1152))</f>
        <v>99.528000000000006</v>
      </c>
      <c r="AM1148" s="3">
        <f t="shared" si="70"/>
        <v>96.642046875000034</v>
      </c>
      <c r="AT1148" s="3">
        <f t="shared" si="71"/>
        <v>96.642046875000034</v>
      </c>
    </row>
    <row r="1149" spans="12:46" x14ac:dyDescent="0.35">
      <c r="L1149" s="2">
        <f t="shared" si="69"/>
        <v>45435</v>
      </c>
      <c r="M1149" s="5">
        <f>HAVERD!BA1153/HAVERD!BB1153</f>
        <v>62.34266834487098</v>
      </c>
      <c r="AJ1149" s="2">
        <f t="shared" si="68"/>
        <v>45435</v>
      </c>
      <c r="AK1149" s="2" t="s">
        <v>2184</v>
      </c>
      <c r="AL1149" s="3">
        <f>IF(HAVERD!H1153="",AL1148,AVERAGE(HAVERD!H1153:Q1153))</f>
        <v>100.967</v>
      </c>
      <c r="AM1149" s="3">
        <f t="shared" si="70"/>
        <v>96.642046875000034</v>
      </c>
      <c r="AT1149" s="3">
        <f t="shared" si="71"/>
        <v>96.642046875000034</v>
      </c>
    </row>
    <row r="1150" spans="12:46" x14ac:dyDescent="0.35">
      <c r="L1150" s="2">
        <f t="shared" si="69"/>
        <v>45436</v>
      </c>
      <c r="M1150" s="5">
        <f>HAVERD!BA1154/HAVERD!BB1154</f>
        <v>61.956351075522058</v>
      </c>
      <c r="AJ1150" s="2">
        <f t="shared" si="68"/>
        <v>45436</v>
      </c>
      <c r="AK1150" s="2" t="s">
        <v>2184</v>
      </c>
      <c r="AL1150" s="3">
        <f>IF(HAVERD!H1154="",AL1149,AVERAGE(HAVERD!H1154:Q1154))</f>
        <v>98.262000000000015</v>
      </c>
      <c r="AM1150" s="3">
        <f t="shared" si="70"/>
        <v>96.642046875000034</v>
      </c>
      <c r="AT1150" s="3">
        <f t="shared" si="71"/>
        <v>96.642046875000034</v>
      </c>
    </row>
    <row r="1151" spans="12:46" x14ac:dyDescent="0.35">
      <c r="L1151" s="2">
        <f t="shared" si="69"/>
        <v>45439</v>
      </c>
      <c r="M1151" s="5" t="e">
        <f>HAVERD!BA1155/HAVERD!BB1155</f>
        <v>#N/A</v>
      </c>
      <c r="AJ1151" s="2">
        <f t="shared" si="68"/>
        <v>45439</v>
      </c>
      <c r="AK1151" s="2" t="s">
        <v>2184</v>
      </c>
      <c r="AL1151" s="3">
        <f>IF(HAVERD!H1155="",AL1150,AVERAGE(HAVERD!H1155:Q1155))</f>
        <v>98.262000000000015</v>
      </c>
      <c r="AM1151" s="3">
        <f t="shared" si="70"/>
        <v>96.642046875000034</v>
      </c>
      <c r="AT1151" s="3">
        <f t="shared" si="71"/>
        <v>96.642046875000034</v>
      </c>
    </row>
    <row r="1152" spans="12:46" x14ac:dyDescent="0.35">
      <c r="L1152" s="2">
        <f t="shared" si="69"/>
        <v>45440</v>
      </c>
      <c r="M1152" s="5">
        <f>HAVERD!BA1156/HAVERD!BB1156</f>
        <v>63.661266337951005</v>
      </c>
      <c r="AJ1152" s="2">
        <f t="shared" si="68"/>
        <v>45440</v>
      </c>
      <c r="AK1152" s="2" t="s">
        <v>2184</v>
      </c>
      <c r="AL1152" s="3">
        <f>IF(HAVERD!H1156="",AL1151,AVERAGE(HAVERD!H1156:Q1156))</f>
        <v>97.069000000000003</v>
      </c>
      <c r="AM1152" s="3">
        <f t="shared" si="70"/>
        <v>96.642046875000034</v>
      </c>
      <c r="AT1152" s="3">
        <f t="shared" si="71"/>
        <v>96.642046875000034</v>
      </c>
    </row>
    <row r="1153" spans="12:46" x14ac:dyDescent="0.35">
      <c r="L1153" s="2">
        <f t="shared" si="69"/>
        <v>45441</v>
      </c>
      <c r="M1153" s="5">
        <f>HAVERD!BA1157/HAVERD!BB1157</f>
        <v>64.097522611089261</v>
      </c>
      <c r="AJ1153" s="2">
        <f t="shared" si="68"/>
        <v>45441</v>
      </c>
      <c r="AK1153" s="2" t="s">
        <v>2184</v>
      </c>
      <c r="AL1153" s="3">
        <f>IF(HAVERD!H1157="",AL1152,AVERAGE(HAVERD!H1157:Q1157))</f>
        <v>97.972000000000008</v>
      </c>
      <c r="AM1153" s="3">
        <f t="shared" si="70"/>
        <v>96.642046875000034</v>
      </c>
      <c r="AT1153" s="3">
        <f t="shared" si="71"/>
        <v>96.642046875000034</v>
      </c>
    </row>
    <row r="1154" spans="12:46" x14ac:dyDescent="0.35">
      <c r="L1154" s="2">
        <f t="shared" si="69"/>
        <v>45442</v>
      </c>
      <c r="M1154" s="5">
        <f>HAVERD!BA1158/HAVERD!BB1158</f>
        <v>63.913964989402622</v>
      </c>
      <c r="AJ1154" s="2">
        <f t="shared" si="68"/>
        <v>45442</v>
      </c>
      <c r="AK1154" s="2" t="s">
        <v>2184</v>
      </c>
      <c r="AL1154" s="3">
        <f>IF(HAVERD!H1158="",AL1153,AVERAGE(HAVERD!H1158:Q1158))</f>
        <v>99.941000000000003</v>
      </c>
      <c r="AM1154" s="3">
        <f t="shared" si="70"/>
        <v>96.642046875000034</v>
      </c>
      <c r="AT1154" s="3">
        <f t="shared" si="71"/>
        <v>96.642046875000034</v>
      </c>
    </row>
    <row r="1155" spans="12:46" x14ac:dyDescent="0.35">
      <c r="L1155" s="2">
        <f t="shared" si="69"/>
        <v>45443</v>
      </c>
      <c r="M1155" s="5">
        <f>HAVERD!BA1159/HAVERD!BB1159</f>
        <v>62.37530437514728</v>
      </c>
      <c r="AJ1155" s="2">
        <f t="shared" si="68"/>
        <v>45443</v>
      </c>
      <c r="AK1155" s="2" t="s">
        <v>2184</v>
      </c>
      <c r="AL1155" s="3">
        <f>IF(HAVERD!H1159="",AL1154,AVERAGE(HAVERD!H1159:Q1159))</f>
        <v>97.003999999999991</v>
      </c>
      <c r="AM1155" s="3">
        <f t="shared" si="70"/>
        <v>96.642046875000034</v>
      </c>
      <c r="AT1155" s="3">
        <f t="shared" si="71"/>
        <v>96.642046875000034</v>
      </c>
    </row>
    <row r="1156" spans="12:46" x14ac:dyDescent="0.35">
      <c r="L1156" s="2">
        <f t="shared" si="69"/>
        <v>45446</v>
      </c>
      <c r="M1156" s="5">
        <f>HAVERD!BA1160/HAVERD!BB1160</f>
        <v>59.857500782962738</v>
      </c>
      <c r="AJ1156" s="2">
        <f t="shared" si="68"/>
        <v>45446</v>
      </c>
      <c r="AK1156" s="2" t="s">
        <v>2186</v>
      </c>
      <c r="AL1156" s="3">
        <f>IF(HAVERD!H1160="",AL1155,AVERAGE(HAVERD!H1160:Q1160))</f>
        <v>99.364999999999981</v>
      </c>
      <c r="AM1156" s="3">
        <f t="shared" si="70"/>
        <v>96.642046875000034</v>
      </c>
      <c r="AT1156" s="3">
        <f t="shared" si="71"/>
        <v>96.642046875000034</v>
      </c>
    </row>
    <row r="1157" spans="12:46" x14ac:dyDescent="0.35">
      <c r="L1157" s="2">
        <f t="shared" si="69"/>
        <v>45447</v>
      </c>
      <c r="M1157" s="5">
        <f>HAVERD!BA1161/HAVERD!BB1161</f>
        <v>58.943661971830984</v>
      </c>
      <c r="AJ1157" s="2">
        <f t="shared" si="68"/>
        <v>45447</v>
      </c>
      <c r="AK1157" s="2" t="s">
        <v>2186</v>
      </c>
      <c r="AL1157" s="3">
        <f>IF(HAVERD!H1161="",AL1156,AVERAGE(HAVERD!H1161:Q1161))</f>
        <v>95.001999999999995</v>
      </c>
      <c r="AM1157" s="3">
        <f t="shared" si="70"/>
        <v>96.642046875000034</v>
      </c>
      <c r="AT1157" s="3">
        <f t="shared" si="71"/>
        <v>96.642046875000034</v>
      </c>
    </row>
    <row r="1158" spans="12:46" x14ac:dyDescent="0.35">
      <c r="L1158" s="2">
        <f t="shared" si="69"/>
        <v>45448</v>
      </c>
      <c r="M1158" s="5">
        <f>HAVERD!BA1162/HAVERD!BB1162</f>
        <v>59.0987460815047</v>
      </c>
      <c r="AJ1158" s="2">
        <f t="shared" si="68"/>
        <v>45448</v>
      </c>
      <c r="AK1158" s="2" t="s">
        <v>2186</v>
      </c>
      <c r="AL1158" s="3">
        <f>IF(HAVERD!H1162="",AL1157,AVERAGE(HAVERD!H1162:Q1162))</f>
        <v>93.339999999999989</v>
      </c>
      <c r="AM1158" s="3">
        <f t="shared" si="70"/>
        <v>96.642046875000034</v>
      </c>
      <c r="AT1158" s="3">
        <f t="shared" si="71"/>
        <v>96.642046875000034</v>
      </c>
    </row>
    <row r="1159" spans="12:46" x14ac:dyDescent="0.35">
      <c r="L1159" s="2">
        <f t="shared" si="69"/>
        <v>45449</v>
      </c>
      <c r="M1159" s="5">
        <f>HAVERD!BA1163/HAVERD!BB1163</f>
        <v>60.768809206920849</v>
      </c>
      <c r="AJ1159" s="2">
        <f t="shared" si="68"/>
        <v>45449</v>
      </c>
      <c r="AK1159" s="2" t="s">
        <v>2186</v>
      </c>
      <c r="AL1159" s="3">
        <f>IF(HAVERD!H1163="",AL1158,AVERAGE(HAVERD!H1163:Q1163))</f>
        <v>93.638999999999996</v>
      </c>
      <c r="AM1159" s="3">
        <f t="shared" si="70"/>
        <v>96.642046875000034</v>
      </c>
      <c r="AT1159" s="3">
        <f t="shared" si="71"/>
        <v>96.642046875000034</v>
      </c>
    </row>
    <row r="1160" spans="12:46" x14ac:dyDescent="0.35">
      <c r="L1160" s="2">
        <f t="shared" si="69"/>
        <v>45450</v>
      </c>
      <c r="M1160" s="5">
        <f>HAVERD!BA1164/HAVERD!BB1164</f>
        <v>61.395787488211262</v>
      </c>
      <c r="AJ1160" s="2">
        <f t="shared" si="68"/>
        <v>45450</v>
      </c>
      <c r="AK1160" s="2" t="s">
        <v>2186</v>
      </c>
      <c r="AL1160" s="3">
        <f>IF(HAVERD!H1164="",AL1159,AVERAGE(HAVERD!H1164:Q1164))</f>
        <v>92.594999999999999</v>
      </c>
      <c r="AM1160" s="3">
        <f t="shared" si="70"/>
        <v>96.642046875000034</v>
      </c>
      <c r="AT1160" s="3">
        <f t="shared" si="71"/>
        <v>96.642046875000034</v>
      </c>
    </row>
    <row r="1161" spans="12:46" x14ac:dyDescent="0.35">
      <c r="L1161" s="2">
        <f t="shared" si="69"/>
        <v>45453</v>
      </c>
      <c r="M1161" s="5">
        <f>HAVERD!BA1165/HAVERD!BB1165</f>
        <v>62.585515451757487</v>
      </c>
      <c r="AJ1161" s="2">
        <f t="shared" ref="AJ1161:AJ1224" si="72">+AJ1156+7</f>
        <v>45453</v>
      </c>
      <c r="AK1161" s="2" t="s">
        <v>2186</v>
      </c>
      <c r="AL1161" s="3">
        <f>IF(HAVERD!H1165="",AL1160,AVERAGE(HAVERD!H1165:Q1165))</f>
        <v>94.742999999999995</v>
      </c>
      <c r="AM1161" s="3">
        <f t="shared" si="70"/>
        <v>96.642046875000034</v>
      </c>
      <c r="AT1161" s="3">
        <f t="shared" si="71"/>
        <v>96.642046875000034</v>
      </c>
    </row>
    <row r="1162" spans="12:46" x14ac:dyDescent="0.35">
      <c r="L1162" s="2">
        <f t="shared" si="69"/>
        <v>45454</v>
      </c>
      <c r="M1162" s="5">
        <f>HAVERD!BA1166/HAVERD!BB1166</f>
        <v>63.05066079295154</v>
      </c>
      <c r="AJ1162" s="2">
        <f t="shared" si="72"/>
        <v>45454</v>
      </c>
      <c r="AK1162" s="2" t="s">
        <v>2186</v>
      </c>
      <c r="AL1162" s="3">
        <f>IF(HAVERD!H1166="",AL1161,AVERAGE(HAVERD!H1166:Q1166))</f>
        <v>93.969000000000008</v>
      </c>
      <c r="AM1162" s="3">
        <f t="shared" si="70"/>
        <v>96.642046875000034</v>
      </c>
      <c r="AT1162" s="3">
        <f t="shared" si="71"/>
        <v>96.642046875000034</v>
      </c>
    </row>
    <row r="1163" spans="12:46" x14ac:dyDescent="0.35">
      <c r="L1163" s="2">
        <f t="shared" si="69"/>
        <v>45455</v>
      </c>
      <c r="M1163" s="5">
        <f>HAVERD!BA1167/HAVERD!BB1167</f>
        <v>62.695631861714553</v>
      </c>
      <c r="AJ1163" s="2">
        <f t="shared" si="72"/>
        <v>45455</v>
      </c>
      <c r="AK1163" s="2" t="s">
        <v>2186</v>
      </c>
      <c r="AL1163" s="3">
        <f>IF(HAVERD!H1167="",AL1162,AVERAGE(HAVERD!H1167:Q1167))</f>
        <v>95.681999999999988</v>
      </c>
      <c r="AM1163" s="3">
        <f t="shared" si="70"/>
        <v>96.642046875000034</v>
      </c>
      <c r="AT1163" s="3">
        <f t="shared" si="71"/>
        <v>96.642046875000034</v>
      </c>
    </row>
    <row r="1164" spans="12:46" x14ac:dyDescent="0.35">
      <c r="L1164" s="2">
        <f t="shared" si="69"/>
        <v>45456</v>
      </c>
      <c r="M1164" s="5">
        <f>HAVERD!BA1168/HAVERD!BB1168</f>
        <v>63.789457194329131</v>
      </c>
      <c r="AJ1164" s="2">
        <f t="shared" si="72"/>
        <v>45456</v>
      </c>
      <c r="AK1164" s="2" t="s">
        <v>2186</v>
      </c>
      <c r="AL1164" s="3">
        <f>IF(HAVERD!H1168="",AL1163,AVERAGE(HAVERD!H1168:Q1168))</f>
        <v>96.365999999999985</v>
      </c>
      <c r="AM1164" s="3">
        <f t="shared" si="70"/>
        <v>96.642046875000034</v>
      </c>
      <c r="AT1164" s="3">
        <f t="shared" si="71"/>
        <v>96.642046875000034</v>
      </c>
    </row>
    <row r="1165" spans="12:46" x14ac:dyDescent="0.35">
      <c r="L1165" s="2">
        <f t="shared" si="69"/>
        <v>45457</v>
      </c>
      <c r="M1165" s="5">
        <f>HAVERD!BA1169/HAVERD!BB1169</f>
        <v>64.332517565327223</v>
      </c>
      <c r="AJ1165" s="2">
        <f t="shared" si="72"/>
        <v>45457</v>
      </c>
      <c r="AK1165" s="2" t="s">
        <v>2186</v>
      </c>
      <c r="AL1165" s="3">
        <f>IF(HAVERD!H1169="",AL1164,AVERAGE(HAVERD!H1169:Q1169))</f>
        <v>95.697000000000003</v>
      </c>
      <c r="AM1165" s="3">
        <f t="shared" si="70"/>
        <v>96.642046875000034</v>
      </c>
      <c r="AT1165" s="3">
        <f t="shared" si="71"/>
        <v>96.642046875000034</v>
      </c>
    </row>
    <row r="1166" spans="12:46" x14ac:dyDescent="0.35">
      <c r="L1166" s="2">
        <f t="shared" si="69"/>
        <v>45460</v>
      </c>
      <c r="M1166" s="5">
        <f>HAVERD!BA1170/HAVERD!BB1170</f>
        <v>65.023659305993689</v>
      </c>
      <c r="AJ1166" s="2">
        <f t="shared" si="72"/>
        <v>45460</v>
      </c>
      <c r="AK1166" s="2" t="s">
        <v>2186</v>
      </c>
      <c r="AL1166" s="3">
        <f>IF(HAVERD!H1170="",AL1165,AVERAGE(HAVERD!H1170:Q1170))</f>
        <v>94.121999999999986</v>
      </c>
      <c r="AM1166" s="3">
        <f t="shared" si="70"/>
        <v>96.642046875000034</v>
      </c>
      <c r="AT1166" s="3">
        <f t="shared" si="71"/>
        <v>96.642046875000034</v>
      </c>
    </row>
    <row r="1167" spans="12:46" x14ac:dyDescent="0.35">
      <c r="L1167" s="2">
        <f t="shared" si="69"/>
        <v>45461</v>
      </c>
      <c r="M1167" s="5">
        <f>HAVERD!BA1171/HAVERD!BB1171</f>
        <v>66.816390858944061</v>
      </c>
      <c r="AJ1167" s="2">
        <f t="shared" si="72"/>
        <v>45461</v>
      </c>
      <c r="AK1167" s="2" t="s">
        <v>2186</v>
      </c>
      <c r="AL1167" s="3">
        <f>IF(HAVERD!H1171="",AL1166,AVERAGE(HAVERD!H1171:Q1171))</f>
        <v>95.658000000000001</v>
      </c>
      <c r="AM1167" s="3">
        <f t="shared" si="70"/>
        <v>96.642046875000034</v>
      </c>
      <c r="AT1167" s="3">
        <f t="shared" si="71"/>
        <v>96.642046875000034</v>
      </c>
    </row>
    <row r="1168" spans="12:46" x14ac:dyDescent="0.35">
      <c r="L1168" s="2">
        <f t="shared" si="69"/>
        <v>45462</v>
      </c>
      <c r="M1168" s="5">
        <f>HAVERD!BA1172/HAVERD!BB1172</f>
        <v>67.263587810241901</v>
      </c>
      <c r="AJ1168" s="2">
        <f t="shared" si="72"/>
        <v>45462</v>
      </c>
      <c r="AK1168" s="2" t="s">
        <v>2186</v>
      </c>
      <c r="AL1168" s="3">
        <f>IF(HAVERD!H1172="",AL1167,AVERAGE(HAVERD!H1172:Q1172))</f>
        <v>97.437999999999988</v>
      </c>
      <c r="AM1168" s="3">
        <f t="shared" si="70"/>
        <v>96.642046875000034</v>
      </c>
      <c r="AT1168" s="3">
        <f t="shared" si="71"/>
        <v>96.642046875000034</v>
      </c>
    </row>
    <row r="1169" spans="12:46" x14ac:dyDescent="0.35">
      <c r="L1169" s="2">
        <f t="shared" si="69"/>
        <v>45463</v>
      </c>
      <c r="M1169" s="5">
        <f>HAVERD!BA1173/HAVERD!BB1173</f>
        <v>67.728204319722536</v>
      </c>
      <c r="AJ1169" s="2">
        <f t="shared" si="72"/>
        <v>45463</v>
      </c>
      <c r="AK1169" s="2" t="s">
        <v>2186</v>
      </c>
      <c r="AL1169" s="3">
        <f>IF(HAVERD!H1173="",AL1168,AVERAGE(HAVERD!H1173:Q1173))</f>
        <v>96.978999999999999</v>
      </c>
      <c r="AM1169" s="3">
        <f t="shared" si="70"/>
        <v>96.642046875000034</v>
      </c>
      <c r="AT1169" s="3">
        <f t="shared" si="71"/>
        <v>96.642046875000034</v>
      </c>
    </row>
    <row r="1170" spans="12:46" x14ac:dyDescent="0.35">
      <c r="L1170" s="2">
        <f t="shared" si="69"/>
        <v>45464</v>
      </c>
      <c r="M1170" s="5">
        <f>HAVERD!BA1174/HAVERD!BB1174</f>
        <v>68.446063678124503</v>
      </c>
      <c r="AJ1170" s="2">
        <f t="shared" si="72"/>
        <v>45464</v>
      </c>
      <c r="AK1170" s="2" t="s">
        <v>2186</v>
      </c>
      <c r="AL1170" s="3">
        <f>IF(HAVERD!H1174="",AL1169,AVERAGE(HAVERD!H1174:Q1174))</f>
        <v>95.832999999999998</v>
      </c>
      <c r="AM1170" s="3">
        <f t="shared" si="70"/>
        <v>96.642046875000034</v>
      </c>
      <c r="AT1170" s="3">
        <f t="shared" si="71"/>
        <v>96.642046875000034</v>
      </c>
    </row>
    <row r="1171" spans="12:46" x14ac:dyDescent="0.35">
      <c r="L1171" s="2">
        <f t="shared" si="69"/>
        <v>45467</v>
      </c>
      <c r="M1171" s="5">
        <f>HAVERD!BA1175/HAVERD!BB1175</f>
        <v>68.371689785624213</v>
      </c>
      <c r="AJ1171" s="2">
        <f t="shared" si="72"/>
        <v>45467</v>
      </c>
      <c r="AK1171" s="2" t="s">
        <v>2186</v>
      </c>
      <c r="AL1171" s="3">
        <f>IF(HAVERD!H1175="",AL1170,AVERAGE(HAVERD!H1175:Q1175))</f>
        <v>95.849000000000018</v>
      </c>
      <c r="AM1171" s="3">
        <f t="shared" si="70"/>
        <v>96.642046875000034</v>
      </c>
      <c r="AT1171" s="3">
        <f t="shared" si="71"/>
        <v>96.642046875000034</v>
      </c>
    </row>
    <row r="1172" spans="12:46" x14ac:dyDescent="0.35">
      <c r="L1172" s="2">
        <f t="shared" si="69"/>
        <v>45468</v>
      </c>
      <c r="M1172" s="5">
        <f>HAVERD!BA1176/HAVERD!BB1176</f>
        <v>68.505366161616152</v>
      </c>
      <c r="AJ1172" s="2">
        <f t="shared" si="72"/>
        <v>45468</v>
      </c>
      <c r="AK1172" s="2" t="s">
        <v>2186</v>
      </c>
      <c r="AL1172" s="3">
        <f>IF(HAVERD!H1176="",AL1171,AVERAGE(HAVERD!H1176:Q1176))</f>
        <v>97.025000000000006</v>
      </c>
      <c r="AM1172" s="3">
        <f t="shared" si="70"/>
        <v>96.642046875000034</v>
      </c>
      <c r="AT1172" s="3">
        <f t="shared" si="71"/>
        <v>96.642046875000034</v>
      </c>
    </row>
    <row r="1173" spans="12:46" x14ac:dyDescent="0.35">
      <c r="L1173" s="2">
        <f t="shared" si="69"/>
        <v>45469</v>
      </c>
      <c r="M1173" s="5">
        <f>HAVERD!BA1177/HAVERD!BB1177</f>
        <v>67.939475560484837</v>
      </c>
      <c r="AJ1173" s="2">
        <f t="shared" si="72"/>
        <v>45469</v>
      </c>
      <c r="AK1173" s="2" t="s">
        <v>2186</v>
      </c>
      <c r="AL1173" s="3">
        <f>IF(HAVERD!H1177="",AL1172,AVERAGE(HAVERD!H1177:Q1177))</f>
        <v>95.275000000000006</v>
      </c>
      <c r="AM1173" s="3">
        <f t="shared" si="70"/>
        <v>96.642046875000034</v>
      </c>
      <c r="AT1173" s="3">
        <f t="shared" si="71"/>
        <v>96.642046875000034</v>
      </c>
    </row>
    <row r="1174" spans="12:46" x14ac:dyDescent="0.35">
      <c r="L1174" s="2">
        <f t="shared" si="69"/>
        <v>45470</v>
      </c>
      <c r="M1174" s="5">
        <f>HAVERD!BA1178/HAVERD!BB1178</f>
        <v>68.769267251600667</v>
      </c>
      <c r="AJ1174" s="2">
        <f t="shared" si="72"/>
        <v>45470</v>
      </c>
      <c r="AK1174" s="2" t="s">
        <v>2186</v>
      </c>
      <c r="AL1174" s="3">
        <f>IF(HAVERD!H1178="",AL1173,AVERAGE(HAVERD!H1178:Q1178))</f>
        <v>96.902999999999992</v>
      </c>
      <c r="AM1174" s="3">
        <f t="shared" si="70"/>
        <v>96.642046875000034</v>
      </c>
      <c r="AT1174" s="3">
        <f t="shared" si="71"/>
        <v>96.642046875000034</v>
      </c>
    </row>
    <row r="1175" spans="12:46" x14ac:dyDescent="0.35">
      <c r="L1175" s="2">
        <f t="shared" si="69"/>
        <v>45471</v>
      </c>
      <c r="M1175" s="5">
        <f>HAVERD!BA1179/HAVERD!BB1179</f>
        <v>69.023888625217538</v>
      </c>
      <c r="AJ1175" s="2">
        <f t="shared" si="72"/>
        <v>45471</v>
      </c>
      <c r="AK1175" s="2" t="s">
        <v>2186</v>
      </c>
      <c r="AL1175" s="3">
        <f>IF(HAVERD!H1179="",AL1174,AVERAGE(HAVERD!H1179:Q1179))</f>
        <v>96.378999999999991</v>
      </c>
      <c r="AM1175" s="3">
        <f t="shared" si="70"/>
        <v>96.642046875000034</v>
      </c>
      <c r="AT1175" s="3">
        <f t="shared" si="71"/>
        <v>96.642046875000034</v>
      </c>
    </row>
    <row r="1176" spans="12:46" x14ac:dyDescent="0.35">
      <c r="L1176" s="2">
        <f t="shared" si="69"/>
        <v>45474</v>
      </c>
      <c r="M1176" s="5">
        <f>HAVERD!BA1180/HAVERD!BB1180</f>
        <v>68.451016051237445</v>
      </c>
      <c r="AJ1176" s="2">
        <f t="shared" si="72"/>
        <v>45474</v>
      </c>
      <c r="AK1176" s="2" t="s">
        <v>2185</v>
      </c>
      <c r="AL1176" s="3">
        <f>IF(HAVERD!H1180="",AL1175,AVERAGE(HAVERD!H1180:Q1180))</f>
        <v>95.337999999999994</v>
      </c>
      <c r="AM1176" s="3">
        <f t="shared" si="70"/>
        <v>96.642046875000034</v>
      </c>
      <c r="AT1176" s="3">
        <f t="shared" si="71"/>
        <v>96.642046875000034</v>
      </c>
    </row>
    <row r="1177" spans="12:46" x14ac:dyDescent="0.35">
      <c r="L1177" s="2">
        <f t="shared" si="69"/>
        <v>45475</v>
      </c>
      <c r="M1177" s="5">
        <f>HAVERD!BA1181/HAVERD!BB1181</f>
        <v>69.643420637425052</v>
      </c>
      <c r="AJ1177" s="2">
        <f t="shared" si="72"/>
        <v>45475</v>
      </c>
      <c r="AK1177" s="2" t="s">
        <v>2185</v>
      </c>
      <c r="AL1177" s="3">
        <f>IF(HAVERD!H1181="",AL1176,AVERAGE(HAVERD!H1181:Q1181))</f>
        <v>96.631999999999991</v>
      </c>
      <c r="AM1177" s="3">
        <f t="shared" si="70"/>
        <v>96.642046875000034</v>
      </c>
      <c r="AT1177" s="3">
        <f t="shared" si="71"/>
        <v>96.642046875000034</v>
      </c>
    </row>
    <row r="1178" spans="12:46" x14ac:dyDescent="0.35">
      <c r="L1178" s="2">
        <f t="shared" si="69"/>
        <v>45476</v>
      </c>
      <c r="M1178" s="5">
        <f>HAVERD!BA1182/HAVERD!BB1182</f>
        <v>69.150603353706316</v>
      </c>
      <c r="AJ1178" s="2">
        <f t="shared" si="72"/>
        <v>45476</v>
      </c>
      <c r="AK1178" s="2" t="s">
        <v>2185</v>
      </c>
      <c r="AL1178" s="3">
        <f>IF(HAVERD!H1182="",AL1177,AVERAGE(HAVERD!H1182:Q1182))</f>
        <v>95.214999999999989</v>
      </c>
      <c r="AM1178" s="3">
        <f t="shared" si="70"/>
        <v>96.642046875000034</v>
      </c>
      <c r="AT1178" s="3">
        <f t="shared" si="71"/>
        <v>96.642046875000034</v>
      </c>
    </row>
    <row r="1179" spans="12:46" x14ac:dyDescent="0.35">
      <c r="L1179" s="2">
        <f t="shared" si="69"/>
        <v>45477</v>
      </c>
      <c r="M1179" s="5">
        <f>HAVERD!BA1183/HAVERD!BB1183</f>
        <v>69.221125215483468</v>
      </c>
      <c r="AJ1179" s="2">
        <f t="shared" si="72"/>
        <v>45477</v>
      </c>
      <c r="AK1179" s="2" t="s">
        <v>2185</v>
      </c>
      <c r="AL1179" s="3">
        <f>IF(HAVERD!H1183="",AL1178,AVERAGE(HAVERD!H1183:Q1183))</f>
        <v>96.171000000000006</v>
      </c>
      <c r="AM1179" s="3">
        <f t="shared" si="70"/>
        <v>96.642046875000034</v>
      </c>
      <c r="AT1179" s="3">
        <f t="shared" si="71"/>
        <v>96.642046875000034</v>
      </c>
    </row>
    <row r="1180" spans="12:46" x14ac:dyDescent="0.35">
      <c r="L1180" s="2">
        <f t="shared" si="69"/>
        <v>45478</v>
      </c>
      <c r="M1180" s="5">
        <f>HAVERD!BA1184/HAVERD!BB1184</f>
        <v>69.276449445225808</v>
      </c>
      <c r="AJ1180" s="2">
        <f t="shared" si="72"/>
        <v>45478</v>
      </c>
      <c r="AK1180" s="2" t="s">
        <v>2185</v>
      </c>
      <c r="AL1180" s="3">
        <f>IF(HAVERD!H1184="",AL1179,AVERAGE(HAVERD!H1184:Q1184))</f>
        <v>95.147000000000006</v>
      </c>
      <c r="AM1180" s="3">
        <f t="shared" si="70"/>
        <v>96.642046875000034</v>
      </c>
      <c r="AT1180" s="3">
        <f t="shared" si="71"/>
        <v>96.642046875000034</v>
      </c>
    </row>
    <row r="1181" spans="12:46" x14ac:dyDescent="0.35">
      <c r="L1181" s="2">
        <f t="shared" si="69"/>
        <v>45481</v>
      </c>
      <c r="M1181" s="5">
        <f>HAVERD!BA1185/HAVERD!BB1185</f>
        <v>67.910854827398111</v>
      </c>
      <c r="AJ1181" s="2">
        <f t="shared" si="72"/>
        <v>45481</v>
      </c>
      <c r="AK1181" s="2" t="s">
        <v>2185</v>
      </c>
      <c r="AL1181" s="3">
        <f>IF(HAVERD!H1185="",AL1180,AVERAGE(HAVERD!H1185:Q1185))</f>
        <v>93.981999999999999</v>
      </c>
      <c r="AM1181" s="3">
        <f t="shared" si="70"/>
        <v>96.642046875000034</v>
      </c>
      <c r="AT1181" s="3">
        <f t="shared" si="71"/>
        <v>96.642046875000034</v>
      </c>
    </row>
    <row r="1182" spans="12:46" x14ac:dyDescent="0.35">
      <c r="L1182" s="2">
        <f t="shared" si="69"/>
        <v>45482</v>
      </c>
      <c r="M1182" s="5">
        <f>HAVERD!BA1186/HAVERD!BB1186</f>
        <v>67.57833867312651</v>
      </c>
      <c r="AJ1182" s="2">
        <f t="shared" si="72"/>
        <v>45482</v>
      </c>
      <c r="AK1182" s="2" t="s">
        <v>2185</v>
      </c>
      <c r="AL1182" s="3">
        <f>IF(HAVERD!H1186="",AL1181,AVERAGE(HAVERD!H1186:Q1186))</f>
        <v>91.847999999999985</v>
      </c>
      <c r="AM1182" s="3">
        <f t="shared" si="70"/>
        <v>96.642046875000034</v>
      </c>
      <c r="AT1182" s="3">
        <f t="shared" si="71"/>
        <v>96.642046875000034</v>
      </c>
    </row>
    <row r="1183" spans="12:46" x14ac:dyDescent="0.35">
      <c r="L1183" s="2">
        <f t="shared" si="69"/>
        <v>45483</v>
      </c>
      <c r="M1183" s="5">
        <f>HAVERD!BA1187/HAVERD!BB1187</f>
        <v>67.45908028059236</v>
      </c>
      <c r="AJ1183" s="2">
        <f t="shared" si="72"/>
        <v>45483</v>
      </c>
      <c r="AK1183" s="2" t="s">
        <v>2185</v>
      </c>
      <c r="AL1183" s="3">
        <f>IF(HAVERD!H1187="",AL1182,AVERAGE(HAVERD!H1187:Q1187))</f>
        <v>90.587000000000003</v>
      </c>
      <c r="AM1183" s="3">
        <f t="shared" si="70"/>
        <v>96.642046875000034</v>
      </c>
      <c r="AT1183" s="3">
        <f t="shared" si="71"/>
        <v>96.642046875000034</v>
      </c>
    </row>
    <row r="1184" spans="12:46" x14ac:dyDescent="0.35">
      <c r="L1184" s="2">
        <f t="shared" si="69"/>
        <v>45484</v>
      </c>
      <c r="M1184" s="5">
        <f>HAVERD!BA1188/HAVERD!BB1188</f>
        <v>66.922005571030638</v>
      </c>
      <c r="AJ1184" s="2">
        <f t="shared" si="72"/>
        <v>45484</v>
      </c>
      <c r="AK1184" s="2" t="s">
        <v>2185</v>
      </c>
      <c r="AL1184" s="3">
        <f>IF(HAVERD!H1188="",AL1183,AVERAGE(HAVERD!H1188:Q1188))</f>
        <v>91.142999999999986</v>
      </c>
      <c r="AM1184" s="3">
        <f t="shared" si="70"/>
        <v>96.642046875000034</v>
      </c>
      <c r="AT1184" s="3">
        <f t="shared" si="71"/>
        <v>96.642046875000034</v>
      </c>
    </row>
    <row r="1185" spans="12:46" x14ac:dyDescent="0.35">
      <c r="L1185" s="2">
        <f t="shared" si="69"/>
        <v>45485</v>
      </c>
      <c r="M1185" s="5">
        <f>HAVERD!BA1189/HAVERD!BB1189</f>
        <v>67.249210870736775</v>
      </c>
      <c r="AJ1185" s="2">
        <f t="shared" si="72"/>
        <v>45485</v>
      </c>
      <c r="AK1185" s="2" t="s">
        <v>2185</v>
      </c>
      <c r="AL1185" s="3">
        <f>IF(HAVERD!H1189="",AL1184,AVERAGE(HAVERD!H1189:Q1189))</f>
        <v>92.085000000000008</v>
      </c>
      <c r="AM1185" s="3">
        <f t="shared" si="70"/>
        <v>96.642046875000034</v>
      </c>
      <c r="AT1185" s="3">
        <f t="shared" si="71"/>
        <v>96.642046875000034</v>
      </c>
    </row>
    <row r="1186" spans="12:46" x14ac:dyDescent="0.35">
      <c r="L1186" s="2">
        <f t="shared" si="69"/>
        <v>45488</v>
      </c>
      <c r="M1186" s="5">
        <f>HAVERD!BA1190/HAVERD!BB1190</f>
        <v>66.558841651263094</v>
      </c>
      <c r="AJ1186" s="2">
        <f t="shared" si="72"/>
        <v>45488</v>
      </c>
      <c r="AK1186" s="2" t="s">
        <v>2185</v>
      </c>
      <c r="AL1186" s="3">
        <f>IF(HAVERD!H1190="",AL1185,AVERAGE(HAVERD!H1190:Q1190))</f>
        <v>91.383999999999986</v>
      </c>
      <c r="AM1186" s="3">
        <f t="shared" si="70"/>
        <v>96.642046875000034</v>
      </c>
      <c r="AT1186" s="3">
        <f t="shared" si="71"/>
        <v>96.642046875000034</v>
      </c>
    </row>
    <row r="1187" spans="12:46" x14ac:dyDescent="0.35">
      <c r="L1187" s="2">
        <f t="shared" si="69"/>
        <v>45489</v>
      </c>
      <c r="M1187" s="5">
        <f>HAVERD!BA1191/HAVERD!BB1191</f>
        <v>66.882916280506635</v>
      </c>
      <c r="AJ1187" s="2">
        <f t="shared" si="72"/>
        <v>45489</v>
      </c>
      <c r="AK1187" s="2" t="s">
        <v>2185</v>
      </c>
      <c r="AL1187" s="3">
        <f>IF(HAVERD!H1191="",AL1186,AVERAGE(HAVERD!H1191:Q1191))</f>
        <v>93.617999999999995</v>
      </c>
      <c r="AM1187" s="3">
        <f t="shared" si="70"/>
        <v>96.642046875000034</v>
      </c>
      <c r="AT1187" s="3">
        <f t="shared" si="71"/>
        <v>96.642046875000034</v>
      </c>
    </row>
    <row r="1188" spans="12:46" x14ac:dyDescent="0.35">
      <c r="L1188" s="2">
        <f t="shared" si="69"/>
        <v>45490</v>
      </c>
      <c r="M1188" s="5">
        <f>HAVERD!BA1192/HAVERD!BB1192</f>
        <v>65.898263408636865</v>
      </c>
      <c r="AJ1188" s="2">
        <f t="shared" si="72"/>
        <v>45490</v>
      </c>
      <c r="AK1188" s="2" t="s">
        <v>2185</v>
      </c>
      <c r="AL1188" s="3">
        <f>IF(HAVERD!H1192="",AL1187,AVERAGE(HAVERD!H1192:Q1192))</f>
        <v>91.831000000000003</v>
      </c>
      <c r="AM1188" s="3">
        <f t="shared" si="70"/>
        <v>96.642046875000034</v>
      </c>
      <c r="AT1188" s="3">
        <f t="shared" si="71"/>
        <v>96.642046875000034</v>
      </c>
    </row>
    <row r="1189" spans="12:46" x14ac:dyDescent="0.35">
      <c r="L1189" s="2">
        <f t="shared" si="69"/>
        <v>45491</v>
      </c>
      <c r="M1189" s="5">
        <f>HAVERD!BA1193/HAVERD!BB1193</f>
        <v>66.466327631376174</v>
      </c>
      <c r="AJ1189" s="2">
        <f t="shared" si="72"/>
        <v>45491</v>
      </c>
      <c r="AK1189" s="2" t="s">
        <v>2185</v>
      </c>
      <c r="AL1189" s="3">
        <f>IF(HAVERD!H1193="",AL1188,AVERAGE(HAVERD!H1193:Q1193))</f>
        <v>93.136999999999986</v>
      </c>
      <c r="AM1189" s="3">
        <f t="shared" si="70"/>
        <v>96.642046875000034</v>
      </c>
      <c r="AT1189" s="3">
        <f t="shared" si="71"/>
        <v>96.642046875000034</v>
      </c>
    </row>
    <row r="1190" spans="12:46" x14ac:dyDescent="0.35">
      <c r="L1190" s="2">
        <f t="shared" si="69"/>
        <v>45492</v>
      </c>
      <c r="M1190" s="5">
        <f>HAVERD!BA1194/HAVERD!BB1194</f>
        <v>65.951846403963756</v>
      </c>
      <c r="AJ1190" s="2">
        <f t="shared" si="72"/>
        <v>45492</v>
      </c>
      <c r="AK1190" s="2" t="s">
        <v>2185</v>
      </c>
      <c r="AL1190" s="3">
        <f>IF(HAVERD!H1194="",AL1189,AVERAGE(HAVERD!H1194:Q1194))</f>
        <v>92.425000000000011</v>
      </c>
      <c r="AM1190" s="3">
        <f t="shared" si="70"/>
        <v>96.642046875000034</v>
      </c>
      <c r="AT1190" s="3">
        <f t="shared" si="71"/>
        <v>96.642046875000034</v>
      </c>
    </row>
    <row r="1191" spans="12:46" x14ac:dyDescent="0.35">
      <c r="L1191" s="2">
        <f t="shared" si="69"/>
        <v>45495</v>
      </c>
      <c r="M1191" s="5">
        <f>HAVERD!BA1195/HAVERD!BB1195</f>
        <v>64.617052582668634</v>
      </c>
      <c r="AJ1191" s="2">
        <f t="shared" si="72"/>
        <v>45495</v>
      </c>
      <c r="AK1191" s="2" t="s">
        <v>2185</v>
      </c>
      <c r="AL1191" s="3">
        <f>IF(HAVERD!H1195="",AL1190,AVERAGE(HAVERD!H1195:Q1195))</f>
        <v>91.832999999999998</v>
      </c>
      <c r="AM1191" s="3">
        <f t="shared" si="70"/>
        <v>96.642046875000034</v>
      </c>
      <c r="AT1191" s="3">
        <f t="shared" si="71"/>
        <v>96.642046875000034</v>
      </c>
    </row>
    <row r="1192" spans="12:46" x14ac:dyDescent="0.35">
      <c r="L1192" s="2">
        <f t="shared" si="69"/>
        <v>45496</v>
      </c>
      <c r="M1192" s="5">
        <f>HAVERD!BA1196/HAVERD!BB1196</f>
        <v>63.681437867988848</v>
      </c>
      <c r="AJ1192" s="2">
        <f t="shared" si="72"/>
        <v>45496</v>
      </c>
      <c r="AK1192" s="2" t="s">
        <v>2185</v>
      </c>
      <c r="AL1192" s="3">
        <f>IF(HAVERD!H1196="",AL1191,AVERAGE(HAVERD!H1196:Q1196))</f>
        <v>91.254999999999995</v>
      </c>
      <c r="AM1192" s="3">
        <f t="shared" si="70"/>
        <v>96.642046875000034</v>
      </c>
      <c r="AT1192" s="3">
        <f t="shared" si="71"/>
        <v>96.642046875000034</v>
      </c>
    </row>
    <row r="1193" spans="12:46" x14ac:dyDescent="0.35">
      <c r="L1193" s="2">
        <f t="shared" si="69"/>
        <v>45497</v>
      </c>
      <c r="M1193" s="5">
        <f>HAVERD!BA1197/HAVERD!BB1197</f>
        <v>64.259173246632614</v>
      </c>
      <c r="AJ1193" s="2">
        <f t="shared" si="72"/>
        <v>45497</v>
      </c>
      <c r="AK1193" s="2" t="s">
        <v>2185</v>
      </c>
      <c r="AL1193" s="3">
        <f>IF(HAVERD!H1197="",AL1192,AVERAGE(HAVERD!H1197:Q1197))</f>
        <v>93.580000000000013</v>
      </c>
      <c r="AM1193" s="3">
        <f t="shared" si="70"/>
        <v>96.642046875000034</v>
      </c>
      <c r="AT1193" s="3">
        <f t="shared" si="71"/>
        <v>96.642046875000034</v>
      </c>
    </row>
    <row r="1194" spans="12:46" x14ac:dyDescent="0.35">
      <c r="L1194" s="2">
        <f t="shared" si="69"/>
        <v>45498</v>
      </c>
      <c r="M1194" s="5">
        <f>HAVERD!BA1198/HAVERD!BB1198</f>
        <v>64.129843907742483</v>
      </c>
      <c r="AJ1194" s="2">
        <f t="shared" si="72"/>
        <v>45498</v>
      </c>
      <c r="AK1194" s="2" t="s">
        <v>2185</v>
      </c>
      <c r="AL1194" s="3">
        <f>IF(HAVERD!H1198="",AL1193,AVERAGE(HAVERD!H1198:Q1198))</f>
        <v>92.694000000000003</v>
      </c>
      <c r="AM1194" s="3">
        <f t="shared" si="70"/>
        <v>96.642046875000034</v>
      </c>
      <c r="AT1194" s="3">
        <f t="shared" si="71"/>
        <v>96.642046875000034</v>
      </c>
    </row>
    <row r="1195" spans="12:46" x14ac:dyDescent="0.35">
      <c r="L1195" s="2">
        <f t="shared" ref="L1195:L1198" si="73">+L1190+7</f>
        <v>45499</v>
      </c>
      <c r="M1195" s="5">
        <f>HAVERD!BA1199/HAVERD!BB1199</f>
        <v>63.292616509764251</v>
      </c>
      <c r="AJ1195" s="2">
        <f t="shared" si="72"/>
        <v>45499</v>
      </c>
      <c r="AK1195" s="2" t="s">
        <v>2185</v>
      </c>
      <c r="AL1195" s="3">
        <f>IF(HAVERD!H1199="",AL1194,AVERAGE(HAVERD!H1199:Q1199))</f>
        <v>93.986000000000004</v>
      </c>
      <c r="AM1195" s="3">
        <f t="shared" si="70"/>
        <v>96.642046875000034</v>
      </c>
      <c r="AT1195" s="3">
        <f t="shared" si="71"/>
        <v>96.642046875000034</v>
      </c>
    </row>
    <row r="1196" spans="12:46" x14ac:dyDescent="0.35">
      <c r="L1196" s="2">
        <f t="shared" si="73"/>
        <v>45502</v>
      </c>
      <c r="M1196" s="5">
        <f>HAVERD!BA1200/HAVERD!BB1200</f>
        <v>63.003035728185566</v>
      </c>
      <c r="AJ1196" s="2">
        <f t="shared" si="72"/>
        <v>45502</v>
      </c>
      <c r="AK1196" s="2" t="s">
        <v>2185</v>
      </c>
      <c r="AL1196" s="3">
        <f>IF(HAVERD!H1200="",AL1195,AVERAGE(HAVERD!H1200:Q1200))</f>
        <v>96.122</v>
      </c>
      <c r="AM1196" s="3">
        <f t="shared" si="70"/>
        <v>96.642046875000034</v>
      </c>
      <c r="AT1196" s="3">
        <f t="shared" si="71"/>
        <v>96.642046875000034</v>
      </c>
    </row>
    <row r="1197" spans="12:46" x14ac:dyDescent="0.35">
      <c r="L1197" s="2">
        <f t="shared" si="73"/>
        <v>45503</v>
      </c>
      <c r="M1197" s="5">
        <f>HAVERD!BA1201/HAVERD!BB1201</f>
        <v>61.786716557530411</v>
      </c>
      <c r="AJ1197" s="2">
        <f t="shared" si="72"/>
        <v>45503</v>
      </c>
      <c r="AK1197" s="2" t="s">
        <v>2185</v>
      </c>
      <c r="AL1197" s="3">
        <f>IF(HAVERD!H1201="",AL1196,AVERAGE(HAVERD!H1201:Q1201))</f>
        <v>96.835999999999999</v>
      </c>
      <c r="AM1197" s="3">
        <f t="shared" si="70"/>
        <v>96.642046875000034</v>
      </c>
      <c r="AT1197" s="3">
        <f t="shared" si="71"/>
        <v>96.642046875000034</v>
      </c>
    </row>
    <row r="1198" spans="12:46" x14ac:dyDescent="0.35">
      <c r="L1198" s="2">
        <f t="shared" si="73"/>
        <v>45504</v>
      </c>
      <c r="M1198" s="5">
        <f>HAVERD!BA1202/HAVERD!BB1202</f>
        <v>63.368109623170355</v>
      </c>
      <c r="AJ1198" s="2">
        <f t="shared" si="72"/>
        <v>45504</v>
      </c>
      <c r="AK1198" s="2" t="s">
        <v>2185</v>
      </c>
      <c r="AL1198" s="3">
        <f>IF(HAVERD!H1202="",AL1197,AVERAGE(HAVERD!H1202:Q1202))</f>
        <v>97.67</v>
      </c>
      <c r="AM1198" s="3">
        <f t="shared" si="70"/>
        <v>96.642046875000034</v>
      </c>
      <c r="AT1198" s="3">
        <f t="shared" si="71"/>
        <v>96.642046875000034</v>
      </c>
    </row>
    <row r="1199" spans="12:46" x14ac:dyDescent="0.35">
      <c r="L1199" s="2">
        <f>+L1194+7</f>
        <v>45505</v>
      </c>
      <c r="M1199" s="5">
        <f>HAVERD!BA1203/HAVERD!BB1203</f>
        <v>63.605096537168762</v>
      </c>
      <c r="AJ1199" s="2">
        <f t="shared" si="72"/>
        <v>45505</v>
      </c>
      <c r="AK1199" s="2" t="s">
        <v>2187</v>
      </c>
      <c r="AL1199" s="3">
        <f>IF(HAVERD!H1203="",AL1198,AVERAGE(HAVERD!H1203:Q1203))</f>
        <v>99.844999999999999</v>
      </c>
      <c r="AM1199" s="3">
        <f t="shared" si="70"/>
        <v>96.642046875000034</v>
      </c>
      <c r="AT1199" s="3">
        <f t="shared" si="71"/>
        <v>96.642046875000034</v>
      </c>
    </row>
    <row r="1200" spans="12:46" x14ac:dyDescent="0.35">
      <c r="L1200" s="2">
        <f t="shared" ref="L1200:L1263" si="74">+L1195+7</f>
        <v>45506</v>
      </c>
      <c r="M1200" s="5">
        <f>HAVERD!BA1204/HAVERD!BB1204</f>
        <v>61.177481065042549</v>
      </c>
      <c r="AJ1200" s="2">
        <f t="shared" si="72"/>
        <v>45506</v>
      </c>
      <c r="AK1200" s="2" t="s">
        <v>2187</v>
      </c>
      <c r="AL1200" s="3">
        <f>IF(HAVERD!H1204="",AL1199,AVERAGE(HAVERD!H1204:Q1204))</f>
        <v>100.274</v>
      </c>
      <c r="AM1200" s="3">
        <f t="shared" si="70"/>
        <v>96.642046875000034</v>
      </c>
      <c r="AT1200" s="3">
        <f t="shared" si="71"/>
        <v>96.642046875000034</v>
      </c>
    </row>
    <row r="1201" spans="12:47" x14ac:dyDescent="0.35">
      <c r="L1201" s="2">
        <f t="shared" si="74"/>
        <v>45509</v>
      </c>
      <c r="M1201" s="5">
        <f>HAVERD!BA1205/HAVERD!BB1205</f>
        <v>60.749275021553416</v>
      </c>
      <c r="AJ1201" s="2">
        <f t="shared" si="72"/>
        <v>45509</v>
      </c>
      <c r="AK1201" s="2" t="s">
        <v>2187</v>
      </c>
      <c r="AL1201" s="3">
        <f>IF(HAVERD!H1205="",AL1200,AVERAGE(HAVERD!H1205:Q1205))</f>
        <v>98.527999999999992</v>
      </c>
      <c r="AM1201" s="3">
        <f t="shared" si="70"/>
        <v>96.642046875000034</v>
      </c>
      <c r="AT1201" s="3">
        <f t="shared" si="71"/>
        <v>96.642046875000034</v>
      </c>
    </row>
    <row r="1202" spans="12:47" x14ac:dyDescent="0.35">
      <c r="L1202" s="2">
        <f t="shared" si="74"/>
        <v>45510</v>
      </c>
      <c r="M1202" s="5">
        <f>HAVERD!BA1206/HAVERD!BB1206</f>
        <v>60.302219423894229</v>
      </c>
      <c r="AJ1202" s="2">
        <f t="shared" si="72"/>
        <v>45510</v>
      </c>
      <c r="AK1202" s="2" t="s">
        <v>2187</v>
      </c>
      <c r="AL1202" s="3">
        <f>IF(HAVERD!H1206="",AL1201,AVERAGE(HAVERD!H1206:Q1206))</f>
        <v>99.83</v>
      </c>
      <c r="AM1202" s="3">
        <f t="shared" si="70"/>
        <v>96.642046875000034</v>
      </c>
      <c r="AT1202" s="3">
        <f t="shared" si="71"/>
        <v>96.642046875000034</v>
      </c>
    </row>
    <row r="1203" spans="12:47" x14ac:dyDescent="0.35">
      <c r="L1203" s="2">
        <f t="shared" si="74"/>
        <v>45511</v>
      </c>
      <c r="M1203" s="5">
        <f>HAVERD!BA1207/HAVERD!BB1207</f>
        <v>61.520320729502401</v>
      </c>
      <c r="AJ1203" s="2">
        <f t="shared" si="72"/>
        <v>45511</v>
      </c>
      <c r="AK1203" s="2" t="s">
        <v>2187</v>
      </c>
      <c r="AL1203" s="3">
        <f>IF(HAVERD!H1207="",AL1202,AVERAGE(HAVERD!H1207:Q1207))</f>
        <v>103.008</v>
      </c>
      <c r="AM1203" s="3">
        <f t="shared" si="70"/>
        <v>96.642046875000034</v>
      </c>
      <c r="AT1203" s="3">
        <f t="shared" si="71"/>
        <v>96.642046875000034</v>
      </c>
    </row>
    <row r="1204" spans="12:47" x14ac:dyDescent="0.35">
      <c r="L1204" s="2">
        <f t="shared" si="74"/>
        <v>45512</v>
      </c>
      <c r="M1204" s="5">
        <f>HAVERD!BA1208/HAVERD!BB1208</f>
        <v>63.515532835233977</v>
      </c>
      <c r="AJ1204" s="2">
        <f t="shared" si="72"/>
        <v>45512</v>
      </c>
      <c r="AK1204" s="2" t="s">
        <v>2187</v>
      </c>
      <c r="AL1204" s="3">
        <f>IF(HAVERD!H1208="",AL1203,AVERAGE(HAVERD!H1208:Q1208))</f>
        <v>105.843</v>
      </c>
      <c r="AM1204" s="3">
        <f t="shared" si="70"/>
        <v>96.642046875000034</v>
      </c>
      <c r="AT1204" s="3">
        <f t="shared" si="71"/>
        <v>96.642046875000034</v>
      </c>
    </row>
    <row r="1205" spans="12:47" x14ac:dyDescent="0.35">
      <c r="L1205" s="2">
        <f t="shared" si="74"/>
        <v>45513</v>
      </c>
      <c r="M1205" s="5">
        <f>HAVERD!BA1209/HAVERD!BB1209</f>
        <v>63.514572234409272</v>
      </c>
      <c r="AJ1205" s="2">
        <f t="shared" si="72"/>
        <v>45513</v>
      </c>
      <c r="AK1205" s="2" t="s">
        <v>2187</v>
      </c>
      <c r="AL1205" s="3">
        <f>IF(HAVERD!H1209="",AL1204,AVERAGE(HAVERD!H1209:Q1209))</f>
        <v>106.551</v>
      </c>
      <c r="AM1205" s="3">
        <f t="shared" si="70"/>
        <v>96.642046875000034</v>
      </c>
      <c r="AT1205" s="3">
        <f t="shared" si="71"/>
        <v>96.642046875000034</v>
      </c>
    </row>
    <row r="1206" spans="12:47" x14ac:dyDescent="0.35">
      <c r="L1206" s="2">
        <f t="shared" si="74"/>
        <v>45516</v>
      </c>
      <c r="M1206" s="5">
        <f>HAVERD!BA1210/HAVERD!BB1210</f>
        <v>64.966757919436844</v>
      </c>
      <c r="AJ1206" s="2">
        <f t="shared" si="72"/>
        <v>45516</v>
      </c>
      <c r="AK1206" s="2" t="s">
        <v>2187</v>
      </c>
      <c r="AL1206" s="3">
        <f>IF(HAVERD!H1210="",AL1205,AVERAGE(HAVERD!H1210:Q1210))</f>
        <v>105.61299999999999</v>
      </c>
      <c r="AM1206" s="3">
        <f t="shared" si="70"/>
        <v>96.642046875000034</v>
      </c>
      <c r="AT1206" s="3">
        <f t="shared" si="71"/>
        <v>96.642046875000034</v>
      </c>
    </row>
    <row r="1207" spans="12:47" x14ac:dyDescent="0.35">
      <c r="L1207" s="2">
        <f t="shared" si="74"/>
        <v>45517</v>
      </c>
      <c r="M1207" s="5">
        <f>HAVERD!BA1211/HAVERD!BB1211</f>
        <v>64.340299438552719</v>
      </c>
      <c r="AJ1207" s="2">
        <f t="shared" si="72"/>
        <v>45517</v>
      </c>
      <c r="AK1207" s="2" t="s">
        <v>2187</v>
      </c>
      <c r="AL1207" s="3">
        <f>IF(HAVERD!H1211="",AL1206,AVERAGE(HAVERD!H1211:Q1211))</f>
        <v>105.649</v>
      </c>
      <c r="AM1207" s="3">
        <f t="shared" si="70"/>
        <v>96.642046875000034</v>
      </c>
      <c r="AT1207" s="3">
        <f t="shared" si="71"/>
        <v>96.642046875000034</v>
      </c>
    </row>
    <row r="1208" spans="12:47" x14ac:dyDescent="0.35">
      <c r="L1208" s="2">
        <f t="shared" si="74"/>
        <v>45518</v>
      </c>
      <c r="M1208" s="5">
        <f>HAVERD!BA1212/HAVERD!BB1212</f>
        <v>63.900124455507154</v>
      </c>
      <c r="AJ1208" s="2">
        <f t="shared" si="72"/>
        <v>45518</v>
      </c>
      <c r="AK1208" s="2" t="s">
        <v>2187</v>
      </c>
      <c r="AL1208" s="3">
        <f>IF(HAVERD!H1212="",AL1207,AVERAGE(HAVERD!H1212:Q1212))</f>
        <v>106.20199999999997</v>
      </c>
      <c r="AM1208" s="3">
        <f t="shared" si="70"/>
        <v>96.642046875000034</v>
      </c>
      <c r="AT1208" s="3">
        <f t="shared" si="71"/>
        <v>96.642046875000034</v>
      </c>
    </row>
    <row r="1209" spans="12:47" x14ac:dyDescent="0.35">
      <c r="L1209" s="2">
        <f t="shared" si="74"/>
        <v>45519</v>
      </c>
      <c r="M1209" s="5">
        <f>HAVERD!BA1213/HAVERD!BB1213</f>
        <v>64.646386057729714</v>
      </c>
      <c r="AJ1209" s="2">
        <f t="shared" si="72"/>
        <v>45519</v>
      </c>
      <c r="AK1209" s="2" t="s">
        <v>2187</v>
      </c>
      <c r="AL1209" s="3">
        <f>IF(HAVERD!H1213="",AL1208,AVERAGE(HAVERD!H1213:Q1213))</f>
        <v>107.21700000000001</v>
      </c>
      <c r="AM1209" s="3">
        <f>AVERAGE($AL$1146:$AL$1209)</f>
        <v>96.642046875000034</v>
      </c>
      <c r="AT1209" s="3">
        <f>AVERAGE($AL$1146:$AL$1209)</f>
        <v>96.642046875000034</v>
      </c>
    </row>
    <row r="1210" spans="12:47" x14ac:dyDescent="0.35">
      <c r="L1210" s="2">
        <f t="shared" si="74"/>
        <v>45520</v>
      </c>
      <c r="M1210" s="5">
        <f>HAVERD!BA1214/HAVERD!BB1214</f>
        <v>63.27385570209465</v>
      </c>
      <c r="AJ1210" s="2">
        <f t="shared" si="72"/>
        <v>45520</v>
      </c>
      <c r="AK1210" s="2" t="s">
        <v>2187</v>
      </c>
      <c r="AL1210" s="3">
        <f>IF(HAVERD!H1214="",AL1209,AVERAGE(HAVERD!H1214:Q1214))</f>
        <v>107.27800000000002</v>
      </c>
    </row>
    <row r="1211" spans="12:47" x14ac:dyDescent="0.35">
      <c r="L1211" s="2">
        <f t="shared" si="74"/>
        <v>45523</v>
      </c>
      <c r="M1211" s="5">
        <f>HAVERD!BA1215/HAVERD!BB1215</f>
        <v>62.444170645310336</v>
      </c>
      <c r="AI1211" t="s">
        <v>2167</v>
      </c>
      <c r="AJ1211" s="2">
        <f t="shared" si="72"/>
        <v>45523</v>
      </c>
      <c r="AK1211" s="2" t="s">
        <v>2187</v>
      </c>
      <c r="AL1211" s="3">
        <f>IF(HAVERD!H1215="",AL1210,AVERAGE(HAVERD!H1215:Q1215))</f>
        <v>106.81099999999999</v>
      </c>
      <c r="AM1211" s="3">
        <f>AVERAGE($AL$1211:$AL$1274)</f>
        <v>97.139703125000011</v>
      </c>
      <c r="AU1211" s="3">
        <f>AVERAGE($AL$1211:$AL$1274)</f>
        <v>97.139703125000011</v>
      </c>
    </row>
    <row r="1212" spans="12:47" x14ac:dyDescent="0.35">
      <c r="L1212" s="2">
        <f t="shared" si="74"/>
        <v>45524</v>
      </c>
      <c r="M1212" s="5">
        <f>HAVERD!BA1216/HAVERD!BB1216</f>
        <v>60.509554140127385</v>
      </c>
      <c r="AJ1212" s="2">
        <f t="shared" si="72"/>
        <v>45524</v>
      </c>
      <c r="AK1212" s="2" t="s">
        <v>2187</v>
      </c>
      <c r="AL1212" s="3">
        <f>IF(HAVERD!H1216="",AL1211,AVERAGE(HAVERD!H1216:Q1216))</f>
        <v>102.71100000000001</v>
      </c>
      <c r="AM1212" s="3">
        <f t="shared" ref="AM1212:AM1274" si="75">AVERAGE($AL$1211:$AL$1274)</f>
        <v>97.139703125000011</v>
      </c>
      <c r="AU1212" s="3">
        <f t="shared" ref="AU1212:AU1274" si="76">AVERAGE($AL$1211:$AL$1274)</f>
        <v>97.139703125000011</v>
      </c>
    </row>
    <row r="1213" spans="12:47" x14ac:dyDescent="0.35">
      <c r="L1213" s="2">
        <f t="shared" si="74"/>
        <v>45525</v>
      </c>
      <c r="M1213" s="5">
        <f>HAVERD!BA1217/HAVERD!BB1217</f>
        <v>60.309317816399961</v>
      </c>
      <c r="AJ1213" s="2">
        <f t="shared" si="72"/>
        <v>45525</v>
      </c>
      <c r="AK1213" s="2" t="s">
        <v>2187</v>
      </c>
      <c r="AL1213" s="3">
        <f>IF(HAVERD!H1217="",AL1212,AVERAGE(HAVERD!H1217:Q1217))</f>
        <v>100.87899999999999</v>
      </c>
      <c r="AM1213" s="3">
        <f t="shared" si="75"/>
        <v>97.139703125000011</v>
      </c>
      <c r="AU1213" s="3">
        <f t="shared" si="76"/>
        <v>97.139703125000011</v>
      </c>
    </row>
    <row r="1214" spans="12:47" x14ac:dyDescent="0.35">
      <c r="L1214" s="2">
        <f t="shared" si="74"/>
        <v>45526</v>
      </c>
      <c r="M1214" s="5">
        <f>HAVERD!BA1218/HAVERD!BB1218</f>
        <v>60.138899488666716</v>
      </c>
      <c r="AJ1214" s="2">
        <f t="shared" si="72"/>
        <v>45526</v>
      </c>
      <c r="AK1214" s="2" t="s">
        <v>2187</v>
      </c>
      <c r="AL1214" s="3">
        <f>IF(HAVERD!H1218="",AL1213,AVERAGE(HAVERD!H1218:Q1218))</f>
        <v>99.646000000000015</v>
      </c>
      <c r="AM1214" s="3">
        <f t="shared" si="75"/>
        <v>97.139703125000011</v>
      </c>
      <c r="AU1214" s="3">
        <f t="shared" si="76"/>
        <v>97.139703125000011</v>
      </c>
    </row>
    <row r="1215" spans="12:47" x14ac:dyDescent="0.35">
      <c r="L1215" s="2">
        <f t="shared" si="74"/>
        <v>45527</v>
      </c>
      <c r="M1215" s="5">
        <f>HAVERD!BA1219/HAVERD!BB1219</f>
        <v>60.914398362271598</v>
      </c>
      <c r="AJ1215" s="2">
        <f t="shared" si="72"/>
        <v>45527</v>
      </c>
      <c r="AK1215" s="2" t="s">
        <v>2187</v>
      </c>
      <c r="AL1215" s="3">
        <f>IF(HAVERD!H1219="",AL1214,AVERAGE(HAVERD!H1219:Q1219))</f>
        <v>100.62500000000001</v>
      </c>
      <c r="AM1215" s="3">
        <f t="shared" si="75"/>
        <v>97.139703125000011</v>
      </c>
      <c r="AU1215" s="3">
        <f t="shared" si="76"/>
        <v>97.139703125000011</v>
      </c>
    </row>
    <row r="1216" spans="12:47" x14ac:dyDescent="0.35">
      <c r="L1216" s="2">
        <f t="shared" si="74"/>
        <v>45530</v>
      </c>
      <c r="M1216" s="5" t="e">
        <f>HAVERD!BA1220/HAVERD!BB1220</f>
        <v>#N/A</v>
      </c>
      <c r="AJ1216" s="2">
        <f t="shared" si="72"/>
        <v>45530</v>
      </c>
      <c r="AK1216" s="2" t="s">
        <v>2187</v>
      </c>
      <c r="AL1216" s="3">
        <f>IF(HAVERD!H1220="",AL1215,AVERAGE(HAVERD!H1220:Q1220))</f>
        <v>100.62500000000001</v>
      </c>
      <c r="AM1216" s="3">
        <f t="shared" si="75"/>
        <v>97.139703125000011</v>
      </c>
      <c r="AU1216" s="3">
        <f t="shared" si="76"/>
        <v>97.139703125000011</v>
      </c>
    </row>
    <row r="1217" spans="12:47" x14ac:dyDescent="0.35">
      <c r="L1217" s="2">
        <f t="shared" si="74"/>
        <v>45531</v>
      </c>
      <c r="M1217" s="5">
        <f>HAVERD!BA1221/HAVERD!BB1221</f>
        <v>61.586701926709488</v>
      </c>
      <c r="AJ1217" s="2">
        <f t="shared" si="72"/>
        <v>45531</v>
      </c>
      <c r="AK1217" s="2" t="s">
        <v>2187</v>
      </c>
      <c r="AL1217" s="3">
        <f>IF(HAVERD!H1221="",AL1216,AVERAGE(HAVERD!H1221:Q1221))</f>
        <v>102.78700000000001</v>
      </c>
      <c r="AM1217" s="3">
        <f t="shared" si="75"/>
        <v>97.139703125000011</v>
      </c>
      <c r="AU1217" s="3">
        <f t="shared" si="76"/>
        <v>97.139703125000011</v>
      </c>
    </row>
    <row r="1218" spans="12:47" x14ac:dyDescent="0.35">
      <c r="L1218" s="2">
        <f t="shared" si="74"/>
        <v>45532</v>
      </c>
      <c r="M1218" s="5">
        <f>HAVERD!BA1222/HAVERD!BB1222</f>
        <v>60.576704760463187</v>
      </c>
      <c r="AJ1218" s="2">
        <f t="shared" si="72"/>
        <v>45532</v>
      </c>
      <c r="AK1218" s="2" t="s">
        <v>2187</v>
      </c>
      <c r="AL1218" s="3">
        <f>IF(HAVERD!H1222="",AL1217,AVERAGE(HAVERD!H1222:Q1222))</f>
        <v>101.72899999999998</v>
      </c>
      <c r="AM1218" s="3">
        <f t="shared" si="75"/>
        <v>97.139703125000011</v>
      </c>
      <c r="AU1218" s="3">
        <f t="shared" si="76"/>
        <v>97.139703125000011</v>
      </c>
    </row>
    <row r="1219" spans="12:47" x14ac:dyDescent="0.35">
      <c r="L1219" s="2">
        <f t="shared" si="74"/>
        <v>45533</v>
      </c>
      <c r="M1219" s="5">
        <f>HAVERD!BA1223/HAVERD!BB1223</f>
        <v>61.99163816039529</v>
      </c>
      <c r="AJ1219" s="2">
        <f t="shared" si="72"/>
        <v>45533</v>
      </c>
      <c r="AK1219" s="2" t="s">
        <v>2187</v>
      </c>
      <c r="AL1219" s="3">
        <f>IF(HAVERD!H1223="",AL1218,AVERAGE(HAVERD!H1223:Q1223))</f>
        <v>101.25100000000002</v>
      </c>
      <c r="AM1219" s="3">
        <f t="shared" si="75"/>
        <v>97.139703125000011</v>
      </c>
      <c r="AU1219" s="3">
        <f t="shared" si="76"/>
        <v>97.139703125000011</v>
      </c>
    </row>
    <row r="1220" spans="12:47" x14ac:dyDescent="0.35">
      <c r="L1220" s="2">
        <f t="shared" si="74"/>
        <v>45534</v>
      </c>
      <c r="M1220" s="5">
        <f>HAVERD!BA1224/HAVERD!BB1224</f>
        <v>61.016433353621423</v>
      </c>
      <c r="AJ1220" s="2">
        <f t="shared" si="72"/>
        <v>45534</v>
      </c>
      <c r="AK1220" s="2" t="s">
        <v>2187</v>
      </c>
      <c r="AL1220" s="3">
        <f>IF(HAVERD!H1224="",AL1219,AVERAGE(HAVERD!H1224:Q1224))</f>
        <v>102.06100000000001</v>
      </c>
      <c r="AM1220" s="3">
        <f t="shared" si="75"/>
        <v>97.139703125000011</v>
      </c>
      <c r="AU1220" s="3">
        <f t="shared" si="76"/>
        <v>97.139703125000011</v>
      </c>
    </row>
    <row r="1221" spans="12:47" x14ac:dyDescent="0.35">
      <c r="L1221" s="2">
        <f t="shared" si="74"/>
        <v>45537</v>
      </c>
      <c r="M1221" s="5">
        <f>HAVERD!BA1225/HAVERD!BB1225</f>
        <v>59.169708029197075</v>
      </c>
      <c r="AJ1221" s="2">
        <f t="shared" si="72"/>
        <v>45537</v>
      </c>
      <c r="AK1221" s="2" t="s">
        <v>2188</v>
      </c>
      <c r="AL1221" s="3">
        <f>IF(HAVERD!H1225="",AL1220,AVERAGE(HAVERD!H1225:Q1225))</f>
        <v>100.15499999999999</v>
      </c>
      <c r="AM1221" s="3">
        <f t="shared" si="75"/>
        <v>97.139703125000011</v>
      </c>
      <c r="AU1221" s="3">
        <f t="shared" si="76"/>
        <v>97.139703125000011</v>
      </c>
    </row>
    <row r="1222" spans="12:47" x14ac:dyDescent="0.35">
      <c r="L1222" s="2">
        <f t="shared" si="74"/>
        <v>45538</v>
      </c>
      <c r="M1222" s="5">
        <f>HAVERD!BA1226/HAVERD!BB1226</f>
        <v>58.388697976326831</v>
      </c>
      <c r="AJ1222" s="2">
        <f t="shared" si="72"/>
        <v>45538</v>
      </c>
      <c r="AK1222" s="2" t="s">
        <v>2188</v>
      </c>
      <c r="AL1222" s="3">
        <f>IF(HAVERD!H1226="",AL1221,AVERAGE(HAVERD!H1226:Q1226))</f>
        <v>97.86</v>
      </c>
      <c r="AM1222" s="3">
        <f t="shared" si="75"/>
        <v>97.139703125000011</v>
      </c>
      <c r="AU1222" s="3">
        <f t="shared" si="76"/>
        <v>97.139703125000011</v>
      </c>
    </row>
    <row r="1223" spans="12:47" x14ac:dyDescent="0.35">
      <c r="L1223" s="2">
        <f t="shared" si="74"/>
        <v>45539</v>
      </c>
      <c r="M1223" s="5">
        <f>HAVERD!BA1227/HAVERD!BB1227</f>
        <v>56.735810348757695</v>
      </c>
      <c r="AJ1223" s="2">
        <f t="shared" si="72"/>
        <v>45539</v>
      </c>
      <c r="AK1223" s="2" t="s">
        <v>2188</v>
      </c>
      <c r="AL1223" s="3">
        <f>IF(HAVERD!H1227="",AL1222,AVERAGE(HAVERD!H1227:Q1227))</f>
        <v>95.013000000000005</v>
      </c>
      <c r="AM1223" s="3">
        <f t="shared" si="75"/>
        <v>97.139703125000011</v>
      </c>
      <c r="AU1223" s="3">
        <f t="shared" si="76"/>
        <v>97.139703125000011</v>
      </c>
    </row>
    <row r="1224" spans="12:47" x14ac:dyDescent="0.35">
      <c r="L1224" s="2">
        <f t="shared" si="74"/>
        <v>45540</v>
      </c>
      <c r="M1224" s="5">
        <f>HAVERD!BA1228/HAVERD!BB1228</f>
        <v>56.596747226022188</v>
      </c>
      <c r="AJ1224" s="2">
        <f t="shared" si="72"/>
        <v>45540</v>
      </c>
      <c r="AK1224" s="2" t="s">
        <v>2188</v>
      </c>
      <c r="AL1224" s="3">
        <f>IF(HAVERD!H1228="",AL1223,AVERAGE(HAVERD!H1228:Q1228))</f>
        <v>95.407000000000011</v>
      </c>
      <c r="AM1224" s="3">
        <f t="shared" si="75"/>
        <v>97.139703125000011</v>
      </c>
      <c r="AU1224" s="3">
        <f t="shared" si="76"/>
        <v>97.139703125000011</v>
      </c>
    </row>
    <row r="1225" spans="12:47" x14ac:dyDescent="0.35">
      <c r="L1225" s="2">
        <f t="shared" si="74"/>
        <v>45541</v>
      </c>
      <c r="M1225" s="5">
        <f>HAVERD!BA1229/HAVERD!BB1229</f>
        <v>55.334346504559264</v>
      </c>
      <c r="AJ1225" s="2">
        <f t="shared" ref="AJ1225:AJ1288" si="77">+AJ1220+7</f>
        <v>45541</v>
      </c>
      <c r="AK1225" s="2" t="s">
        <v>2188</v>
      </c>
      <c r="AL1225" s="3">
        <f>IF(HAVERD!H1229="",AL1224,AVERAGE(HAVERD!H1229:Q1229))</f>
        <v>95.510000000000019</v>
      </c>
      <c r="AM1225" s="3">
        <f t="shared" si="75"/>
        <v>97.139703125000011</v>
      </c>
      <c r="AU1225" s="3">
        <f t="shared" si="76"/>
        <v>97.139703125000011</v>
      </c>
    </row>
    <row r="1226" spans="12:47" x14ac:dyDescent="0.35">
      <c r="L1226" s="2">
        <f t="shared" si="74"/>
        <v>45544</v>
      </c>
      <c r="M1226" s="5">
        <f>HAVERD!BA1230/HAVERD!BB1230</f>
        <v>55.332976527257436</v>
      </c>
      <c r="AJ1226" s="2">
        <f t="shared" si="77"/>
        <v>45544</v>
      </c>
      <c r="AK1226" s="2" t="s">
        <v>2188</v>
      </c>
      <c r="AL1226" s="3">
        <f>IF(HAVERD!H1230="",AL1225,AVERAGE(HAVERD!H1230:Q1230))</f>
        <v>96.65</v>
      </c>
      <c r="AM1226" s="3">
        <f t="shared" si="75"/>
        <v>97.139703125000011</v>
      </c>
      <c r="AU1226" s="3">
        <f t="shared" si="76"/>
        <v>97.139703125000011</v>
      </c>
    </row>
    <row r="1227" spans="12:47" x14ac:dyDescent="0.35">
      <c r="L1227" s="2">
        <f t="shared" si="74"/>
        <v>45545</v>
      </c>
      <c r="M1227" s="5">
        <f>HAVERD!BA1231/HAVERD!BB1231</f>
        <v>53.871486558933903</v>
      </c>
      <c r="AJ1227" s="2">
        <f t="shared" si="77"/>
        <v>45545</v>
      </c>
      <c r="AK1227" s="2" t="s">
        <v>2188</v>
      </c>
      <c r="AL1227" s="3">
        <f>IF(HAVERD!H1231="",AL1226,AVERAGE(HAVERD!H1231:Q1231))</f>
        <v>92.775000000000006</v>
      </c>
      <c r="AM1227" s="3">
        <f t="shared" si="75"/>
        <v>97.139703125000011</v>
      </c>
      <c r="AU1227" s="3">
        <f t="shared" si="76"/>
        <v>97.139703125000011</v>
      </c>
    </row>
    <row r="1228" spans="12:47" x14ac:dyDescent="0.35">
      <c r="L1228" s="2">
        <f t="shared" si="74"/>
        <v>45546</v>
      </c>
      <c r="M1228" s="5">
        <f>HAVERD!BA1232/HAVERD!BB1232</f>
        <v>54.022281982328082</v>
      </c>
      <c r="AJ1228" s="2">
        <f t="shared" si="77"/>
        <v>45546</v>
      </c>
      <c r="AK1228" s="2" t="s">
        <v>2188</v>
      </c>
      <c r="AL1228" s="3">
        <f>IF(HAVERD!H1232="",AL1227,AVERAGE(HAVERD!H1232:Q1232))</f>
        <v>93.754000000000005</v>
      </c>
      <c r="AM1228" s="3">
        <f t="shared" si="75"/>
        <v>97.139703125000011</v>
      </c>
      <c r="AU1228" s="3">
        <f t="shared" si="76"/>
        <v>97.139703125000011</v>
      </c>
    </row>
    <row r="1229" spans="12:47" x14ac:dyDescent="0.35">
      <c r="L1229" s="2">
        <f t="shared" si="74"/>
        <v>45547</v>
      </c>
      <c r="M1229" s="5">
        <f>HAVERD!BA1233/HAVERD!BB1233</f>
        <v>56.433978132884775</v>
      </c>
      <c r="AJ1229" s="2">
        <f t="shared" si="77"/>
        <v>45547</v>
      </c>
      <c r="AK1229" s="2" t="s">
        <v>2188</v>
      </c>
      <c r="AL1229" s="3">
        <f>IF(HAVERD!H1233="",AL1228,AVERAGE(HAVERD!H1233:Q1233))</f>
        <v>91.297999999999988</v>
      </c>
      <c r="AM1229" s="3">
        <f t="shared" si="75"/>
        <v>97.139703125000011</v>
      </c>
      <c r="AU1229" s="3">
        <f t="shared" si="76"/>
        <v>97.139703125000011</v>
      </c>
    </row>
    <row r="1230" spans="12:47" x14ac:dyDescent="0.35">
      <c r="L1230" s="2">
        <f t="shared" si="74"/>
        <v>45548</v>
      </c>
      <c r="M1230" s="5">
        <f>HAVERD!BA1234/HAVERD!BB1234</f>
        <v>56.009122006841515</v>
      </c>
      <c r="AJ1230" s="2">
        <f t="shared" si="77"/>
        <v>45548</v>
      </c>
      <c r="AK1230" s="2" t="s">
        <v>2188</v>
      </c>
      <c r="AL1230" s="3">
        <f>IF(HAVERD!H1234="",AL1229,AVERAGE(HAVERD!H1234:Q1234))</f>
        <v>91.996000000000009</v>
      </c>
      <c r="AM1230" s="3">
        <f t="shared" si="75"/>
        <v>97.139703125000011</v>
      </c>
      <c r="AU1230" s="3">
        <f t="shared" si="76"/>
        <v>97.139703125000011</v>
      </c>
    </row>
    <row r="1231" spans="12:47" x14ac:dyDescent="0.35">
      <c r="L1231" s="2">
        <f t="shared" si="74"/>
        <v>45551</v>
      </c>
      <c r="M1231" s="5">
        <f>HAVERD!BA1235/HAVERD!BB1235</f>
        <v>56.030303030303024</v>
      </c>
      <c r="AJ1231" s="2">
        <f t="shared" si="77"/>
        <v>45551</v>
      </c>
      <c r="AK1231" s="2" t="s">
        <v>2188</v>
      </c>
      <c r="AL1231" s="3">
        <f>IF(HAVERD!H1235="",AL1230,AVERAGE(HAVERD!H1235:Q1235))</f>
        <v>88.628</v>
      </c>
      <c r="AM1231" s="3">
        <f t="shared" si="75"/>
        <v>97.139703125000011</v>
      </c>
      <c r="AU1231" s="3">
        <f t="shared" si="76"/>
        <v>97.139703125000011</v>
      </c>
    </row>
    <row r="1232" spans="12:47" x14ac:dyDescent="0.35">
      <c r="L1232" s="2">
        <f t="shared" si="74"/>
        <v>45552</v>
      </c>
      <c r="M1232" s="5">
        <f>HAVERD!BA1236/HAVERD!BB1236</f>
        <v>56.528662420382162</v>
      </c>
      <c r="AJ1232" s="2">
        <f t="shared" si="77"/>
        <v>45552</v>
      </c>
      <c r="AK1232" s="2" t="s">
        <v>2188</v>
      </c>
      <c r="AL1232" s="3">
        <f>IF(HAVERD!H1236="",AL1231,AVERAGE(HAVERD!H1236:Q1236))</f>
        <v>92.319000000000003</v>
      </c>
      <c r="AM1232" s="3">
        <f t="shared" si="75"/>
        <v>97.139703125000011</v>
      </c>
      <c r="AU1232" s="3">
        <f t="shared" si="76"/>
        <v>97.139703125000011</v>
      </c>
    </row>
    <row r="1233" spans="12:47" x14ac:dyDescent="0.35">
      <c r="L1233" s="2">
        <f t="shared" si="74"/>
        <v>45553</v>
      </c>
      <c r="M1233" s="5">
        <f>HAVERD!BA1237/HAVERD!BB1237</f>
        <v>56.403269754768395</v>
      </c>
      <c r="AJ1233" s="2">
        <f t="shared" si="77"/>
        <v>45553</v>
      </c>
      <c r="AK1233" s="2" t="s">
        <v>2188</v>
      </c>
      <c r="AL1233" s="3">
        <f>IF(HAVERD!H1237="",AL1232,AVERAGE(HAVERD!H1237:Q1237))</f>
        <v>92.152999999999992</v>
      </c>
      <c r="AM1233" s="3">
        <f t="shared" si="75"/>
        <v>97.139703125000011</v>
      </c>
      <c r="AU1233" s="3">
        <f t="shared" si="76"/>
        <v>97.139703125000011</v>
      </c>
    </row>
    <row r="1234" spans="12:47" x14ac:dyDescent="0.35">
      <c r="L1234" s="2">
        <f t="shared" si="74"/>
        <v>45554</v>
      </c>
      <c r="M1234" s="5">
        <f>HAVERD!BA1238/HAVERD!BB1238</f>
        <v>57.3056603773585</v>
      </c>
      <c r="AJ1234" s="2">
        <f t="shared" si="77"/>
        <v>45554</v>
      </c>
      <c r="AK1234" s="2" t="s">
        <v>2188</v>
      </c>
      <c r="AL1234" s="3">
        <f>IF(HAVERD!H1238="",AL1233,AVERAGE(HAVERD!H1238:Q1238))</f>
        <v>86.198000000000008</v>
      </c>
      <c r="AM1234" s="3">
        <f t="shared" si="75"/>
        <v>97.139703125000011</v>
      </c>
      <c r="AU1234" s="3">
        <f t="shared" si="76"/>
        <v>97.139703125000011</v>
      </c>
    </row>
    <row r="1235" spans="12:47" x14ac:dyDescent="0.35">
      <c r="L1235" s="2">
        <f t="shared" si="74"/>
        <v>45555</v>
      </c>
      <c r="M1235" s="5">
        <f>HAVERD!BA1239/HAVERD!BB1239</f>
        <v>57.194488366839842</v>
      </c>
      <c r="AJ1235" s="2">
        <f t="shared" si="77"/>
        <v>45555</v>
      </c>
      <c r="AK1235" s="2" t="s">
        <v>2188</v>
      </c>
      <c r="AL1235" s="3">
        <f>IF(HAVERD!H1239="",AL1234,AVERAGE(HAVERD!H1239:Q1239))</f>
        <v>88.193999999999988</v>
      </c>
      <c r="AM1235" s="3">
        <f t="shared" si="75"/>
        <v>97.139703125000011</v>
      </c>
      <c r="AU1235" s="3">
        <f t="shared" si="76"/>
        <v>97.139703125000011</v>
      </c>
    </row>
    <row r="1236" spans="12:47" x14ac:dyDescent="0.35">
      <c r="L1236" s="2">
        <f t="shared" si="74"/>
        <v>45558</v>
      </c>
      <c r="M1236" s="5">
        <f>HAVERD!BA1240/HAVERD!BB1240</f>
        <v>56.142322097378283</v>
      </c>
      <c r="AJ1236" s="2">
        <f t="shared" si="77"/>
        <v>45558</v>
      </c>
      <c r="AK1236" s="2" t="s">
        <v>2188</v>
      </c>
      <c r="AL1236" s="3">
        <f>IF(HAVERD!H1240="",AL1235,AVERAGE(HAVERD!H1240:Q1240))</f>
        <v>90.282000000000011</v>
      </c>
      <c r="AM1236" s="3">
        <f t="shared" si="75"/>
        <v>97.139703125000011</v>
      </c>
      <c r="AU1236" s="3">
        <f t="shared" si="76"/>
        <v>97.139703125000011</v>
      </c>
    </row>
    <row r="1237" spans="12:47" x14ac:dyDescent="0.35">
      <c r="L1237" s="2">
        <f t="shared" si="74"/>
        <v>45559</v>
      </c>
      <c r="M1237" s="5">
        <f>HAVERD!BA1241/HAVERD!BB1241</f>
        <v>56.228528752800607</v>
      </c>
      <c r="AJ1237" s="2">
        <f t="shared" si="77"/>
        <v>45559</v>
      </c>
      <c r="AK1237" s="2" t="s">
        <v>2188</v>
      </c>
      <c r="AL1237" s="3">
        <f>IF(HAVERD!H1241="",AL1236,AVERAGE(HAVERD!H1241:Q1241))</f>
        <v>88.953000000000003</v>
      </c>
      <c r="AM1237" s="3">
        <f t="shared" si="75"/>
        <v>97.139703125000011</v>
      </c>
      <c r="AU1237" s="3">
        <f t="shared" si="76"/>
        <v>97.139703125000011</v>
      </c>
    </row>
    <row r="1238" spans="12:47" x14ac:dyDescent="0.35">
      <c r="L1238" s="2">
        <f t="shared" si="74"/>
        <v>45560</v>
      </c>
      <c r="M1238" s="5">
        <f>HAVERD!BA1242/HAVERD!BB1242</f>
        <v>56.373831775700943</v>
      </c>
      <c r="AJ1238" s="2">
        <f t="shared" si="77"/>
        <v>45560</v>
      </c>
      <c r="AK1238" s="2" t="s">
        <v>2188</v>
      </c>
      <c r="AL1238" s="3">
        <f>IF(HAVERD!H1242="",AL1237,AVERAGE(HAVERD!H1242:Q1242))</f>
        <v>92.051999999999992</v>
      </c>
      <c r="AM1238" s="3">
        <f t="shared" si="75"/>
        <v>97.139703125000011</v>
      </c>
      <c r="AU1238" s="3">
        <f t="shared" si="76"/>
        <v>97.139703125000011</v>
      </c>
    </row>
    <row r="1239" spans="12:47" x14ac:dyDescent="0.35">
      <c r="L1239" s="2">
        <f t="shared" si="74"/>
        <v>45561</v>
      </c>
      <c r="M1239" s="5">
        <f>HAVERD!BA1243/HAVERD!BB1243</f>
        <v>54.538668259181854</v>
      </c>
      <c r="AJ1239" s="2">
        <f t="shared" si="77"/>
        <v>45561</v>
      </c>
      <c r="AK1239" s="2" t="s">
        <v>2188</v>
      </c>
      <c r="AL1239" s="3">
        <f>IF(HAVERD!H1243="",AL1238,AVERAGE(HAVERD!H1243:Q1243))</f>
        <v>92.825999999999993</v>
      </c>
      <c r="AM1239" s="3">
        <f t="shared" si="75"/>
        <v>97.139703125000011</v>
      </c>
      <c r="AU1239" s="3">
        <f t="shared" si="76"/>
        <v>97.139703125000011</v>
      </c>
    </row>
    <row r="1240" spans="12:47" x14ac:dyDescent="0.35">
      <c r="L1240" s="2">
        <f t="shared" si="74"/>
        <v>45562</v>
      </c>
      <c r="M1240" s="5">
        <f>HAVERD!BA1244/HAVERD!BB1244</f>
        <v>53.423329355608587</v>
      </c>
      <c r="AJ1240" s="2">
        <f t="shared" si="77"/>
        <v>45562</v>
      </c>
      <c r="AK1240" s="2" t="s">
        <v>2188</v>
      </c>
      <c r="AL1240" s="3">
        <f>IF(HAVERD!H1244="",AL1239,AVERAGE(HAVERD!H1244:Q1244))</f>
        <v>93.576999999999998</v>
      </c>
      <c r="AM1240" s="3">
        <f t="shared" si="75"/>
        <v>97.139703125000011</v>
      </c>
      <c r="AU1240" s="3">
        <f t="shared" si="76"/>
        <v>97.139703125000011</v>
      </c>
    </row>
    <row r="1241" spans="12:47" x14ac:dyDescent="0.35">
      <c r="L1241" s="2">
        <f t="shared" si="74"/>
        <v>45565</v>
      </c>
      <c r="M1241" s="5">
        <f>HAVERD!BA1245/HAVERD!BB1245</f>
        <v>53.940207261611867</v>
      </c>
      <c r="AJ1241" s="2">
        <f t="shared" si="77"/>
        <v>45565</v>
      </c>
      <c r="AK1241" s="2" t="s">
        <v>2188</v>
      </c>
      <c r="AL1241" s="3">
        <f>IF(HAVERD!H1245="",AL1240,AVERAGE(HAVERD!H1245:Q1245))</f>
        <v>94.160999999999987</v>
      </c>
      <c r="AM1241" s="3">
        <f t="shared" si="75"/>
        <v>97.139703125000011</v>
      </c>
      <c r="AU1241" s="3">
        <f t="shared" si="76"/>
        <v>97.139703125000011</v>
      </c>
    </row>
    <row r="1242" spans="12:47" x14ac:dyDescent="0.35">
      <c r="L1242" s="2">
        <f t="shared" si="74"/>
        <v>45566</v>
      </c>
      <c r="M1242" s="5">
        <f>HAVERD!BA1246/HAVERD!BB1246</f>
        <v>56.663405824366016</v>
      </c>
      <c r="AJ1242" s="2">
        <f t="shared" si="77"/>
        <v>45566</v>
      </c>
      <c r="AK1242" s="2" t="s">
        <v>2189</v>
      </c>
      <c r="AL1242" s="3">
        <f>IF(HAVERD!H1246="",AL1241,AVERAGE(HAVERD!H1246:Q1246))</f>
        <v>95.064999999999984</v>
      </c>
      <c r="AM1242" s="3">
        <f t="shared" si="75"/>
        <v>97.139703125000011</v>
      </c>
      <c r="AU1242" s="3">
        <f t="shared" si="76"/>
        <v>97.139703125000011</v>
      </c>
    </row>
    <row r="1243" spans="12:47" x14ac:dyDescent="0.35">
      <c r="L1243" s="2">
        <f t="shared" si="74"/>
        <v>45567</v>
      </c>
      <c r="M1243" s="5">
        <f>HAVERD!BA1247/HAVERD!BB1247</f>
        <v>56.493849520790889</v>
      </c>
      <c r="AJ1243" s="2">
        <f t="shared" si="77"/>
        <v>45567</v>
      </c>
      <c r="AK1243" s="2" t="s">
        <v>2189</v>
      </c>
      <c r="AL1243" s="3">
        <f>IF(HAVERD!H1247="",AL1242,AVERAGE(HAVERD!H1247:Q1247))</f>
        <v>94.528999999999996</v>
      </c>
      <c r="AM1243" s="3">
        <f t="shared" si="75"/>
        <v>97.139703125000011</v>
      </c>
      <c r="AU1243" s="3">
        <f t="shared" si="76"/>
        <v>97.139703125000011</v>
      </c>
    </row>
    <row r="1244" spans="12:47" x14ac:dyDescent="0.35">
      <c r="L1244" s="2">
        <f t="shared" si="74"/>
        <v>45568</v>
      </c>
      <c r="M1244" s="5">
        <f>HAVERD!BA1248/HAVERD!BB1248</f>
        <v>59.177601464754346</v>
      </c>
      <c r="AJ1244" s="2">
        <f t="shared" si="77"/>
        <v>45568</v>
      </c>
      <c r="AK1244" s="2" t="s">
        <v>2189</v>
      </c>
      <c r="AL1244" s="3">
        <f>IF(HAVERD!H1248="",AL1243,AVERAGE(HAVERD!H1248:Q1248))</f>
        <v>97.179000000000002</v>
      </c>
      <c r="AM1244" s="3">
        <f t="shared" si="75"/>
        <v>97.139703125000011</v>
      </c>
      <c r="AU1244" s="3">
        <f t="shared" si="76"/>
        <v>97.139703125000011</v>
      </c>
    </row>
    <row r="1245" spans="12:47" x14ac:dyDescent="0.35">
      <c r="L1245" s="2">
        <f t="shared" si="74"/>
        <v>45569</v>
      </c>
      <c r="M1245" s="5">
        <f>HAVERD!BA1249/HAVERD!BB1249</f>
        <v>60.489590482727067</v>
      </c>
      <c r="AJ1245" s="2">
        <f t="shared" si="77"/>
        <v>45569</v>
      </c>
      <c r="AK1245" s="2" t="s">
        <v>2189</v>
      </c>
      <c r="AL1245" s="3">
        <f>IF(HAVERD!H1249="",AL1244,AVERAGE(HAVERD!H1249:Q1249))</f>
        <v>98.713999999999984</v>
      </c>
      <c r="AM1245" s="3">
        <f t="shared" si="75"/>
        <v>97.139703125000011</v>
      </c>
      <c r="AU1245" s="3">
        <f t="shared" si="76"/>
        <v>97.139703125000011</v>
      </c>
    </row>
    <row r="1246" spans="12:47" x14ac:dyDescent="0.35">
      <c r="L1246" s="2">
        <f t="shared" si="74"/>
        <v>45572</v>
      </c>
      <c r="M1246" s="5">
        <f>HAVERD!BA1250/HAVERD!BB1250</f>
        <v>62.497132808318675</v>
      </c>
      <c r="AJ1246" s="2">
        <f t="shared" si="77"/>
        <v>45572</v>
      </c>
      <c r="AK1246" s="2" t="s">
        <v>2189</v>
      </c>
      <c r="AL1246" s="3">
        <f>IF(HAVERD!H1250="",AL1245,AVERAGE(HAVERD!H1250:Q1250))</f>
        <v>98.429000000000002</v>
      </c>
      <c r="AM1246" s="3">
        <f t="shared" si="75"/>
        <v>97.139703125000011</v>
      </c>
      <c r="AU1246" s="3">
        <f t="shared" si="76"/>
        <v>97.139703125000011</v>
      </c>
    </row>
    <row r="1247" spans="12:47" x14ac:dyDescent="0.35">
      <c r="L1247" s="2">
        <f t="shared" si="74"/>
        <v>45573</v>
      </c>
      <c r="M1247" s="5">
        <f>HAVERD!BA1251/HAVERD!BB1251</f>
        <v>59.718933781409916</v>
      </c>
      <c r="AJ1247" s="2">
        <f t="shared" si="77"/>
        <v>45573</v>
      </c>
      <c r="AK1247" s="2" t="s">
        <v>2189</v>
      </c>
      <c r="AL1247" s="3">
        <f>IF(HAVERD!H1251="",AL1246,AVERAGE(HAVERD!H1251:Q1251))</f>
        <v>95.683999999999997</v>
      </c>
      <c r="AM1247" s="3">
        <f t="shared" si="75"/>
        <v>97.139703125000011</v>
      </c>
      <c r="AU1247" s="3">
        <f t="shared" si="76"/>
        <v>97.139703125000011</v>
      </c>
    </row>
    <row r="1248" spans="12:47" x14ac:dyDescent="0.35">
      <c r="L1248" s="2">
        <f t="shared" si="74"/>
        <v>45574</v>
      </c>
      <c r="M1248" s="5">
        <f>HAVERD!BA1252/HAVERD!BB1252</f>
        <v>58.950428396572832</v>
      </c>
      <c r="AJ1248" s="2">
        <f t="shared" si="77"/>
        <v>45574</v>
      </c>
      <c r="AK1248" s="2" t="s">
        <v>2189</v>
      </c>
      <c r="AL1248" s="3">
        <f>IF(HAVERD!H1252="",AL1247,AVERAGE(HAVERD!H1252:Q1252))</f>
        <v>94.102000000000004</v>
      </c>
      <c r="AM1248" s="3">
        <f t="shared" si="75"/>
        <v>97.139703125000011</v>
      </c>
      <c r="AU1248" s="3">
        <f t="shared" si="76"/>
        <v>97.139703125000011</v>
      </c>
    </row>
    <row r="1249" spans="12:47" x14ac:dyDescent="0.35">
      <c r="L1249" s="2">
        <f t="shared" si="74"/>
        <v>45575</v>
      </c>
      <c r="M1249" s="5">
        <f>HAVERD!BA1253/HAVERD!BB1253</f>
        <v>60.885891639206072</v>
      </c>
      <c r="AJ1249" s="2">
        <f t="shared" si="77"/>
        <v>45575</v>
      </c>
      <c r="AK1249" s="2" t="s">
        <v>2189</v>
      </c>
      <c r="AL1249" s="3">
        <f>IF(HAVERD!H1253="",AL1248,AVERAGE(HAVERD!H1253:Q1253))</f>
        <v>97.867000000000004</v>
      </c>
      <c r="AM1249" s="3">
        <f t="shared" si="75"/>
        <v>97.139703125000011</v>
      </c>
      <c r="AU1249" s="3">
        <f t="shared" si="76"/>
        <v>97.139703125000011</v>
      </c>
    </row>
    <row r="1250" spans="12:47" x14ac:dyDescent="0.35">
      <c r="L1250" s="2">
        <f t="shared" si="74"/>
        <v>45576</v>
      </c>
      <c r="M1250" s="5">
        <f>HAVERD!BA1254/HAVERD!BB1254</f>
        <v>61.391969407265769</v>
      </c>
      <c r="AJ1250" s="2">
        <f t="shared" si="77"/>
        <v>45576</v>
      </c>
      <c r="AK1250" s="2" t="s">
        <v>2189</v>
      </c>
      <c r="AL1250" s="3">
        <f>IF(HAVERD!H1254="",AL1249,AVERAGE(HAVERD!H1254:Q1254))</f>
        <v>97.164999999999992</v>
      </c>
      <c r="AM1250" s="3">
        <f t="shared" si="75"/>
        <v>97.139703125000011</v>
      </c>
      <c r="AU1250" s="3">
        <f t="shared" si="76"/>
        <v>97.139703125000011</v>
      </c>
    </row>
    <row r="1251" spans="12:47" x14ac:dyDescent="0.35">
      <c r="L1251" s="2">
        <f t="shared" si="74"/>
        <v>45579</v>
      </c>
      <c r="M1251" s="5">
        <f>HAVERD!BA1255/HAVERD!BB1255</f>
        <v>60.098031707130268</v>
      </c>
      <c r="AJ1251" s="2">
        <f t="shared" si="77"/>
        <v>45579</v>
      </c>
      <c r="AK1251" s="2" t="s">
        <v>2189</v>
      </c>
      <c r="AL1251" s="3">
        <f>IF(HAVERD!H1255="",AL1250,AVERAGE(HAVERD!H1255:Q1255))</f>
        <v>98.582999999999998</v>
      </c>
      <c r="AM1251" s="3">
        <f t="shared" si="75"/>
        <v>97.139703125000011</v>
      </c>
      <c r="AU1251" s="3">
        <f t="shared" si="76"/>
        <v>97.139703125000011</v>
      </c>
    </row>
    <row r="1252" spans="12:47" x14ac:dyDescent="0.35">
      <c r="L1252" s="2">
        <f t="shared" si="74"/>
        <v>45580</v>
      </c>
      <c r="M1252" s="5">
        <f>HAVERD!BA1256/HAVERD!BB1256</f>
        <v>56.270047349931275</v>
      </c>
      <c r="AJ1252" s="2">
        <f t="shared" si="77"/>
        <v>45580</v>
      </c>
      <c r="AK1252" s="2" t="s">
        <v>2189</v>
      </c>
      <c r="AL1252" s="3">
        <f>IF(HAVERD!H1256="",AL1251,AVERAGE(HAVERD!H1256:Q1256))</f>
        <v>97.044999999999987</v>
      </c>
      <c r="AM1252" s="3">
        <f t="shared" si="75"/>
        <v>97.139703125000011</v>
      </c>
      <c r="AU1252" s="3">
        <f t="shared" si="76"/>
        <v>97.139703125000011</v>
      </c>
    </row>
    <row r="1253" spans="12:47" x14ac:dyDescent="0.35">
      <c r="L1253" s="2">
        <f t="shared" si="74"/>
        <v>45581</v>
      </c>
      <c r="M1253" s="5">
        <f>HAVERD!BA1257/HAVERD!BB1257</f>
        <v>56.614651395187956</v>
      </c>
      <c r="AJ1253" s="2">
        <f t="shared" si="77"/>
        <v>45581</v>
      </c>
      <c r="AK1253" s="2" t="s">
        <v>2189</v>
      </c>
      <c r="AL1253" s="3">
        <f>IF(HAVERD!H1257="",AL1252,AVERAGE(HAVERD!H1257:Q1257))</f>
        <v>95.789000000000001</v>
      </c>
      <c r="AM1253" s="3">
        <f t="shared" si="75"/>
        <v>97.139703125000011</v>
      </c>
      <c r="AU1253" s="3">
        <f t="shared" si="76"/>
        <v>97.139703125000011</v>
      </c>
    </row>
    <row r="1254" spans="12:47" x14ac:dyDescent="0.35">
      <c r="L1254" s="2">
        <f t="shared" si="74"/>
        <v>45582</v>
      </c>
      <c r="M1254" s="5">
        <f>HAVERD!BA1258/HAVERD!BB1258</f>
        <v>57.220897130106948</v>
      </c>
      <c r="AJ1254" s="2">
        <f t="shared" si="77"/>
        <v>45582</v>
      </c>
      <c r="AK1254" s="2" t="s">
        <v>2189</v>
      </c>
      <c r="AL1254" s="3">
        <f>IF(HAVERD!H1258="",AL1253,AVERAGE(HAVERD!H1258:Q1258))</f>
        <v>95.820999999999998</v>
      </c>
      <c r="AM1254" s="3">
        <f t="shared" si="75"/>
        <v>97.139703125000011</v>
      </c>
      <c r="AU1254" s="3">
        <f t="shared" si="76"/>
        <v>97.139703125000011</v>
      </c>
    </row>
    <row r="1255" spans="12:47" x14ac:dyDescent="0.35">
      <c r="L1255" s="2">
        <f t="shared" si="74"/>
        <v>45583</v>
      </c>
      <c r="M1255" s="5">
        <f>HAVERD!BA1259/HAVERD!BB1259</f>
        <v>55.80699601104633</v>
      </c>
      <c r="AJ1255" s="2">
        <f t="shared" si="77"/>
        <v>45583</v>
      </c>
      <c r="AK1255" s="2" t="s">
        <v>2189</v>
      </c>
      <c r="AL1255" s="3">
        <f>IF(HAVERD!H1259="",AL1254,AVERAGE(HAVERD!H1259:Q1259))</f>
        <v>95.016999999999996</v>
      </c>
      <c r="AM1255" s="3">
        <f t="shared" si="75"/>
        <v>97.139703125000011</v>
      </c>
      <c r="AU1255" s="3">
        <f t="shared" si="76"/>
        <v>97.139703125000011</v>
      </c>
    </row>
    <row r="1256" spans="12:47" x14ac:dyDescent="0.35">
      <c r="L1256" s="2">
        <f t="shared" si="74"/>
        <v>45586</v>
      </c>
      <c r="M1256" s="5">
        <f>HAVERD!BA1260/HAVERD!BB1260</f>
        <v>56.368251038301807</v>
      </c>
      <c r="AJ1256" s="2">
        <f t="shared" si="77"/>
        <v>45586</v>
      </c>
      <c r="AK1256" s="2" t="s">
        <v>2189</v>
      </c>
      <c r="AL1256" s="3">
        <f>IF(HAVERD!H1260="",AL1255,AVERAGE(HAVERD!H1260:Q1260))</f>
        <v>96.381999999999991</v>
      </c>
      <c r="AM1256" s="3">
        <f t="shared" si="75"/>
        <v>97.139703125000011</v>
      </c>
      <c r="AU1256" s="3">
        <f t="shared" si="76"/>
        <v>97.139703125000011</v>
      </c>
    </row>
    <row r="1257" spans="12:47" x14ac:dyDescent="0.35">
      <c r="L1257" s="2">
        <f t="shared" si="74"/>
        <v>45587</v>
      </c>
      <c r="M1257" s="5">
        <f>HAVERD!BA1261/HAVERD!BB1261</f>
        <v>58.25818882466281</v>
      </c>
      <c r="AJ1257" s="2">
        <f t="shared" si="77"/>
        <v>45587</v>
      </c>
      <c r="AK1257" s="2" t="s">
        <v>2189</v>
      </c>
      <c r="AL1257" s="3">
        <f>IF(HAVERD!H1261="",AL1256,AVERAGE(HAVERD!H1261:Q1261))</f>
        <v>97.953999999999994</v>
      </c>
      <c r="AM1257" s="3">
        <f t="shared" si="75"/>
        <v>97.139703125000011</v>
      </c>
      <c r="AU1257" s="3">
        <f t="shared" si="76"/>
        <v>97.139703125000011</v>
      </c>
    </row>
    <row r="1258" spans="12:47" x14ac:dyDescent="0.35">
      <c r="L1258" s="2">
        <f t="shared" si="74"/>
        <v>45588</v>
      </c>
      <c r="M1258" s="5">
        <f>HAVERD!BA1262/HAVERD!BB1262</f>
        <v>57.676861291319128</v>
      </c>
      <c r="AJ1258" s="2">
        <f t="shared" si="77"/>
        <v>45588</v>
      </c>
      <c r="AK1258" s="2" t="s">
        <v>2189</v>
      </c>
      <c r="AL1258" s="3">
        <f>IF(HAVERD!H1262="",AL1257,AVERAGE(HAVERD!H1262:Q1262))</f>
        <v>99.447000000000003</v>
      </c>
      <c r="AM1258" s="3">
        <f t="shared" si="75"/>
        <v>97.139703125000011</v>
      </c>
      <c r="AU1258" s="3">
        <f t="shared" si="76"/>
        <v>97.139703125000011</v>
      </c>
    </row>
    <row r="1259" spans="12:47" x14ac:dyDescent="0.35">
      <c r="L1259" s="2">
        <f t="shared" si="74"/>
        <v>45589</v>
      </c>
      <c r="M1259" s="5">
        <f>HAVERD!BA1263/HAVERD!BB1263</f>
        <v>57.302677262556898</v>
      </c>
      <c r="AJ1259" s="2">
        <f t="shared" si="77"/>
        <v>45589</v>
      </c>
      <c r="AK1259" s="2" t="s">
        <v>2189</v>
      </c>
      <c r="AL1259" s="3">
        <f>IF(HAVERD!H1263="",AL1258,AVERAGE(HAVERD!H1263:Q1263))</f>
        <v>101.06999999999998</v>
      </c>
      <c r="AM1259" s="3">
        <f t="shared" si="75"/>
        <v>97.139703125000011</v>
      </c>
      <c r="AU1259" s="3">
        <f t="shared" si="76"/>
        <v>97.139703125000011</v>
      </c>
    </row>
    <row r="1260" spans="12:47" x14ac:dyDescent="0.35">
      <c r="L1260" s="2">
        <f t="shared" si="74"/>
        <v>45590</v>
      </c>
      <c r="M1260" s="5">
        <f>HAVERD!BA1264/HAVERD!BB1264</f>
        <v>58.20952967438997</v>
      </c>
      <c r="AJ1260" s="2">
        <f t="shared" si="77"/>
        <v>45590</v>
      </c>
      <c r="AK1260" s="2" t="s">
        <v>2189</v>
      </c>
      <c r="AL1260" s="3">
        <f>IF(HAVERD!H1264="",AL1259,AVERAGE(HAVERD!H1264:Q1264))</f>
        <v>103.26100000000001</v>
      </c>
      <c r="AM1260" s="3">
        <f t="shared" si="75"/>
        <v>97.139703125000011</v>
      </c>
      <c r="AU1260" s="3">
        <f t="shared" si="76"/>
        <v>97.139703125000011</v>
      </c>
    </row>
    <row r="1261" spans="12:47" x14ac:dyDescent="0.35">
      <c r="L1261" s="2">
        <f t="shared" si="74"/>
        <v>45593</v>
      </c>
      <c r="M1261" s="5">
        <f>HAVERD!BA1265/HAVERD!BB1265</f>
        <v>55.301631271160353</v>
      </c>
      <c r="AJ1261" s="2">
        <f t="shared" si="77"/>
        <v>45593</v>
      </c>
      <c r="AK1261" s="2" t="s">
        <v>2189</v>
      </c>
      <c r="AL1261" s="3">
        <f>IF(HAVERD!H1265="",AL1260,AVERAGE(HAVERD!H1265:Q1265))</f>
        <v>101.45699999999999</v>
      </c>
      <c r="AM1261" s="3">
        <f t="shared" si="75"/>
        <v>97.139703125000011</v>
      </c>
      <c r="AU1261" s="3">
        <f t="shared" si="76"/>
        <v>97.139703125000011</v>
      </c>
    </row>
    <row r="1262" spans="12:47" x14ac:dyDescent="0.35">
      <c r="L1262" s="2">
        <f t="shared" si="74"/>
        <v>45594</v>
      </c>
      <c r="M1262" s="5">
        <f>HAVERD!BA1266/HAVERD!BB1266</f>
        <v>54.701446598953524</v>
      </c>
      <c r="AJ1262" s="2">
        <f t="shared" si="77"/>
        <v>45594</v>
      </c>
      <c r="AK1262" s="2" t="s">
        <v>2189</v>
      </c>
      <c r="AL1262" s="3">
        <f>IF(HAVERD!H1266="",AL1261,AVERAGE(HAVERD!H1266:Q1266))</f>
        <v>101.63700000000001</v>
      </c>
      <c r="AM1262" s="3">
        <f t="shared" si="75"/>
        <v>97.139703125000011</v>
      </c>
      <c r="AU1262" s="3">
        <f t="shared" si="76"/>
        <v>97.139703125000011</v>
      </c>
    </row>
    <row r="1263" spans="12:47" x14ac:dyDescent="0.35">
      <c r="L1263" s="2">
        <f t="shared" si="74"/>
        <v>45595</v>
      </c>
      <c r="M1263" s="5">
        <f>HAVERD!BA1267/HAVERD!BB1267</f>
        <v>56.332717759310547</v>
      </c>
      <c r="AJ1263" s="2">
        <f t="shared" si="77"/>
        <v>45595</v>
      </c>
      <c r="AK1263" s="2" t="s">
        <v>2189</v>
      </c>
      <c r="AL1263" s="3">
        <f>IF(HAVERD!H1267="",AL1262,AVERAGE(HAVERD!H1267:Q1267))</f>
        <v>98.790999999999997</v>
      </c>
      <c r="AM1263" s="3">
        <f t="shared" si="75"/>
        <v>97.139703125000011</v>
      </c>
      <c r="AU1263" s="3">
        <f t="shared" si="76"/>
        <v>97.139703125000011</v>
      </c>
    </row>
    <row r="1264" spans="12:47" x14ac:dyDescent="0.35">
      <c r="L1264" s="2">
        <f t="shared" ref="L1264:L1312" si="78">+L1259+7</f>
        <v>45596</v>
      </c>
      <c r="M1264" s="5">
        <f>HAVERD!BA1268/HAVERD!BB1268</f>
        <v>56.977286869943988</v>
      </c>
      <c r="AJ1264" s="2">
        <f t="shared" si="77"/>
        <v>45596</v>
      </c>
      <c r="AK1264" s="2" t="s">
        <v>2189</v>
      </c>
      <c r="AL1264" s="3">
        <f>IF(HAVERD!H1268="",AL1263,AVERAGE(HAVERD!H1268:Q1268))</f>
        <v>98.971999999999994</v>
      </c>
      <c r="AM1264" s="3">
        <f t="shared" si="75"/>
        <v>97.139703125000011</v>
      </c>
      <c r="AU1264" s="3">
        <f t="shared" si="76"/>
        <v>97.139703125000011</v>
      </c>
    </row>
    <row r="1265" spans="12:48" x14ac:dyDescent="0.35">
      <c r="L1265" s="2">
        <f t="shared" si="78"/>
        <v>45597</v>
      </c>
      <c r="M1265" s="5">
        <f>HAVERD!BA1269/HAVERD!BB1269</f>
        <v>56.813271604938265</v>
      </c>
      <c r="AJ1265" s="2">
        <f t="shared" si="77"/>
        <v>45597</v>
      </c>
      <c r="AK1265" s="2" t="s">
        <v>2190</v>
      </c>
      <c r="AL1265" s="3">
        <f>IF(HAVERD!H1269="",AL1264,AVERAGE(HAVERD!H1269:Q1269))</f>
        <v>94.987000000000009</v>
      </c>
      <c r="AM1265" s="3">
        <f t="shared" si="75"/>
        <v>97.139703125000011</v>
      </c>
      <c r="AU1265" s="3">
        <f t="shared" si="76"/>
        <v>97.139703125000011</v>
      </c>
    </row>
    <row r="1266" spans="12:48" x14ac:dyDescent="0.35">
      <c r="L1266" s="2">
        <f t="shared" si="78"/>
        <v>45600</v>
      </c>
      <c r="M1266" s="5">
        <f>HAVERD!BA1270/HAVERD!BB1270</f>
        <v>57.692011401278791</v>
      </c>
      <c r="AJ1266" s="2">
        <f t="shared" si="77"/>
        <v>45600</v>
      </c>
      <c r="AK1266" s="2" t="s">
        <v>2190</v>
      </c>
      <c r="AL1266" s="3">
        <f>IF(HAVERD!H1270="",AL1265,AVERAGE(HAVERD!H1270:Q1270))</f>
        <v>96.967000000000013</v>
      </c>
      <c r="AM1266" s="3">
        <f t="shared" si="75"/>
        <v>97.139703125000011</v>
      </c>
      <c r="AU1266" s="3">
        <f t="shared" si="76"/>
        <v>97.139703125000011</v>
      </c>
    </row>
    <row r="1267" spans="12:48" x14ac:dyDescent="0.35">
      <c r="L1267" s="2">
        <f t="shared" si="78"/>
        <v>45601</v>
      </c>
      <c r="M1267" s="5">
        <f>HAVERD!BA1271/HAVERD!BB1271</f>
        <v>59.206275957544996</v>
      </c>
      <c r="AJ1267" s="2">
        <f t="shared" si="77"/>
        <v>45601</v>
      </c>
      <c r="AK1267" s="2" t="s">
        <v>2190</v>
      </c>
      <c r="AL1267" s="3">
        <f>IF(HAVERD!H1271="",AL1266,AVERAGE(HAVERD!H1271:Q1271))</f>
        <v>97.265000000000001</v>
      </c>
      <c r="AM1267" s="3">
        <f t="shared" si="75"/>
        <v>97.139703125000011</v>
      </c>
      <c r="AU1267" s="3">
        <f t="shared" si="76"/>
        <v>97.139703125000011</v>
      </c>
    </row>
    <row r="1268" spans="12:48" x14ac:dyDescent="0.35">
      <c r="L1268" s="2">
        <f t="shared" si="78"/>
        <v>45602</v>
      </c>
      <c r="M1268" s="5">
        <f>HAVERD!BA1272/HAVERD!BB1272</f>
        <v>59.363847944142748</v>
      </c>
      <c r="AJ1268" s="2">
        <f t="shared" si="77"/>
        <v>45602</v>
      </c>
      <c r="AK1268" s="2" t="s">
        <v>2190</v>
      </c>
      <c r="AL1268" s="3">
        <f>IF(HAVERD!H1272="",AL1267,AVERAGE(HAVERD!H1272:Q1272))</f>
        <v>96.508999999999986</v>
      </c>
      <c r="AM1268" s="3">
        <f t="shared" si="75"/>
        <v>97.139703125000011</v>
      </c>
      <c r="AU1268" s="3">
        <f t="shared" si="76"/>
        <v>97.139703125000011</v>
      </c>
    </row>
    <row r="1269" spans="12:48" x14ac:dyDescent="0.35">
      <c r="L1269" s="2">
        <f t="shared" si="78"/>
        <v>45603</v>
      </c>
      <c r="M1269" s="5">
        <f>HAVERD!BA1273/HAVERD!BB1273</f>
        <v>58.271775931055707</v>
      </c>
      <c r="AJ1269" s="2">
        <f t="shared" si="77"/>
        <v>45603</v>
      </c>
      <c r="AK1269" s="2" t="s">
        <v>2190</v>
      </c>
      <c r="AL1269" s="3">
        <f>IF(HAVERD!H1273="",AL1268,AVERAGE(HAVERD!H1273:Q1273))</f>
        <v>98.430999999999997</v>
      </c>
      <c r="AM1269" s="3">
        <f t="shared" si="75"/>
        <v>97.139703125000011</v>
      </c>
      <c r="AU1269" s="3">
        <f t="shared" si="76"/>
        <v>97.139703125000011</v>
      </c>
    </row>
    <row r="1270" spans="12:48" x14ac:dyDescent="0.35">
      <c r="L1270" s="2">
        <f t="shared" si="78"/>
        <v>45604</v>
      </c>
      <c r="M1270" s="5">
        <f>HAVERD!BA1274/HAVERD!BB1274</f>
        <v>57.222351031764433</v>
      </c>
      <c r="AJ1270" s="2">
        <f t="shared" si="77"/>
        <v>45604</v>
      </c>
      <c r="AK1270" s="2" t="s">
        <v>2190</v>
      </c>
      <c r="AL1270" s="3">
        <f>IF(HAVERD!H1274="",AL1269,AVERAGE(HAVERD!H1274:Q1274))</f>
        <v>99.545000000000002</v>
      </c>
      <c r="AM1270" s="3">
        <f t="shared" si="75"/>
        <v>97.139703125000011</v>
      </c>
      <c r="AU1270" s="3">
        <f t="shared" si="76"/>
        <v>97.139703125000011</v>
      </c>
    </row>
    <row r="1271" spans="12:48" x14ac:dyDescent="0.35">
      <c r="L1271" s="2">
        <f t="shared" si="78"/>
        <v>45607</v>
      </c>
      <c r="M1271" s="5">
        <f>HAVERD!BA1275/HAVERD!BB1275</f>
        <v>56.091686091686093</v>
      </c>
      <c r="AJ1271" s="2">
        <f t="shared" si="77"/>
        <v>45607</v>
      </c>
      <c r="AK1271" s="2" t="s">
        <v>2190</v>
      </c>
      <c r="AL1271" s="3">
        <f>IF(HAVERD!H1275="",AL1270,AVERAGE(HAVERD!H1275:Q1275))</f>
        <v>101.749</v>
      </c>
      <c r="AM1271" s="3">
        <f t="shared" si="75"/>
        <v>97.139703125000011</v>
      </c>
      <c r="AU1271" s="3">
        <f t="shared" si="76"/>
        <v>97.139703125000011</v>
      </c>
    </row>
    <row r="1272" spans="12:48" x14ac:dyDescent="0.35">
      <c r="L1272" s="2">
        <f t="shared" si="78"/>
        <v>45608</v>
      </c>
      <c r="M1272" s="5">
        <f>HAVERD!BA1276/HAVERD!BB1276</f>
        <v>56.847383265434033</v>
      </c>
      <c r="AJ1272" s="2">
        <f t="shared" si="77"/>
        <v>45608</v>
      </c>
      <c r="AK1272" s="2" t="s">
        <v>2190</v>
      </c>
      <c r="AL1272" s="3">
        <f>IF(HAVERD!H1276="",AL1271,AVERAGE(HAVERD!H1276:Q1276))</f>
        <v>103.354</v>
      </c>
      <c r="AM1272" s="3">
        <f t="shared" si="75"/>
        <v>97.139703125000011</v>
      </c>
      <c r="AU1272" s="3">
        <f t="shared" si="76"/>
        <v>97.139703125000011</v>
      </c>
    </row>
    <row r="1273" spans="12:48" x14ac:dyDescent="0.35">
      <c r="L1273" s="2">
        <f t="shared" si="78"/>
        <v>45609</v>
      </c>
      <c r="M1273" s="5">
        <f>HAVERD!BA1277/HAVERD!BB1277</f>
        <v>57.261867337315309</v>
      </c>
      <c r="AJ1273" s="2">
        <f t="shared" si="77"/>
        <v>45609</v>
      </c>
      <c r="AK1273" s="2" t="s">
        <v>2190</v>
      </c>
      <c r="AL1273" s="3">
        <f>IF(HAVERD!H1277="",AL1272,AVERAGE(HAVERD!H1277:Q1277))</f>
        <v>102.52799999999999</v>
      </c>
      <c r="AM1273" s="3">
        <f t="shared" si="75"/>
        <v>97.139703125000011</v>
      </c>
      <c r="AU1273" s="3">
        <f t="shared" si="76"/>
        <v>97.139703125000011</v>
      </c>
    </row>
    <row r="1274" spans="12:48" x14ac:dyDescent="0.35">
      <c r="L1274" s="2">
        <f t="shared" si="78"/>
        <v>45610</v>
      </c>
      <c r="M1274" s="5">
        <f>HAVERD!BA1278/HAVERD!BB1278</f>
        <v>57.751022977651878</v>
      </c>
      <c r="AJ1274" s="2">
        <f t="shared" si="77"/>
        <v>45610</v>
      </c>
      <c r="AK1274" s="2" t="s">
        <v>2190</v>
      </c>
      <c r="AL1274" s="3">
        <f>IF(HAVERD!H1278="",AL1273,AVERAGE(HAVERD!H1278:Q1278))</f>
        <v>106.75999999999999</v>
      </c>
      <c r="AM1274" s="3">
        <f t="shared" si="75"/>
        <v>97.139703125000011</v>
      </c>
      <c r="AU1274" s="3">
        <f t="shared" si="76"/>
        <v>97.139703125000011</v>
      </c>
    </row>
    <row r="1275" spans="12:48" x14ac:dyDescent="0.35">
      <c r="L1275" s="2">
        <f t="shared" si="78"/>
        <v>45611</v>
      </c>
      <c r="M1275" s="5">
        <f>HAVERD!BA1279/HAVERD!BB1279</f>
        <v>58.15979095732046</v>
      </c>
      <c r="AJ1275" s="2">
        <f t="shared" si="77"/>
        <v>45611</v>
      </c>
      <c r="AK1275" s="2" t="s">
        <v>2190</v>
      </c>
      <c r="AL1275" s="3">
        <f>IF(HAVERD!H1279="",AL1274,AVERAGE(HAVERD!H1279:Q1279))</f>
        <v>107.907</v>
      </c>
    </row>
    <row r="1276" spans="12:48" x14ac:dyDescent="0.35">
      <c r="L1276" s="2">
        <f t="shared" si="78"/>
        <v>45614</v>
      </c>
      <c r="M1276" s="5">
        <f>HAVERD!BA1280/HAVERD!BB1280</f>
        <v>58.821202531645568</v>
      </c>
      <c r="AI1276" t="s">
        <v>2168</v>
      </c>
      <c r="AJ1276" s="2">
        <f t="shared" si="77"/>
        <v>45614</v>
      </c>
      <c r="AK1276" s="2" t="s">
        <v>2190</v>
      </c>
      <c r="AL1276" s="3">
        <f>IF(HAVERD!H1280="",AL1275,AVERAGE(HAVERD!H1280:Q1280))</f>
        <v>109.05600000000001</v>
      </c>
      <c r="AM1276" s="3">
        <f>AVERAGE($AL$1276:$AL$1302,$AL$1304:$AL$1307,$AL$1309:$AL$1339)</f>
        <v>112.89158064516131</v>
      </c>
      <c r="AV1276" s="3">
        <f>AVERAGE($AL$1276:$AL$1302,$AL$1304:$AL$1307,$AL$1309:$AL$1339)</f>
        <v>112.89158064516131</v>
      </c>
    </row>
    <row r="1277" spans="12:48" x14ac:dyDescent="0.35">
      <c r="L1277" s="2">
        <f t="shared" si="78"/>
        <v>45615</v>
      </c>
      <c r="M1277" s="5">
        <f>HAVERD!BA1281/HAVERD!BB1281</f>
        <v>58.681405448085272</v>
      </c>
      <c r="AJ1277" s="2">
        <f t="shared" si="77"/>
        <v>45615</v>
      </c>
      <c r="AK1277" s="2" t="s">
        <v>2190</v>
      </c>
      <c r="AL1277" s="3">
        <f>IF(HAVERD!H1281="",AL1276,AVERAGE(HAVERD!H1281:Q1281))</f>
        <v>106.72500000000002</v>
      </c>
      <c r="AM1277" s="3">
        <f t="shared" ref="AM1277:AM1339" si="79">AVERAGE($AL$1276:$AL$1302,$AL$1304:$AL$1307,$AL$1309:$AL$1339)</f>
        <v>112.89158064516131</v>
      </c>
      <c r="AV1277" s="3">
        <f t="shared" ref="AV1277:AV1339" si="80">AVERAGE($AL$1276:$AL$1302,$AL$1304:$AL$1307,$AL$1309:$AL$1339)</f>
        <v>112.89158064516131</v>
      </c>
    </row>
    <row r="1278" spans="12:48" x14ac:dyDescent="0.35">
      <c r="L1278" s="2">
        <f t="shared" si="78"/>
        <v>45616</v>
      </c>
      <c r="M1278" s="5">
        <f>HAVERD!BA1282/HAVERD!BB1282</f>
        <v>58.744961669169363</v>
      </c>
      <c r="AJ1278" s="2">
        <f t="shared" si="77"/>
        <v>45616</v>
      </c>
      <c r="AK1278" s="2" t="s">
        <v>2190</v>
      </c>
      <c r="AL1278" s="3">
        <f>IF(HAVERD!H1282="",AL1277,AVERAGE(HAVERD!H1282:Q1282))</f>
        <v>108.047</v>
      </c>
      <c r="AM1278" s="3">
        <f t="shared" si="79"/>
        <v>112.89158064516131</v>
      </c>
      <c r="AV1278" s="3">
        <f t="shared" si="80"/>
        <v>112.89158064516131</v>
      </c>
    </row>
    <row r="1279" spans="12:48" x14ac:dyDescent="0.35">
      <c r="L1279" s="2">
        <f t="shared" si="78"/>
        <v>45617</v>
      </c>
      <c r="M1279" s="5">
        <f>HAVERD!BA1283/HAVERD!BB1283</f>
        <v>59.510223490252024</v>
      </c>
      <c r="AJ1279" s="2">
        <f t="shared" si="77"/>
        <v>45617</v>
      </c>
      <c r="AK1279" s="2" t="s">
        <v>2190</v>
      </c>
      <c r="AL1279" s="3">
        <f>IF(HAVERD!H1283="",AL1278,AVERAGE(HAVERD!H1283:Q1283))</f>
        <v>111.93600000000001</v>
      </c>
      <c r="AM1279" s="3">
        <f t="shared" si="79"/>
        <v>112.89158064516131</v>
      </c>
      <c r="AV1279" s="3">
        <f t="shared" si="80"/>
        <v>112.89158064516131</v>
      </c>
    </row>
    <row r="1280" spans="12:48" x14ac:dyDescent="0.35">
      <c r="L1280" s="2">
        <f t="shared" si="78"/>
        <v>45618</v>
      </c>
      <c r="M1280" s="5">
        <f>HAVERD!BA1284/HAVERD!BB1284</f>
        <v>60.748782629520235</v>
      </c>
      <c r="AJ1280" s="2">
        <f t="shared" si="77"/>
        <v>45618</v>
      </c>
      <c r="AK1280" s="2" t="s">
        <v>2190</v>
      </c>
      <c r="AL1280" s="3">
        <f>IF(HAVERD!H1284="",AL1279,AVERAGE(HAVERD!H1284:Q1284))</f>
        <v>109.06700000000001</v>
      </c>
      <c r="AM1280" s="3">
        <f t="shared" si="79"/>
        <v>112.89158064516131</v>
      </c>
      <c r="AV1280" s="3">
        <f t="shared" si="80"/>
        <v>112.89158064516131</v>
      </c>
    </row>
    <row r="1281" spans="12:48" x14ac:dyDescent="0.35">
      <c r="L1281" s="2">
        <f t="shared" si="78"/>
        <v>45621</v>
      </c>
      <c r="M1281" s="5">
        <f>HAVERD!BA1285/HAVERD!BB1285</f>
        <v>59.174567763524813</v>
      </c>
      <c r="AJ1281" s="2">
        <f t="shared" si="77"/>
        <v>45621</v>
      </c>
      <c r="AK1281" s="2" t="s">
        <v>2190</v>
      </c>
      <c r="AL1281" s="3">
        <f>IF(HAVERD!H1285="",AL1280,AVERAGE(HAVERD!H1285:Q1285))</f>
        <v>110.85400000000001</v>
      </c>
      <c r="AM1281" s="3">
        <f t="shared" si="79"/>
        <v>112.89158064516131</v>
      </c>
      <c r="AV1281" s="3">
        <f t="shared" si="80"/>
        <v>112.89158064516131</v>
      </c>
    </row>
    <row r="1282" spans="12:48" x14ac:dyDescent="0.35">
      <c r="L1282" s="2">
        <f t="shared" si="78"/>
        <v>45622</v>
      </c>
      <c r="M1282" s="5">
        <f>HAVERD!BA1286/HAVERD!BB1286</f>
        <v>59.348881636551781</v>
      </c>
      <c r="AJ1282" s="2">
        <f t="shared" si="77"/>
        <v>45622</v>
      </c>
      <c r="AK1282" s="2" t="s">
        <v>2190</v>
      </c>
      <c r="AL1282" s="3">
        <f>IF(HAVERD!H1286="",AL1281,AVERAGE(HAVERD!H1286:Q1286))</f>
        <v>110.369</v>
      </c>
      <c r="AM1282" s="3">
        <f t="shared" si="79"/>
        <v>112.89158064516131</v>
      </c>
      <c r="AV1282" s="3">
        <f t="shared" si="80"/>
        <v>112.89158064516131</v>
      </c>
    </row>
    <row r="1283" spans="12:48" x14ac:dyDescent="0.35">
      <c r="L1283" s="2">
        <f t="shared" si="78"/>
        <v>45623</v>
      </c>
      <c r="M1283" s="5">
        <f>HAVERD!BA1287/HAVERD!BB1287</f>
        <v>58.302437485209431</v>
      </c>
      <c r="AJ1283" s="2">
        <f t="shared" si="77"/>
        <v>45623</v>
      </c>
      <c r="AK1283" s="2" t="s">
        <v>2190</v>
      </c>
      <c r="AL1283" s="3">
        <f>IF(HAVERD!H1287="",AL1282,AVERAGE(HAVERD!H1287:Q1287))</f>
        <v>109.274</v>
      </c>
      <c r="AM1283" s="3">
        <f t="shared" si="79"/>
        <v>112.89158064516131</v>
      </c>
      <c r="AV1283" s="3">
        <f t="shared" si="80"/>
        <v>112.89158064516131</v>
      </c>
    </row>
    <row r="1284" spans="12:48" x14ac:dyDescent="0.35">
      <c r="L1284" s="2">
        <f t="shared" si="78"/>
        <v>45624</v>
      </c>
      <c r="M1284" s="5">
        <f>HAVERD!BA1288/HAVERD!BB1288</f>
        <v>58.287336382274091</v>
      </c>
      <c r="AJ1284" s="2">
        <f t="shared" si="77"/>
        <v>45624</v>
      </c>
      <c r="AK1284" s="2" t="s">
        <v>2190</v>
      </c>
      <c r="AL1284" s="3">
        <f>IF(HAVERD!H1288="",AL1283,AVERAGE(HAVERD!H1288:Q1288))</f>
        <v>108.548</v>
      </c>
      <c r="AM1284" s="3">
        <f t="shared" si="79"/>
        <v>112.89158064516131</v>
      </c>
      <c r="AV1284" s="3">
        <f t="shared" si="80"/>
        <v>112.89158064516131</v>
      </c>
    </row>
    <row r="1285" spans="12:48" x14ac:dyDescent="0.35">
      <c r="L1285" s="2">
        <f t="shared" si="78"/>
        <v>45625</v>
      </c>
      <c r="M1285" s="5">
        <f>HAVERD!BA1289/HAVERD!BB1289</f>
        <v>58.356940509915013</v>
      </c>
      <c r="AJ1285" s="2">
        <f t="shared" si="77"/>
        <v>45625</v>
      </c>
      <c r="AK1285" s="2" t="s">
        <v>2190</v>
      </c>
      <c r="AL1285" s="3">
        <f>IF(HAVERD!H1289="",AL1284,AVERAGE(HAVERD!H1289:Q1289))</f>
        <v>110.001</v>
      </c>
      <c r="AM1285" s="3">
        <f t="shared" si="79"/>
        <v>112.89158064516131</v>
      </c>
      <c r="AV1285" s="3">
        <f t="shared" si="80"/>
        <v>112.89158064516131</v>
      </c>
    </row>
    <row r="1286" spans="12:48" x14ac:dyDescent="0.35">
      <c r="L1286" s="2">
        <f t="shared" si="78"/>
        <v>45628</v>
      </c>
      <c r="M1286" s="5">
        <f>HAVERD!BA1290/HAVERD!BB1290</f>
        <v>57.653020825085129</v>
      </c>
      <c r="AJ1286" s="2">
        <f t="shared" si="77"/>
        <v>45628</v>
      </c>
      <c r="AK1286" s="2" t="s">
        <v>2191</v>
      </c>
      <c r="AL1286" s="3">
        <f>IF(HAVERD!H1290="",AL1285,AVERAGE(HAVERD!H1290:Q1290))</f>
        <v>111.208</v>
      </c>
      <c r="AM1286" s="3">
        <f t="shared" si="79"/>
        <v>112.89158064516131</v>
      </c>
      <c r="AV1286" s="3">
        <f t="shared" si="80"/>
        <v>112.89158064516131</v>
      </c>
    </row>
    <row r="1287" spans="12:48" x14ac:dyDescent="0.35">
      <c r="L1287" s="2">
        <f t="shared" si="78"/>
        <v>45629</v>
      </c>
      <c r="M1287" s="5">
        <f>HAVERD!BA1291/HAVERD!BB1291</f>
        <v>59.074395830042647</v>
      </c>
      <c r="AJ1287" s="2">
        <f t="shared" si="77"/>
        <v>45629</v>
      </c>
      <c r="AK1287" s="2" t="s">
        <v>2191</v>
      </c>
      <c r="AL1287" s="3">
        <f>IF(HAVERD!H1291="",AL1286,AVERAGE(HAVERD!H1291:Q1291))</f>
        <v>110.37100000000001</v>
      </c>
      <c r="AM1287" s="3">
        <f t="shared" si="79"/>
        <v>112.89158064516131</v>
      </c>
      <c r="AV1287" s="3">
        <f t="shared" si="80"/>
        <v>112.89158064516131</v>
      </c>
    </row>
    <row r="1288" spans="12:48" x14ac:dyDescent="0.35">
      <c r="L1288" s="2">
        <f t="shared" si="78"/>
        <v>45630</v>
      </c>
      <c r="M1288" s="5">
        <f>HAVERD!BA1292/HAVERD!BB1292</f>
        <v>58.766131570664157</v>
      </c>
      <c r="AJ1288" s="2">
        <f t="shared" si="77"/>
        <v>45630</v>
      </c>
      <c r="AK1288" s="2" t="s">
        <v>2191</v>
      </c>
      <c r="AL1288" s="3">
        <f>IF(HAVERD!H1292="",AL1287,AVERAGE(HAVERD!H1292:Q1292))</f>
        <v>107.83</v>
      </c>
      <c r="AM1288" s="3">
        <f t="shared" si="79"/>
        <v>112.89158064516131</v>
      </c>
      <c r="AV1288" s="3">
        <f t="shared" si="80"/>
        <v>112.89158064516131</v>
      </c>
    </row>
    <row r="1289" spans="12:48" x14ac:dyDescent="0.35">
      <c r="L1289" s="2">
        <f t="shared" si="78"/>
        <v>45631</v>
      </c>
      <c r="M1289" s="5">
        <f>HAVERD!BA1293/HAVERD!BB1293</f>
        <v>57.834914164772279</v>
      </c>
      <c r="AJ1289" s="2">
        <f t="shared" ref="AJ1289:AJ1352" si="81">+AJ1284+7</f>
        <v>45631</v>
      </c>
      <c r="AK1289" s="2" t="s">
        <v>2191</v>
      </c>
      <c r="AL1289" s="3">
        <f>IF(HAVERD!H1293="",AL1288,AVERAGE(HAVERD!H1293:Q1293))</f>
        <v>106.81399999999999</v>
      </c>
      <c r="AM1289" s="3">
        <f t="shared" si="79"/>
        <v>112.89158064516131</v>
      </c>
      <c r="AV1289" s="3">
        <f t="shared" si="80"/>
        <v>112.89158064516131</v>
      </c>
    </row>
    <row r="1290" spans="12:48" x14ac:dyDescent="0.35">
      <c r="L1290" s="2">
        <f t="shared" si="78"/>
        <v>45632</v>
      </c>
      <c r="M1290" s="5">
        <f>HAVERD!BA1294/HAVERD!BB1294</f>
        <v>57.898454053205683</v>
      </c>
      <c r="AJ1290" s="2">
        <f t="shared" si="81"/>
        <v>45632</v>
      </c>
      <c r="AK1290" s="2" t="s">
        <v>2191</v>
      </c>
      <c r="AL1290" s="3">
        <f>IF(HAVERD!H1294="",AL1289,AVERAGE(HAVERD!H1294:Q1294))</f>
        <v>106.748</v>
      </c>
      <c r="AM1290" s="3">
        <f t="shared" si="79"/>
        <v>112.89158064516131</v>
      </c>
      <c r="AV1290" s="3">
        <f t="shared" si="80"/>
        <v>112.89158064516131</v>
      </c>
    </row>
    <row r="1291" spans="12:48" x14ac:dyDescent="0.35">
      <c r="L1291" s="2">
        <f t="shared" si="78"/>
        <v>45635</v>
      </c>
      <c r="M1291" s="5">
        <f>HAVERD!BA1295/HAVERD!BB1295</f>
        <v>57.61956861519225</v>
      </c>
      <c r="AJ1291" s="2">
        <f t="shared" si="81"/>
        <v>45635</v>
      </c>
      <c r="AK1291" s="2" t="s">
        <v>2191</v>
      </c>
      <c r="AL1291" s="3">
        <f>IF(HAVERD!H1295="",AL1290,AVERAGE(HAVERD!H1295:Q1295))</f>
        <v>103.994</v>
      </c>
      <c r="AM1291" s="3">
        <f t="shared" si="79"/>
        <v>112.89158064516131</v>
      </c>
      <c r="AV1291" s="3">
        <f t="shared" si="80"/>
        <v>112.89158064516131</v>
      </c>
    </row>
    <row r="1292" spans="12:48" x14ac:dyDescent="0.35">
      <c r="L1292" s="2">
        <f t="shared" si="78"/>
        <v>45636</v>
      </c>
      <c r="M1292" s="5">
        <f>HAVERD!BA1296/HAVERD!BB1296</f>
        <v>57.811273355314803</v>
      </c>
      <c r="AJ1292" s="2">
        <f t="shared" si="81"/>
        <v>45636</v>
      </c>
      <c r="AK1292" s="2" t="s">
        <v>2191</v>
      </c>
      <c r="AL1292" s="3">
        <f>IF(HAVERD!H1296="",AL1291,AVERAGE(HAVERD!H1296:Q1296))</f>
        <v>105.21300000000001</v>
      </c>
      <c r="AM1292" s="3">
        <f t="shared" si="79"/>
        <v>112.89158064516131</v>
      </c>
      <c r="AV1292" s="3">
        <f t="shared" si="80"/>
        <v>112.89158064516131</v>
      </c>
    </row>
    <row r="1293" spans="12:48" x14ac:dyDescent="0.35">
      <c r="L1293" s="2">
        <f t="shared" si="78"/>
        <v>45637</v>
      </c>
      <c r="M1293" s="5">
        <f>HAVERD!BA1297/HAVERD!BB1297</f>
        <v>58.364720652856242</v>
      </c>
      <c r="AJ1293" s="2">
        <f t="shared" si="81"/>
        <v>45637</v>
      </c>
      <c r="AK1293" s="2" t="s">
        <v>2191</v>
      </c>
      <c r="AL1293" s="3">
        <f>IF(HAVERD!H1297="",AL1292,AVERAGE(HAVERD!H1297:Q1297))</f>
        <v>104.08199999999999</v>
      </c>
      <c r="AM1293" s="3">
        <f t="shared" si="79"/>
        <v>112.89158064516131</v>
      </c>
      <c r="AV1293" s="3">
        <f t="shared" si="80"/>
        <v>112.89158064516131</v>
      </c>
    </row>
    <row r="1294" spans="12:48" x14ac:dyDescent="0.35">
      <c r="L1294" s="2">
        <f t="shared" si="78"/>
        <v>45638</v>
      </c>
      <c r="M1294" s="5">
        <f>HAVERD!BA1298/HAVERD!BB1298</f>
        <v>57.93538219070134</v>
      </c>
      <c r="AJ1294" s="2">
        <f t="shared" si="81"/>
        <v>45638</v>
      </c>
      <c r="AK1294" s="2" t="s">
        <v>2191</v>
      </c>
      <c r="AL1294" s="3">
        <f>IF(HAVERD!H1298="",AL1293,AVERAGE(HAVERD!H1298:Q1298))</f>
        <v>100.97200000000001</v>
      </c>
      <c r="AM1294" s="3">
        <f t="shared" si="79"/>
        <v>112.89158064516131</v>
      </c>
      <c r="AV1294" s="3">
        <f t="shared" si="80"/>
        <v>112.89158064516131</v>
      </c>
    </row>
    <row r="1295" spans="12:48" x14ac:dyDescent="0.35">
      <c r="L1295" s="2">
        <f t="shared" si="78"/>
        <v>45639</v>
      </c>
      <c r="M1295" s="5">
        <f>HAVERD!BA1299/HAVERD!BB1299</f>
        <v>59.370540669097828</v>
      </c>
      <c r="AJ1295" s="2">
        <f t="shared" si="81"/>
        <v>45639</v>
      </c>
      <c r="AK1295" s="2" t="s">
        <v>2191</v>
      </c>
      <c r="AL1295" s="3">
        <f>IF(HAVERD!H1299="",AL1294,AVERAGE(HAVERD!H1299:Q1299))</f>
        <v>99.002999999999986</v>
      </c>
      <c r="AM1295" s="3">
        <f t="shared" si="79"/>
        <v>112.89158064516131</v>
      </c>
      <c r="AV1295" s="3">
        <f t="shared" si="80"/>
        <v>112.89158064516131</v>
      </c>
    </row>
    <row r="1296" spans="12:48" x14ac:dyDescent="0.35">
      <c r="L1296" s="2">
        <f t="shared" si="78"/>
        <v>45642</v>
      </c>
      <c r="M1296" s="5">
        <f>HAVERD!BA1300/HAVERD!BB1300</f>
        <v>58.545425892364669</v>
      </c>
      <c r="AJ1296" s="2">
        <f t="shared" si="81"/>
        <v>45642</v>
      </c>
      <c r="AK1296" s="2" t="s">
        <v>2191</v>
      </c>
      <c r="AL1296" s="3">
        <f>IF(HAVERD!H1300="",AL1295,AVERAGE(HAVERD!H1300:Q1300))</f>
        <v>97.048000000000002</v>
      </c>
      <c r="AM1296" s="3">
        <f t="shared" si="79"/>
        <v>112.89158064516131</v>
      </c>
      <c r="AV1296" s="3">
        <f t="shared" si="80"/>
        <v>112.89158064516131</v>
      </c>
    </row>
    <row r="1297" spans="12:48" x14ac:dyDescent="0.35">
      <c r="L1297" s="2">
        <f t="shared" si="78"/>
        <v>45643</v>
      </c>
      <c r="M1297" s="5">
        <f>HAVERD!BA1301/HAVERD!BB1301</f>
        <v>57.556447171741013</v>
      </c>
      <c r="AJ1297" s="2">
        <f t="shared" si="81"/>
        <v>45643</v>
      </c>
      <c r="AK1297" s="2" t="s">
        <v>2191</v>
      </c>
      <c r="AL1297" s="3">
        <f>IF(HAVERD!H1301="",AL1296,AVERAGE(HAVERD!H1301:Q1301))</f>
        <v>100.71700000000001</v>
      </c>
      <c r="AM1297" s="3">
        <f t="shared" si="79"/>
        <v>112.89158064516131</v>
      </c>
      <c r="AV1297" s="3">
        <f t="shared" si="80"/>
        <v>112.89158064516131</v>
      </c>
    </row>
    <row r="1298" spans="12:48" x14ac:dyDescent="0.35">
      <c r="L1298" s="2">
        <f t="shared" si="78"/>
        <v>45644</v>
      </c>
      <c r="M1298" s="5">
        <f>HAVERD!BA1302/HAVERD!BB1302</f>
        <v>58.748916725754341</v>
      </c>
      <c r="AJ1298" s="2">
        <f t="shared" si="81"/>
        <v>45644</v>
      </c>
      <c r="AK1298" s="2" t="s">
        <v>2191</v>
      </c>
      <c r="AL1298" s="3">
        <f>IF(HAVERD!H1302="",AL1297,AVERAGE(HAVERD!H1302:Q1302))</f>
        <v>99.12299999999999</v>
      </c>
      <c r="AM1298" s="3">
        <f t="shared" si="79"/>
        <v>112.89158064516131</v>
      </c>
      <c r="AV1298" s="3">
        <f t="shared" si="80"/>
        <v>112.89158064516131</v>
      </c>
    </row>
    <row r="1299" spans="12:48" x14ac:dyDescent="0.35">
      <c r="L1299" s="2">
        <f t="shared" si="78"/>
        <v>45645</v>
      </c>
      <c r="M1299" s="5">
        <f>HAVERD!BA1303/HAVERD!BB1303</f>
        <v>58.76025814676121</v>
      </c>
      <c r="AJ1299" s="2">
        <f t="shared" si="81"/>
        <v>45645</v>
      </c>
      <c r="AK1299" s="2" t="s">
        <v>2191</v>
      </c>
      <c r="AL1299" s="3">
        <f>IF(HAVERD!H1303="",AL1298,AVERAGE(HAVERD!H1303:Q1303))</f>
        <v>103.51499999999999</v>
      </c>
      <c r="AM1299" s="3">
        <f t="shared" si="79"/>
        <v>112.89158064516131</v>
      </c>
      <c r="AV1299" s="3">
        <f t="shared" si="80"/>
        <v>112.89158064516131</v>
      </c>
    </row>
    <row r="1300" spans="12:48" x14ac:dyDescent="0.35">
      <c r="L1300" s="2">
        <f t="shared" si="78"/>
        <v>45646</v>
      </c>
      <c r="M1300" s="5">
        <f>HAVERD!BA1304/HAVERD!BB1304</f>
        <v>58.360577306434891</v>
      </c>
      <c r="AJ1300" s="2">
        <f t="shared" si="81"/>
        <v>45646</v>
      </c>
      <c r="AK1300" s="2" t="s">
        <v>2191</v>
      </c>
      <c r="AL1300" s="3">
        <f>IF(HAVERD!H1304="",AL1299,AVERAGE(HAVERD!H1304:Q1304))</f>
        <v>105.45599999999999</v>
      </c>
      <c r="AM1300" s="3">
        <f t="shared" si="79"/>
        <v>112.89158064516131</v>
      </c>
      <c r="AV1300" s="3">
        <f t="shared" si="80"/>
        <v>112.89158064516131</v>
      </c>
    </row>
    <row r="1301" spans="12:48" x14ac:dyDescent="0.35">
      <c r="L1301" s="2">
        <f t="shared" si="78"/>
        <v>45649</v>
      </c>
      <c r="M1301" s="5">
        <f>HAVERD!BA1305/HAVERD!BB1305</f>
        <v>57.608435178528637</v>
      </c>
      <c r="AJ1301" s="2">
        <f t="shared" si="81"/>
        <v>45649</v>
      </c>
      <c r="AK1301" s="2" t="s">
        <v>2191</v>
      </c>
      <c r="AL1301" s="3">
        <f>IF(HAVERD!H1305="",AL1300,AVERAGE(HAVERD!H1305:Q1305))</f>
        <v>108.45099999999998</v>
      </c>
      <c r="AM1301" s="3">
        <f t="shared" si="79"/>
        <v>112.89158064516131</v>
      </c>
      <c r="AV1301" s="3">
        <f t="shared" si="80"/>
        <v>112.89158064516131</v>
      </c>
    </row>
    <row r="1302" spans="12:48" x14ac:dyDescent="0.35">
      <c r="L1302" s="2">
        <f t="shared" si="78"/>
        <v>45650</v>
      </c>
      <c r="M1302" s="5">
        <f>HAVERD!BA1306/HAVERD!BB1306</f>
        <v>58.617114602440388</v>
      </c>
      <c r="AJ1302" s="2">
        <f t="shared" si="81"/>
        <v>45650</v>
      </c>
      <c r="AK1302" s="2" t="s">
        <v>2191</v>
      </c>
      <c r="AL1302" s="3">
        <f>IF(HAVERD!H1306="",AL1301,AVERAGE(HAVERD!H1306:Q1306))</f>
        <v>109.099</v>
      </c>
      <c r="AM1302" s="3">
        <f t="shared" si="79"/>
        <v>112.89158064516131</v>
      </c>
      <c r="AV1302" s="3">
        <f t="shared" si="80"/>
        <v>112.89158064516131</v>
      </c>
    </row>
    <row r="1303" spans="12:48" x14ac:dyDescent="0.35">
      <c r="L1303" s="2">
        <f t="shared" si="78"/>
        <v>45651</v>
      </c>
      <c r="M1303" s="5" t="e">
        <f>HAVERD!BA1307/HAVERD!BB1307</f>
        <v>#N/A</v>
      </c>
      <c r="AJ1303" s="2">
        <f t="shared" si="81"/>
        <v>45651</v>
      </c>
      <c r="AK1303" s="2" t="s">
        <v>2191</v>
      </c>
      <c r="AL1303" s="3" t="e">
        <f>IF(HAVERD!H1307="",AL1302,AVERAGE(HAVERD!H1307:Q1307))</f>
        <v>#N/A</v>
      </c>
      <c r="AM1303" s="3">
        <f t="shared" si="79"/>
        <v>112.89158064516131</v>
      </c>
      <c r="AV1303" s="3">
        <f t="shared" si="80"/>
        <v>112.89158064516131</v>
      </c>
    </row>
    <row r="1304" spans="12:48" x14ac:dyDescent="0.35">
      <c r="L1304" s="2">
        <f t="shared" si="78"/>
        <v>45652</v>
      </c>
      <c r="M1304" s="5" t="e">
        <f>HAVERD!BA1308/HAVERD!BB1308</f>
        <v>#N/A</v>
      </c>
      <c r="AJ1304" s="2">
        <f t="shared" si="81"/>
        <v>45652</v>
      </c>
      <c r="AK1304" s="2" t="s">
        <v>2191</v>
      </c>
      <c r="AL1304" s="3">
        <f>IF(HAVERD!H1308="",AL1303,AVERAGE(HAVERD!H1308:Q1308))</f>
        <v>109.099</v>
      </c>
      <c r="AM1304" s="3">
        <f t="shared" si="79"/>
        <v>112.89158064516131</v>
      </c>
      <c r="AV1304" s="3">
        <f t="shared" si="80"/>
        <v>112.89158064516131</v>
      </c>
    </row>
    <row r="1305" spans="12:48" x14ac:dyDescent="0.35">
      <c r="L1305" s="2">
        <f t="shared" si="78"/>
        <v>45653</v>
      </c>
      <c r="M1305" s="5">
        <f>HAVERD!BA1309/HAVERD!BB1309</f>
        <v>58.654687127295851</v>
      </c>
      <c r="AJ1305" s="2">
        <f t="shared" si="81"/>
        <v>45653</v>
      </c>
      <c r="AK1305" s="2" t="s">
        <v>2191</v>
      </c>
      <c r="AL1305" s="3">
        <f>IF(HAVERD!H1309="",AL1304,AVERAGE(HAVERD!H1309:Q1309))</f>
        <v>113.05</v>
      </c>
      <c r="AM1305" s="3">
        <f t="shared" si="79"/>
        <v>112.89158064516131</v>
      </c>
      <c r="AV1305" s="3">
        <f t="shared" si="80"/>
        <v>112.89158064516131</v>
      </c>
    </row>
    <row r="1306" spans="12:48" x14ac:dyDescent="0.35">
      <c r="L1306" s="2">
        <f t="shared" si="78"/>
        <v>45656</v>
      </c>
      <c r="M1306" s="5">
        <f>HAVERD!BA1310/HAVERD!BB1310</f>
        <v>59.339780992726389</v>
      </c>
      <c r="AJ1306" s="2">
        <f t="shared" si="81"/>
        <v>45656</v>
      </c>
      <c r="AK1306" s="2" t="s">
        <v>2191</v>
      </c>
      <c r="AL1306" s="3">
        <f>IF(HAVERD!H1310="",AL1305,AVERAGE(HAVERD!H1310:Q1310))</f>
        <v>112.99100000000001</v>
      </c>
      <c r="AM1306" s="3">
        <f t="shared" si="79"/>
        <v>112.89158064516131</v>
      </c>
      <c r="AV1306" s="3">
        <f t="shared" si="80"/>
        <v>112.89158064516131</v>
      </c>
    </row>
    <row r="1307" spans="12:48" x14ac:dyDescent="0.35">
      <c r="L1307" s="2">
        <f t="shared" si="78"/>
        <v>45657</v>
      </c>
      <c r="M1307" s="5">
        <f>HAVERD!BA1311/HAVERD!BB1311</f>
        <v>59.525899912203691</v>
      </c>
      <c r="AJ1307" s="2">
        <f t="shared" si="81"/>
        <v>45657</v>
      </c>
      <c r="AK1307" s="2" t="s">
        <v>2191</v>
      </c>
      <c r="AL1307" s="3">
        <f>IF(HAVERD!H1311="",AL1306,AVERAGE(HAVERD!H1311:Q1311))</f>
        <v>114.68999999999998</v>
      </c>
      <c r="AM1307" s="3">
        <f t="shared" si="79"/>
        <v>112.89158064516131</v>
      </c>
      <c r="AV1307" s="3">
        <f t="shared" si="80"/>
        <v>112.89158064516131</v>
      </c>
    </row>
    <row r="1308" spans="12:48" x14ac:dyDescent="0.35">
      <c r="L1308" s="2">
        <f t="shared" si="78"/>
        <v>45658</v>
      </c>
      <c r="M1308" s="5" t="e">
        <f>HAVERD!BA1312/HAVERD!BB1312</f>
        <v>#N/A</v>
      </c>
      <c r="AJ1308" s="2">
        <f t="shared" si="81"/>
        <v>45658</v>
      </c>
      <c r="AK1308" s="2" t="s">
        <v>2180</v>
      </c>
      <c r="AL1308" s="3" t="e">
        <f>IF(HAVERD!H1312="",AL1307,AVERAGE(HAVERD!H1312:Q1312))</f>
        <v>#N/A</v>
      </c>
      <c r="AM1308" s="3">
        <f t="shared" si="79"/>
        <v>112.89158064516131</v>
      </c>
      <c r="AV1308" s="3">
        <f t="shared" si="80"/>
        <v>112.89158064516131</v>
      </c>
    </row>
    <row r="1309" spans="12:48" x14ac:dyDescent="0.35">
      <c r="L1309" s="2">
        <f t="shared" si="78"/>
        <v>45659</v>
      </c>
      <c r="M1309" s="5">
        <f>HAVERD!BA1313/HAVERD!BB1313</f>
        <v>61.527272727272724</v>
      </c>
      <c r="AJ1309" s="2">
        <f t="shared" si="81"/>
        <v>45659</v>
      </c>
      <c r="AK1309" s="2" t="s">
        <v>2180</v>
      </c>
      <c r="AL1309" s="3">
        <f>IF(HAVERD!H1313="",AL1308,AVERAGE(HAVERD!H1313:Q1313))</f>
        <v>117.38199999999999</v>
      </c>
      <c r="AM1309" s="3">
        <f t="shared" si="79"/>
        <v>112.89158064516131</v>
      </c>
      <c r="AV1309" s="3">
        <f t="shared" si="80"/>
        <v>112.89158064516131</v>
      </c>
    </row>
    <row r="1310" spans="12:48" x14ac:dyDescent="0.35">
      <c r="L1310" s="2">
        <f t="shared" si="78"/>
        <v>45660</v>
      </c>
      <c r="M1310" s="5">
        <f>HAVERD!BA1314/HAVERD!BB1314</f>
        <v>61.8510158013544</v>
      </c>
      <c r="AJ1310" s="2">
        <f t="shared" si="81"/>
        <v>45660</v>
      </c>
      <c r="AK1310" s="2" t="s">
        <v>2180</v>
      </c>
      <c r="AL1310" s="3">
        <f>IF(HAVERD!H1314="",AL1309,AVERAGE(HAVERD!H1314:Q1314))</f>
        <v>116.54</v>
      </c>
      <c r="AM1310" s="3">
        <f t="shared" si="79"/>
        <v>112.89158064516131</v>
      </c>
      <c r="AV1310" s="3">
        <f t="shared" si="80"/>
        <v>112.89158064516131</v>
      </c>
    </row>
    <row r="1311" spans="12:48" x14ac:dyDescent="0.35">
      <c r="L1311" s="2">
        <f t="shared" si="78"/>
        <v>45663</v>
      </c>
      <c r="M1311" s="5">
        <f>HAVERD!BA1315/HAVERD!BB1315</f>
        <v>61.77646306363927</v>
      </c>
      <c r="AJ1311" s="2">
        <f t="shared" si="81"/>
        <v>45663</v>
      </c>
      <c r="AK1311" s="2" t="s">
        <v>2180</v>
      </c>
      <c r="AL1311" s="3">
        <f>IF(HAVERD!H1315="",AL1310,AVERAGE(HAVERD!H1315:Q1315))</f>
        <v>113.029</v>
      </c>
      <c r="AM1311" s="3">
        <f t="shared" si="79"/>
        <v>112.89158064516131</v>
      </c>
      <c r="AV1311" s="3">
        <f t="shared" si="80"/>
        <v>112.89158064516131</v>
      </c>
    </row>
    <row r="1312" spans="12:48" x14ac:dyDescent="0.35">
      <c r="L1312" s="2">
        <f t="shared" si="78"/>
        <v>45664</v>
      </c>
      <c r="M1312" s="5">
        <f>HAVERD!BA1316/HAVERD!BB1316</f>
        <v>62.281965114418306</v>
      </c>
      <c r="AJ1312" s="2">
        <f t="shared" si="81"/>
        <v>45664</v>
      </c>
      <c r="AK1312" s="2" t="s">
        <v>2180</v>
      </c>
      <c r="AL1312" s="3">
        <f>IF(HAVERD!H1316="",AL1311,AVERAGE(HAVERD!H1316:Q1316))</f>
        <v>113.93299999999999</v>
      </c>
      <c r="AM1312" s="3">
        <f t="shared" si="79"/>
        <v>112.89158064516131</v>
      </c>
      <c r="AV1312" s="3">
        <f t="shared" si="80"/>
        <v>112.89158064516131</v>
      </c>
    </row>
    <row r="1313" spans="12:48" x14ac:dyDescent="0.35">
      <c r="L1313" s="2">
        <f>+L1308+7</f>
        <v>45665</v>
      </c>
      <c r="M1313" s="5">
        <f>HAVERD!BA1317/HAVERD!BB1317</f>
        <v>62.688381137579007</v>
      </c>
      <c r="AJ1313" s="2">
        <f t="shared" si="81"/>
        <v>45665</v>
      </c>
      <c r="AK1313" s="2" t="s">
        <v>2180</v>
      </c>
      <c r="AL1313" s="3">
        <f>IF(HAVERD!H1317="",AL1312,AVERAGE(HAVERD!H1317:Q1317))</f>
        <v>110.55799999999999</v>
      </c>
      <c r="AM1313" s="3">
        <f t="shared" si="79"/>
        <v>112.89158064516131</v>
      </c>
      <c r="AV1313" s="3">
        <f t="shared" si="80"/>
        <v>112.89158064516131</v>
      </c>
    </row>
    <row r="1314" spans="12:48" x14ac:dyDescent="0.35">
      <c r="L1314" s="2">
        <f t="shared" ref="L1314:L1334" si="82">+L1309+7</f>
        <v>45666</v>
      </c>
      <c r="M1314" s="5">
        <f>HAVERD!BA1318/HAVERD!BB1318</f>
        <v>63.756807282776556</v>
      </c>
      <c r="AJ1314" s="2">
        <f t="shared" si="81"/>
        <v>45666</v>
      </c>
      <c r="AK1314" s="2" t="s">
        <v>2180</v>
      </c>
      <c r="AL1314" s="3">
        <f>IF(HAVERD!H1318="",AL1313,AVERAGE(HAVERD!H1318:Q1318))</f>
        <v>110.196</v>
      </c>
      <c r="AM1314" s="3">
        <f t="shared" si="79"/>
        <v>112.89158064516131</v>
      </c>
      <c r="AV1314" s="3">
        <f t="shared" si="80"/>
        <v>112.89158064516131</v>
      </c>
    </row>
    <row r="1315" spans="12:48" x14ac:dyDescent="0.35">
      <c r="L1315" s="2">
        <f t="shared" si="82"/>
        <v>45667</v>
      </c>
      <c r="M1315" s="5">
        <f>HAVERD!BA1319/HAVERD!BB1319</f>
        <v>65.216680294358142</v>
      </c>
      <c r="AJ1315" s="2">
        <f t="shared" si="81"/>
        <v>45667</v>
      </c>
      <c r="AK1315" s="2" t="s">
        <v>2180</v>
      </c>
      <c r="AL1315" s="3">
        <f>IF(HAVERD!H1319="",AL1314,AVERAGE(HAVERD!H1319:Q1319))</f>
        <v>110.96599999999998</v>
      </c>
      <c r="AM1315" s="3">
        <f t="shared" si="79"/>
        <v>112.89158064516131</v>
      </c>
      <c r="AV1315" s="3">
        <f t="shared" si="80"/>
        <v>112.89158064516131</v>
      </c>
    </row>
    <row r="1316" spans="12:48" x14ac:dyDescent="0.35">
      <c r="L1316" s="2">
        <f t="shared" si="82"/>
        <v>45670</v>
      </c>
      <c r="M1316" s="5">
        <f>HAVERD!BA1320/HAVERD!BB1320</f>
        <v>68.046412113232378</v>
      </c>
      <c r="AJ1316" s="2">
        <f t="shared" si="81"/>
        <v>45670</v>
      </c>
      <c r="AK1316" s="2" t="s">
        <v>2180</v>
      </c>
      <c r="AL1316" s="3">
        <f>IF(HAVERD!H1320="",AL1315,AVERAGE(HAVERD!H1320:Q1320))</f>
        <v>117.85799999999999</v>
      </c>
      <c r="AM1316" s="3">
        <f t="shared" si="79"/>
        <v>112.89158064516131</v>
      </c>
      <c r="AV1316" s="3">
        <f t="shared" si="80"/>
        <v>112.89158064516131</v>
      </c>
    </row>
    <row r="1317" spans="12:48" x14ac:dyDescent="0.35">
      <c r="L1317" s="2">
        <f t="shared" si="82"/>
        <v>45671</v>
      </c>
      <c r="M1317" s="5">
        <f>HAVERD!BA1321/HAVERD!BB1321</f>
        <v>67.527251864601268</v>
      </c>
      <c r="AJ1317" s="2">
        <f t="shared" si="81"/>
        <v>45671</v>
      </c>
      <c r="AK1317" s="2" t="s">
        <v>2180</v>
      </c>
      <c r="AL1317" s="3">
        <f>IF(HAVERD!H1321="",AL1316,AVERAGE(HAVERD!H1321:Q1321))</f>
        <v>115.41599999999998</v>
      </c>
      <c r="AM1317" s="3">
        <f t="shared" si="79"/>
        <v>112.89158064516131</v>
      </c>
      <c r="AV1317" s="3">
        <f t="shared" si="80"/>
        <v>112.89158064516131</v>
      </c>
    </row>
    <row r="1318" spans="12:48" x14ac:dyDescent="0.35">
      <c r="L1318" s="2">
        <f t="shared" si="82"/>
        <v>45672</v>
      </c>
      <c r="M1318" s="5">
        <f>HAVERD!BA1322/HAVERD!BB1322</f>
        <v>68.102463697177356</v>
      </c>
      <c r="AJ1318" s="2">
        <f t="shared" si="81"/>
        <v>45672</v>
      </c>
      <c r="AK1318" s="2" t="s">
        <v>2180</v>
      </c>
      <c r="AL1318" s="3">
        <f>IF(HAVERD!H1322="",AL1317,AVERAGE(HAVERD!H1322:Q1322))</f>
        <v>115.104</v>
      </c>
      <c r="AM1318" s="3">
        <f t="shared" si="79"/>
        <v>112.89158064516131</v>
      </c>
      <c r="AV1318" s="3">
        <f t="shared" si="80"/>
        <v>112.89158064516131</v>
      </c>
    </row>
    <row r="1319" spans="12:48" x14ac:dyDescent="0.35">
      <c r="L1319" s="2">
        <f t="shared" si="82"/>
        <v>45673</v>
      </c>
      <c r="M1319" s="5">
        <f>HAVERD!BA1323/HAVERD!BB1323</f>
        <v>67.339599509603602</v>
      </c>
      <c r="AJ1319" s="2">
        <f t="shared" si="81"/>
        <v>45673</v>
      </c>
      <c r="AK1319" s="2" t="s">
        <v>2180</v>
      </c>
      <c r="AL1319" s="3">
        <f>IF(HAVERD!H1323="",AL1318,AVERAGE(HAVERD!H1323:Q1323))</f>
        <v>114.26500000000001</v>
      </c>
      <c r="AM1319" s="3">
        <f t="shared" si="79"/>
        <v>112.89158064516131</v>
      </c>
      <c r="AV1319" s="3">
        <f t="shared" si="80"/>
        <v>112.89158064516131</v>
      </c>
    </row>
    <row r="1320" spans="12:48" x14ac:dyDescent="0.35">
      <c r="L1320" s="2">
        <f t="shared" si="82"/>
        <v>45674</v>
      </c>
      <c r="M1320" s="5">
        <f>HAVERD!BA1324/HAVERD!BB1324</f>
        <v>68.060337760288576</v>
      </c>
      <c r="AJ1320" s="2">
        <f t="shared" si="81"/>
        <v>45674</v>
      </c>
      <c r="AK1320" s="2" t="s">
        <v>2180</v>
      </c>
      <c r="AL1320" s="3">
        <f>IF(HAVERD!H1324="",AL1319,AVERAGE(HAVERD!H1324:Q1324))</f>
        <v>116.31599999999999</v>
      </c>
      <c r="AM1320" s="3">
        <f t="shared" si="79"/>
        <v>112.89158064516131</v>
      </c>
      <c r="AV1320" s="3">
        <f t="shared" si="80"/>
        <v>112.89158064516131</v>
      </c>
    </row>
    <row r="1321" spans="12:48" x14ac:dyDescent="0.35">
      <c r="L1321" s="2">
        <f t="shared" si="82"/>
        <v>45677</v>
      </c>
      <c r="M1321" s="5">
        <f>HAVERD!BA1325/HAVERD!BB1325</f>
        <v>66.444317904498504</v>
      </c>
      <c r="AJ1321" s="2">
        <f t="shared" si="81"/>
        <v>45677</v>
      </c>
      <c r="AK1321" s="2" t="s">
        <v>2180</v>
      </c>
      <c r="AL1321" s="3">
        <f>IF(HAVERD!H1325="",AL1320,AVERAGE(HAVERD!H1325:Q1325))</f>
        <v>117.58400000000002</v>
      </c>
      <c r="AM1321" s="3">
        <f t="shared" si="79"/>
        <v>112.89158064516131</v>
      </c>
      <c r="AV1321" s="3">
        <f t="shared" si="80"/>
        <v>112.89158064516131</v>
      </c>
    </row>
    <row r="1322" spans="12:48" x14ac:dyDescent="0.35">
      <c r="L1322" s="2">
        <f t="shared" si="82"/>
        <v>45678</v>
      </c>
      <c r="M1322" s="5">
        <f>HAVERD!BA1326/HAVERD!BB1326</f>
        <v>65.509391007398975</v>
      </c>
      <c r="AJ1322" s="2">
        <f t="shared" si="81"/>
        <v>45678</v>
      </c>
      <c r="AK1322" s="2" t="s">
        <v>2180</v>
      </c>
      <c r="AL1322" s="3">
        <f>IF(HAVERD!H1326="",AL1321,AVERAGE(HAVERD!H1326:Q1326))</f>
        <v>120.17699999999998</v>
      </c>
      <c r="AM1322" s="3">
        <f t="shared" si="79"/>
        <v>112.89158064516131</v>
      </c>
      <c r="AV1322" s="3">
        <f t="shared" si="80"/>
        <v>112.89158064516131</v>
      </c>
    </row>
    <row r="1323" spans="12:48" x14ac:dyDescent="0.35">
      <c r="L1323" s="2">
        <f t="shared" si="82"/>
        <v>45679</v>
      </c>
      <c r="M1323" s="5">
        <f>HAVERD!BA1327/HAVERD!BB1327</f>
        <v>64.945608053255398</v>
      </c>
      <c r="AJ1323" s="2">
        <f t="shared" si="81"/>
        <v>45679</v>
      </c>
      <c r="AK1323" s="2" t="s">
        <v>2180</v>
      </c>
      <c r="AL1323" s="3">
        <f>IF(HAVERD!H1327="",AL1322,AVERAGE(HAVERD!H1327:Q1327))</f>
        <v>116.68999999999998</v>
      </c>
      <c r="AM1323" s="3">
        <f t="shared" si="79"/>
        <v>112.89158064516131</v>
      </c>
      <c r="AV1323" s="3">
        <f t="shared" si="80"/>
        <v>112.89158064516131</v>
      </c>
    </row>
    <row r="1324" spans="12:48" x14ac:dyDescent="0.35">
      <c r="L1324" s="2">
        <f t="shared" si="82"/>
        <v>45680</v>
      </c>
      <c r="M1324" s="5">
        <f>HAVERD!BA1328/HAVERD!BB1328</f>
        <v>63.794222654982157</v>
      </c>
      <c r="AJ1324" s="2">
        <f t="shared" si="81"/>
        <v>45680</v>
      </c>
      <c r="AK1324" s="2" t="s">
        <v>2180</v>
      </c>
      <c r="AL1324" s="3">
        <f>IF(HAVERD!H1328="",AL1323,AVERAGE(HAVERD!H1328:Q1328))</f>
        <v>117.252</v>
      </c>
      <c r="AM1324" s="3">
        <f t="shared" si="79"/>
        <v>112.89158064516131</v>
      </c>
      <c r="AV1324" s="3">
        <f t="shared" si="80"/>
        <v>112.89158064516131</v>
      </c>
    </row>
    <row r="1325" spans="12:48" x14ac:dyDescent="0.35">
      <c r="L1325" s="2">
        <f t="shared" si="82"/>
        <v>45681</v>
      </c>
      <c r="M1325" s="5">
        <f>HAVERD!BA1329/HAVERD!BB1329</f>
        <v>63.048702338993913</v>
      </c>
      <c r="AJ1325" s="2">
        <f t="shared" si="81"/>
        <v>45681</v>
      </c>
      <c r="AK1325" s="2" t="s">
        <v>2180</v>
      </c>
      <c r="AL1325" s="3">
        <f>IF(HAVERD!H1329="",AL1324,AVERAGE(HAVERD!H1329:Q1329))</f>
        <v>117.977</v>
      </c>
      <c r="AM1325" s="3">
        <f t="shared" si="79"/>
        <v>112.89158064516131</v>
      </c>
      <c r="AV1325" s="3">
        <f t="shared" si="80"/>
        <v>112.89158064516131</v>
      </c>
    </row>
    <row r="1326" spans="12:48" x14ac:dyDescent="0.35">
      <c r="L1326" s="2">
        <f t="shared" si="82"/>
        <v>45684</v>
      </c>
      <c r="M1326" s="5">
        <f>HAVERD!BA1330/HAVERD!BB1330</f>
        <v>61.97386354525775</v>
      </c>
      <c r="AJ1326" s="2">
        <f t="shared" si="81"/>
        <v>45684</v>
      </c>
      <c r="AK1326" s="2" t="s">
        <v>2180</v>
      </c>
      <c r="AL1326" s="3">
        <f>IF(HAVERD!H1330="",AL1325,AVERAGE(HAVERD!H1330:Q1330))</f>
        <v>114.548</v>
      </c>
      <c r="AM1326" s="3">
        <f t="shared" si="79"/>
        <v>112.89158064516131</v>
      </c>
      <c r="AV1326" s="3">
        <f t="shared" si="80"/>
        <v>112.89158064516131</v>
      </c>
    </row>
    <row r="1327" spans="12:48" x14ac:dyDescent="0.35">
      <c r="L1327" s="2">
        <f t="shared" si="82"/>
        <v>45685</v>
      </c>
      <c r="M1327" s="5">
        <f>HAVERD!BA1331/HAVERD!BB1331</f>
        <v>62.749356499356502</v>
      </c>
      <c r="AJ1327" s="2">
        <f t="shared" si="81"/>
        <v>45685</v>
      </c>
      <c r="AK1327" s="2" t="s">
        <v>2180</v>
      </c>
      <c r="AL1327" s="3">
        <f>IF(HAVERD!H1331="",AL1326,AVERAGE(HAVERD!H1331:Q1331))</f>
        <v>114.61199999999999</v>
      </c>
      <c r="AM1327" s="3">
        <f t="shared" si="79"/>
        <v>112.89158064516131</v>
      </c>
      <c r="AV1327" s="3">
        <f t="shared" si="80"/>
        <v>112.89158064516131</v>
      </c>
    </row>
    <row r="1328" spans="12:48" x14ac:dyDescent="0.35">
      <c r="L1328" s="2">
        <f t="shared" si="82"/>
        <v>45686</v>
      </c>
      <c r="M1328" s="5">
        <f>HAVERD!BA1332/HAVERD!BB1332</f>
        <v>61.94305935338587</v>
      </c>
      <c r="AJ1328" s="2">
        <f t="shared" si="81"/>
        <v>45686</v>
      </c>
      <c r="AK1328" s="2" t="s">
        <v>2180</v>
      </c>
      <c r="AL1328" s="3">
        <f>IF(HAVERD!H1332="",AL1327,AVERAGE(HAVERD!H1332:Q1332))</f>
        <v>119.574</v>
      </c>
      <c r="AM1328" s="3">
        <f t="shared" si="79"/>
        <v>112.89158064516131</v>
      </c>
      <c r="AV1328" s="3">
        <f t="shared" si="80"/>
        <v>112.89158064516131</v>
      </c>
    </row>
    <row r="1329" spans="12:49" x14ac:dyDescent="0.35">
      <c r="L1329" s="2">
        <f t="shared" si="82"/>
        <v>45687</v>
      </c>
      <c r="M1329" s="5">
        <f>HAVERD!BA1333/HAVERD!BB1333</f>
        <v>62.099943851768671</v>
      </c>
      <c r="AJ1329" s="2">
        <f t="shared" si="81"/>
        <v>45687</v>
      </c>
      <c r="AK1329" s="2" t="s">
        <v>2180</v>
      </c>
      <c r="AL1329" s="3">
        <f>IF(HAVERD!H1333="",AL1328,AVERAGE(HAVERD!H1333:Q1333))</f>
        <v>118.646</v>
      </c>
      <c r="AM1329" s="3">
        <f t="shared" si="79"/>
        <v>112.89158064516131</v>
      </c>
      <c r="AV1329" s="3">
        <f t="shared" si="80"/>
        <v>112.89158064516131</v>
      </c>
    </row>
    <row r="1330" spans="12:49" x14ac:dyDescent="0.35">
      <c r="L1330" s="2">
        <f t="shared" si="82"/>
        <v>45688</v>
      </c>
      <c r="M1330" s="5">
        <f>HAVERD!BA1334/HAVERD!BB1334</f>
        <v>62.055367777241273</v>
      </c>
      <c r="AJ1330" s="2">
        <f t="shared" si="81"/>
        <v>45688</v>
      </c>
      <c r="AK1330" s="2" t="s">
        <v>2180</v>
      </c>
      <c r="AL1330" s="3">
        <f>IF(HAVERD!H1334="",AL1329,AVERAGE(HAVERD!H1334:Q1334))</f>
        <v>120.364</v>
      </c>
      <c r="AM1330" s="3">
        <f t="shared" si="79"/>
        <v>112.89158064516131</v>
      </c>
      <c r="AV1330" s="3">
        <f t="shared" si="80"/>
        <v>112.89158064516131</v>
      </c>
    </row>
    <row r="1331" spans="12:49" x14ac:dyDescent="0.35">
      <c r="L1331" s="2">
        <f t="shared" si="82"/>
        <v>45691</v>
      </c>
      <c r="M1331" s="5">
        <f>HAVERD!BA1335/HAVERD!BB1335</f>
        <v>61.625845955526898</v>
      </c>
      <c r="AJ1331" s="2">
        <f t="shared" si="81"/>
        <v>45691</v>
      </c>
      <c r="AK1331" s="2" t="s">
        <v>2181</v>
      </c>
      <c r="AL1331" s="3">
        <f>IF(HAVERD!H1335="",AL1330,AVERAGE(HAVERD!H1335:Q1335))</f>
        <v>120.22799999999999</v>
      </c>
      <c r="AM1331" s="3">
        <f t="shared" si="79"/>
        <v>112.89158064516131</v>
      </c>
      <c r="AV1331" s="3">
        <f t="shared" si="80"/>
        <v>112.89158064516131</v>
      </c>
    </row>
    <row r="1332" spans="12:49" x14ac:dyDescent="0.35">
      <c r="L1332" s="2">
        <f t="shared" si="82"/>
        <v>45692</v>
      </c>
      <c r="M1332" s="5">
        <f>HAVERD!BA1336/HAVERD!BB1336</f>
        <v>61.376933557746248</v>
      </c>
      <c r="AJ1332" s="2">
        <f t="shared" si="81"/>
        <v>45692</v>
      </c>
      <c r="AK1332" s="2" t="s">
        <v>2181</v>
      </c>
      <c r="AL1332" s="3">
        <f>IF(HAVERD!H1336="",AL1331,AVERAGE(HAVERD!H1336:Q1336))</f>
        <v>118.54099999999998</v>
      </c>
      <c r="AM1332" s="3">
        <f t="shared" si="79"/>
        <v>112.89158064516131</v>
      </c>
      <c r="AV1332" s="3">
        <f t="shared" si="80"/>
        <v>112.89158064516131</v>
      </c>
    </row>
    <row r="1333" spans="12:49" x14ac:dyDescent="0.35">
      <c r="L1333" s="2">
        <f t="shared" si="82"/>
        <v>45693</v>
      </c>
      <c r="M1333" s="5">
        <f>HAVERD!BA1337/HAVERD!BB1337</f>
        <v>59.682057836715124</v>
      </c>
      <c r="AJ1333" s="2">
        <f t="shared" si="81"/>
        <v>45693</v>
      </c>
      <c r="AK1333" s="2" t="s">
        <v>2181</v>
      </c>
      <c r="AL1333" s="3">
        <f>IF(HAVERD!H1337="",AL1332,AVERAGE(HAVERD!H1337:Q1337))</f>
        <v>121.91199999999999</v>
      </c>
      <c r="AM1333" s="3">
        <f t="shared" si="79"/>
        <v>112.89158064516131</v>
      </c>
      <c r="AV1333" s="3">
        <f t="shared" si="80"/>
        <v>112.89158064516131</v>
      </c>
    </row>
    <row r="1334" spans="12:49" x14ac:dyDescent="0.35">
      <c r="L1334" s="2">
        <f t="shared" si="82"/>
        <v>45694</v>
      </c>
      <c r="M1334" s="5">
        <f>HAVERD!BA1338/HAVERD!BB1338</f>
        <v>60.045110359271796</v>
      </c>
      <c r="AJ1334" s="2">
        <f t="shared" si="81"/>
        <v>45694</v>
      </c>
      <c r="AK1334" s="2" t="s">
        <v>2181</v>
      </c>
      <c r="AL1334" s="3">
        <f>IF(HAVERD!H1338="",AL1333,AVERAGE(HAVERD!H1338:Q1338))</f>
        <v>124.45599999999997</v>
      </c>
      <c r="AM1334" s="3">
        <f t="shared" si="79"/>
        <v>112.89158064516131</v>
      </c>
      <c r="AV1334" s="3">
        <f t="shared" si="80"/>
        <v>112.89158064516131</v>
      </c>
    </row>
    <row r="1335" spans="12:49" x14ac:dyDescent="0.35">
      <c r="L1335" s="2">
        <f>+L1330+7</f>
        <v>45695</v>
      </c>
      <c r="M1335" s="5">
        <f>HAVERD!BA1339/HAVERD!BB1339</f>
        <v>60.109465550547334</v>
      </c>
      <c r="AJ1335" s="2">
        <f t="shared" si="81"/>
        <v>45695</v>
      </c>
      <c r="AK1335" s="2" t="s">
        <v>2181</v>
      </c>
      <c r="AL1335" s="3">
        <f>IF(HAVERD!H1339="",AL1334,AVERAGE(HAVERD!H1339:Q1339))</f>
        <v>126.99600000000002</v>
      </c>
      <c r="AM1335" s="3">
        <f t="shared" si="79"/>
        <v>112.89158064516131</v>
      </c>
      <c r="AV1335" s="3">
        <f t="shared" si="80"/>
        <v>112.89158064516131</v>
      </c>
    </row>
    <row r="1336" spans="12:49" x14ac:dyDescent="0.35">
      <c r="L1336" s="2">
        <f t="shared" ref="L1336:L1371" si="83">+L1331+7</f>
        <v>45698</v>
      </c>
      <c r="M1336" s="5">
        <f>HAVERD!BA1340/HAVERD!BB1340</f>
        <v>61.525423728813557</v>
      </c>
      <c r="AJ1336" s="2">
        <f t="shared" si="81"/>
        <v>45698</v>
      </c>
      <c r="AK1336" s="2" t="s">
        <v>2181</v>
      </c>
      <c r="AL1336" s="3">
        <f>IF(HAVERD!H1340="",AL1335,AVERAGE(HAVERD!H1340:Q1340))</f>
        <v>130.74599999999998</v>
      </c>
      <c r="AM1336" s="3">
        <f t="shared" si="79"/>
        <v>112.89158064516131</v>
      </c>
      <c r="AV1336" s="3">
        <f t="shared" si="80"/>
        <v>112.89158064516131</v>
      </c>
    </row>
    <row r="1337" spans="12:49" x14ac:dyDescent="0.35">
      <c r="L1337" s="2">
        <f t="shared" si="83"/>
        <v>45699</v>
      </c>
      <c r="M1337" s="5">
        <f>HAVERD!BA1341/HAVERD!BB1341</f>
        <v>62.590681928099315</v>
      </c>
      <c r="AJ1337" s="2">
        <f t="shared" si="81"/>
        <v>45699</v>
      </c>
      <c r="AK1337" s="2" t="s">
        <v>2181</v>
      </c>
      <c r="AL1337" s="3">
        <f>IF(HAVERD!H1341="",AL1336,AVERAGE(HAVERD!H1341:Q1341))</f>
        <v>131.59399999999999</v>
      </c>
      <c r="AM1337" s="3">
        <f t="shared" si="79"/>
        <v>112.89158064516131</v>
      </c>
      <c r="AV1337" s="3">
        <f t="shared" si="80"/>
        <v>112.89158064516131</v>
      </c>
    </row>
    <row r="1338" spans="12:49" x14ac:dyDescent="0.35">
      <c r="L1338" s="2">
        <f t="shared" si="83"/>
        <v>45700</v>
      </c>
      <c r="M1338" s="5">
        <f>HAVERD!BA1342/HAVERD!BB1342</f>
        <v>60.624095222776255</v>
      </c>
      <c r="AJ1338" s="2">
        <f t="shared" si="81"/>
        <v>45700</v>
      </c>
      <c r="AK1338" s="2" t="s">
        <v>2181</v>
      </c>
      <c r="AL1338" s="3">
        <f>IF(HAVERD!H1342="",AL1337,AVERAGE(HAVERD!H1342:Q1342))</f>
        <v>130.911</v>
      </c>
      <c r="AM1338" s="3">
        <f t="shared" si="79"/>
        <v>112.89158064516131</v>
      </c>
      <c r="AV1338" s="3">
        <f t="shared" si="80"/>
        <v>112.89158064516131</v>
      </c>
    </row>
    <row r="1339" spans="12:49" x14ac:dyDescent="0.35">
      <c r="L1339" s="2">
        <f t="shared" si="83"/>
        <v>45701</v>
      </c>
      <c r="M1339" s="5">
        <f>HAVERD!BA1343/HAVERD!BB1343</f>
        <v>60.376906492054623</v>
      </c>
      <c r="AJ1339" s="2">
        <f t="shared" si="81"/>
        <v>45701</v>
      </c>
      <c r="AK1339" s="2" t="s">
        <v>2181</v>
      </c>
      <c r="AL1339" s="3">
        <f>IF(HAVERD!H1343="",AL1338,AVERAGE(HAVERD!H1343:Q1343))</f>
        <v>121.55600000000001</v>
      </c>
      <c r="AM1339" s="3">
        <f t="shared" si="79"/>
        <v>112.89158064516131</v>
      </c>
      <c r="AV1339" s="3">
        <f t="shared" si="80"/>
        <v>112.89158064516131</v>
      </c>
    </row>
    <row r="1340" spans="12:49" x14ac:dyDescent="0.35">
      <c r="L1340" s="2">
        <f t="shared" si="83"/>
        <v>45702</v>
      </c>
      <c r="M1340" s="37">
        <f>HAVERD!BA1344/HAVERD!BB1344</f>
        <v>59.589475352670782</v>
      </c>
      <c r="AJ1340" s="2">
        <f t="shared" si="81"/>
        <v>45702</v>
      </c>
      <c r="AK1340" s="2" t="s">
        <v>2181</v>
      </c>
      <c r="AL1340" s="36">
        <f>IF(HAVERD!H1344="",AL1339,AVERAGE(HAVERD!H1344:Q1344))</f>
        <v>119.61800000000001</v>
      </c>
    </row>
    <row r="1341" spans="12:49" x14ac:dyDescent="0.35">
      <c r="L1341" s="2">
        <f t="shared" si="83"/>
        <v>45705</v>
      </c>
      <c r="M1341" s="37">
        <f>HAVERD!BA1345/HAVERD!BB1345</f>
        <v>60.13325930038868</v>
      </c>
      <c r="AI1341" t="s">
        <v>2169</v>
      </c>
      <c r="AJ1341" s="2">
        <f t="shared" si="81"/>
        <v>45705</v>
      </c>
      <c r="AK1341" s="2" t="s">
        <v>2181</v>
      </c>
      <c r="AL1341" s="36">
        <f>IF(HAVERD!H1345="",AL1340,AVERAGE(HAVERD!H1345:Q1345))</f>
        <v>113.17</v>
      </c>
      <c r="AM1341" s="3">
        <f>AVERAGE($AL$1341:$AL$1404)</f>
        <v>106.80499999999999</v>
      </c>
      <c r="AW1341" s="36">
        <f>AVERAGE($AM$1341:$AM$1404)</f>
        <v>106.80499999999995</v>
      </c>
    </row>
    <row r="1342" spans="12:49" x14ac:dyDescent="0.35">
      <c r="L1342" s="2">
        <f t="shared" si="83"/>
        <v>45706</v>
      </c>
      <c r="M1342" s="37">
        <f>HAVERD!BA1346/HAVERD!BB1346</f>
        <v>60.610384462940935</v>
      </c>
      <c r="AJ1342" s="2">
        <f t="shared" si="81"/>
        <v>45706</v>
      </c>
      <c r="AK1342" s="2" t="s">
        <v>2181</v>
      </c>
      <c r="AL1342" s="36">
        <f>IF(HAVERD!H1346="",AL1341,AVERAGE(HAVERD!H1346:Q1346))</f>
        <v>115.41000000000001</v>
      </c>
      <c r="AM1342" s="3">
        <f t="shared" ref="AM1342:AM1371" si="84">AVERAGE($AL$1341:$AL$1404)</f>
        <v>106.80499999999999</v>
      </c>
      <c r="AW1342" s="36">
        <f t="shared" ref="AW1342:AW1404" si="85">AVERAGE($AM$1341:$AM$1404)</f>
        <v>106.80499999999995</v>
      </c>
    </row>
    <row r="1343" spans="12:49" x14ac:dyDescent="0.35">
      <c r="L1343" s="2">
        <f t="shared" si="83"/>
        <v>45707</v>
      </c>
      <c r="M1343" s="37">
        <f>HAVERD!BA1347/HAVERD!BB1347</f>
        <v>60.635424940428919</v>
      </c>
      <c r="AJ1343" s="2">
        <f t="shared" si="81"/>
        <v>45707</v>
      </c>
      <c r="AK1343" s="2" t="s">
        <v>2181</v>
      </c>
      <c r="AL1343" s="36">
        <f>IF(HAVERD!H1347="",AL1342,AVERAGE(HAVERD!H1347:Q1347))</f>
        <v>113.4</v>
      </c>
      <c r="AM1343" s="3">
        <f t="shared" si="84"/>
        <v>106.80499999999999</v>
      </c>
      <c r="AW1343" s="36">
        <f t="shared" si="85"/>
        <v>106.80499999999995</v>
      </c>
    </row>
    <row r="1344" spans="12:49" x14ac:dyDescent="0.35">
      <c r="L1344" s="2">
        <f t="shared" si="83"/>
        <v>45708</v>
      </c>
      <c r="M1344" s="37">
        <f>HAVERD!BA1348/HAVERD!BB1348</f>
        <v>60.873348627482002</v>
      </c>
      <c r="AJ1344" s="2">
        <f t="shared" si="81"/>
        <v>45708</v>
      </c>
      <c r="AK1344" s="2" t="s">
        <v>2181</v>
      </c>
      <c r="AL1344" s="36">
        <f>IF(HAVERD!H1348="",AL1343,AVERAGE(HAVERD!H1348:Q1348))</f>
        <v>112.23200000000001</v>
      </c>
      <c r="AM1344" s="3">
        <f t="shared" si="84"/>
        <v>106.80499999999999</v>
      </c>
      <c r="AW1344" s="36">
        <f t="shared" si="85"/>
        <v>106.80499999999995</v>
      </c>
    </row>
    <row r="1345" spans="12:49" x14ac:dyDescent="0.35">
      <c r="L1345" s="2">
        <f t="shared" si="83"/>
        <v>45709</v>
      </c>
      <c r="M1345" s="37">
        <f>HAVERD!BA1349/HAVERD!BB1349</f>
        <v>59.249881310333912</v>
      </c>
      <c r="AJ1345" s="2">
        <f t="shared" si="81"/>
        <v>45709</v>
      </c>
      <c r="AK1345" s="2" t="s">
        <v>2181</v>
      </c>
      <c r="AL1345" s="36">
        <f>IF(HAVERD!H1349="",AL1344,AVERAGE(HAVERD!H1349:Q1349))</f>
        <v>112.17</v>
      </c>
      <c r="AM1345" s="3">
        <f t="shared" si="84"/>
        <v>106.80499999999999</v>
      </c>
      <c r="AW1345" s="36">
        <f t="shared" si="85"/>
        <v>106.80499999999995</v>
      </c>
    </row>
    <row r="1346" spans="12:49" x14ac:dyDescent="0.35">
      <c r="L1346" s="2">
        <f t="shared" si="83"/>
        <v>45712</v>
      </c>
      <c r="M1346" s="37">
        <f>HAVERD!BA1350/HAVERD!BB1350</f>
        <v>59.337611916646857</v>
      </c>
      <c r="AJ1346" s="2">
        <f t="shared" si="81"/>
        <v>45712</v>
      </c>
      <c r="AK1346" s="2" t="s">
        <v>2181</v>
      </c>
      <c r="AL1346" s="36">
        <f>IF(HAVERD!H1350="",AL1345,AVERAGE(HAVERD!H1350:Q1350))</f>
        <v>111.947</v>
      </c>
      <c r="AM1346" s="3">
        <f t="shared" si="84"/>
        <v>106.80499999999999</v>
      </c>
      <c r="AW1346" s="36">
        <f t="shared" si="85"/>
        <v>106.80499999999995</v>
      </c>
    </row>
    <row r="1347" spans="12:49" x14ac:dyDescent="0.35">
      <c r="L1347" s="2">
        <f t="shared" si="83"/>
        <v>45713</v>
      </c>
      <c r="M1347" s="37">
        <f>HAVERD!BA1351/HAVERD!BB1351</f>
        <v>57.771631766100349</v>
      </c>
      <c r="AJ1347" s="2">
        <f t="shared" si="81"/>
        <v>45713</v>
      </c>
      <c r="AK1347" s="2" t="s">
        <v>2181</v>
      </c>
      <c r="AL1347" s="36">
        <f>IF(HAVERD!H1351="",AL1346,AVERAGE(HAVERD!H1351:Q1351))</f>
        <v>106.21299999999999</v>
      </c>
      <c r="AM1347" s="3">
        <f t="shared" si="84"/>
        <v>106.80499999999999</v>
      </c>
      <c r="AW1347" s="36">
        <f t="shared" si="85"/>
        <v>106.80499999999995</v>
      </c>
    </row>
    <row r="1348" spans="12:49" x14ac:dyDescent="0.35">
      <c r="L1348" s="2">
        <f t="shared" si="83"/>
        <v>45714</v>
      </c>
      <c r="M1348" s="37">
        <f>HAVERD!BA1352/HAVERD!BB1352</f>
        <v>57.888932650649856</v>
      </c>
      <c r="AJ1348" s="2">
        <f t="shared" si="81"/>
        <v>45714</v>
      </c>
      <c r="AK1348" s="2" t="s">
        <v>2181</v>
      </c>
      <c r="AL1348" s="36">
        <f>IF(HAVERD!H1352="",AL1347,AVERAGE(HAVERD!H1352:Q1352))</f>
        <v>101.059</v>
      </c>
      <c r="AM1348" s="3">
        <f t="shared" si="84"/>
        <v>106.80499999999999</v>
      </c>
      <c r="AW1348" s="36">
        <f t="shared" si="85"/>
        <v>106.80499999999995</v>
      </c>
    </row>
    <row r="1349" spans="12:49" x14ac:dyDescent="0.35">
      <c r="L1349" s="2">
        <f t="shared" si="83"/>
        <v>45715</v>
      </c>
      <c r="M1349" s="37">
        <f>HAVERD!BA1353/HAVERD!BB1353</f>
        <v>59.399746594868553</v>
      </c>
      <c r="AJ1349" s="2">
        <f t="shared" si="81"/>
        <v>45715</v>
      </c>
      <c r="AK1349" s="2" t="s">
        <v>2181</v>
      </c>
      <c r="AL1349" s="36">
        <f>IF(HAVERD!H1353="",AL1348,AVERAGE(HAVERD!H1353:Q1353))</f>
        <v>107.69500000000001</v>
      </c>
      <c r="AM1349" s="3">
        <f t="shared" si="84"/>
        <v>106.80499999999999</v>
      </c>
      <c r="AW1349" s="36">
        <f t="shared" si="85"/>
        <v>106.80499999999995</v>
      </c>
    </row>
    <row r="1350" spans="12:49" x14ac:dyDescent="0.35">
      <c r="L1350" s="2">
        <f t="shared" si="83"/>
        <v>45716</v>
      </c>
      <c r="M1350" s="37">
        <f>HAVERD!BA1354/HAVERD!BB1354</f>
        <v>59.371029224904703</v>
      </c>
      <c r="AJ1350" s="2">
        <f t="shared" si="81"/>
        <v>45716</v>
      </c>
      <c r="AK1350" s="2" t="s">
        <v>2181</v>
      </c>
      <c r="AL1350" s="36">
        <f>IF(HAVERD!H1354="",AL1349,AVERAGE(HAVERD!H1354:Q1354))</f>
        <v>104.13800000000001</v>
      </c>
      <c r="AM1350" s="3">
        <f t="shared" si="84"/>
        <v>106.80499999999999</v>
      </c>
      <c r="AW1350" s="36">
        <f t="shared" si="85"/>
        <v>106.80499999999995</v>
      </c>
    </row>
    <row r="1351" spans="12:49" x14ac:dyDescent="0.35">
      <c r="L1351" s="2">
        <f t="shared" si="83"/>
        <v>45719</v>
      </c>
      <c r="M1351" s="37">
        <f>HAVERD!BA1355/HAVERD!BB1355</f>
        <v>57.36672178911725</v>
      </c>
      <c r="AJ1351" s="2">
        <f t="shared" si="81"/>
        <v>45719</v>
      </c>
      <c r="AK1351" s="2" t="s">
        <v>2182</v>
      </c>
      <c r="AL1351" s="36">
        <f>IF(HAVERD!H1355="",AL1350,AVERAGE(HAVERD!H1355:Q1355))</f>
        <v>105.68499999999999</v>
      </c>
      <c r="AM1351" s="3">
        <f t="shared" si="84"/>
        <v>106.80499999999999</v>
      </c>
      <c r="AW1351" s="36">
        <f t="shared" si="85"/>
        <v>106.80499999999995</v>
      </c>
    </row>
    <row r="1352" spans="12:49" x14ac:dyDescent="0.35">
      <c r="L1352" s="2">
        <f t="shared" si="83"/>
        <v>45720</v>
      </c>
      <c r="M1352" s="37">
        <f>HAVERD!BA1356/HAVERD!BB1356</f>
        <v>56.865366467442591</v>
      </c>
      <c r="AJ1352" s="2">
        <f t="shared" si="81"/>
        <v>45720</v>
      </c>
      <c r="AK1352" s="2" t="s">
        <v>2182</v>
      </c>
      <c r="AL1352" s="36">
        <f>IF(HAVERD!H1356="",AL1351,AVERAGE(HAVERD!H1356:Q1356))</f>
        <v>101.79300000000001</v>
      </c>
      <c r="AM1352" s="3">
        <f t="shared" si="84"/>
        <v>106.80499999999999</v>
      </c>
      <c r="AW1352" s="36">
        <f t="shared" si="85"/>
        <v>106.80499999999995</v>
      </c>
    </row>
    <row r="1353" spans="12:49" x14ac:dyDescent="0.35">
      <c r="L1353" s="2">
        <f t="shared" si="83"/>
        <v>45721</v>
      </c>
      <c r="M1353" s="37">
        <f>HAVERD!BA1357/HAVERD!BB1357</f>
        <v>55.113459745104137</v>
      </c>
      <c r="AJ1353" s="2">
        <f t="shared" ref="AJ1353:AJ1371" si="86">+AJ1348+7</f>
        <v>45721</v>
      </c>
      <c r="AK1353" s="2" t="s">
        <v>2182</v>
      </c>
      <c r="AL1353" s="36">
        <f>IF(HAVERD!H1357="",AL1352,AVERAGE(HAVERD!H1357:Q1357))</f>
        <v>98.227000000000004</v>
      </c>
      <c r="AM1353" s="3">
        <f t="shared" si="84"/>
        <v>106.80499999999999</v>
      </c>
      <c r="AW1353" s="36">
        <f t="shared" si="85"/>
        <v>106.80499999999995</v>
      </c>
    </row>
    <row r="1354" spans="12:49" x14ac:dyDescent="0.35">
      <c r="L1354" s="2">
        <f t="shared" si="83"/>
        <v>45722</v>
      </c>
      <c r="M1354" s="37"/>
      <c r="AJ1354" s="2">
        <f t="shared" si="86"/>
        <v>45722</v>
      </c>
      <c r="AK1354" s="2" t="s">
        <v>2182</v>
      </c>
      <c r="AL1354" s="36">
        <f>IF(HAVERD!H1358="",AL1353,AVERAGE(HAVERD!H1358:Q1358))</f>
        <v>92.131</v>
      </c>
      <c r="AM1354" s="3">
        <f t="shared" si="84"/>
        <v>106.80499999999999</v>
      </c>
      <c r="AW1354" s="36">
        <f t="shared" si="85"/>
        <v>106.80499999999995</v>
      </c>
    </row>
    <row r="1355" spans="12:49" x14ac:dyDescent="0.35">
      <c r="L1355" s="2">
        <f t="shared" si="83"/>
        <v>45723</v>
      </c>
      <c r="M1355" s="37"/>
      <c r="AJ1355" s="2">
        <f t="shared" si="86"/>
        <v>45723</v>
      </c>
      <c r="AK1355" s="2" t="s">
        <v>2182</v>
      </c>
      <c r="AL1355" s="36"/>
      <c r="AM1355" s="3">
        <f t="shared" si="84"/>
        <v>106.80499999999999</v>
      </c>
      <c r="AW1355" s="36">
        <f t="shared" si="85"/>
        <v>106.80499999999995</v>
      </c>
    </row>
    <row r="1356" spans="12:49" x14ac:dyDescent="0.35">
      <c r="L1356" s="2">
        <f t="shared" si="83"/>
        <v>45726</v>
      </c>
      <c r="M1356" s="37"/>
      <c r="AJ1356" s="2">
        <f t="shared" si="86"/>
        <v>45726</v>
      </c>
      <c r="AK1356" s="2" t="s">
        <v>2182</v>
      </c>
      <c r="AL1356" s="36"/>
      <c r="AM1356" s="3">
        <f t="shared" si="84"/>
        <v>106.80499999999999</v>
      </c>
      <c r="AW1356" s="36">
        <f t="shared" si="85"/>
        <v>106.80499999999995</v>
      </c>
    </row>
    <row r="1357" spans="12:49" x14ac:dyDescent="0.35">
      <c r="L1357" s="2">
        <f t="shared" si="83"/>
        <v>45727</v>
      </c>
      <c r="M1357" s="37"/>
      <c r="AJ1357" s="2">
        <f t="shared" si="86"/>
        <v>45727</v>
      </c>
      <c r="AK1357" s="2" t="s">
        <v>2182</v>
      </c>
      <c r="AM1357" s="3">
        <f t="shared" si="84"/>
        <v>106.80499999999999</v>
      </c>
      <c r="AW1357" s="36">
        <f t="shared" si="85"/>
        <v>106.80499999999995</v>
      </c>
    </row>
    <row r="1358" spans="12:49" x14ac:dyDescent="0.35">
      <c r="L1358" s="2">
        <f t="shared" si="83"/>
        <v>45728</v>
      </c>
      <c r="M1358" s="37"/>
      <c r="AJ1358" s="2">
        <f t="shared" si="86"/>
        <v>45728</v>
      </c>
      <c r="AK1358" s="2" t="s">
        <v>2182</v>
      </c>
      <c r="AM1358" s="3">
        <f t="shared" si="84"/>
        <v>106.80499999999999</v>
      </c>
      <c r="AW1358" s="36">
        <f t="shared" si="85"/>
        <v>106.80499999999995</v>
      </c>
    </row>
    <row r="1359" spans="12:49" x14ac:dyDescent="0.35">
      <c r="L1359" s="2">
        <f t="shared" si="83"/>
        <v>45729</v>
      </c>
      <c r="M1359" s="37"/>
      <c r="AJ1359" s="2">
        <f t="shared" si="86"/>
        <v>45729</v>
      </c>
      <c r="AK1359" s="2" t="s">
        <v>2182</v>
      </c>
      <c r="AM1359" s="3">
        <f t="shared" si="84"/>
        <v>106.80499999999999</v>
      </c>
      <c r="AW1359" s="36">
        <f t="shared" si="85"/>
        <v>106.80499999999995</v>
      </c>
    </row>
    <row r="1360" spans="12:49" x14ac:dyDescent="0.35">
      <c r="L1360" s="2">
        <f t="shared" si="83"/>
        <v>45730</v>
      </c>
      <c r="M1360" s="37"/>
      <c r="AJ1360" s="2">
        <f t="shared" si="86"/>
        <v>45730</v>
      </c>
      <c r="AK1360" s="2" t="s">
        <v>2182</v>
      </c>
      <c r="AM1360" s="3">
        <f t="shared" si="84"/>
        <v>106.80499999999999</v>
      </c>
      <c r="AW1360" s="36">
        <f t="shared" si="85"/>
        <v>106.80499999999995</v>
      </c>
    </row>
    <row r="1361" spans="12:49" x14ac:dyDescent="0.35">
      <c r="L1361" s="2">
        <f t="shared" si="83"/>
        <v>45733</v>
      </c>
      <c r="M1361" s="37"/>
      <c r="AJ1361" s="2">
        <f t="shared" si="86"/>
        <v>45733</v>
      </c>
      <c r="AK1361" s="2" t="s">
        <v>2182</v>
      </c>
      <c r="AM1361" s="3">
        <f t="shared" si="84"/>
        <v>106.80499999999999</v>
      </c>
      <c r="AW1361" s="36">
        <f t="shared" si="85"/>
        <v>106.80499999999995</v>
      </c>
    </row>
    <row r="1362" spans="12:49" x14ac:dyDescent="0.35">
      <c r="L1362" s="2">
        <f t="shared" si="83"/>
        <v>45734</v>
      </c>
      <c r="M1362" s="37"/>
      <c r="AJ1362" s="2">
        <f t="shared" si="86"/>
        <v>45734</v>
      </c>
      <c r="AK1362" s="2" t="s">
        <v>2182</v>
      </c>
      <c r="AM1362" s="3">
        <f t="shared" si="84"/>
        <v>106.80499999999999</v>
      </c>
      <c r="AW1362" s="36">
        <f t="shared" si="85"/>
        <v>106.80499999999995</v>
      </c>
    </row>
    <row r="1363" spans="12:49" x14ac:dyDescent="0.35">
      <c r="L1363" s="2">
        <f t="shared" si="83"/>
        <v>45735</v>
      </c>
      <c r="M1363" s="37"/>
      <c r="AJ1363" s="2">
        <f t="shared" si="86"/>
        <v>45735</v>
      </c>
      <c r="AK1363" s="2" t="s">
        <v>2182</v>
      </c>
      <c r="AM1363" s="3">
        <f t="shared" si="84"/>
        <v>106.80499999999999</v>
      </c>
      <c r="AW1363" s="36">
        <f t="shared" si="85"/>
        <v>106.80499999999995</v>
      </c>
    </row>
    <row r="1364" spans="12:49" x14ac:dyDescent="0.35">
      <c r="L1364" s="2">
        <f t="shared" si="83"/>
        <v>45736</v>
      </c>
      <c r="M1364" s="37"/>
      <c r="AJ1364" s="2">
        <f t="shared" si="86"/>
        <v>45736</v>
      </c>
      <c r="AK1364" s="2" t="s">
        <v>2182</v>
      </c>
      <c r="AM1364" s="3">
        <f t="shared" si="84"/>
        <v>106.80499999999999</v>
      </c>
      <c r="AW1364" s="36">
        <f t="shared" si="85"/>
        <v>106.80499999999995</v>
      </c>
    </row>
    <row r="1365" spans="12:49" x14ac:dyDescent="0.35">
      <c r="L1365" s="2">
        <f t="shared" si="83"/>
        <v>45737</v>
      </c>
      <c r="M1365" s="37"/>
      <c r="AJ1365" s="2">
        <f t="shared" si="86"/>
        <v>45737</v>
      </c>
      <c r="AK1365" s="2" t="s">
        <v>2182</v>
      </c>
      <c r="AM1365" s="3">
        <f t="shared" si="84"/>
        <v>106.80499999999999</v>
      </c>
      <c r="AW1365" s="36">
        <f t="shared" si="85"/>
        <v>106.80499999999995</v>
      </c>
    </row>
    <row r="1366" spans="12:49" x14ac:dyDescent="0.35">
      <c r="L1366" s="2">
        <f t="shared" si="83"/>
        <v>45740</v>
      </c>
      <c r="M1366" s="37"/>
      <c r="AJ1366" s="2">
        <f t="shared" si="86"/>
        <v>45740</v>
      </c>
      <c r="AK1366" s="2" t="s">
        <v>2182</v>
      </c>
      <c r="AM1366" s="3">
        <f t="shared" si="84"/>
        <v>106.80499999999999</v>
      </c>
      <c r="AW1366" s="36">
        <f t="shared" si="85"/>
        <v>106.80499999999995</v>
      </c>
    </row>
    <row r="1367" spans="12:49" x14ac:dyDescent="0.35">
      <c r="L1367" s="2">
        <f t="shared" si="83"/>
        <v>45741</v>
      </c>
      <c r="M1367" s="37"/>
      <c r="AJ1367" s="2">
        <f t="shared" si="86"/>
        <v>45741</v>
      </c>
      <c r="AK1367" s="2" t="s">
        <v>2182</v>
      </c>
      <c r="AM1367" s="3">
        <f t="shared" si="84"/>
        <v>106.80499999999999</v>
      </c>
      <c r="AW1367" s="36">
        <f t="shared" si="85"/>
        <v>106.80499999999995</v>
      </c>
    </row>
    <row r="1368" spans="12:49" x14ac:dyDescent="0.35">
      <c r="L1368" s="2">
        <f t="shared" si="83"/>
        <v>45742</v>
      </c>
      <c r="M1368" s="37"/>
      <c r="AJ1368" s="2">
        <f t="shared" si="86"/>
        <v>45742</v>
      </c>
      <c r="AK1368" s="2" t="s">
        <v>2182</v>
      </c>
      <c r="AM1368" s="3">
        <f t="shared" si="84"/>
        <v>106.80499999999999</v>
      </c>
      <c r="AW1368" s="36">
        <f t="shared" si="85"/>
        <v>106.80499999999995</v>
      </c>
    </row>
    <row r="1369" spans="12:49" x14ac:dyDescent="0.35">
      <c r="L1369" s="2">
        <f t="shared" si="83"/>
        <v>45743</v>
      </c>
      <c r="M1369" s="37"/>
      <c r="AJ1369" s="2">
        <f t="shared" si="86"/>
        <v>45743</v>
      </c>
      <c r="AK1369" s="2" t="s">
        <v>2182</v>
      </c>
      <c r="AM1369" s="3">
        <f t="shared" si="84"/>
        <v>106.80499999999999</v>
      </c>
      <c r="AW1369" s="36">
        <f t="shared" si="85"/>
        <v>106.80499999999995</v>
      </c>
    </row>
    <row r="1370" spans="12:49" x14ac:dyDescent="0.35">
      <c r="L1370" s="2">
        <f t="shared" si="83"/>
        <v>45744</v>
      </c>
      <c r="M1370" s="37"/>
      <c r="AJ1370" s="2">
        <f t="shared" si="86"/>
        <v>45744</v>
      </c>
      <c r="AK1370" s="2" t="s">
        <v>2182</v>
      </c>
      <c r="AM1370" s="3">
        <f t="shared" si="84"/>
        <v>106.80499999999999</v>
      </c>
      <c r="AW1370" s="36">
        <f t="shared" si="85"/>
        <v>106.80499999999995</v>
      </c>
    </row>
    <row r="1371" spans="12:49" x14ac:dyDescent="0.35">
      <c r="L1371" s="2">
        <f t="shared" si="83"/>
        <v>45747</v>
      </c>
      <c r="M1371" s="37"/>
      <c r="AJ1371" s="2">
        <f t="shared" si="86"/>
        <v>45747</v>
      </c>
      <c r="AK1371" s="2" t="s">
        <v>2182</v>
      </c>
      <c r="AM1371" s="3">
        <f t="shared" si="84"/>
        <v>106.80499999999999</v>
      </c>
      <c r="AW1371" s="36">
        <f t="shared" si="85"/>
        <v>106.80499999999995</v>
      </c>
    </row>
    <row r="1372" spans="12:49" x14ac:dyDescent="0.35">
      <c r="L1372" s="2"/>
      <c r="AJ1372" s="2"/>
      <c r="AK1372" s="2"/>
      <c r="AM1372" s="3"/>
      <c r="AW1372" s="36">
        <f t="shared" si="85"/>
        <v>106.80499999999995</v>
      </c>
    </row>
    <row r="1373" spans="12:49" x14ac:dyDescent="0.35">
      <c r="L1373" s="2"/>
      <c r="AJ1373" s="2"/>
      <c r="AK1373" s="2"/>
      <c r="AM1373" s="3"/>
      <c r="AW1373" s="36">
        <f t="shared" si="85"/>
        <v>106.80499999999995</v>
      </c>
    </row>
    <row r="1374" spans="12:49" x14ac:dyDescent="0.35">
      <c r="L1374" s="2"/>
      <c r="AJ1374" s="2"/>
      <c r="AK1374" s="2"/>
      <c r="AM1374" s="3"/>
      <c r="AW1374" s="36">
        <f t="shared" si="85"/>
        <v>106.80499999999995</v>
      </c>
    </row>
    <row r="1375" spans="12:49" x14ac:dyDescent="0.35">
      <c r="L1375" s="2"/>
      <c r="AJ1375" s="2"/>
      <c r="AK1375" s="2"/>
      <c r="AM1375" s="3"/>
      <c r="AW1375" s="36">
        <f t="shared" si="85"/>
        <v>106.80499999999995</v>
      </c>
    </row>
    <row r="1376" spans="12:49" x14ac:dyDescent="0.35">
      <c r="L1376" s="2"/>
      <c r="AJ1376" s="2"/>
      <c r="AK1376" s="2"/>
      <c r="AM1376" s="3"/>
      <c r="AW1376" s="36">
        <f t="shared" si="85"/>
        <v>106.80499999999995</v>
      </c>
    </row>
    <row r="1377" spans="12:49" x14ac:dyDescent="0.35">
      <c r="L1377" s="2"/>
      <c r="AJ1377" s="2"/>
      <c r="AK1377" s="2"/>
      <c r="AM1377" s="3"/>
      <c r="AW1377" s="36">
        <f t="shared" si="85"/>
        <v>106.80499999999995</v>
      </c>
    </row>
    <row r="1378" spans="12:49" x14ac:dyDescent="0.35">
      <c r="L1378" s="2"/>
      <c r="AJ1378" s="2"/>
      <c r="AK1378" s="2"/>
      <c r="AM1378" s="3"/>
      <c r="AW1378" s="36">
        <f t="shared" si="85"/>
        <v>106.80499999999995</v>
      </c>
    </row>
    <row r="1379" spans="12:49" x14ac:dyDescent="0.35">
      <c r="L1379" s="2"/>
      <c r="AJ1379" s="2"/>
      <c r="AK1379" s="2"/>
      <c r="AM1379" s="3"/>
      <c r="AW1379" s="36">
        <f t="shared" si="85"/>
        <v>106.80499999999995</v>
      </c>
    </row>
    <row r="1380" spans="12:49" x14ac:dyDescent="0.35">
      <c r="L1380" s="2"/>
      <c r="AJ1380" s="2"/>
      <c r="AK1380" s="2"/>
      <c r="AM1380" s="3"/>
      <c r="AW1380" s="36">
        <f t="shared" si="85"/>
        <v>106.80499999999995</v>
      </c>
    </row>
    <row r="1381" spans="12:49" x14ac:dyDescent="0.35">
      <c r="L1381" s="2"/>
      <c r="AJ1381" s="2"/>
      <c r="AK1381" s="2"/>
      <c r="AM1381" s="3"/>
      <c r="AW1381" s="36">
        <f t="shared" si="85"/>
        <v>106.80499999999995</v>
      </c>
    </row>
    <row r="1382" spans="12:49" x14ac:dyDescent="0.35">
      <c r="AJ1382" s="2"/>
      <c r="AK1382" s="2"/>
      <c r="AM1382" s="3"/>
      <c r="AW1382" s="36">
        <f t="shared" si="85"/>
        <v>106.80499999999995</v>
      </c>
    </row>
    <row r="1383" spans="12:49" x14ac:dyDescent="0.35">
      <c r="AJ1383" s="2"/>
      <c r="AK1383" s="2"/>
      <c r="AM1383" s="3"/>
      <c r="AW1383" s="36">
        <f t="shared" si="85"/>
        <v>106.80499999999995</v>
      </c>
    </row>
    <row r="1384" spans="12:49" x14ac:dyDescent="0.35">
      <c r="AJ1384" s="2"/>
      <c r="AK1384" s="2"/>
      <c r="AM1384" s="3"/>
      <c r="AW1384" s="36">
        <f t="shared" si="85"/>
        <v>106.80499999999995</v>
      </c>
    </row>
    <row r="1385" spans="12:49" x14ac:dyDescent="0.35">
      <c r="AJ1385" s="2"/>
      <c r="AK1385" s="2"/>
      <c r="AM1385" s="3"/>
      <c r="AW1385" s="36">
        <f t="shared" si="85"/>
        <v>106.80499999999995</v>
      </c>
    </row>
    <row r="1386" spans="12:49" x14ac:dyDescent="0.35">
      <c r="AJ1386" s="2"/>
      <c r="AK1386" s="2"/>
      <c r="AM1386" s="3"/>
      <c r="AW1386" s="36">
        <f t="shared" si="85"/>
        <v>106.80499999999995</v>
      </c>
    </row>
    <row r="1387" spans="12:49" x14ac:dyDescent="0.35">
      <c r="AJ1387" s="2"/>
      <c r="AK1387" s="2"/>
      <c r="AM1387" s="3"/>
      <c r="AW1387" s="36">
        <f t="shared" si="85"/>
        <v>106.80499999999995</v>
      </c>
    </row>
    <row r="1388" spans="12:49" x14ac:dyDescent="0.35">
      <c r="AJ1388" s="2"/>
      <c r="AK1388" s="2"/>
      <c r="AM1388" s="3"/>
      <c r="AW1388" s="36">
        <f t="shared" si="85"/>
        <v>106.80499999999995</v>
      </c>
    </row>
    <row r="1389" spans="12:49" x14ac:dyDescent="0.35">
      <c r="AJ1389" s="2"/>
      <c r="AK1389" s="2"/>
      <c r="AM1389" s="3"/>
      <c r="AW1389" s="36">
        <f t="shared" si="85"/>
        <v>106.80499999999995</v>
      </c>
    </row>
    <row r="1390" spans="12:49" x14ac:dyDescent="0.35">
      <c r="AJ1390" s="2"/>
      <c r="AK1390" s="2"/>
      <c r="AM1390" s="3"/>
      <c r="AW1390" s="36">
        <f t="shared" si="85"/>
        <v>106.80499999999995</v>
      </c>
    </row>
    <row r="1391" spans="12:49" x14ac:dyDescent="0.35">
      <c r="AJ1391" s="2"/>
      <c r="AK1391" s="2"/>
      <c r="AM1391" s="3"/>
      <c r="AW1391" s="36">
        <f t="shared" si="85"/>
        <v>106.80499999999995</v>
      </c>
    </row>
    <row r="1392" spans="12:49" x14ac:dyDescent="0.35">
      <c r="AJ1392" s="2"/>
      <c r="AK1392" s="2"/>
      <c r="AM1392" s="3"/>
      <c r="AW1392" s="36">
        <f t="shared" si="85"/>
        <v>106.80499999999995</v>
      </c>
    </row>
    <row r="1393" spans="12:49" x14ac:dyDescent="0.35">
      <c r="AJ1393" s="2"/>
      <c r="AK1393" s="2"/>
      <c r="AM1393" s="3"/>
      <c r="AW1393" s="36">
        <f t="shared" si="85"/>
        <v>106.80499999999995</v>
      </c>
    </row>
    <row r="1394" spans="12:49" x14ac:dyDescent="0.35">
      <c r="AJ1394" s="2"/>
      <c r="AK1394" s="2"/>
      <c r="AM1394" s="3"/>
      <c r="AW1394" s="36">
        <f t="shared" si="85"/>
        <v>106.80499999999995</v>
      </c>
    </row>
    <row r="1395" spans="12:49" x14ac:dyDescent="0.35">
      <c r="AJ1395" s="2"/>
      <c r="AK1395" s="2"/>
      <c r="AM1395" s="3"/>
      <c r="AW1395" s="36">
        <f t="shared" si="85"/>
        <v>106.80499999999995</v>
      </c>
    </row>
    <row r="1396" spans="12:49" x14ac:dyDescent="0.35">
      <c r="AJ1396" s="2"/>
      <c r="AK1396" s="2"/>
      <c r="AM1396" s="3"/>
      <c r="AW1396" s="36">
        <f t="shared" si="85"/>
        <v>106.80499999999995</v>
      </c>
    </row>
    <row r="1397" spans="12:49" x14ac:dyDescent="0.35">
      <c r="AJ1397" s="2"/>
      <c r="AK1397" s="2"/>
      <c r="AM1397" s="3"/>
      <c r="AW1397" s="36">
        <f t="shared" si="85"/>
        <v>106.80499999999995</v>
      </c>
    </row>
    <row r="1398" spans="12:49" x14ac:dyDescent="0.35">
      <c r="L1398" s="2"/>
      <c r="AJ1398" s="2"/>
      <c r="AK1398" s="2"/>
      <c r="AM1398" s="3"/>
      <c r="AW1398" s="36">
        <f t="shared" si="85"/>
        <v>106.80499999999995</v>
      </c>
    </row>
    <row r="1399" spans="12:49" x14ac:dyDescent="0.35">
      <c r="L1399" s="2"/>
      <c r="AJ1399" s="2"/>
      <c r="AK1399" s="2"/>
      <c r="AM1399" s="3"/>
      <c r="AW1399" s="36">
        <f t="shared" si="85"/>
        <v>106.80499999999995</v>
      </c>
    </row>
    <row r="1400" spans="12:49" x14ac:dyDescent="0.35">
      <c r="L1400" t="s">
        <v>1320</v>
      </c>
      <c r="M1400" t="s">
        <v>1319</v>
      </c>
      <c r="AJ1400" s="2"/>
      <c r="AK1400" s="2"/>
      <c r="AM1400" s="3"/>
      <c r="AW1400" s="36">
        <f t="shared" si="85"/>
        <v>106.80499999999995</v>
      </c>
    </row>
    <row r="1401" spans="12:49" x14ac:dyDescent="0.35">
      <c r="L1401" s="3">
        <f>100*((HAVERD!BA1056/HAVERD!BA984)-1)</f>
        <v>-18.662633006467765</v>
      </c>
      <c r="M1401" s="3">
        <f>100*((M1344/M1242)-1)</f>
        <v>7.4297383679426732</v>
      </c>
      <c r="AJ1401" s="2"/>
      <c r="AK1401" s="2"/>
      <c r="AM1401" s="3"/>
      <c r="AW1401" s="36">
        <f t="shared" si="85"/>
        <v>106.80499999999995</v>
      </c>
    </row>
    <row r="1402" spans="12:49" x14ac:dyDescent="0.35">
      <c r="AJ1402" s="2"/>
      <c r="AK1402" s="2"/>
      <c r="AM1402" s="3"/>
      <c r="AW1402" s="36">
        <f t="shared" si="85"/>
        <v>106.80499999999995</v>
      </c>
    </row>
    <row r="1403" spans="12:49" x14ac:dyDescent="0.35">
      <c r="L1403" t="s">
        <v>1320</v>
      </c>
      <c r="AJ1403" s="2"/>
      <c r="AK1403" s="2"/>
      <c r="AM1403" s="3"/>
      <c r="AW1403" s="36">
        <f t="shared" si="85"/>
        <v>106.80499999999995</v>
      </c>
    </row>
    <row r="1404" spans="12:49" x14ac:dyDescent="0.35">
      <c r="L1404" s="3">
        <f>100*((HAVERD!BB1056/HAVERD!BB984)-1)</f>
        <v>4.0714344228721222</v>
      </c>
      <c r="AJ1404" s="2"/>
      <c r="AK1404" s="2"/>
      <c r="AM1404" s="3"/>
      <c r="AW1404" s="36">
        <f t="shared" si="85"/>
        <v>106.80499999999995</v>
      </c>
    </row>
    <row r="1405" spans="12:49" x14ac:dyDescent="0.35">
      <c r="AJ1405" s="2"/>
      <c r="AK1405" s="2"/>
    </row>
    <row r="1406" spans="12:49" x14ac:dyDescent="0.35">
      <c r="AI1406" t="s">
        <v>2170</v>
      </c>
      <c r="AJ1406" s="2"/>
      <c r="AK1406" s="2"/>
    </row>
    <row r="1407" spans="12:49" x14ac:dyDescent="0.35">
      <c r="AJ1407" s="2"/>
      <c r="AK1407" s="2"/>
    </row>
    <row r="1408" spans="12:49" x14ac:dyDescent="0.35">
      <c r="AJ1408" s="2"/>
      <c r="AK1408" s="2"/>
    </row>
    <row r="1409" spans="36:37" x14ac:dyDescent="0.35">
      <c r="AJ1409" s="2"/>
      <c r="AK1409" s="2"/>
    </row>
    <row r="1410" spans="36:37" x14ac:dyDescent="0.35">
      <c r="AJ1410" s="2"/>
      <c r="AK1410" s="2"/>
    </row>
    <row r="1411" spans="36:37" x14ac:dyDescent="0.35">
      <c r="AJ1411" s="2"/>
      <c r="AK1411" s="2"/>
    </row>
    <row r="1412" spans="36:37" x14ac:dyDescent="0.35">
      <c r="AJ1412" s="2"/>
      <c r="AK1412" s="2"/>
    </row>
    <row r="1413" spans="36:37" x14ac:dyDescent="0.35">
      <c r="AJ1413" s="2"/>
      <c r="AK1413" s="2"/>
    </row>
    <row r="1414" spans="36:37" x14ac:dyDescent="0.35">
      <c r="AJ1414" s="2"/>
      <c r="AK1414" s="2"/>
    </row>
    <row r="1415" spans="36:37" x14ac:dyDescent="0.35">
      <c r="AJ1415" s="2"/>
      <c r="AK1415" s="2"/>
    </row>
    <row r="1416" spans="36:37" x14ac:dyDescent="0.35">
      <c r="AJ1416" s="2"/>
      <c r="AK1416" s="2"/>
    </row>
    <row r="1417" spans="36:37" x14ac:dyDescent="0.35">
      <c r="AJ1417" s="2"/>
      <c r="AK1417" s="2"/>
    </row>
    <row r="1418" spans="36:37" x14ac:dyDescent="0.35">
      <c r="AJ1418" s="2"/>
      <c r="AK1418" s="2"/>
    </row>
    <row r="1419" spans="36:37" x14ac:dyDescent="0.35">
      <c r="AJ1419" s="2"/>
      <c r="AK1419" s="2"/>
    </row>
    <row r="1420" spans="36:37" x14ac:dyDescent="0.35">
      <c r="AJ1420" s="2"/>
      <c r="AK1420" s="2"/>
    </row>
    <row r="1421" spans="36:37" x14ac:dyDescent="0.35">
      <c r="AJ1421" s="2"/>
      <c r="AK1421" s="2"/>
    </row>
    <row r="1422" spans="36:37" x14ac:dyDescent="0.35">
      <c r="AJ1422" s="2"/>
      <c r="AK1422" s="2"/>
    </row>
    <row r="1423" spans="36:37" x14ac:dyDescent="0.35">
      <c r="AJ1423" s="2"/>
      <c r="AK1423" s="2"/>
    </row>
    <row r="1424" spans="36:37" x14ac:dyDescent="0.35">
      <c r="AJ1424" s="2"/>
      <c r="AK1424" s="2"/>
    </row>
    <row r="1425" spans="36:37" x14ac:dyDescent="0.35">
      <c r="AJ1425" s="2"/>
      <c r="AK1425" s="2"/>
    </row>
    <row r="1426" spans="36:37" x14ac:dyDescent="0.35">
      <c r="AJ1426" s="2"/>
      <c r="AK1426" s="2"/>
    </row>
    <row r="1427" spans="36:37" x14ac:dyDescent="0.35">
      <c r="AJ1427" s="2"/>
      <c r="AK1427" s="2"/>
    </row>
    <row r="1428" spans="36:37" x14ac:dyDescent="0.35">
      <c r="AJ1428" s="2"/>
      <c r="AK1428" s="2"/>
    </row>
    <row r="1429" spans="36:37" x14ac:dyDescent="0.35">
      <c r="AJ1429" s="2"/>
      <c r="AK1429" s="2"/>
    </row>
    <row r="1430" spans="36:37" x14ac:dyDescent="0.35">
      <c r="AJ1430" s="2"/>
      <c r="AK1430" s="2"/>
    </row>
    <row r="1431" spans="36:37" x14ac:dyDescent="0.35">
      <c r="AJ1431" s="2"/>
      <c r="AK1431" s="2"/>
    </row>
    <row r="1432" spans="36:37" x14ac:dyDescent="0.35">
      <c r="AJ1432" s="2"/>
      <c r="AK1432" s="2"/>
    </row>
    <row r="1433" spans="36:37" x14ac:dyDescent="0.35">
      <c r="AJ1433" s="2"/>
      <c r="AK1433" s="2"/>
    </row>
    <row r="1434" spans="36:37" x14ac:dyDescent="0.35">
      <c r="AJ1434" s="2"/>
      <c r="AK1434" s="2"/>
    </row>
    <row r="1435" spans="36:37" x14ac:dyDescent="0.35">
      <c r="AJ1435" s="2"/>
      <c r="AK1435" s="2"/>
    </row>
    <row r="1436" spans="36:37" x14ac:dyDescent="0.35">
      <c r="AJ1436" s="2"/>
      <c r="AK1436" s="2"/>
    </row>
    <row r="1437" spans="36:37" x14ac:dyDescent="0.35">
      <c r="AJ1437" s="2"/>
      <c r="AK1437" s="2"/>
    </row>
    <row r="1438" spans="36:37" x14ac:dyDescent="0.35">
      <c r="AJ1438" s="2"/>
      <c r="AK1438" s="2"/>
    </row>
    <row r="1439" spans="36:37" x14ac:dyDescent="0.35">
      <c r="AJ1439" s="2"/>
      <c r="AK1439" s="2"/>
    </row>
    <row r="1440" spans="36:37" x14ac:dyDescent="0.35">
      <c r="AJ1440" s="2"/>
      <c r="AK1440" s="2"/>
    </row>
    <row r="1441" spans="36:37" x14ac:dyDescent="0.35">
      <c r="AJ1441" s="2"/>
      <c r="AK1441" s="2"/>
    </row>
    <row r="1442" spans="36:37" x14ac:dyDescent="0.35">
      <c r="AJ1442" s="2"/>
      <c r="AK1442" s="2"/>
    </row>
    <row r="1443" spans="36:37" x14ac:dyDescent="0.35">
      <c r="AJ1443" s="2"/>
      <c r="AK1443" s="2"/>
    </row>
    <row r="1444" spans="36:37" x14ac:dyDescent="0.35">
      <c r="AJ1444" s="2"/>
      <c r="AK1444" s="2"/>
    </row>
    <row r="1445" spans="36:37" x14ac:dyDescent="0.35">
      <c r="AJ1445" s="2"/>
      <c r="AK1445" s="2"/>
    </row>
    <row r="1446" spans="36:37" x14ac:dyDescent="0.35">
      <c r="AJ1446" s="2"/>
      <c r="AK1446" s="2"/>
    </row>
    <row r="1447" spans="36:37" x14ac:dyDescent="0.35">
      <c r="AJ1447" s="2"/>
      <c r="AK1447" s="2"/>
    </row>
    <row r="1448" spans="36:37" x14ac:dyDescent="0.35">
      <c r="AJ1448" s="2"/>
      <c r="AK1448" s="2"/>
    </row>
    <row r="1449" spans="36:37" x14ac:dyDescent="0.35">
      <c r="AJ1449" s="2"/>
      <c r="AK1449" s="2"/>
    </row>
    <row r="1450" spans="36:37" x14ac:dyDescent="0.35">
      <c r="AJ1450" s="2"/>
      <c r="AK1450" s="2"/>
    </row>
    <row r="1451" spans="36:37" x14ac:dyDescent="0.35">
      <c r="AJ1451" s="2"/>
      <c r="AK1451" s="2"/>
    </row>
    <row r="1452" spans="36:37" x14ac:dyDescent="0.35">
      <c r="AJ1452" s="2"/>
      <c r="AK1452" s="2"/>
    </row>
    <row r="1453" spans="36:37" x14ac:dyDescent="0.35">
      <c r="AJ1453" s="2"/>
      <c r="AK1453" s="2"/>
    </row>
    <row r="1454" spans="36:37" x14ac:dyDescent="0.35">
      <c r="AJ1454" s="2"/>
      <c r="AK1454" s="2"/>
    </row>
    <row r="1455" spans="36:37" x14ac:dyDescent="0.35">
      <c r="AJ1455" s="2"/>
      <c r="AK1455" s="2"/>
    </row>
    <row r="1456" spans="36:37" x14ac:dyDescent="0.35">
      <c r="AJ1456" s="2"/>
      <c r="AK1456" s="2"/>
    </row>
    <row r="1457" spans="36:37" x14ac:dyDescent="0.35">
      <c r="AJ1457" s="2"/>
      <c r="AK1457" s="2"/>
    </row>
    <row r="1458" spans="36:37" x14ac:dyDescent="0.35">
      <c r="AJ1458" s="2"/>
      <c r="AK1458" s="2"/>
    </row>
    <row r="1459" spans="36:37" x14ac:dyDescent="0.35">
      <c r="AJ1459" s="2"/>
      <c r="AK1459" s="2"/>
    </row>
    <row r="1460" spans="36:37" x14ac:dyDescent="0.35">
      <c r="AJ1460" s="2"/>
      <c r="AK1460" s="2"/>
    </row>
    <row r="1461" spans="36:37" x14ac:dyDescent="0.35">
      <c r="AJ1461" s="2"/>
      <c r="AK1461" s="2"/>
    </row>
    <row r="1462" spans="36:37" x14ac:dyDescent="0.35">
      <c r="AJ1462" s="2"/>
      <c r="AK1462" s="2"/>
    </row>
    <row r="1463" spans="36:37" x14ac:dyDescent="0.35">
      <c r="AJ1463" s="2"/>
      <c r="AK1463" s="2"/>
    </row>
    <row r="1464" spans="36:37" x14ac:dyDescent="0.35">
      <c r="AJ1464" s="2"/>
      <c r="AK1464" s="2"/>
    </row>
    <row r="1465" spans="36:37" x14ac:dyDescent="0.35">
      <c r="AJ1465" s="2"/>
      <c r="AK1465" s="2"/>
    </row>
    <row r="1466" spans="36:37" x14ac:dyDescent="0.35">
      <c r="AJ1466" s="2"/>
      <c r="AK1466" s="2"/>
    </row>
    <row r="1467" spans="36:37" x14ac:dyDescent="0.35">
      <c r="AJ1467" s="2"/>
      <c r="AK1467" s="2"/>
    </row>
    <row r="1468" spans="36:37" x14ac:dyDescent="0.35">
      <c r="AJ1468" s="2"/>
      <c r="AK1468" s="2"/>
    </row>
    <row r="1469" spans="36:37" x14ac:dyDescent="0.35">
      <c r="AJ1469" s="2"/>
      <c r="AK1469" s="2"/>
    </row>
    <row r="1470" spans="36:37" x14ac:dyDescent="0.35">
      <c r="AJ1470" s="2"/>
      <c r="AK1470" s="2"/>
    </row>
    <row r="1471" spans="36:37" x14ac:dyDescent="0.35">
      <c r="AJ1471" s="2"/>
      <c r="AK1471" s="2"/>
    </row>
    <row r="1472" spans="36:37" x14ac:dyDescent="0.35">
      <c r="AJ1472" s="2"/>
      <c r="AK1472" s="2"/>
    </row>
    <row r="1473" spans="36:37" x14ac:dyDescent="0.35">
      <c r="AJ1473" s="2"/>
      <c r="AK1473" s="2"/>
    </row>
    <row r="1474" spans="36:37" x14ac:dyDescent="0.35">
      <c r="AJ1474" s="2"/>
      <c r="AK1474" s="2"/>
    </row>
    <row r="1475" spans="36:37" x14ac:dyDescent="0.35">
      <c r="AJ1475" s="2"/>
      <c r="AK1475" s="2"/>
    </row>
    <row r="1476" spans="36:37" x14ac:dyDescent="0.35">
      <c r="AJ1476" s="2"/>
      <c r="AK1476" s="2"/>
    </row>
    <row r="1477" spans="36:37" x14ac:dyDescent="0.35">
      <c r="AJ1477" s="2"/>
      <c r="AK1477" s="2"/>
    </row>
    <row r="1478" spans="36:37" x14ac:dyDescent="0.35">
      <c r="AJ1478" s="2"/>
      <c r="AK1478" s="2"/>
    </row>
    <row r="1479" spans="36:37" x14ac:dyDescent="0.35">
      <c r="AJ1479" s="2"/>
      <c r="AK1479" s="2"/>
    </row>
    <row r="1480" spans="36:37" x14ac:dyDescent="0.35">
      <c r="AJ1480" s="2"/>
      <c r="AK1480" s="2"/>
    </row>
    <row r="1481" spans="36:37" x14ac:dyDescent="0.35">
      <c r="AJ1481" s="2"/>
      <c r="AK1481" s="2"/>
    </row>
    <row r="1482" spans="36:37" x14ac:dyDescent="0.35">
      <c r="AJ1482" s="2"/>
      <c r="AK1482" s="2"/>
    </row>
    <row r="1483" spans="36:37" x14ac:dyDescent="0.35">
      <c r="AJ1483" s="2"/>
      <c r="AK1483" s="2"/>
    </row>
    <row r="1484" spans="36:37" x14ac:dyDescent="0.35">
      <c r="AJ1484" s="2"/>
      <c r="AK1484" s="2"/>
    </row>
    <row r="1485" spans="36:37" x14ac:dyDescent="0.35">
      <c r="AJ1485" s="2"/>
      <c r="AK1485" s="2"/>
    </row>
    <row r="1486" spans="36:37" x14ac:dyDescent="0.35">
      <c r="AJ1486" s="2"/>
      <c r="AK1486" s="2"/>
    </row>
    <row r="1487" spans="36:37" x14ac:dyDescent="0.35">
      <c r="AJ1487" s="2"/>
      <c r="AK1487" s="2"/>
    </row>
    <row r="1488" spans="36:37" x14ac:dyDescent="0.35">
      <c r="AJ1488" s="2"/>
      <c r="AK1488" s="2"/>
    </row>
    <row r="1489" spans="36:37" x14ac:dyDescent="0.35">
      <c r="AJ1489" s="2"/>
      <c r="AK1489" s="2"/>
    </row>
    <row r="1490" spans="36:37" x14ac:dyDescent="0.35">
      <c r="AJ1490" s="2"/>
      <c r="AK1490" s="2"/>
    </row>
    <row r="1491" spans="36:37" x14ac:dyDescent="0.35">
      <c r="AJ1491" s="2"/>
      <c r="AK1491" s="2"/>
    </row>
    <row r="1492" spans="36:37" x14ac:dyDescent="0.35">
      <c r="AJ1492" s="2"/>
      <c r="AK1492" s="2"/>
    </row>
    <row r="1493" spans="36:37" x14ac:dyDescent="0.35">
      <c r="AJ1493" s="2"/>
      <c r="AK1493" s="2"/>
    </row>
    <row r="1494" spans="36:37" x14ac:dyDescent="0.35">
      <c r="AJ1494" s="2"/>
      <c r="AK1494" s="2"/>
    </row>
    <row r="1495" spans="36:37" x14ac:dyDescent="0.35">
      <c r="AJ1495" s="2"/>
      <c r="AK1495" s="2"/>
    </row>
    <row r="1496" spans="36:37" x14ac:dyDescent="0.35">
      <c r="AJ1496" s="2"/>
      <c r="AK1496" s="2"/>
    </row>
    <row r="1497" spans="36:37" x14ac:dyDescent="0.35">
      <c r="AJ1497" s="2"/>
      <c r="AK1497" s="2"/>
    </row>
    <row r="1498" spans="36:37" x14ac:dyDescent="0.35">
      <c r="AJ1498" s="2"/>
      <c r="AK1498" s="2"/>
    </row>
    <row r="1499" spans="36:37" x14ac:dyDescent="0.35">
      <c r="AJ1499" s="2"/>
      <c r="AK1499" s="2"/>
    </row>
    <row r="1500" spans="36:37" x14ac:dyDescent="0.35">
      <c r="AJ1500" s="2"/>
      <c r="AK1500" s="2"/>
    </row>
    <row r="1501" spans="36:37" x14ac:dyDescent="0.35">
      <c r="AJ1501" s="2"/>
      <c r="AK1501" s="2"/>
    </row>
    <row r="1502" spans="36:37" x14ac:dyDescent="0.35">
      <c r="AJ1502" s="2"/>
      <c r="AK1502" s="2"/>
    </row>
    <row r="1503" spans="36:37" x14ac:dyDescent="0.35">
      <c r="AJ1503" s="2"/>
      <c r="AK1503" s="2"/>
    </row>
    <row r="1504" spans="36:37" x14ac:dyDescent="0.35">
      <c r="AJ1504" s="2"/>
      <c r="AK1504" s="2"/>
    </row>
    <row r="1505" spans="36:37" x14ac:dyDescent="0.35">
      <c r="AJ1505" s="2"/>
      <c r="AK1505" s="2"/>
    </row>
    <row r="1506" spans="36:37" x14ac:dyDescent="0.35">
      <c r="AJ1506" s="2"/>
      <c r="AK1506" s="2"/>
    </row>
    <row r="1507" spans="36:37" x14ac:dyDescent="0.35">
      <c r="AJ1507" s="2"/>
      <c r="AK1507" s="2"/>
    </row>
    <row r="1508" spans="36:37" x14ac:dyDescent="0.35">
      <c r="AJ1508" s="2"/>
      <c r="AK1508" s="2"/>
    </row>
    <row r="1509" spans="36:37" x14ac:dyDescent="0.35">
      <c r="AJ1509" s="2"/>
      <c r="AK1509" s="2"/>
    </row>
    <row r="1510" spans="36:37" x14ac:dyDescent="0.35">
      <c r="AJ1510" s="2"/>
      <c r="AK1510" s="2"/>
    </row>
    <row r="1511" spans="36:37" x14ac:dyDescent="0.35">
      <c r="AJ1511" s="2"/>
      <c r="AK1511" s="2"/>
    </row>
    <row r="1512" spans="36:37" x14ac:dyDescent="0.35">
      <c r="AJ1512" s="2"/>
      <c r="AK1512" s="2"/>
    </row>
    <row r="1513" spans="36:37" x14ac:dyDescent="0.35">
      <c r="AJ1513" s="2"/>
      <c r="AK1513" s="2"/>
    </row>
    <row r="1514" spans="36:37" x14ac:dyDescent="0.35">
      <c r="AJ1514" s="2"/>
      <c r="AK1514" s="2"/>
    </row>
    <row r="1515" spans="36:37" x14ac:dyDescent="0.35">
      <c r="AJ1515" s="2"/>
      <c r="AK1515" s="2"/>
    </row>
    <row r="1516" spans="36:37" x14ac:dyDescent="0.35">
      <c r="AJ1516" s="2"/>
      <c r="AK1516" s="2"/>
    </row>
    <row r="1517" spans="36:37" x14ac:dyDescent="0.35">
      <c r="AJ1517" s="2"/>
      <c r="AK1517" s="2"/>
    </row>
    <row r="1518" spans="36:37" x14ac:dyDescent="0.35">
      <c r="AJ1518" s="2"/>
      <c r="AK1518" s="2"/>
    </row>
    <row r="1519" spans="36:37" x14ac:dyDescent="0.35">
      <c r="AJ1519" s="2"/>
      <c r="AK1519" s="2"/>
    </row>
    <row r="1520" spans="36:37" x14ac:dyDescent="0.35">
      <c r="AJ1520" s="2"/>
      <c r="AK1520" s="2"/>
    </row>
    <row r="1521" spans="36:37" x14ac:dyDescent="0.35">
      <c r="AJ1521" s="2"/>
      <c r="AK1521" s="2"/>
    </row>
    <row r="1522" spans="36:37" x14ac:dyDescent="0.35">
      <c r="AJ1522" s="2"/>
      <c r="AK1522" s="2"/>
    </row>
    <row r="1523" spans="36:37" x14ac:dyDescent="0.35">
      <c r="AJ1523" s="2"/>
      <c r="AK1523" s="2"/>
    </row>
    <row r="1524" spans="36:37" x14ac:dyDescent="0.35">
      <c r="AJ1524" s="2"/>
      <c r="AK1524" s="2"/>
    </row>
    <row r="1525" spans="36:37" x14ac:dyDescent="0.35">
      <c r="AJ1525" s="2"/>
      <c r="AK1525" s="2"/>
    </row>
    <row r="1526" spans="36:37" x14ac:dyDescent="0.35">
      <c r="AJ1526" s="2"/>
      <c r="AK1526" s="2"/>
    </row>
    <row r="1527" spans="36:37" x14ac:dyDescent="0.35">
      <c r="AJ1527" s="2"/>
      <c r="AK1527" s="2"/>
    </row>
    <row r="1528" spans="36:37" x14ac:dyDescent="0.35">
      <c r="AJ1528" s="2"/>
      <c r="AK1528" s="2"/>
    </row>
    <row r="1529" spans="36:37" x14ac:dyDescent="0.35">
      <c r="AJ1529" s="2"/>
      <c r="AK1529" s="2"/>
    </row>
    <row r="1530" spans="36:37" x14ac:dyDescent="0.35">
      <c r="AJ1530" s="2"/>
      <c r="AK1530" s="2"/>
    </row>
    <row r="1531" spans="36:37" x14ac:dyDescent="0.35">
      <c r="AJ1531" s="2"/>
      <c r="AK1531" s="2"/>
    </row>
    <row r="1532" spans="36:37" x14ac:dyDescent="0.35">
      <c r="AJ1532" s="2"/>
      <c r="AK1532" s="2"/>
    </row>
    <row r="1533" spans="36:37" x14ac:dyDescent="0.35">
      <c r="AJ1533" s="2"/>
      <c r="AK1533" s="2"/>
    </row>
    <row r="1534" spans="36:37" x14ac:dyDescent="0.35">
      <c r="AJ1534" s="2"/>
      <c r="AK1534" s="2"/>
    </row>
    <row r="1535" spans="36:37" x14ac:dyDescent="0.35">
      <c r="AJ1535" s="2"/>
      <c r="AK1535" s="2"/>
    </row>
    <row r="1536" spans="36:37" x14ac:dyDescent="0.35">
      <c r="AJ1536" s="2"/>
      <c r="AK1536" s="2"/>
    </row>
    <row r="1537" spans="36:37" x14ac:dyDescent="0.35">
      <c r="AJ1537" s="2"/>
      <c r="AK1537" s="2"/>
    </row>
    <row r="1538" spans="36:37" x14ac:dyDescent="0.35">
      <c r="AJ1538" s="2"/>
      <c r="AK1538" s="2"/>
    </row>
    <row r="1539" spans="36:37" x14ac:dyDescent="0.35">
      <c r="AJ1539" s="2"/>
      <c r="AK1539" s="2"/>
    </row>
    <row r="1540" spans="36:37" x14ac:dyDescent="0.35">
      <c r="AJ1540" s="2"/>
      <c r="AK1540" s="2"/>
    </row>
    <row r="1541" spans="36:37" x14ac:dyDescent="0.35">
      <c r="AJ1541" s="2"/>
      <c r="AK1541" s="2"/>
    </row>
    <row r="1542" spans="36:37" x14ac:dyDescent="0.35">
      <c r="AJ1542" s="2"/>
      <c r="AK1542" s="2"/>
    </row>
    <row r="1543" spans="36:37" x14ac:dyDescent="0.35">
      <c r="AJ1543" s="2"/>
      <c r="AK1543" s="2"/>
    </row>
    <row r="1544" spans="36:37" x14ac:dyDescent="0.35">
      <c r="AJ1544" s="2"/>
      <c r="AK1544" s="2"/>
    </row>
    <row r="1545" spans="36:37" x14ac:dyDescent="0.35">
      <c r="AJ1545" s="2"/>
      <c r="AK1545" s="2"/>
    </row>
    <row r="1546" spans="36:37" x14ac:dyDescent="0.35">
      <c r="AJ1546" s="2"/>
      <c r="AK1546" s="2"/>
    </row>
    <row r="1547" spans="36:37" x14ac:dyDescent="0.35">
      <c r="AJ1547" s="2"/>
      <c r="AK1547" s="2"/>
    </row>
    <row r="1548" spans="36:37" x14ac:dyDescent="0.35">
      <c r="AJ1548" s="2"/>
      <c r="AK1548" s="2"/>
    </row>
    <row r="1549" spans="36:37" x14ac:dyDescent="0.35">
      <c r="AJ1549" s="2"/>
      <c r="AK1549" s="2"/>
    </row>
    <row r="1550" spans="36:37" x14ac:dyDescent="0.35">
      <c r="AJ1550" s="2"/>
      <c r="AK1550" s="2"/>
    </row>
    <row r="1551" spans="36:37" x14ac:dyDescent="0.35">
      <c r="AJ1551" s="2"/>
      <c r="AK1551" s="2"/>
    </row>
    <row r="1552" spans="36:37" x14ac:dyDescent="0.35">
      <c r="AJ1552" s="2"/>
      <c r="AK1552" s="2"/>
    </row>
    <row r="1553" spans="36:37" x14ac:dyDescent="0.35">
      <c r="AJ1553" s="2"/>
      <c r="AK1553" s="2"/>
    </row>
    <row r="1554" spans="36:37" x14ac:dyDescent="0.35">
      <c r="AJ1554" s="2"/>
      <c r="AK1554" s="2"/>
    </row>
    <row r="1555" spans="36:37" x14ac:dyDescent="0.35">
      <c r="AJ1555" s="2"/>
      <c r="AK1555" s="2"/>
    </row>
    <row r="1556" spans="36:37" x14ac:dyDescent="0.35">
      <c r="AJ1556" s="2"/>
      <c r="AK1556" s="2"/>
    </row>
    <row r="1557" spans="36:37" x14ac:dyDescent="0.35">
      <c r="AJ1557" s="2"/>
      <c r="AK1557" s="2"/>
    </row>
    <row r="1558" spans="36:37" x14ac:dyDescent="0.35">
      <c r="AJ1558" s="2"/>
      <c r="AK1558" s="2"/>
    </row>
    <row r="1559" spans="36:37" x14ac:dyDescent="0.35">
      <c r="AJ1559" s="2"/>
      <c r="AK1559" s="2"/>
    </row>
    <row r="1560" spans="36:37" x14ac:dyDescent="0.35">
      <c r="AJ1560" s="2"/>
      <c r="AK1560" s="2"/>
    </row>
    <row r="1561" spans="36:37" x14ac:dyDescent="0.35">
      <c r="AJ1561" s="2"/>
      <c r="AK1561" s="2"/>
    </row>
    <row r="1562" spans="36:37" x14ac:dyDescent="0.35">
      <c r="AJ1562" s="2"/>
      <c r="AK1562" s="2"/>
    </row>
    <row r="1563" spans="36:37" x14ac:dyDescent="0.35">
      <c r="AJ1563" s="2"/>
      <c r="AK1563" s="2"/>
    </row>
    <row r="1564" spans="36:37" x14ac:dyDescent="0.35">
      <c r="AJ1564" s="2"/>
      <c r="AK1564" s="2"/>
    </row>
    <row r="1565" spans="36:37" x14ac:dyDescent="0.35">
      <c r="AJ1565" s="2"/>
      <c r="AK1565" s="2"/>
    </row>
    <row r="1566" spans="36:37" x14ac:dyDescent="0.35">
      <c r="AJ1566" s="2"/>
      <c r="AK1566" s="2"/>
    </row>
    <row r="1567" spans="36:37" x14ac:dyDescent="0.35">
      <c r="AJ1567" s="2"/>
      <c r="AK1567" s="2"/>
    </row>
    <row r="1568" spans="36:37" x14ac:dyDescent="0.35">
      <c r="AJ1568" s="2"/>
      <c r="AK1568" s="2"/>
    </row>
    <row r="1569" spans="36:37" x14ac:dyDescent="0.35">
      <c r="AJ1569" s="2"/>
      <c r="AK1569" s="2"/>
    </row>
    <row r="1570" spans="36:37" x14ac:dyDescent="0.35">
      <c r="AJ1570" s="2"/>
      <c r="AK1570" s="2"/>
    </row>
    <row r="1571" spans="36:37" x14ac:dyDescent="0.35">
      <c r="AJ1571" s="2"/>
      <c r="AK1571" s="2"/>
    </row>
    <row r="1572" spans="36:37" x14ac:dyDescent="0.35">
      <c r="AJ1572" s="2"/>
      <c r="AK1572" s="2"/>
    </row>
    <row r="1573" spans="36:37" x14ac:dyDescent="0.35">
      <c r="AJ1573" s="2"/>
      <c r="AK1573" s="2"/>
    </row>
    <row r="1574" spans="36:37" x14ac:dyDescent="0.35">
      <c r="AJ1574" s="2"/>
      <c r="AK1574" s="2"/>
    </row>
    <row r="1575" spans="36:37" x14ac:dyDescent="0.35">
      <c r="AJ1575" s="2"/>
      <c r="AK1575" s="2"/>
    </row>
    <row r="1576" spans="36:37" x14ac:dyDescent="0.35">
      <c r="AJ1576" s="2"/>
      <c r="AK1576" s="2"/>
    </row>
    <row r="1577" spans="36:37" x14ac:dyDescent="0.35">
      <c r="AJ1577" s="2"/>
      <c r="AK1577" s="2"/>
    </row>
    <row r="1578" spans="36:37" x14ac:dyDescent="0.35">
      <c r="AJ1578" s="2"/>
      <c r="AK1578" s="2"/>
    </row>
    <row r="1579" spans="36:37" x14ac:dyDescent="0.35">
      <c r="AJ1579" s="2"/>
      <c r="AK1579" s="2"/>
    </row>
    <row r="1580" spans="36:37" x14ac:dyDescent="0.35">
      <c r="AJ1580" s="2"/>
      <c r="AK1580" s="2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76F7-ADC6-4368-BA79-ACB975DED8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13F0-47F5-4C4C-B9C9-1ABCA754224C}">
  <dimension ref="A1:D277"/>
  <sheetViews>
    <sheetView workbookViewId="0">
      <pane xSplit="2" ySplit="6" topLeftCell="C250" activePane="bottomRight" state="frozen"/>
      <selection pane="topRight" activeCell="B1" sqref="B1"/>
      <selection pane="bottomLeft" activeCell="A7" sqref="A7"/>
      <selection pane="bottomRight" activeCell="A274" sqref="A274:A277"/>
    </sheetView>
  </sheetViews>
  <sheetFormatPr defaultRowHeight="14.5" x14ac:dyDescent="0.35"/>
  <cols>
    <col min="1" max="1" width="10.7265625" bestFit="1" customWidth="1"/>
    <col min="3" max="4" width="20.7265625" customWidth="1"/>
  </cols>
  <sheetData>
    <row r="1" spans="1:4" x14ac:dyDescent="0.35">
      <c r="B1" s="4" t="s">
        <v>1099</v>
      </c>
      <c r="C1" t="s">
        <v>42</v>
      </c>
      <c r="D1" t="s">
        <v>43</v>
      </c>
    </row>
    <row r="2" spans="1:4" s="6" customFormat="1" ht="58" x14ac:dyDescent="0.35">
      <c r="B2" s="6" t="s">
        <v>8</v>
      </c>
      <c r="C2" s="6" t="s">
        <v>1102</v>
      </c>
      <c r="D2" s="6" t="s">
        <v>1103</v>
      </c>
    </row>
    <row r="3" spans="1:4" x14ac:dyDescent="0.35">
      <c r="B3" t="s">
        <v>7</v>
      </c>
      <c r="C3" t="s">
        <v>1101</v>
      </c>
      <c r="D3" t="s">
        <v>1101</v>
      </c>
    </row>
    <row r="4" spans="1:4" x14ac:dyDescent="0.35">
      <c r="B4" t="s">
        <v>6</v>
      </c>
      <c r="C4" t="s">
        <v>2257</v>
      </c>
      <c r="D4" t="s">
        <v>2257</v>
      </c>
    </row>
    <row r="5" spans="1:4" x14ac:dyDescent="0.35">
      <c r="B5" t="s">
        <v>5</v>
      </c>
      <c r="C5" t="s">
        <v>1100</v>
      </c>
      <c r="D5" t="s">
        <v>1100</v>
      </c>
    </row>
    <row r="6" spans="1:4" x14ac:dyDescent="0.35">
      <c r="B6" t="s">
        <v>4</v>
      </c>
      <c r="C6" t="s">
        <v>2256</v>
      </c>
      <c r="D6" t="s">
        <v>2256</v>
      </c>
    </row>
    <row r="7" spans="1:4" x14ac:dyDescent="0.35">
      <c r="A7" s="2">
        <v>43829</v>
      </c>
      <c r="B7" t="s">
        <v>1104</v>
      </c>
      <c r="C7" s="37">
        <v>124.96</v>
      </c>
      <c r="D7" s="37">
        <v>130.54</v>
      </c>
    </row>
    <row r="8" spans="1:4" x14ac:dyDescent="0.35">
      <c r="A8" s="2">
        <f>+A7+7</f>
        <v>43836</v>
      </c>
      <c r="B8" t="s">
        <v>1105</v>
      </c>
      <c r="C8" s="37">
        <v>126.09</v>
      </c>
      <c r="D8" s="37">
        <v>131.56</v>
      </c>
    </row>
    <row r="9" spans="1:4" x14ac:dyDescent="0.35">
      <c r="A9" s="2">
        <f t="shared" ref="A9:A72" si="0">+A8+7</f>
        <v>43843</v>
      </c>
      <c r="B9" t="s">
        <v>1106</v>
      </c>
      <c r="C9" s="37">
        <v>127.17</v>
      </c>
      <c r="D9" s="37">
        <v>132.69</v>
      </c>
    </row>
    <row r="10" spans="1:4" x14ac:dyDescent="0.35">
      <c r="A10" s="2">
        <f t="shared" si="0"/>
        <v>43850</v>
      </c>
      <c r="B10" t="s">
        <v>1107</v>
      </c>
      <c r="C10" s="37">
        <v>127.18</v>
      </c>
      <c r="D10" s="37">
        <v>132.74</v>
      </c>
    </row>
    <row r="11" spans="1:4" x14ac:dyDescent="0.35">
      <c r="A11" s="2">
        <f t="shared" si="0"/>
        <v>43857</v>
      </c>
      <c r="B11" t="s">
        <v>1108</v>
      </c>
      <c r="C11" s="37">
        <v>127.33</v>
      </c>
      <c r="D11" s="37">
        <v>132.88</v>
      </c>
    </row>
    <row r="12" spans="1:4" x14ac:dyDescent="0.35">
      <c r="A12" s="2">
        <f t="shared" si="0"/>
        <v>43864</v>
      </c>
      <c r="B12" t="s">
        <v>1109</v>
      </c>
      <c r="C12" s="37">
        <v>125.85</v>
      </c>
      <c r="D12" s="37">
        <v>131.47999999999999</v>
      </c>
    </row>
    <row r="13" spans="1:4" x14ac:dyDescent="0.35">
      <c r="A13" s="2">
        <f t="shared" si="0"/>
        <v>43871</v>
      </c>
      <c r="B13" t="s">
        <v>1110</v>
      </c>
      <c r="C13" s="37">
        <v>124.73</v>
      </c>
      <c r="D13" s="37">
        <v>129.69999999999999</v>
      </c>
    </row>
    <row r="14" spans="1:4" x14ac:dyDescent="0.35">
      <c r="A14" s="2">
        <f t="shared" si="0"/>
        <v>43878</v>
      </c>
      <c r="B14" t="s">
        <v>1111</v>
      </c>
      <c r="C14" s="37">
        <v>123.8</v>
      </c>
      <c r="D14" s="37">
        <v>128.19999999999999</v>
      </c>
    </row>
    <row r="15" spans="1:4" x14ac:dyDescent="0.35">
      <c r="A15" s="2">
        <f t="shared" si="0"/>
        <v>43885</v>
      </c>
      <c r="B15" t="s">
        <v>1112</v>
      </c>
      <c r="C15" s="37">
        <v>123.45</v>
      </c>
      <c r="D15" s="37">
        <v>127.67</v>
      </c>
    </row>
    <row r="16" spans="1:4" x14ac:dyDescent="0.35">
      <c r="A16" s="2">
        <f t="shared" si="0"/>
        <v>43892</v>
      </c>
      <c r="B16" t="s">
        <v>1113</v>
      </c>
      <c r="C16" s="37">
        <v>122.43</v>
      </c>
      <c r="D16" s="37">
        <v>126.62</v>
      </c>
    </row>
    <row r="17" spans="1:4" x14ac:dyDescent="0.35">
      <c r="A17" s="2">
        <f t="shared" si="0"/>
        <v>43899</v>
      </c>
      <c r="B17" t="s">
        <v>1114</v>
      </c>
      <c r="C17" s="37">
        <v>122.24</v>
      </c>
      <c r="D17" s="37">
        <v>126.25</v>
      </c>
    </row>
    <row r="18" spans="1:4" x14ac:dyDescent="0.35">
      <c r="A18" s="2">
        <f t="shared" si="0"/>
        <v>43906</v>
      </c>
      <c r="B18" t="s">
        <v>1115</v>
      </c>
      <c r="C18" s="37">
        <v>120.33</v>
      </c>
      <c r="D18" s="37">
        <v>124.36</v>
      </c>
    </row>
    <row r="19" spans="1:4" x14ac:dyDescent="0.35">
      <c r="A19" s="2">
        <f t="shared" si="0"/>
        <v>43913</v>
      </c>
      <c r="B19" t="s">
        <v>1116</v>
      </c>
      <c r="C19" s="37">
        <v>119.64</v>
      </c>
      <c r="D19" s="37">
        <v>123.41</v>
      </c>
    </row>
    <row r="20" spans="1:4" x14ac:dyDescent="0.35">
      <c r="A20" s="2">
        <f t="shared" si="0"/>
        <v>43920</v>
      </c>
      <c r="B20" t="s">
        <v>1117</v>
      </c>
      <c r="C20" s="37">
        <v>112.45</v>
      </c>
      <c r="D20" s="37">
        <v>118.6</v>
      </c>
    </row>
    <row r="21" spans="1:4" x14ac:dyDescent="0.35">
      <c r="A21" s="2">
        <f t="shared" si="0"/>
        <v>43927</v>
      </c>
      <c r="B21" t="s">
        <v>1118</v>
      </c>
      <c r="C21" s="37">
        <v>110.23</v>
      </c>
      <c r="D21" s="37">
        <v>116.83</v>
      </c>
    </row>
    <row r="22" spans="1:4" x14ac:dyDescent="0.35">
      <c r="A22" s="2">
        <f t="shared" si="0"/>
        <v>43934</v>
      </c>
      <c r="B22" t="s">
        <v>1119</v>
      </c>
      <c r="C22" s="37">
        <v>109.27</v>
      </c>
      <c r="D22" s="37">
        <v>116.15</v>
      </c>
    </row>
    <row r="23" spans="1:4" x14ac:dyDescent="0.35">
      <c r="A23" s="2">
        <f t="shared" si="0"/>
        <v>43941</v>
      </c>
      <c r="B23" t="s">
        <v>1120</v>
      </c>
      <c r="C23" s="37">
        <v>108.63</v>
      </c>
      <c r="D23" s="37">
        <v>115.73</v>
      </c>
    </row>
    <row r="24" spans="1:4" x14ac:dyDescent="0.35">
      <c r="A24" s="2">
        <f t="shared" si="0"/>
        <v>43948</v>
      </c>
      <c r="B24" t="s">
        <v>1121</v>
      </c>
      <c r="C24" s="37">
        <v>107.88</v>
      </c>
      <c r="D24" s="37">
        <v>115.22</v>
      </c>
    </row>
    <row r="25" spans="1:4" x14ac:dyDescent="0.35">
      <c r="A25" s="2">
        <f t="shared" si="0"/>
        <v>43955</v>
      </c>
      <c r="B25" t="s">
        <v>1122</v>
      </c>
      <c r="C25" s="37">
        <v>107.56</v>
      </c>
      <c r="D25" s="37">
        <v>114.94</v>
      </c>
    </row>
    <row r="26" spans="1:4" x14ac:dyDescent="0.35">
      <c r="A26" s="2">
        <f t="shared" si="0"/>
        <v>43962</v>
      </c>
      <c r="B26" t="s">
        <v>1123</v>
      </c>
      <c r="C26" s="37">
        <v>107.45</v>
      </c>
      <c r="D26" s="37">
        <v>114.83</v>
      </c>
    </row>
    <row r="27" spans="1:4" x14ac:dyDescent="0.35">
      <c r="A27" s="2">
        <f t="shared" si="0"/>
        <v>43969</v>
      </c>
      <c r="B27" t="s">
        <v>1124</v>
      </c>
      <c r="C27" s="37">
        <v>105.09</v>
      </c>
      <c r="D27" s="37">
        <v>112.22</v>
      </c>
    </row>
    <row r="28" spans="1:4" x14ac:dyDescent="0.35">
      <c r="A28" s="2">
        <f t="shared" si="0"/>
        <v>43976</v>
      </c>
      <c r="B28" t="s">
        <v>1125</v>
      </c>
      <c r="C28" s="37">
        <v>104.87</v>
      </c>
      <c r="D28" s="37">
        <v>111.7</v>
      </c>
    </row>
    <row r="29" spans="1:4" x14ac:dyDescent="0.35">
      <c r="A29" s="2">
        <f t="shared" si="0"/>
        <v>43983</v>
      </c>
      <c r="B29" t="s">
        <v>1126</v>
      </c>
      <c r="C29" s="37">
        <v>105.17</v>
      </c>
      <c r="D29" s="37">
        <v>111.76</v>
      </c>
    </row>
    <row r="30" spans="1:4" x14ac:dyDescent="0.35">
      <c r="A30" s="2">
        <f t="shared" si="0"/>
        <v>43990</v>
      </c>
      <c r="B30" t="s">
        <v>1127</v>
      </c>
      <c r="C30" s="37">
        <v>105.74</v>
      </c>
      <c r="D30" s="37">
        <v>111.98</v>
      </c>
    </row>
    <row r="31" spans="1:4" x14ac:dyDescent="0.35">
      <c r="A31" s="2">
        <f t="shared" si="0"/>
        <v>43997</v>
      </c>
      <c r="B31" t="s">
        <v>1128</v>
      </c>
      <c r="C31" s="37">
        <v>106.37</v>
      </c>
      <c r="D31" s="37">
        <v>112.53</v>
      </c>
    </row>
    <row r="32" spans="1:4" x14ac:dyDescent="0.35">
      <c r="A32" s="2">
        <f t="shared" si="0"/>
        <v>44004</v>
      </c>
      <c r="B32" t="s">
        <v>1129</v>
      </c>
      <c r="C32" s="37">
        <v>107.13</v>
      </c>
      <c r="D32" s="37">
        <v>112.98</v>
      </c>
    </row>
    <row r="33" spans="1:4" x14ac:dyDescent="0.35">
      <c r="A33" s="2">
        <f t="shared" si="0"/>
        <v>44011</v>
      </c>
      <c r="B33" t="s">
        <v>1130</v>
      </c>
      <c r="C33" s="37">
        <v>108.31</v>
      </c>
      <c r="D33" s="37">
        <v>114.1</v>
      </c>
    </row>
    <row r="34" spans="1:4" x14ac:dyDescent="0.35">
      <c r="A34" s="2">
        <f t="shared" si="0"/>
        <v>44018</v>
      </c>
      <c r="B34" t="s">
        <v>1131</v>
      </c>
      <c r="C34" s="37">
        <v>109.43</v>
      </c>
      <c r="D34" s="37">
        <v>115.05</v>
      </c>
    </row>
    <row r="35" spans="1:4" x14ac:dyDescent="0.35">
      <c r="A35" s="2">
        <f t="shared" si="0"/>
        <v>44025</v>
      </c>
      <c r="B35" t="s">
        <v>1132</v>
      </c>
      <c r="C35" s="37">
        <v>111.24</v>
      </c>
      <c r="D35" s="37">
        <v>116.75</v>
      </c>
    </row>
    <row r="36" spans="1:4" x14ac:dyDescent="0.35">
      <c r="A36" s="2">
        <f t="shared" si="0"/>
        <v>44032</v>
      </c>
      <c r="B36" t="s">
        <v>1133</v>
      </c>
      <c r="C36" s="37">
        <v>112.23</v>
      </c>
      <c r="D36" s="37">
        <v>117.35</v>
      </c>
    </row>
    <row r="37" spans="1:4" x14ac:dyDescent="0.35">
      <c r="A37" s="2">
        <f t="shared" si="0"/>
        <v>44039</v>
      </c>
      <c r="B37" t="s">
        <v>1134</v>
      </c>
      <c r="C37" s="37">
        <v>112.66</v>
      </c>
      <c r="D37" s="37">
        <v>117.76</v>
      </c>
    </row>
    <row r="38" spans="1:4" x14ac:dyDescent="0.35">
      <c r="A38" s="2">
        <f t="shared" si="0"/>
        <v>44046</v>
      </c>
      <c r="B38" t="s">
        <v>1135</v>
      </c>
      <c r="C38" s="37">
        <v>112.91</v>
      </c>
      <c r="D38" s="37">
        <v>117.97</v>
      </c>
    </row>
    <row r="39" spans="1:4" x14ac:dyDescent="0.35">
      <c r="A39" s="2">
        <f t="shared" si="0"/>
        <v>44053</v>
      </c>
      <c r="B39" t="s">
        <v>1136</v>
      </c>
      <c r="C39" s="37">
        <v>113.02</v>
      </c>
      <c r="D39" s="37">
        <v>118.01</v>
      </c>
    </row>
    <row r="40" spans="1:4" x14ac:dyDescent="0.35">
      <c r="A40" s="2">
        <f t="shared" si="0"/>
        <v>44060</v>
      </c>
      <c r="B40" t="s">
        <v>1137</v>
      </c>
      <c r="C40" s="37">
        <v>113.04</v>
      </c>
      <c r="D40" s="37">
        <v>118</v>
      </c>
    </row>
    <row r="41" spans="1:4" x14ac:dyDescent="0.35">
      <c r="A41" s="2">
        <f t="shared" si="0"/>
        <v>44067</v>
      </c>
      <c r="B41" t="s">
        <v>1138</v>
      </c>
      <c r="C41" s="37">
        <v>113.22</v>
      </c>
      <c r="D41" s="37">
        <v>118.14</v>
      </c>
    </row>
    <row r="42" spans="1:4" x14ac:dyDescent="0.35">
      <c r="A42" s="2">
        <f t="shared" si="0"/>
        <v>44074</v>
      </c>
      <c r="B42" t="s">
        <v>1139</v>
      </c>
      <c r="C42" s="37">
        <v>113.29</v>
      </c>
      <c r="D42" s="37">
        <v>118.18</v>
      </c>
    </row>
    <row r="43" spans="1:4" x14ac:dyDescent="0.35">
      <c r="A43" s="2">
        <f t="shared" si="0"/>
        <v>44081</v>
      </c>
      <c r="B43" t="s">
        <v>1140</v>
      </c>
      <c r="C43" s="37">
        <v>113.37</v>
      </c>
      <c r="D43" s="37">
        <v>118.22</v>
      </c>
    </row>
    <row r="44" spans="1:4" x14ac:dyDescent="0.35">
      <c r="A44" s="2">
        <f t="shared" si="0"/>
        <v>44088</v>
      </c>
      <c r="B44" t="s">
        <v>1141</v>
      </c>
      <c r="C44" s="37">
        <v>113.32</v>
      </c>
      <c r="D44" s="37">
        <v>118.18</v>
      </c>
    </row>
    <row r="45" spans="1:4" x14ac:dyDescent="0.35">
      <c r="A45" s="2">
        <f t="shared" si="0"/>
        <v>44095</v>
      </c>
      <c r="B45" t="s">
        <v>1142</v>
      </c>
      <c r="C45" s="37">
        <v>113.31</v>
      </c>
      <c r="D45" s="37">
        <v>118.16</v>
      </c>
    </row>
    <row r="46" spans="1:4" x14ac:dyDescent="0.35">
      <c r="A46" s="2">
        <f t="shared" si="0"/>
        <v>44102</v>
      </c>
      <c r="B46" t="s">
        <v>1143</v>
      </c>
      <c r="C46" s="37">
        <v>113.3</v>
      </c>
      <c r="D46" s="37">
        <v>118.14</v>
      </c>
    </row>
    <row r="47" spans="1:4" x14ac:dyDescent="0.35">
      <c r="A47" s="2">
        <f t="shared" si="0"/>
        <v>44109</v>
      </c>
      <c r="B47" t="s">
        <v>1144</v>
      </c>
      <c r="C47" s="37">
        <v>113.26</v>
      </c>
      <c r="D47" s="37">
        <v>118.11</v>
      </c>
    </row>
    <row r="48" spans="1:4" x14ac:dyDescent="0.35">
      <c r="A48" s="2">
        <f t="shared" si="0"/>
        <v>44116</v>
      </c>
      <c r="B48" t="s">
        <v>1145</v>
      </c>
      <c r="C48" s="37">
        <v>113.19</v>
      </c>
      <c r="D48" s="37">
        <v>118.05</v>
      </c>
    </row>
    <row r="49" spans="1:4" x14ac:dyDescent="0.35">
      <c r="A49" s="2">
        <f t="shared" si="0"/>
        <v>44123</v>
      </c>
      <c r="B49" t="s">
        <v>1146</v>
      </c>
      <c r="C49" s="37">
        <v>113.18</v>
      </c>
      <c r="D49" s="37">
        <v>118.08</v>
      </c>
    </row>
    <row r="50" spans="1:4" x14ac:dyDescent="0.35">
      <c r="A50" s="2">
        <f t="shared" si="0"/>
        <v>44130</v>
      </c>
      <c r="B50" t="s">
        <v>1147</v>
      </c>
      <c r="C50" s="37">
        <v>113.14</v>
      </c>
      <c r="D50" s="37">
        <v>118.08</v>
      </c>
    </row>
    <row r="51" spans="1:4" x14ac:dyDescent="0.35">
      <c r="A51" s="2">
        <f t="shared" si="0"/>
        <v>44137</v>
      </c>
      <c r="B51" t="s">
        <v>1148</v>
      </c>
      <c r="C51" s="37">
        <v>113.11</v>
      </c>
      <c r="D51" s="37">
        <v>118.06</v>
      </c>
    </row>
    <row r="52" spans="1:4" x14ac:dyDescent="0.35">
      <c r="A52" s="2">
        <f t="shared" si="0"/>
        <v>44144</v>
      </c>
      <c r="B52" t="s">
        <v>1149</v>
      </c>
      <c r="C52" s="37">
        <v>112.5</v>
      </c>
      <c r="D52" s="37">
        <v>117.28</v>
      </c>
    </row>
    <row r="53" spans="1:4" x14ac:dyDescent="0.35">
      <c r="A53" s="2">
        <f t="shared" si="0"/>
        <v>44151</v>
      </c>
      <c r="B53" t="s">
        <v>1150</v>
      </c>
      <c r="C53" s="37">
        <v>112.35</v>
      </c>
      <c r="D53" s="37">
        <v>117.07</v>
      </c>
    </row>
    <row r="54" spans="1:4" x14ac:dyDescent="0.35">
      <c r="A54" s="2">
        <f t="shared" si="0"/>
        <v>44158</v>
      </c>
      <c r="B54" t="s">
        <v>1151</v>
      </c>
      <c r="C54" s="37">
        <v>112.42</v>
      </c>
      <c r="D54" s="37">
        <v>117.13</v>
      </c>
    </row>
    <row r="55" spans="1:4" x14ac:dyDescent="0.35">
      <c r="A55" s="2">
        <f t="shared" si="0"/>
        <v>44165</v>
      </c>
      <c r="B55" t="s">
        <v>1152</v>
      </c>
      <c r="C55" s="37">
        <v>112.61</v>
      </c>
      <c r="D55" s="37">
        <v>117.41</v>
      </c>
    </row>
    <row r="56" spans="1:4" x14ac:dyDescent="0.35">
      <c r="A56" s="2">
        <f t="shared" si="0"/>
        <v>44172</v>
      </c>
      <c r="B56" t="s">
        <v>1153</v>
      </c>
      <c r="C56" s="37">
        <v>113.17</v>
      </c>
      <c r="D56" s="37">
        <v>117.99</v>
      </c>
    </row>
    <row r="57" spans="1:4" x14ac:dyDescent="0.35">
      <c r="A57" s="2">
        <f t="shared" si="0"/>
        <v>44179</v>
      </c>
      <c r="B57" t="s">
        <v>1154</v>
      </c>
      <c r="C57" s="37">
        <v>113.82</v>
      </c>
      <c r="D57" s="37">
        <v>118.57</v>
      </c>
    </row>
    <row r="58" spans="1:4" x14ac:dyDescent="0.35">
      <c r="A58" s="2">
        <f t="shared" si="0"/>
        <v>44186</v>
      </c>
      <c r="B58" t="s">
        <v>1155</v>
      </c>
      <c r="C58" s="37">
        <v>114.43</v>
      </c>
      <c r="D58" s="37">
        <v>119.17</v>
      </c>
    </row>
    <row r="59" spans="1:4" x14ac:dyDescent="0.35">
      <c r="A59" s="2">
        <f t="shared" si="0"/>
        <v>44193</v>
      </c>
      <c r="B59" t="s">
        <v>1156</v>
      </c>
      <c r="C59" s="37">
        <v>114.91</v>
      </c>
      <c r="D59" s="37">
        <v>119.65</v>
      </c>
    </row>
    <row r="60" spans="1:4" x14ac:dyDescent="0.35">
      <c r="A60" s="2">
        <f t="shared" si="0"/>
        <v>44200</v>
      </c>
      <c r="B60" t="s">
        <v>1157</v>
      </c>
      <c r="C60" s="37">
        <v>115.39</v>
      </c>
      <c r="D60" s="37">
        <v>119.97</v>
      </c>
    </row>
    <row r="61" spans="1:4" x14ac:dyDescent="0.35">
      <c r="A61" s="2">
        <f t="shared" si="0"/>
        <v>44207</v>
      </c>
      <c r="B61" t="s">
        <v>1158</v>
      </c>
      <c r="C61" s="37">
        <v>116.14</v>
      </c>
      <c r="D61" s="37">
        <v>120.61</v>
      </c>
    </row>
    <row r="62" spans="1:4" x14ac:dyDescent="0.35">
      <c r="A62" s="2">
        <f t="shared" si="0"/>
        <v>44214</v>
      </c>
      <c r="B62" t="s">
        <v>1159</v>
      </c>
      <c r="C62" s="37">
        <v>116.93</v>
      </c>
      <c r="D62" s="37">
        <v>121.52</v>
      </c>
    </row>
    <row r="63" spans="1:4" x14ac:dyDescent="0.35">
      <c r="A63" s="2">
        <f t="shared" si="0"/>
        <v>44221</v>
      </c>
      <c r="B63" t="s">
        <v>1160</v>
      </c>
      <c r="C63" s="37">
        <v>118.1</v>
      </c>
      <c r="D63" s="37">
        <v>122.7</v>
      </c>
    </row>
    <row r="64" spans="1:4" x14ac:dyDescent="0.35">
      <c r="A64" s="2">
        <f t="shared" si="0"/>
        <v>44228</v>
      </c>
      <c r="B64" t="s">
        <v>1161</v>
      </c>
      <c r="C64" s="37">
        <v>119.14</v>
      </c>
      <c r="D64" s="37">
        <v>123.7</v>
      </c>
    </row>
    <row r="65" spans="1:4" x14ac:dyDescent="0.35">
      <c r="A65" s="2">
        <f t="shared" si="0"/>
        <v>44235</v>
      </c>
      <c r="B65" t="s">
        <v>1162</v>
      </c>
      <c r="C65" s="37">
        <v>119.67</v>
      </c>
      <c r="D65" s="37">
        <v>124.09</v>
      </c>
    </row>
    <row r="66" spans="1:4" x14ac:dyDescent="0.35">
      <c r="A66" s="2">
        <f t="shared" si="0"/>
        <v>44242</v>
      </c>
      <c r="B66" t="s">
        <v>1163</v>
      </c>
      <c r="C66" s="37">
        <v>120.53</v>
      </c>
      <c r="D66" s="37">
        <v>125.01</v>
      </c>
    </row>
    <row r="67" spans="1:4" x14ac:dyDescent="0.35">
      <c r="A67" s="2">
        <f t="shared" si="0"/>
        <v>44249</v>
      </c>
      <c r="B67" t="s">
        <v>1164</v>
      </c>
      <c r="C67" s="37">
        <v>121.27</v>
      </c>
      <c r="D67" s="37">
        <v>125.71</v>
      </c>
    </row>
    <row r="68" spans="1:4" x14ac:dyDescent="0.35">
      <c r="A68" s="2">
        <f t="shared" si="0"/>
        <v>44256</v>
      </c>
      <c r="B68" t="s">
        <v>1165</v>
      </c>
      <c r="C68" s="37">
        <v>122.17</v>
      </c>
      <c r="D68" s="37">
        <v>126.62</v>
      </c>
    </row>
    <row r="69" spans="1:4" x14ac:dyDescent="0.35">
      <c r="A69" s="2">
        <f t="shared" si="0"/>
        <v>44263</v>
      </c>
      <c r="B69" t="s">
        <v>1166</v>
      </c>
      <c r="C69" s="37">
        <v>122.94</v>
      </c>
      <c r="D69" s="37">
        <v>127.4</v>
      </c>
    </row>
    <row r="70" spans="1:4" x14ac:dyDescent="0.35">
      <c r="A70" s="2">
        <f t="shared" si="0"/>
        <v>44270</v>
      </c>
      <c r="B70" t="s">
        <v>1167</v>
      </c>
      <c r="C70" s="37">
        <v>123.9</v>
      </c>
      <c r="D70" s="37">
        <v>128.24</v>
      </c>
    </row>
    <row r="71" spans="1:4" x14ac:dyDescent="0.35">
      <c r="A71" s="2">
        <f t="shared" si="0"/>
        <v>44277</v>
      </c>
      <c r="B71" t="s">
        <v>1168</v>
      </c>
      <c r="C71" s="37">
        <v>124.57</v>
      </c>
      <c r="D71" s="37">
        <v>129.02000000000001</v>
      </c>
    </row>
    <row r="72" spans="1:4" x14ac:dyDescent="0.35">
      <c r="A72" s="2">
        <f t="shared" si="0"/>
        <v>44284</v>
      </c>
      <c r="B72" t="s">
        <v>1169</v>
      </c>
      <c r="C72" s="37">
        <v>125.13</v>
      </c>
      <c r="D72" s="37">
        <v>129.32</v>
      </c>
    </row>
    <row r="73" spans="1:4" x14ac:dyDescent="0.35">
      <c r="A73" s="2">
        <f t="shared" ref="A73:A136" si="1">+A72+7</f>
        <v>44291</v>
      </c>
      <c r="B73" t="s">
        <v>1170</v>
      </c>
      <c r="C73" s="37">
        <v>125.24</v>
      </c>
      <c r="D73" s="37">
        <v>129.35</v>
      </c>
    </row>
    <row r="74" spans="1:4" x14ac:dyDescent="0.35">
      <c r="A74" s="2">
        <f t="shared" si="1"/>
        <v>44298</v>
      </c>
      <c r="B74" t="s">
        <v>1171</v>
      </c>
      <c r="C74" s="37">
        <v>125.4</v>
      </c>
      <c r="D74" s="37">
        <v>129.38999999999999</v>
      </c>
    </row>
    <row r="75" spans="1:4" x14ac:dyDescent="0.35">
      <c r="A75" s="2">
        <f t="shared" si="1"/>
        <v>44305</v>
      </c>
      <c r="B75" t="s">
        <v>1172</v>
      </c>
      <c r="C75" s="37">
        <v>125.48</v>
      </c>
      <c r="D75" s="37">
        <v>129.49</v>
      </c>
    </row>
    <row r="76" spans="1:4" x14ac:dyDescent="0.35">
      <c r="A76" s="2">
        <f t="shared" si="1"/>
        <v>44312</v>
      </c>
      <c r="B76" t="s">
        <v>1173</v>
      </c>
      <c r="C76" s="37">
        <v>125.8</v>
      </c>
      <c r="D76" s="37">
        <v>129.77000000000001</v>
      </c>
    </row>
    <row r="77" spans="1:4" x14ac:dyDescent="0.35">
      <c r="A77" s="2">
        <f t="shared" si="1"/>
        <v>44319</v>
      </c>
      <c r="B77" t="s">
        <v>1174</v>
      </c>
      <c r="C77" s="37">
        <v>126.09</v>
      </c>
      <c r="D77" s="37">
        <v>130</v>
      </c>
    </row>
    <row r="78" spans="1:4" x14ac:dyDescent="0.35">
      <c r="A78" s="2">
        <f t="shared" si="1"/>
        <v>44326</v>
      </c>
      <c r="B78" t="s">
        <v>1175</v>
      </c>
      <c r="C78" s="37">
        <v>126.53</v>
      </c>
      <c r="D78" s="37">
        <v>130.43</v>
      </c>
    </row>
    <row r="79" spans="1:4" x14ac:dyDescent="0.35">
      <c r="A79" s="2">
        <f t="shared" si="1"/>
        <v>44333</v>
      </c>
      <c r="B79" t="s">
        <v>1176</v>
      </c>
      <c r="C79" s="37">
        <v>127.19</v>
      </c>
      <c r="D79" s="37">
        <v>131.03</v>
      </c>
    </row>
    <row r="80" spans="1:4" x14ac:dyDescent="0.35">
      <c r="A80" s="2">
        <f t="shared" si="1"/>
        <v>44340</v>
      </c>
      <c r="B80" t="s">
        <v>1177</v>
      </c>
      <c r="C80" s="37">
        <v>127.89</v>
      </c>
      <c r="D80" s="37">
        <v>131.52000000000001</v>
      </c>
    </row>
    <row r="81" spans="1:4" x14ac:dyDescent="0.35">
      <c r="A81" s="2">
        <f t="shared" si="1"/>
        <v>44347</v>
      </c>
      <c r="B81" t="s">
        <v>1178</v>
      </c>
      <c r="C81" s="37">
        <v>128.15</v>
      </c>
      <c r="D81" s="37">
        <v>131.82</v>
      </c>
    </row>
    <row r="82" spans="1:4" x14ac:dyDescent="0.35">
      <c r="A82" s="2">
        <f t="shared" si="1"/>
        <v>44354</v>
      </c>
      <c r="B82" t="s">
        <v>1179</v>
      </c>
      <c r="C82" s="37">
        <v>128.69</v>
      </c>
      <c r="D82" s="37">
        <v>132.38</v>
      </c>
    </row>
    <row r="83" spans="1:4" x14ac:dyDescent="0.35">
      <c r="A83" s="2">
        <f t="shared" si="1"/>
        <v>44361</v>
      </c>
      <c r="B83" t="s">
        <v>1180</v>
      </c>
      <c r="C83" s="37">
        <v>129.47</v>
      </c>
      <c r="D83" s="37">
        <v>133.16999999999999</v>
      </c>
    </row>
    <row r="84" spans="1:4" x14ac:dyDescent="0.35">
      <c r="A84" s="2">
        <f t="shared" si="1"/>
        <v>44368</v>
      </c>
      <c r="B84" t="s">
        <v>1181</v>
      </c>
      <c r="C84" s="37">
        <v>130.1</v>
      </c>
      <c r="D84" s="37">
        <v>133.69</v>
      </c>
    </row>
    <row r="85" spans="1:4" x14ac:dyDescent="0.35">
      <c r="A85" s="2">
        <f t="shared" si="1"/>
        <v>44375</v>
      </c>
      <c r="B85" t="s">
        <v>1182</v>
      </c>
      <c r="C85" s="37">
        <v>130.72999999999999</v>
      </c>
      <c r="D85" s="37">
        <v>134.27000000000001</v>
      </c>
    </row>
    <row r="86" spans="1:4" x14ac:dyDescent="0.35">
      <c r="A86" s="2">
        <f t="shared" si="1"/>
        <v>44382</v>
      </c>
      <c r="B86" t="s">
        <v>1183</v>
      </c>
      <c r="C86" s="37">
        <v>131.69999999999999</v>
      </c>
      <c r="D86" s="37">
        <v>134.13</v>
      </c>
    </row>
    <row r="87" spans="1:4" x14ac:dyDescent="0.35">
      <c r="A87" s="2">
        <f t="shared" si="1"/>
        <v>44389</v>
      </c>
      <c r="B87" t="s">
        <v>1184</v>
      </c>
      <c r="C87" s="37">
        <v>132.47</v>
      </c>
      <c r="D87" s="37">
        <v>135.29</v>
      </c>
    </row>
    <row r="88" spans="1:4" x14ac:dyDescent="0.35">
      <c r="A88" s="2">
        <f t="shared" si="1"/>
        <v>44396</v>
      </c>
      <c r="B88" t="s">
        <v>1185</v>
      </c>
      <c r="C88" s="37">
        <v>133.19999999999999</v>
      </c>
      <c r="D88" s="37">
        <v>135.94999999999999</v>
      </c>
    </row>
    <row r="89" spans="1:4" x14ac:dyDescent="0.35">
      <c r="A89" s="2">
        <f t="shared" si="1"/>
        <v>44403</v>
      </c>
      <c r="B89" t="s">
        <v>1186</v>
      </c>
      <c r="C89" s="37">
        <v>133.47999999999999</v>
      </c>
      <c r="D89" s="37">
        <v>136.19999999999999</v>
      </c>
    </row>
    <row r="90" spans="1:4" x14ac:dyDescent="0.35">
      <c r="A90" s="2">
        <f t="shared" si="1"/>
        <v>44410</v>
      </c>
      <c r="B90" t="s">
        <v>1187</v>
      </c>
      <c r="C90" s="37">
        <v>134.21</v>
      </c>
      <c r="D90" s="37">
        <v>136.88999999999999</v>
      </c>
    </row>
    <row r="91" spans="1:4" x14ac:dyDescent="0.35">
      <c r="A91" s="2">
        <f t="shared" si="1"/>
        <v>44417</v>
      </c>
      <c r="B91" t="s">
        <v>1188</v>
      </c>
      <c r="C91" s="37">
        <v>134.69999999999999</v>
      </c>
      <c r="D91" s="37">
        <v>137.31</v>
      </c>
    </row>
    <row r="92" spans="1:4" x14ac:dyDescent="0.35">
      <c r="A92" s="2">
        <f t="shared" si="1"/>
        <v>44424</v>
      </c>
      <c r="B92" t="s">
        <v>1189</v>
      </c>
      <c r="C92" s="37">
        <v>134.69999999999999</v>
      </c>
      <c r="D92" s="37">
        <v>136.77000000000001</v>
      </c>
    </row>
    <row r="93" spans="1:4" x14ac:dyDescent="0.35">
      <c r="A93" s="2">
        <f t="shared" si="1"/>
        <v>44431</v>
      </c>
      <c r="B93" t="s">
        <v>1190</v>
      </c>
      <c r="C93" s="37">
        <v>134.68</v>
      </c>
      <c r="D93" s="37">
        <v>137.15</v>
      </c>
    </row>
    <row r="94" spans="1:4" x14ac:dyDescent="0.35">
      <c r="A94" s="2">
        <f t="shared" si="1"/>
        <v>44438</v>
      </c>
      <c r="B94" t="s">
        <v>1191</v>
      </c>
      <c r="C94" s="37">
        <v>134.66</v>
      </c>
      <c r="D94" s="37">
        <v>137.11000000000001</v>
      </c>
    </row>
    <row r="95" spans="1:4" x14ac:dyDescent="0.35">
      <c r="A95" s="2">
        <f t="shared" si="1"/>
        <v>44445</v>
      </c>
      <c r="B95" t="s">
        <v>1192</v>
      </c>
      <c r="C95" s="37">
        <v>134.76</v>
      </c>
      <c r="D95" s="37">
        <v>137.19</v>
      </c>
    </row>
    <row r="96" spans="1:4" x14ac:dyDescent="0.35">
      <c r="A96" s="2">
        <f t="shared" si="1"/>
        <v>44452</v>
      </c>
      <c r="B96" t="s">
        <v>1193</v>
      </c>
      <c r="C96" s="37">
        <v>134.75</v>
      </c>
      <c r="D96" s="37">
        <v>137.19</v>
      </c>
    </row>
    <row r="97" spans="1:4" x14ac:dyDescent="0.35">
      <c r="A97" s="2">
        <f t="shared" si="1"/>
        <v>44459</v>
      </c>
      <c r="B97" t="s">
        <v>1194</v>
      </c>
      <c r="C97" s="37">
        <v>134.86000000000001</v>
      </c>
      <c r="D97" s="37">
        <v>137.35</v>
      </c>
    </row>
    <row r="98" spans="1:4" x14ac:dyDescent="0.35">
      <c r="A98" s="2">
        <f t="shared" si="1"/>
        <v>44466</v>
      </c>
      <c r="B98" t="s">
        <v>1195</v>
      </c>
      <c r="C98" s="37">
        <v>135.19</v>
      </c>
      <c r="D98" s="37">
        <v>137.94999999999999</v>
      </c>
    </row>
    <row r="99" spans="1:4" x14ac:dyDescent="0.35">
      <c r="A99" s="2">
        <f t="shared" si="1"/>
        <v>44473</v>
      </c>
      <c r="B99" t="s">
        <v>1196</v>
      </c>
      <c r="C99" s="37">
        <v>136.1</v>
      </c>
      <c r="D99" s="37">
        <v>139.19999999999999</v>
      </c>
    </row>
    <row r="100" spans="1:4" x14ac:dyDescent="0.35">
      <c r="A100" s="2">
        <f t="shared" si="1"/>
        <v>44480</v>
      </c>
      <c r="B100" t="s">
        <v>1197</v>
      </c>
      <c r="C100" s="37">
        <v>137.16999999999999</v>
      </c>
      <c r="D100" s="37">
        <v>140.66</v>
      </c>
    </row>
    <row r="101" spans="1:4" x14ac:dyDescent="0.35">
      <c r="A101" s="2">
        <f t="shared" si="1"/>
        <v>44487</v>
      </c>
      <c r="B101" t="s">
        <v>1198</v>
      </c>
      <c r="C101" s="37">
        <v>139.46</v>
      </c>
      <c r="D101" s="37">
        <v>143.19</v>
      </c>
    </row>
    <row r="102" spans="1:4" x14ac:dyDescent="0.35">
      <c r="A102" s="2">
        <f t="shared" si="1"/>
        <v>44494</v>
      </c>
      <c r="B102" t="s">
        <v>1199</v>
      </c>
      <c r="C102" s="37">
        <v>141.81</v>
      </c>
      <c r="D102" s="37">
        <v>145.9</v>
      </c>
    </row>
    <row r="103" spans="1:4" x14ac:dyDescent="0.35">
      <c r="A103" s="2">
        <f t="shared" si="1"/>
        <v>44501</v>
      </c>
      <c r="B103" t="s">
        <v>1200</v>
      </c>
      <c r="C103" s="37">
        <v>143.69999999999999</v>
      </c>
      <c r="D103" s="37">
        <v>147.47999999999999</v>
      </c>
    </row>
    <row r="104" spans="1:4" x14ac:dyDescent="0.35">
      <c r="A104" s="2">
        <f t="shared" si="1"/>
        <v>44508</v>
      </c>
      <c r="B104" t="s">
        <v>1201</v>
      </c>
      <c r="C104" s="37">
        <v>144.9</v>
      </c>
      <c r="D104" s="37">
        <v>148.84</v>
      </c>
    </row>
    <row r="105" spans="1:4" x14ac:dyDescent="0.35">
      <c r="A105" s="2">
        <f t="shared" si="1"/>
        <v>44515</v>
      </c>
      <c r="B105" t="s">
        <v>1202</v>
      </c>
      <c r="C105" s="37">
        <v>145.87</v>
      </c>
      <c r="D105" s="37">
        <v>149.76</v>
      </c>
    </row>
    <row r="106" spans="1:4" x14ac:dyDescent="0.35">
      <c r="A106" s="2">
        <f t="shared" si="1"/>
        <v>44522</v>
      </c>
      <c r="B106" t="s">
        <v>1203</v>
      </c>
      <c r="C106" s="37">
        <v>146.88999999999999</v>
      </c>
      <c r="D106" s="37">
        <v>150.72999999999999</v>
      </c>
    </row>
    <row r="107" spans="1:4" x14ac:dyDescent="0.35">
      <c r="A107" s="2">
        <f t="shared" si="1"/>
        <v>44529</v>
      </c>
      <c r="B107" t="s">
        <v>1204</v>
      </c>
      <c r="C107" s="37">
        <v>147.53</v>
      </c>
      <c r="D107" s="37">
        <v>151.31</v>
      </c>
    </row>
    <row r="108" spans="1:4" x14ac:dyDescent="0.35">
      <c r="A108" s="2">
        <f t="shared" si="1"/>
        <v>44536</v>
      </c>
      <c r="B108" t="s">
        <v>1205</v>
      </c>
      <c r="C108" s="37">
        <v>146.88999999999999</v>
      </c>
      <c r="D108" s="37">
        <v>150.61000000000001</v>
      </c>
    </row>
    <row r="109" spans="1:4" x14ac:dyDescent="0.35">
      <c r="A109" s="2">
        <f t="shared" si="1"/>
        <v>44543</v>
      </c>
      <c r="B109" t="s">
        <v>1206</v>
      </c>
      <c r="C109" s="37">
        <v>146.22</v>
      </c>
      <c r="D109" s="37">
        <v>149.88</v>
      </c>
    </row>
    <row r="110" spans="1:4" x14ac:dyDescent="0.35">
      <c r="A110" s="2">
        <f t="shared" si="1"/>
        <v>44550</v>
      </c>
      <c r="B110" t="s">
        <v>1207</v>
      </c>
      <c r="C110" s="37">
        <v>145.16</v>
      </c>
      <c r="D110" s="37">
        <v>148.88999999999999</v>
      </c>
    </row>
    <row r="111" spans="1:4" x14ac:dyDescent="0.35">
      <c r="A111" s="2">
        <f t="shared" si="1"/>
        <v>44557</v>
      </c>
      <c r="B111" t="s">
        <v>1208</v>
      </c>
      <c r="C111" s="37">
        <v>144.91999999999999</v>
      </c>
      <c r="D111" s="37">
        <v>148.82</v>
      </c>
    </row>
    <row r="112" spans="1:4" x14ac:dyDescent="0.35">
      <c r="A112" s="2">
        <f t="shared" si="1"/>
        <v>44564</v>
      </c>
      <c r="B112" t="s">
        <v>1209</v>
      </c>
      <c r="C112" s="37">
        <v>145.04</v>
      </c>
      <c r="D112" s="37">
        <v>148.85</v>
      </c>
    </row>
    <row r="113" spans="1:4" x14ac:dyDescent="0.35">
      <c r="A113" s="2">
        <f t="shared" si="1"/>
        <v>44571</v>
      </c>
      <c r="B113" t="s">
        <v>1210</v>
      </c>
      <c r="C113" s="37">
        <v>144.82</v>
      </c>
      <c r="D113" s="37">
        <v>148.65</v>
      </c>
    </row>
    <row r="114" spans="1:4" x14ac:dyDescent="0.35">
      <c r="A114" s="2">
        <f t="shared" si="1"/>
        <v>44578</v>
      </c>
      <c r="B114" t="s">
        <v>1211</v>
      </c>
      <c r="C114" s="37">
        <v>144.80000000000001</v>
      </c>
      <c r="D114" s="37">
        <v>148.69999999999999</v>
      </c>
    </row>
    <row r="115" spans="1:4" x14ac:dyDescent="0.35">
      <c r="A115" s="2">
        <f t="shared" si="1"/>
        <v>44585</v>
      </c>
      <c r="B115" t="s">
        <v>1212</v>
      </c>
      <c r="C115" s="37">
        <v>144.87</v>
      </c>
      <c r="D115" s="37">
        <v>148.81</v>
      </c>
    </row>
    <row r="116" spans="1:4" x14ac:dyDescent="0.35">
      <c r="A116" s="2">
        <f t="shared" si="1"/>
        <v>44592</v>
      </c>
      <c r="B116" t="s">
        <v>1213</v>
      </c>
      <c r="C116" s="37">
        <v>145.74</v>
      </c>
      <c r="D116" s="37">
        <v>149.68</v>
      </c>
    </row>
    <row r="117" spans="1:4" x14ac:dyDescent="0.35">
      <c r="A117" s="2">
        <f t="shared" si="1"/>
        <v>44599</v>
      </c>
      <c r="B117" t="s">
        <v>1214</v>
      </c>
      <c r="C117" s="37">
        <v>146.33000000000001</v>
      </c>
      <c r="D117" s="37">
        <v>150.30000000000001</v>
      </c>
    </row>
    <row r="118" spans="1:4" x14ac:dyDescent="0.35">
      <c r="A118" s="2">
        <f t="shared" si="1"/>
        <v>44606</v>
      </c>
      <c r="B118" t="s">
        <v>1215</v>
      </c>
      <c r="C118" s="37">
        <v>146.94999999999999</v>
      </c>
      <c r="D118" s="37">
        <v>151.1</v>
      </c>
    </row>
    <row r="119" spans="1:4" x14ac:dyDescent="0.35">
      <c r="A119" s="2">
        <f t="shared" si="1"/>
        <v>44613</v>
      </c>
      <c r="B119" t="s">
        <v>1216</v>
      </c>
      <c r="C119" s="37">
        <v>147.77000000000001</v>
      </c>
      <c r="D119" s="37">
        <v>151.94999999999999</v>
      </c>
    </row>
    <row r="120" spans="1:4" x14ac:dyDescent="0.35">
      <c r="A120" s="2">
        <f t="shared" si="1"/>
        <v>44620</v>
      </c>
      <c r="B120" t="s">
        <v>1217</v>
      </c>
      <c r="C120" s="37">
        <v>149.22</v>
      </c>
      <c r="D120" s="37">
        <v>153.36000000000001</v>
      </c>
    </row>
    <row r="121" spans="1:4" x14ac:dyDescent="0.35">
      <c r="A121" s="2">
        <f t="shared" si="1"/>
        <v>44627</v>
      </c>
      <c r="B121" t="s">
        <v>1218</v>
      </c>
      <c r="C121" s="37">
        <v>152.94999999999999</v>
      </c>
      <c r="D121" s="37">
        <v>158.56</v>
      </c>
    </row>
    <row r="122" spans="1:4" x14ac:dyDescent="0.35">
      <c r="A122" s="2">
        <f t="shared" si="1"/>
        <v>44634</v>
      </c>
      <c r="B122" t="s">
        <v>1219</v>
      </c>
      <c r="C122" s="37">
        <v>159.96</v>
      </c>
      <c r="D122" s="37">
        <v>169.48</v>
      </c>
    </row>
    <row r="123" spans="1:4" x14ac:dyDescent="0.35">
      <c r="A123" s="2">
        <f t="shared" si="1"/>
        <v>44641</v>
      </c>
      <c r="B123" t="s">
        <v>1220</v>
      </c>
      <c r="C123" s="37">
        <v>165.37</v>
      </c>
      <c r="D123" s="37">
        <v>177.47</v>
      </c>
    </row>
    <row r="124" spans="1:4" x14ac:dyDescent="0.35">
      <c r="A124" s="2">
        <f t="shared" si="1"/>
        <v>44648</v>
      </c>
      <c r="B124" t="s">
        <v>1221</v>
      </c>
      <c r="C124" s="37">
        <v>162.65</v>
      </c>
      <c r="D124" s="37">
        <v>176.44</v>
      </c>
    </row>
    <row r="125" spans="1:4" x14ac:dyDescent="0.35">
      <c r="A125" s="2">
        <f t="shared" si="1"/>
        <v>44655</v>
      </c>
      <c r="B125" t="s">
        <v>1222</v>
      </c>
      <c r="C125" s="37">
        <v>161.91</v>
      </c>
      <c r="D125" s="37">
        <v>176</v>
      </c>
    </row>
    <row r="126" spans="1:4" x14ac:dyDescent="0.35">
      <c r="A126" s="2">
        <f t="shared" si="1"/>
        <v>44662</v>
      </c>
      <c r="B126" t="s">
        <v>1223</v>
      </c>
      <c r="C126" s="37">
        <v>161.78</v>
      </c>
      <c r="D126" s="37">
        <v>176.22</v>
      </c>
    </row>
    <row r="127" spans="1:4" x14ac:dyDescent="0.35">
      <c r="A127" s="2">
        <f t="shared" si="1"/>
        <v>44669</v>
      </c>
      <c r="B127" t="s">
        <v>1224</v>
      </c>
      <c r="C127" s="37">
        <v>161.66999999999999</v>
      </c>
      <c r="D127" s="37">
        <v>175.93</v>
      </c>
    </row>
    <row r="128" spans="1:4" x14ac:dyDescent="0.35">
      <c r="A128" s="2">
        <f t="shared" si="1"/>
        <v>44676</v>
      </c>
      <c r="B128" t="s">
        <v>1225</v>
      </c>
      <c r="C128" s="37">
        <v>161.84</v>
      </c>
      <c r="D128" s="37">
        <v>176.33</v>
      </c>
    </row>
    <row r="129" spans="1:4" x14ac:dyDescent="0.35">
      <c r="A129" s="2">
        <f t="shared" si="1"/>
        <v>44683</v>
      </c>
      <c r="B129" t="s">
        <v>1226</v>
      </c>
      <c r="C129" s="37">
        <v>162.47999999999999</v>
      </c>
      <c r="D129" s="37">
        <v>177.06</v>
      </c>
    </row>
    <row r="130" spans="1:4" x14ac:dyDescent="0.35">
      <c r="A130" s="2">
        <f t="shared" si="1"/>
        <v>44690</v>
      </c>
      <c r="B130" t="s">
        <v>1227</v>
      </c>
      <c r="C130" s="37">
        <v>163.68</v>
      </c>
      <c r="D130" s="37">
        <v>178.39</v>
      </c>
    </row>
    <row r="131" spans="1:4" x14ac:dyDescent="0.35">
      <c r="A131" s="2">
        <f t="shared" si="1"/>
        <v>44697</v>
      </c>
      <c r="B131" t="s">
        <v>1228</v>
      </c>
      <c r="C131" s="37">
        <v>165.09</v>
      </c>
      <c r="D131" s="37">
        <v>179.67</v>
      </c>
    </row>
    <row r="132" spans="1:4" x14ac:dyDescent="0.35">
      <c r="A132" s="2">
        <f t="shared" si="1"/>
        <v>44704</v>
      </c>
      <c r="B132" t="s">
        <v>1229</v>
      </c>
      <c r="C132" s="37">
        <v>167.59</v>
      </c>
      <c r="D132" s="37">
        <v>181.16</v>
      </c>
    </row>
    <row r="133" spans="1:4" x14ac:dyDescent="0.35">
      <c r="A133" s="2">
        <f t="shared" si="1"/>
        <v>44711</v>
      </c>
      <c r="B133" t="s">
        <v>1230</v>
      </c>
      <c r="C133" s="37">
        <v>170.36</v>
      </c>
      <c r="D133" s="37">
        <v>182.25</v>
      </c>
    </row>
    <row r="134" spans="1:4" x14ac:dyDescent="0.35">
      <c r="A134" s="2">
        <f t="shared" si="1"/>
        <v>44718</v>
      </c>
      <c r="B134" t="s">
        <v>1231</v>
      </c>
      <c r="C134" s="37">
        <v>174.99</v>
      </c>
      <c r="D134" s="37">
        <v>184.94</v>
      </c>
    </row>
    <row r="135" spans="1:4" x14ac:dyDescent="0.35">
      <c r="A135" s="2">
        <f t="shared" si="1"/>
        <v>44725</v>
      </c>
      <c r="B135" t="s">
        <v>1232</v>
      </c>
      <c r="C135" s="37">
        <v>182.53</v>
      </c>
      <c r="D135" s="37">
        <v>190.43</v>
      </c>
    </row>
    <row r="136" spans="1:4" x14ac:dyDescent="0.35">
      <c r="A136" s="2">
        <f t="shared" si="1"/>
        <v>44732</v>
      </c>
      <c r="B136" t="s">
        <v>1233</v>
      </c>
      <c r="C136" s="37">
        <v>186.85</v>
      </c>
      <c r="D136" s="37">
        <v>194.87</v>
      </c>
    </row>
    <row r="137" spans="1:4" x14ac:dyDescent="0.35">
      <c r="A137" s="2">
        <f t="shared" ref="A137:A200" si="2">+A136+7</f>
        <v>44739</v>
      </c>
      <c r="B137" t="s">
        <v>1234</v>
      </c>
      <c r="C137" s="37">
        <v>190.93</v>
      </c>
      <c r="D137" s="37">
        <v>198.93</v>
      </c>
    </row>
    <row r="138" spans="1:4" x14ac:dyDescent="0.35">
      <c r="A138" s="2">
        <f t="shared" si="2"/>
        <v>44746</v>
      </c>
      <c r="B138" t="s">
        <v>1235</v>
      </c>
      <c r="C138" s="37">
        <v>191.55</v>
      </c>
      <c r="D138" s="37">
        <v>199.22</v>
      </c>
    </row>
    <row r="139" spans="1:4" x14ac:dyDescent="0.35">
      <c r="A139" s="2">
        <f t="shared" si="2"/>
        <v>44753</v>
      </c>
      <c r="B139" t="s">
        <v>1236</v>
      </c>
      <c r="C139" s="37">
        <v>190.63</v>
      </c>
      <c r="D139" s="37">
        <v>198.74</v>
      </c>
    </row>
    <row r="140" spans="1:4" x14ac:dyDescent="0.35">
      <c r="A140" s="2">
        <f t="shared" si="2"/>
        <v>44760</v>
      </c>
      <c r="B140" t="s">
        <v>1237</v>
      </c>
      <c r="C140" s="37">
        <v>188.92</v>
      </c>
      <c r="D140" s="37">
        <v>197.53</v>
      </c>
    </row>
    <row r="141" spans="1:4" x14ac:dyDescent="0.35">
      <c r="A141" s="2">
        <f t="shared" si="2"/>
        <v>44767</v>
      </c>
      <c r="B141" t="s">
        <v>1238</v>
      </c>
      <c r="C141" s="37">
        <v>186.6</v>
      </c>
      <c r="D141" s="37">
        <v>195.88</v>
      </c>
    </row>
    <row r="142" spans="1:4" x14ac:dyDescent="0.35">
      <c r="A142" s="2">
        <f t="shared" si="2"/>
        <v>44774</v>
      </c>
      <c r="B142" t="s">
        <v>1239</v>
      </c>
      <c r="C142" s="37">
        <v>182.77</v>
      </c>
      <c r="D142" s="37">
        <v>193.04</v>
      </c>
    </row>
    <row r="143" spans="1:4" x14ac:dyDescent="0.35">
      <c r="A143" s="2">
        <f t="shared" si="2"/>
        <v>44781</v>
      </c>
      <c r="B143" t="s">
        <v>1240</v>
      </c>
      <c r="C143" s="37">
        <v>177.64</v>
      </c>
      <c r="D143" s="37">
        <v>188.49</v>
      </c>
    </row>
    <row r="144" spans="1:4" x14ac:dyDescent="0.35">
      <c r="A144" s="2">
        <f t="shared" si="2"/>
        <v>44788</v>
      </c>
      <c r="B144" t="s">
        <v>1241</v>
      </c>
      <c r="C144" s="37">
        <v>174.19</v>
      </c>
      <c r="D144" s="37">
        <v>185.16</v>
      </c>
    </row>
    <row r="145" spans="1:4" x14ac:dyDescent="0.35">
      <c r="A145" s="2">
        <f t="shared" si="2"/>
        <v>44795</v>
      </c>
      <c r="B145" t="s">
        <v>1242</v>
      </c>
      <c r="C145" s="37">
        <v>171.14</v>
      </c>
      <c r="D145" s="37">
        <v>182.92</v>
      </c>
    </row>
    <row r="146" spans="1:4" x14ac:dyDescent="0.35">
      <c r="A146" s="2">
        <f t="shared" si="2"/>
        <v>44802</v>
      </c>
      <c r="B146" t="s">
        <v>1243</v>
      </c>
      <c r="C146" s="37">
        <v>170.12</v>
      </c>
      <c r="D146" s="37">
        <v>183.2</v>
      </c>
    </row>
    <row r="147" spans="1:4" x14ac:dyDescent="0.35">
      <c r="A147" s="2">
        <f t="shared" si="2"/>
        <v>44809</v>
      </c>
      <c r="B147" t="s">
        <v>1244</v>
      </c>
      <c r="C147" s="37">
        <v>168.93</v>
      </c>
      <c r="D147" s="37">
        <v>182.82</v>
      </c>
    </row>
    <row r="148" spans="1:4" x14ac:dyDescent="0.35">
      <c r="A148" s="2">
        <f t="shared" si="2"/>
        <v>44816</v>
      </c>
      <c r="B148" t="s">
        <v>1245</v>
      </c>
      <c r="C148" s="37">
        <v>167.61</v>
      </c>
      <c r="D148" s="37">
        <v>182.22</v>
      </c>
    </row>
    <row r="149" spans="1:4" x14ac:dyDescent="0.35">
      <c r="A149" s="2">
        <f t="shared" si="2"/>
        <v>44823</v>
      </c>
      <c r="B149" t="s">
        <v>1246</v>
      </c>
      <c r="C149" s="37">
        <v>165.47</v>
      </c>
      <c r="D149" s="37">
        <v>181.13</v>
      </c>
    </row>
    <row r="150" spans="1:4" x14ac:dyDescent="0.35">
      <c r="A150" s="2">
        <f t="shared" si="2"/>
        <v>44830</v>
      </c>
      <c r="B150" t="s">
        <v>1247</v>
      </c>
      <c r="C150" s="37">
        <v>164</v>
      </c>
      <c r="D150" s="37">
        <v>180.46</v>
      </c>
    </row>
    <row r="151" spans="1:4" x14ac:dyDescent="0.35">
      <c r="A151" s="2">
        <f t="shared" si="2"/>
        <v>44837</v>
      </c>
      <c r="B151" t="s">
        <v>1248</v>
      </c>
      <c r="C151" s="37">
        <v>162.66999999999999</v>
      </c>
      <c r="D151" s="37">
        <v>180.04</v>
      </c>
    </row>
    <row r="152" spans="1:4" x14ac:dyDescent="0.35">
      <c r="A152" s="2">
        <f t="shared" si="2"/>
        <v>44844</v>
      </c>
      <c r="B152" t="s">
        <v>1249</v>
      </c>
      <c r="C152" s="37">
        <v>162.09</v>
      </c>
      <c r="D152" s="37">
        <v>180.76</v>
      </c>
    </row>
    <row r="153" spans="1:4" x14ac:dyDescent="0.35">
      <c r="A153" s="2">
        <f t="shared" si="2"/>
        <v>44851</v>
      </c>
      <c r="B153" t="s">
        <v>1250</v>
      </c>
      <c r="C153" s="37">
        <v>162.81</v>
      </c>
      <c r="D153" s="37">
        <v>181.86</v>
      </c>
    </row>
    <row r="154" spans="1:4" x14ac:dyDescent="0.35">
      <c r="A154" s="2">
        <f t="shared" si="2"/>
        <v>44858</v>
      </c>
      <c r="B154" t="s">
        <v>1251</v>
      </c>
      <c r="C154" s="37">
        <v>164.62</v>
      </c>
      <c r="D154" s="37">
        <v>187.3</v>
      </c>
    </row>
    <row r="155" spans="1:4" x14ac:dyDescent="0.35">
      <c r="A155" s="2">
        <f t="shared" si="2"/>
        <v>44865</v>
      </c>
      <c r="B155" t="s">
        <v>1252</v>
      </c>
      <c r="C155" s="37">
        <v>165.87</v>
      </c>
      <c r="D155" s="37">
        <v>189.77</v>
      </c>
    </row>
    <row r="156" spans="1:4" x14ac:dyDescent="0.35">
      <c r="A156" s="2">
        <f t="shared" si="2"/>
        <v>44872</v>
      </c>
      <c r="B156" t="s">
        <v>1253</v>
      </c>
      <c r="C156" s="37">
        <v>165.62</v>
      </c>
      <c r="D156" s="37">
        <v>189.79</v>
      </c>
    </row>
    <row r="157" spans="1:4" x14ac:dyDescent="0.35">
      <c r="A157" s="2">
        <f t="shared" si="2"/>
        <v>44879</v>
      </c>
      <c r="B157" t="s">
        <v>1254</v>
      </c>
      <c r="C157" s="37">
        <v>164.4</v>
      </c>
      <c r="D157" s="37">
        <v>188.85</v>
      </c>
    </row>
    <row r="158" spans="1:4" x14ac:dyDescent="0.35">
      <c r="A158" s="2">
        <f t="shared" si="2"/>
        <v>44886</v>
      </c>
      <c r="B158" t="s">
        <v>1255</v>
      </c>
      <c r="C158" s="37">
        <v>163.28</v>
      </c>
      <c r="D158" s="37">
        <v>187.57</v>
      </c>
    </row>
    <row r="159" spans="1:4" x14ac:dyDescent="0.35">
      <c r="A159" s="2">
        <f t="shared" si="2"/>
        <v>44893</v>
      </c>
      <c r="B159" t="s">
        <v>1256</v>
      </c>
      <c r="C159" s="37">
        <v>161.13</v>
      </c>
      <c r="D159" s="37">
        <v>185.57</v>
      </c>
    </row>
    <row r="160" spans="1:4" x14ac:dyDescent="0.35">
      <c r="A160" s="2">
        <f t="shared" si="2"/>
        <v>44900</v>
      </c>
      <c r="B160" t="s">
        <v>1257</v>
      </c>
      <c r="C160" s="37">
        <v>159.19999999999999</v>
      </c>
      <c r="D160" s="37">
        <v>183.56</v>
      </c>
    </row>
    <row r="161" spans="1:4" x14ac:dyDescent="0.35">
      <c r="A161" s="2">
        <f t="shared" si="2"/>
        <v>44907</v>
      </c>
      <c r="B161" t="s">
        <v>1258</v>
      </c>
      <c r="C161" s="37">
        <v>155.97</v>
      </c>
      <c r="D161" s="37">
        <v>179.91</v>
      </c>
    </row>
    <row r="162" spans="1:4" x14ac:dyDescent="0.35">
      <c r="A162" s="2">
        <f t="shared" si="2"/>
        <v>44914</v>
      </c>
      <c r="B162" t="s">
        <v>1259</v>
      </c>
      <c r="C162" s="37">
        <v>154.07</v>
      </c>
      <c r="D162" s="37">
        <v>177.62</v>
      </c>
    </row>
    <row r="163" spans="1:4" x14ac:dyDescent="0.35">
      <c r="A163" s="2">
        <f t="shared" si="2"/>
        <v>44921</v>
      </c>
      <c r="B163" t="s">
        <v>1260</v>
      </c>
      <c r="C163" s="37">
        <v>151.94</v>
      </c>
      <c r="D163" s="37">
        <v>175.52</v>
      </c>
    </row>
    <row r="164" spans="1:4" x14ac:dyDescent="0.35">
      <c r="A164" s="2">
        <f t="shared" si="2"/>
        <v>44928</v>
      </c>
      <c r="B164" t="s">
        <v>1261</v>
      </c>
      <c r="C164" s="37">
        <v>150.9</v>
      </c>
      <c r="D164" s="37">
        <v>174.16</v>
      </c>
    </row>
    <row r="165" spans="1:4" x14ac:dyDescent="0.35">
      <c r="A165" s="2">
        <f t="shared" si="2"/>
        <v>44935</v>
      </c>
      <c r="B165" t="s">
        <v>1262</v>
      </c>
      <c r="C165" s="37">
        <v>149.97</v>
      </c>
      <c r="D165" s="37">
        <v>173.16</v>
      </c>
    </row>
    <row r="166" spans="1:4" x14ac:dyDescent="0.35">
      <c r="A166" s="2">
        <f t="shared" si="2"/>
        <v>44942</v>
      </c>
      <c r="B166" t="s">
        <v>1263</v>
      </c>
      <c r="C166" s="37">
        <v>148.79</v>
      </c>
      <c r="D166" s="37">
        <v>171.64</v>
      </c>
    </row>
    <row r="167" spans="1:4" x14ac:dyDescent="0.35">
      <c r="A167" s="2">
        <f t="shared" si="2"/>
        <v>44949</v>
      </c>
      <c r="B167" t="s">
        <v>1264</v>
      </c>
      <c r="C167" s="37">
        <v>148.21</v>
      </c>
      <c r="D167" s="37">
        <v>170.86</v>
      </c>
    </row>
    <row r="168" spans="1:4" x14ac:dyDescent="0.35">
      <c r="A168" s="2">
        <f t="shared" si="2"/>
        <v>44956</v>
      </c>
      <c r="B168" t="s">
        <v>1265</v>
      </c>
      <c r="C168" s="37">
        <v>148.18</v>
      </c>
      <c r="D168" s="37">
        <v>170.56</v>
      </c>
    </row>
    <row r="169" spans="1:4" x14ac:dyDescent="0.35">
      <c r="A169" s="2">
        <f t="shared" si="2"/>
        <v>44963</v>
      </c>
      <c r="B169" t="s">
        <v>1266</v>
      </c>
      <c r="C169" s="37">
        <v>148.34</v>
      </c>
      <c r="D169" s="37">
        <v>170.36</v>
      </c>
    </row>
    <row r="170" spans="1:4" x14ac:dyDescent="0.35">
      <c r="A170" s="2">
        <f t="shared" si="2"/>
        <v>44970</v>
      </c>
      <c r="B170" t="s">
        <v>1267</v>
      </c>
      <c r="C170" s="37">
        <v>147.97999999999999</v>
      </c>
      <c r="D170" s="37">
        <v>169.66</v>
      </c>
    </row>
    <row r="171" spans="1:4" x14ac:dyDescent="0.35">
      <c r="A171" s="2">
        <f t="shared" si="2"/>
        <v>44977</v>
      </c>
      <c r="B171" t="s">
        <v>1268</v>
      </c>
      <c r="C171" s="37">
        <v>147.86000000000001</v>
      </c>
      <c r="D171" s="37">
        <v>169.3</v>
      </c>
    </row>
    <row r="172" spans="1:4" x14ac:dyDescent="0.35">
      <c r="A172" s="2">
        <f t="shared" si="2"/>
        <v>44984</v>
      </c>
      <c r="B172" t="s">
        <v>1269</v>
      </c>
      <c r="C172" s="37">
        <v>147.55000000000001</v>
      </c>
      <c r="D172" s="37">
        <v>168.56</v>
      </c>
    </row>
    <row r="173" spans="1:4" x14ac:dyDescent="0.35">
      <c r="A173" s="2">
        <f t="shared" si="2"/>
        <v>44991</v>
      </c>
      <c r="B173" t="s">
        <v>1270</v>
      </c>
      <c r="C173" s="37">
        <v>147.12</v>
      </c>
      <c r="D173" s="37">
        <v>167.33</v>
      </c>
    </row>
    <row r="174" spans="1:4" x14ac:dyDescent="0.35">
      <c r="A174" s="2">
        <f t="shared" si="2"/>
        <v>44998</v>
      </c>
      <c r="B174" t="s">
        <v>1271</v>
      </c>
      <c r="C174" s="37">
        <v>146.97</v>
      </c>
      <c r="D174" s="37">
        <v>167.04</v>
      </c>
    </row>
    <row r="175" spans="1:4" x14ac:dyDescent="0.35">
      <c r="A175" s="2">
        <f t="shared" si="2"/>
        <v>45005</v>
      </c>
      <c r="B175" t="s">
        <v>1272</v>
      </c>
      <c r="C175" s="37">
        <v>146.62</v>
      </c>
      <c r="D175" s="37">
        <v>166.26</v>
      </c>
    </row>
    <row r="176" spans="1:4" x14ac:dyDescent="0.35">
      <c r="A176" s="2">
        <f t="shared" si="2"/>
        <v>45012</v>
      </c>
      <c r="B176" t="s">
        <v>1273</v>
      </c>
      <c r="C176" s="37">
        <v>146.21</v>
      </c>
      <c r="D176" s="37">
        <v>165.18</v>
      </c>
    </row>
    <row r="177" spans="1:4" x14ac:dyDescent="0.35">
      <c r="A177" s="2">
        <f t="shared" si="2"/>
        <v>45019</v>
      </c>
      <c r="B177" t="s">
        <v>1274</v>
      </c>
      <c r="C177" s="37">
        <v>145.72</v>
      </c>
      <c r="D177" s="37">
        <v>163.71</v>
      </c>
    </row>
    <row r="178" spans="1:4" x14ac:dyDescent="0.35">
      <c r="A178" s="2">
        <f t="shared" si="2"/>
        <v>45026</v>
      </c>
      <c r="B178" t="s">
        <v>1275</v>
      </c>
      <c r="C178" s="37">
        <v>145.82</v>
      </c>
      <c r="D178" s="37">
        <v>162.71</v>
      </c>
    </row>
    <row r="179" spans="1:4" x14ac:dyDescent="0.35">
      <c r="A179" s="2">
        <f t="shared" si="2"/>
        <v>45033</v>
      </c>
      <c r="B179" t="s">
        <v>1276</v>
      </c>
      <c r="C179" s="37">
        <v>145.93</v>
      </c>
      <c r="D179" s="37">
        <v>162.11000000000001</v>
      </c>
    </row>
    <row r="180" spans="1:4" x14ac:dyDescent="0.35">
      <c r="A180" s="2">
        <f t="shared" si="2"/>
        <v>45040</v>
      </c>
      <c r="B180" t="s">
        <v>1277</v>
      </c>
      <c r="C180" s="37">
        <v>145.84</v>
      </c>
      <c r="D180" s="37">
        <v>161.34</v>
      </c>
    </row>
    <row r="181" spans="1:4" x14ac:dyDescent="0.35">
      <c r="A181" s="2">
        <f t="shared" si="2"/>
        <v>45047</v>
      </c>
      <c r="B181" t="s">
        <v>1278</v>
      </c>
      <c r="C181" s="37">
        <v>145.71</v>
      </c>
      <c r="D181" s="37">
        <v>160.35</v>
      </c>
    </row>
    <row r="182" spans="1:4" x14ac:dyDescent="0.35">
      <c r="A182" s="2">
        <f t="shared" si="2"/>
        <v>45054</v>
      </c>
      <c r="B182" t="s">
        <v>1279</v>
      </c>
      <c r="C182" s="37">
        <v>145.30000000000001</v>
      </c>
      <c r="D182" s="37">
        <v>158.12</v>
      </c>
    </row>
    <row r="183" spans="1:4" x14ac:dyDescent="0.35">
      <c r="A183" s="2">
        <f t="shared" si="2"/>
        <v>45061</v>
      </c>
      <c r="B183" t="s">
        <v>1280</v>
      </c>
      <c r="C183" s="37">
        <v>144.65</v>
      </c>
      <c r="D183" s="37">
        <v>155.53</v>
      </c>
    </row>
    <row r="184" spans="1:4" x14ac:dyDescent="0.35">
      <c r="A184" s="2">
        <f t="shared" si="2"/>
        <v>45068</v>
      </c>
      <c r="B184" t="s">
        <v>1281</v>
      </c>
      <c r="C184" s="37">
        <v>143.63999999999999</v>
      </c>
      <c r="D184" s="37">
        <v>151.59</v>
      </c>
    </row>
    <row r="185" spans="1:4" x14ac:dyDescent="0.35">
      <c r="A185" s="2">
        <f t="shared" si="2"/>
        <v>45075</v>
      </c>
      <c r="B185" t="s">
        <v>1282</v>
      </c>
      <c r="C185" s="37">
        <v>142.94</v>
      </c>
      <c r="D185" s="37">
        <v>147.87</v>
      </c>
    </row>
    <row r="186" spans="1:4" x14ac:dyDescent="0.35">
      <c r="A186" s="2">
        <f t="shared" si="2"/>
        <v>45082</v>
      </c>
      <c r="B186" t="s">
        <v>1283</v>
      </c>
      <c r="C186" s="37">
        <v>142.9</v>
      </c>
      <c r="D186" s="37">
        <v>146.43</v>
      </c>
    </row>
    <row r="187" spans="1:4" x14ac:dyDescent="0.35">
      <c r="A187" s="2">
        <f t="shared" si="2"/>
        <v>45089</v>
      </c>
      <c r="B187" t="s">
        <v>1284</v>
      </c>
      <c r="C187" s="37">
        <v>142.71</v>
      </c>
      <c r="D187" s="37">
        <v>145.47999999999999</v>
      </c>
    </row>
    <row r="188" spans="1:4" x14ac:dyDescent="0.35">
      <c r="A188" s="2">
        <f t="shared" si="2"/>
        <v>45096</v>
      </c>
      <c r="B188" t="s">
        <v>1285</v>
      </c>
      <c r="C188" s="37">
        <v>142.94999999999999</v>
      </c>
      <c r="D188" s="37">
        <v>145.19999999999999</v>
      </c>
    </row>
    <row r="189" spans="1:4" x14ac:dyDescent="0.35">
      <c r="A189" s="2">
        <f t="shared" si="2"/>
        <v>45103</v>
      </c>
      <c r="B189" t="s">
        <v>1286</v>
      </c>
      <c r="C189" s="37">
        <v>143.43</v>
      </c>
      <c r="D189" s="37">
        <v>145.65</v>
      </c>
    </row>
    <row r="190" spans="1:4" x14ac:dyDescent="0.35">
      <c r="A190" s="2">
        <f t="shared" si="2"/>
        <v>45110</v>
      </c>
      <c r="B190" t="s">
        <v>1287</v>
      </c>
      <c r="C190" s="37">
        <v>143.4</v>
      </c>
      <c r="D190" s="37">
        <v>145.52000000000001</v>
      </c>
    </row>
    <row r="191" spans="1:4" x14ac:dyDescent="0.35">
      <c r="A191" s="2">
        <f t="shared" si="2"/>
        <v>45117</v>
      </c>
      <c r="B191" t="s">
        <v>1288</v>
      </c>
      <c r="C191" s="37">
        <v>142.87</v>
      </c>
      <c r="D191" s="37">
        <v>144.72999999999999</v>
      </c>
    </row>
    <row r="192" spans="1:4" x14ac:dyDescent="0.35">
      <c r="A192" s="2">
        <f t="shared" si="2"/>
        <v>45124</v>
      </c>
      <c r="B192" t="s">
        <v>1289</v>
      </c>
      <c r="C192" s="37">
        <v>142.77000000000001</v>
      </c>
      <c r="D192" s="37">
        <v>144.63999999999999</v>
      </c>
    </row>
    <row r="193" spans="1:4" x14ac:dyDescent="0.35">
      <c r="A193" s="2">
        <f t="shared" si="2"/>
        <v>45131</v>
      </c>
      <c r="B193" t="s">
        <v>1290</v>
      </c>
      <c r="C193" s="37">
        <v>142.96</v>
      </c>
      <c r="D193" s="37">
        <v>145.13</v>
      </c>
    </row>
    <row r="194" spans="1:4" x14ac:dyDescent="0.35">
      <c r="A194" s="2">
        <f t="shared" si="2"/>
        <v>45138</v>
      </c>
      <c r="B194" t="s">
        <v>1291</v>
      </c>
      <c r="C194" s="37">
        <v>144.13</v>
      </c>
      <c r="D194" s="37">
        <v>145.94999999999999</v>
      </c>
    </row>
    <row r="195" spans="1:4" x14ac:dyDescent="0.35">
      <c r="A195" s="2">
        <f t="shared" si="2"/>
        <v>45145</v>
      </c>
      <c r="B195" t="s">
        <v>1292</v>
      </c>
      <c r="C195" s="37">
        <v>146.18</v>
      </c>
      <c r="D195" s="37">
        <v>148.22999999999999</v>
      </c>
    </row>
    <row r="196" spans="1:4" x14ac:dyDescent="0.35">
      <c r="A196" s="2">
        <f t="shared" si="2"/>
        <v>45152</v>
      </c>
      <c r="B196" t="s">
        <v>1293</v>
      </c>
      <c r="C196" s="37">
        <v>147.77000000000001</v>
      </c>
      <c r="D196" s="37">
        <v>150.37</v>
      </c>
    </row>
    <row r="197" spans="1:4" x14ac:dyDescent="0.35">
      <c r="A197" s="2">
        <f t="shared" si="2"/>
        <v>45159</v>
      </c>
      <c r="B197" t="s">
        <v>1294</v>
      </c>
      <c r="C197" s="37">
        <v>149.4</v>
      </c>
      <c r="D197" s="37">
        <v>152.13999999999999</v>
      </c>
    </row>
    <row r="198" spans="1:4" x14ac:dyDescent="0.35">
      <c r="A198" s="2">
        <f t="shared" si="2"/>
        <v>45166</v>
      </c>
      <c r="B198" t="s">
        <v>1295</v>
      </c>
      <c r="C198" s="37">
        <v>150.72999999999999</v>
      </c>
      <c r="D198" s="37">
        <v>153.52000000000001</v>
      </c>
    </row>
    <row r="199" spans="1:4" x14ac:dyDescent="0.35">
      <c r="A199" s="2">
        <f t="shared" si="2"/>
        <v>45173</v>
      </c>
      <c r="B199" t="s">
        <v>1296</v>
      </c>
      <c r="C199" s="37">
        <v>151.71</v>
      </c>
      <c r="D199" s="37">
        <v>154.65</v>
      </c>
    </row>
    <row r="200" spans="1:4" x14ac:dyDescent="0.35">
      <c r="A200" s="2">
        <f t="shared" si="2"/>
        <v>45180</v>
      </c>
      <c r="B200" t="s">
        <v>1297</v>
      </c>
      <c r="C200" s="37">
        <v>153.1</v>
      </c>
      <c r="D200" s="37">
        <v>156.15</v>
      </c>
    </row>
    <row r="201" spans="1:4" x14ac:dyDescent="0.35">
      <c r="A201" s="2">
        <f t="shared" ref="A201:A264" si="3">+A200+7</f>
        <v>45187</v>
      </c>
      <c r="B201" t="s">
        <v>1298</v>
      </c>
      <c r="C201" s="37">
        <v>154.06</v>
      </c>
      <c r="D201" s="37">
        <v>158.16</v>
      </c>
    </row>
    <row r="202" spans="1:4" x14ac:dyDescent="0.35">
      <c r="A202" s="2">
        <f t="shared" si="3"/>
        <v>45194</v>
      </c>
      <c r="B202" t="s">
        <v>1299</v>
      </c>
      <c r="C202" s="37">
        <v>155.41</v>
      </c>
      <c r="D202" s="37">
        <v>160.61000000000001</v>
      </c>
    </row>
    <row r="203" spans="1:4" x14ac:dyDescent="0.35">
      <c r="A203" s="2">
        <f t="shared" si="3"/>
        <v>45201</v>
      </c>
      <c r="B203" t="s">
        <v>1300</v>
      </c>
      <c r="C203" s="37">
        <v>156.02000000000001</v>
      </c>
      <c r="D203" s="37">
        <v>162.15</v>
      </c>
    </row>
    <row r="204" spans="1:4" x14ac:dyDescent="0.35">
      <c r="A204" s="2">
        <f t="shared" si="3"/>
        <v>45208</v>
      </c>
      <c r="B204" t="s">
        <v>1301</v>
      </c>
      <c r="C204" s="37">
        <v>155.94</v>
      </c>
      <c r="D204" s="37">
        <v>162.49</v>
      </c>
    </row>
    <row r="205" spans="1:4" x14ac:dyDescent="0.35">
      <c r="A205" s="2">
        <f t="shared" si="3"/>
        <v>45215</v>
      </c>
      <c r="B205" t="s">
        <v>1302</v>
      </c>
      <c r="C205" s="37">
        <v>155.09</v>
      </c>
      <c r="D205" s="37">
        <v>162.31</v>
      </c>
    </row>
    <row r="206" spans="1:4" x14ac:dyDescent="0.35">
      <c r="A206" s="2">
        <f t="shared" si="3"/>
        <v>45222</v>
      </c>
      <c r="B206" t="s">
        <v>1303</v>
      </c>
      <c r="C206" s="37">
        <v>154.63</v>
      </c>
      <c r="D206" s="37">
        <v>162.19</v>
      </c>
    </row>
    <row r="207" spans="1:4" x14ac:dyDescent="0.35">
      <c r="A207" s="2">
        <f t="shared" si="3"/>
        <v>45229</v>
      </c>
      <c r="B207" t="s">
        <v>1304</v>
      </c>
      <c r="C207" s="37">
        <v>153.97</v>
      </c>
      <c r="D207" s="37">
        <v>161.76</v>
      </c>
    </row>
    <row r="208" spans="1:4" x14ac:dyDescent="0.35">
      <c r="A208" s="2">
        <f t="shared" si="3"/>
        <v>45236</v>
      </c>
      <c r="B208" t="s">
        <v>1305</v>
      </c>
      <c r="C208" s="37">
        <v>153.19999999999999</v>
      </c>
      <c r="D208" s="37">
        <v>160.86000000000001</v>
      </c>
    </row>
    <row r="209" spans="1:4" x14ac:dyDescent="0.35">
      <c r="A209" s="2">
        <f t="shared" si="3"/>
        <v>45243</v>
      </c>
      <c r="B209" t="s">
        <v>1306</v>
      </c>
      <c r="C209" s="37">
        <v>152.38999999999999</v>
      </c>
      <c r="D209" s="37">
        <v>160.38999999999999</v>
      </c>
    </row>
    <row r="210" spans="1:4" x14ac:dyDescent="0.35">
      <c r="A210" s="2">
        <f t="shared" si="3"/>
        <v>45250</v>
      </c>
      <c r="B210" t="s">
        <v>1307</v>
      </c>
      <c r="C210" s="37">
        <v>150.5</v>
      </c>
      <c r="D210" s="37">
        <v>158.44</v>
      </c>
    </row>
    <row r="211" spans="1:4" x14ac:dyDescent="0.35">
      <c r="A211" s="2">
        <f t="shared" si="3"/>
        <v>45257</v>
      </c>
      <c r="B211" t="s">
        <v>1308</v>
      </c>
      <c r="C211" s="37">
        <v>147.99</v>
      </c>
      <c r="D211" s="37">
        <v>156.18</v>
      </c>
    </row>
    <row r="212" spans="1:4" x14ac:dyDescent="0.35">
      <c r="A212" s="2">
        <f t="shared" si="3"/>
        <v>45264</v>
      </c>
      <c r="B212" t="s">
        <v>1309</v>
      </c>
      <c r="C212" s="37">
        <v>145.71</v>
      </c>
      <c r="D212" s="37">
        <v>154.1</v>
      </c>
    </row>
    <row r="213" spans="1:4" x14ac:dyDescent="0.35">
      <c r="A213" s="2">
        <f t="shared" si="3"/>
        <v>45271</v>
      </c>
      <c r="B213" t="s">
        <v>1310</v>
      </c>
      <c r="C213" s="37">
        <v>143.80000000000001</v>
      </c>
      <c r="D213" s="37">
        <v>152.01</v>
      </c>
    </row>
    <row r="214" spans="1:4" x14ac:dyDescent="0.35">
      <c r="A214" s="2">
        <f t="shared" si="3"/>
        <v>45278</v>
      </c>
      <c r="B214" t="s">
        <v>1311</v>
      </c>
      <c r="C214" s="37">
        <v>141.51</v>
      </c>
      <c r="D214" s="37">
        <v>150.38</v>
      </c>
    </row>
    <row r="215" spans="1:4" x14ac:dyDescent="0.35">
      <c r="A215" s="2">
        <f t="shared" si="3"/>
        <v>45285</v>
      </c>
      <c r="B215" t="s">
        <v>1312</v>
      </c>
      <c r="C215" s="37">
        <v>140.33000000000001</v>
      </c>
      <c r="D215" s="37">
        <v>149.24</v>
      </c>
    </row>
    <row r="216" spans="1:4" x14ac:dyDescent="0.35">
      <c r="A216" s="2">
        <f t="shared" si="3"/>
        <v>45292</v>
      </c>
      <c r="B216" t="s">
        <v>1313</v>
      </c>
      <c r="C216" s="37">
        <v>140.78</v>
      </c>
      <c r="D216" s="37">
        <v>148.66</v>
      </c>
    </row>
    <row r="217" spans="1:4" x14ac:dyDescent="0.35">
      <c r="A217" s="2">
        <f t="shared" si="3"/>
        <v>45299</v>
      </c>
      <c r="B217" t="s">
        <v>1627</v>
      </c>
      <c r="C217" s="37">
        <v>139.72</v>
      </c>
      <c r="D217" s="37">
        <v>148.21</v>
      </c>
    </row>
    <row r="218" spans="1:4" x14ac:dyDescent="0.35">
      <c r="A218" s="2">
        <f t="shared" si="3"/>
        <v>45306</v>
      </c>
      <c r="B218" t="s">
        <v>1648</v>
      </c>
      <c r="C218" s="37">
        <v>139.49</v>
      </c>
      <c r="D218" s="37">
        <v>147.93</v>
      </c>
    </row>
    <row r="219" spans="1:4" x14ac:dyDescent="0.35">
      <c r="A219" s="2">
        <f t="shared" si="3"/>
        <v>45313</v>
      </c>
      <c r="B219" t="s">
        <v>1932</v>
      </c>
      <c r="C219" s="37">
        <v>139.38999999999999</v>
      </c>
      <c r="D219" s="37">
        <v>147.96</v>
      </c>
    </row>
    <row r="220" spans="1:4" x14ac:dyDescent="0.35">
      <c r="A220" s="2">
        <f t="shared" si="3"/>
        <v>45320</v>
      </c>
      <c r="B220" t="s">
        <v>1933</v>
      </c>
      <c r="C220" s="37">
        <v>139.91</v>
      </c>
      <c r="D220" s="37">
        <v>148.56</v>
      </c>
    </row>
    <row r="221" spans="1:4" x14ac:dyDescent="0.35">
      <c r="A221" s="2">
        <f t="shared" si="3"/>
        <v>45327</v>
      </c>
      <c r="B221" t="s">
        <v>1934</v>
      </c>
      <c r="C221" s="37">
        <v>140.55000000000001</v>
      </c>
      <c r="D221" s="37">
        <v>149.35</v>
      </c>
    </row>
    <row r="222" spans="1:4" x14ac:dyDescent="0.35">
      <c r="A222" s="2">
        <f t="shared" si="3"/>
        <v>45334</v>
      </c>
      <c r="B222" t="s">
        <v>1935</v>
      </c>
      <c r="C222" s="37">
        <v>141.28</v>
      </c>
      <c r="D222" s="37">
        <v>150.28</v>
      </c>
    </row>
    <row r="223" spans="1:4" x14ac:dyDescent="0.35">
      <c r="A223" s="2">
        <f t="shared" si="3"/>
        <v>45341</v>
      </c>
      <c r="B223" t="s">
        <v>1936</v>
      </c>
      <c r="C223" s="37">
        <v>142.86000000000001</v>
      </c>
      <c r="D223" s="37">
        <v>152.08000000000001</v>
      </c>
    </row>
    <row r="224" spans="1:4" x14ac:dyDescent="0.35">
      <c r="A224" s="2">
        <f t="shared" si="3"/>
        <v>45348</v>
      </c>
      <c r="B224" t="s">
        <v>1937</v>
      </c>
      <c r="C224" s="37">
        <v>143.96</v>
      </c>
      <c r="D224" s="37">
        <v>153.29</v>
      </c>
    </row>
    <row r="225" spans="1:4" x14ac:dyDescent="0.35">
      <c r="A225" s="2">
        <f t="shared" si="3"/>
        <v>45355</v>
      </c>
      <c r="B225" t="s">
        <v>1938</v>
      </c>
      <c r="C225" s="37">
        <v>144.72999999999999</v>
      </c>
      <c r="D225" s="37">
        <v>154.53</v>
      </c>
    </row>
    <row r="226" spans="1:4" x14ac:dyDescent="0.35">
      <c r="A226" s="2">
        <f t="shared" si="3"/>
        <v>45362</v>
      </c>
      <c r="B226" t="s">
        <v>1939</v>
      </c>
      <c r="C226" s="37">
        <v>144.69999999999999</v>
      </c>
      <c r="D226" s="37">
        <v>154.29</v>
      </c>
    </row>
    <row r="227" spans="1:4" x14ac:dyDescent="0.35">
      <c r="A227" s="2">
        <f t="shared" si="3"/>
        <v>45369</v>
      </c>
      <c r="B227" t="s">
        <v>1940</v>
      </c>
      <c r="C227" s="37">
        <v>144.72999999999999</v>
      </c>
      <c r="D227" s="37">
        <v>153.81</v>
      </c>
    </row>
    <row r="228" spans="1:4" x14ac:dyDescent="0.35">
      <c r="A228" s="2">
        <f t="shared" si="3"/>
        <v>45376</v>
      </c>
      <c r="B228" t="s">
        <v>1941</v>
      </c>
      <c r="C228" s="37">
        <v>145.06</v>
      </c>
      <c r="D228" s="37">
        <v>153.9</v>
      </c>
    </row>
    <row r="229" spans="1:4" x14ac:dyDescent="0.35">
      <c r="A229" s="2">
        <f t="shared" si="3"/>
        <v>45383</v>
      </c>
      <c r="B229" t="s">
        <v>1942</v>
      </c>
      <c r="C229" s="37">
        <v>146.25</v>
      </c>
      <c r="D229" s="37">
        <v>156</v>
      </c>
    </row>
    <row r="230" spans="1:4" x14ac:dyDescent="0.35">
      <c r="A230" s="2">
        <f t="shared" si="3"/>
        <v>45390</v>
      </c>
      <c r="B230" t="s">
        <v>1943</v>
      </c>
      <c r="C230" s="37">
        <v>146.91</v>
      </c>
      <c r="D230" s="37">
        <v>156.29</v>
      </c>
    </row>
    <row r="231" spans="1:4" x14ac:dyDescent="0.35">
      <c r="A231" s="2">
        <f t="shared" si="3"/>
        <v>45397</v>
      </c>
      <c r="B231" t="s">
        <v>1944</v>
      </c>
      <c r="C231" s="37">
        <v>148.49</v>
      </c>
      <c r="D231" s="37">
        <v>157.46</v>
      </c>
    </row>
    <row r="232" spans="1:4" x14ac:dyDescent="0.35">
      <c r="A232" s="2">
        <f t="shared" si="3"/>
        <v>45404</v>
      </c>
      <c r="B232" t="s">
        <v>1945</v>
      </c>
      <c r="C232" s="37">
        <v>149.21</v>
      </c>
      <c r="D232" s="37">
        <v>157.97999999999999</v>
      </c>
    </row>
    <row r="233" spans="1:4" x14ac:dyDescent="0.35">
      <c r="A233" s="2">
        <f t="shared" si="3"/>
        <v>45411</v>
      </c>
      <c r="B233" t="s">
        <v>1946</v>
      </c>
      <c r="C233" s="37">
        <v>149.49</v>
      </c>
      <c r="D233" s="37">
        <v>157.97999999999999</v>
      </c>
    </row>
    <row r="234" spans="1:4" x14ac:dyDescent="0.35">
      <c r="A234" s="2">
        <f t="shared" si="3"/>
        <v>45418</v>
      </c>
      <c r="B234" t="s">
        <v>1947</v>
      </c>
      <c r="C234" s="37">
        <v>149.54</v>
      </c>
      <c r="D234" s="37">
        <v>157.63999999999999</v>
      </c>
    </row>
    <row r="235" spans="1:4" x14ac:dyDescent="0.35">
      <c r="A235" s="2">
        <f t="shared" si="3"/>
        <v>45425</v>
      </c>
      <c r="B235" t="s">
        <v>1948</v>
      </c>
      <c r="C235" s="37">
        <v>149.22999999999999</v>
      </c>
      <c r="D235" s="37">
        <v>157.08000000000001</v>
      </c>
    </row>
    <row r="236" spans="1:4" x14ac:dyDescent="0.35">
      <c r="A236" s="2">
        <f t="shared" si="3"/>
        <v>45432</v>
      </c>
      <c r="B236" t="s">
        <v>1949</v>
      </c>
      <c r="C236" s="37">
        <v>148.83000000000001</v>
      </c>
      <c r="D236" s="37">
        <v>156.21</v>
      </c>
    </row>
    <row r="237" spans="1:4" x14ac:dyDescent="0.35">
      <c r="A237" s="2">
        <f t="shared" si="3"/>
        <v>45439</v>
      </c>
      <c r="B237" t="s">
        <v>1950</v>
      </c>
      <c r="C237" s="37">
        <v>147.65</v>
      </c>
      <c r="D237" s="37">
        <v>154.30000000000001</v>
      </c>
    </row>
    <row r="238" spans="1:4" x14ac:dyDescent="0.35">
      <c r="A238" s="2">
        <f t="shared" si="3"/>
        <v>45446</v>
      </c>
      <c r="B238" t="s">
        <v>1951</v>
      </c>
      <c r="C238" s="37">
        <v>147.27000000000001</v>
      </c>
      <c r="D238" s="37">
        <v>153.26</v>
      </c>
    </row>
    <row r="239" spans="1:4" x14ac:dyDescent="0.35">
      <c r="A239" s="2">
        <f t="shared" si="3"/>
        <v>45453</v>
      </c>
      <c r="B239" t="s">
        <v>1952</v>
      </c>
      <c r="C239" s="37">
        <v>146.25</v>
      </c>
      <c r="D239" s="37">
        <v>151.99</v>
      </c>
    </row>
    <row r="240" spans="1:4" x14ac:dyDescent="0.35">
      <c r="A240" s="2">
        <f t="shared" si="3"/>
        <v>45460</v>
      </c>
      <c r="B240" t="s">
        <v>1953</v>
      </c>
      <c r="C240" s="37">
        <v>145.09</v>
      </c>
      <c r="D240" s="37">
        <v>150.69999999999999</v>
      </c>
    </row>
    <row r="241" spans="1:4" x14ac:dyDescent="0.35">
      <c r="A241" s="2">
        <f t="shared" si="3"/>
        <v>45467</v>
      </c>
      <c r="B241" t="s">
        <v>1954</v>
      </c>
      <c r="C241" s="37">
        <v>144.43</v>
      </c>
      <c r="D241" s="37">
        <v>150.12</v>
      </c>
    </row>
    <row r="242" spans="1:4" x14ac:dyDescent="0.35">
      <c r="A242" s="2">
        <f t="shared" si="3"/>
        <v>45474</v>
      </c>
      <c r="B242" t="s">
        <v>1955</v>
      </c>
      <c r="C242" s="37">
        <v>144.28</v>
      </c>
      <c r="D242" s="37">
        <v>150.06</v>
      </c>
    </row>
    <row r="243" spans="1:4" x14ac:dyDescent="0.35">
      <c r="A243" s="2">
        <f t="shared" si="3"/>
        <v>45481</v>
      </c>
      <c r="B243" t="s">
        <v>1956</v>
      </c>
      <c r="C243" s="37">
        <v>144.44999999999999</v>
      </c>
      <c r="D243" s="37">
        <v>150.38999999999999</v>
      </c>
    </row>
    <row r="244" spans="1:4" x14ac:dyDescent="0.35">
      <c r="A244" s="2">
        <f t="shared" si="3"/>
        <v>45488</v>
      </c>
      <c r="B244" t="s">
        <v>1957</v>
      </c>
      <c r="C244" s="37">
        <v>144.6</v>
      </c>
      <c r="D244" s="37">
        <v>150.56</v>
      </c>
    </row>
    <row r="245" spans="1:4" x14ac:dyDescent="0.35">
      <c r="A245" s="2">
        <f t="shared" si="3"/>
        <v>45495</v>
      </c>
      <c r="B245" t="s">
        <v>1958</v>
      </c>
      <c r="C245" s="37">
        <v>144.69</v>
      </c>
      <c r="D245" s="37">
        <v>150.59</v>
      </c>
    </row>
    <row r="246" spans="1:4" x14ac:dyDescent="0.35">
      <c r="A246" s="2">
        <f t="shared" si="3"/>
        <v>45502</v>
      </c>
      <c r="B246" t="s">
        <v>1959</v>
      </c>
      <c r="C246" s="37">
        <v>144.19</v>
      </c>
      <c r="D246" s="37">
        <v>150.16</v>
      </c>
    </row>
    <row r="247" spans="1:4" x14ac:dyDescent="0.35">
      <c r="A247" s="2">
        <f t="shared" si="3"/>
        <v>45509</v>
      </c>
      <c r="B247" t="s">
        <v>1960</v>
      </c>
      <c r="C247" s="37">
        <v>143.41999999999999</v>
      </c>
      <c r="D247" s="37">
        <v>149.1</v>
      </c>
    </row>
    <row r="248" spans="1:4" x14ac:dyDescent="0.35">
      <c r="A248" s="2">
        <f t="shared" si="3"/>
        <v>45516</v>
      </c>
      <c r="B248" t="s">
        <v>1961</v>
      </c>
      <c r="C248" s="37">
        <v>142.91</v>
      </c>
      <c r="D248" s="37">
        <v>148.47999999999999</v>
      </c>
    </row>
    <row r="249" spans="1:4" x14ac:dyDescent="0.35">
      <c r="A249" s="2">
        <f t="shared" si="3"/>
        <v>45523</v>
      </c>
      <c r="B249" t="s">
        <v>1962</v>
      </c>
      <c r="C249" s="37">
        <v>141.96</v>
      </c>
      <c r="D249" s="37">
        <v>147.41999999999999</v>
      </c>
    </row>
    <row r="250" spans="1:4" x14ac:dyDescent="0.35">
      <c r="A250" s="2">
        <f t="shared" si="3"/>
        <v>45530</v>
      </c>
      <c r="B250" t="s">
        <v>1963</v>
      </c>
      <c r="C250" s="37">
        <v>141.01</v>
      </c>
      <c r="D250" s="37">
        <v>146.15</v>
      </c>
    </row>
    <row r="251" spans="1:4" x14ac:dyDescent="0.35">
      <c r="A251" s="2">
        <f t="shared" si="3"/>
        <v>45537</v>
      </c>
      <c r="B251" t="s">
        <v>1964</v>
      </c>
      <c r="C251" s="37">
        <v>139.96</v>
      </c>
      <c r="D251" s="37">
        <v>145.19</v>
      </c>
    </row>
    <row r="252" spans="1:4" x14ac:dyDescent="0.35">
      <c r="A252" s="2">
        <f t="shared" si="3"/>
        <v>45544</v>
      </c>
      <c r="B252" t="s">
        <v>1965</v>
      </c>
      <c r="C252" s="37">
        <v>138.1</v>
      </c>
      <c r="D252" s="37">
        <v>143.4</v>
      </c>
    </row>
    <row r="253" spans="1:4" x14ac:dyDescent="0.35">
      <c r="A253" s="2">
        <f t="shared" si="3"/>
        <v>45551</v>
      </c>
      <c r="B253" t="s">
        <v>1966</v>
      </c>
      <c r="C253" s="37">
        <v>136.49</v>
      </c>
      <c r="D253" s="37">
        <v>141.61000000000001</v>
      </c>
    </row>
    <row r="254" spans="1:4" x14ac:dyDescent="0.35">
      <c r="A254" s="2">
        <f t="shared" si="3"/>
        <v>45558</v>
      </c>
      <c r="B254" t="s">
        <v>1967</v>
      </c>
      <c r="C254" s="37">
        <v>135.26</v>
      </c>
      <c r="D254" s="37">
        <v>140.02000000000001</v>
      </c>
    </row>
    <row r="255" spans="1:4" x14ac:dyDescent="0.35">
      <c r="A255" s="2">
        <f t="shared" si="3"/>
        <v>45565</v>
      </c>
      <c r="B255" t="s">
        <v>1968</v>
      </c>
      <c r="C255" s="37">
        <v>134.16999999999999</v>
      </c>
      <c r="D255" s="37">
        <v>138.85</v>
      </c>
    </row>
    <row r="256" spans="1:4" x14ac:dyDescent="0.35">
      <c r="A256" s="2">
        <f t="shared" si="3"/>
        <v>45572</v>
      </c>
      <c r="B256" t="s">
        <v>1969</v>
      </c>
      <c r="C256" s="37">
        <v>133.59</v>
      </c>
      <c r="D256" s="37">
        <v>138.46</v>
      </c>
    </row>
    <row r="257" spans="1:4" x14ac:dyDescent="0.35">
      <c r="A257" s="2">
        <f t="shared" si="3"/>
        <v>45579</v>
      </c>
      <c r="B257" t="s">
        <v>1970</v>
      </c>
      <c r="C257" s="37">
        <v>133.86000000000001</v>
      </c>
      <c r="D257" s="37">
        <v>139.08000000000001</v>
      </c>
    </row>
    <row r="258" spans="1:4" x14ac:dyDescent="0.35">
      <c r="A258" s="2">
        <f t="shared" si="3"/>
        <v>45586</v>
      </c>
      <c r="B258" t="s">
        <v>1971</v>
      </c>
      <c r="C258" s="37">
        <v>133.99</v>
      </c>
      <c r="D258" s="37">
        <v>139.26</v>
      </c>
    </row>
    <row r="259" spans="1:4" x14ac:dyDescent="0.35">
      <c r="A259" s="2">
        <f t="shared" si="3"/>
        <v>45593</v>
      </c>
      <c r="B259" t="s">
        <v>1972</v>
      </c>
      <c r="C259" s="37">
        <v>134.41</v>
      </c>
      <c r="D259" s="37">
        <v>139.71</v>
      </c>
    </row>
    <row r="260" spans="1:4" x14ac:dyDescent="0.35">
      <c r="A260" s="2">
        <f t="shared" si="3"/>
        <v>45600</v>
      </c>
      <c r="B260" t="s">
        <v>1973</v>
      </c>
      <c r="C260" s="37">
        <v>134.41</v>
      </c>
      <c r="D260" s="37">
        <v>139.84</v>
      </c>
    </row>
    <row r="261" spans="1:4" x14ac:dyDescent="0.35">
      <c r="A261" s="2">
        <f t="shared" si="3"/>
        <v>45607</v>
      </c>
      <c r="B261" t="s">
        <v>1974</v>
      </c>
      <c r="C261" s="37">
        <v>134.59</v>
      </c>
      <c r="D261" s="37">
        <v>140.13</v>
      </c>
    </row>
    <row r="262" spans="1:4" x14ac:dyDescent="0.35">
      <c r="A262" s="2">
        <f t="shared" si="3"/>
        <v>45614</v>
      </c>
      <c r="B262" t="s">
        <v>1975</v>
      </c>
      <c r="C262" s="37">
        <v>134.85</v>
      </c>
      <c r="D262" s="37">
        <v>140.49</v>
      </c>
    </row>
    <row r="263" spans="1:4" x14ac:dyDescent="0.35">
      <c r="A263" s="2">
        <f t="shared" si="3"/>
        <v>45621</v>
      </c>
      <c r="B263" t="s">
        <v>1976</v>
      </c>
      <c r="C263" s="37">
        <v>135.37</v>
      </c>
      <c r="D263" s="37">
        <v>141.4</v>
      </c>
    </row>
    <row r="264" spans="1:4" x14ac:dyDescent="0.35">
      <c r="A264" s="2">
        <f t="shared" si="3"/>
        <v>45628</v>
      </c>
      <c r="B264" t="s">
        <v>1977</v>
      </c>
      <c r="C264" s="37">
        <v>135.93</v>
      </c>
      <c r="D264" s="37">
        <v>142.04</v>
      </c>
    </row>
    <row r="265" spans="1:4" x14ac:dyDescent="0.35">
      <c r="A265" s="2">
        <f t="shared" ref="A265:A277" si="4">+A264+7</f>
        <v>45635</v>
      </c>
      <c r="B265" t="s">
        <v>1978</v>
      </c>
      <c r="C265" s="37">
        <v>136.22999999999999</v>
      </c>
      <c r="D265" s="37">
        <v>142.49</v>
      </c>
    </row>
    <row r="266" spans="1:4" x14ac:dyDescent="0.35">
      <c r="A266" s="2">
        <f t="shared" si="4"/>
        <v>45642</v>
      </c>
      <c r="B266" t="s">
        <v>1979</v>
      </c>
      <c r="C266" s="37">
        <v>136.38999999999999</v>
      </c>
      <c r="D266" s="37">
        <v>142.71</v>
      </c>
    </row>
    <row r="267" spans="1:4" x14ac:dyDescent="0.35">
      <c r="A267" s="2">
        <f t="shared" si="4"/>
        <v>45649</v>
      </c>
      <c r="B267" t="s">
        <v>1980</v>
      </c>
      <c r="C267" s="37">
        <v>136.38999999999999</v>
      </c>
      <c r="D267" s="37">
        <v>142.85</v>
      </c>
    </row>
    <row r="268" spans="1:4" x14ac:dyDescent="0.35">
      <c r="A268" s="2">
        <f t="shared" si="4"/>
        <v>45656</v>
      </c>
      <c r="B268" t="s">
        <v>1981</v>
      </c>
      <c r="C268" s="37">
        <v>136.49</v>
      </c>
      <c r="D268" s="37">
        <v>142.97999999999999</v>
      </c>
    </row>
    <row r="269" spans="1:4" x14ac:dyDescent="0.35">
      <c r="A269" s="2">
        <f t="shared" si="4"/>
        <v>45663</v>
      </c>
      <c r="B269" t="s">
        <v>1982</v>
      </c>
      <c r="C269" s="37">
        <v>136.6</v>
      </c>
      <c r="D269" s="37">
        <v>143.30000000000001</v>
      </c>
    </row>
    <row r="270" spans="1:4" x14ac:dyDescent="0.35">
      <c r="A270" s="2">
        <f t="shared" si="4"/>
        <v>45670</v>
      </c>
      <c r="B270" t="s">
        <v>1983</v>
      </c>
      <c r="C270" s="37">
        <v>136.51</v>
      </c>
      <c r="D270" s="37">
        <v>143.33000000000001</v>
      </c>
    </row>
    <row r="271" spans="1:4" x14ac:dyDescent="0.35">
      <c r="A271" s="2">
        <f t="shared" si="4"/>
        <v>45677</v>
      </c>
      <c r="B271" t="s">
        <v>1984</v>
      </c>
      <c r="C271" s="37">
        <v>136.97</v>
      </c>
      <c r="D271" s="37">
        <v>144.27000000000001</v>
      </c>
    </row>
    <row r="272" spans="1:4" x14ac:dyDescent="0.35">
      <c r="A272" s="2">
        <f t="shared" si="4"/>
        <v>45684</v>
      </c>
      <c r="B272" t="s">
        <v>1985</v>
      </c>
      <c r="C272" s="37">
        <v>138.36000000000001</v>
      </c>
      <c r="D272" s="37">
        <v>145.57</v>
      </c>
    </row>
    <row r="273" spans="1:4" x14ac:dyDescent="0.35">
      <c r="A273" s="2">
        <f t="shared" si="4"/>
        <v>45691</v>
      </c>
      <c r="B273" t="s">
        <v>1986</v>
      </c>
      <c r="C273" s="37">
        <v>138.74</v>
      </c>
      <c r="D273" s="37">
        <v>146.13</v>
      </c>
    </row>
    <row r="274" spans="1:4" x14ac:dyDescent="0.35">
      <c r="A274" s="2">
        <f t="shared" si="4"/>
        <v>45698</v>
      </c>
      <c r="B274" t="s">
        <v>2059</v>
      </c>
      <c r="C274" s="37">
        <v>139.02000000000001</v>
      </c>
      <c r="D274" s="37">
        <v>146.29</v>
      </c>
    </row>
    <row r="275" spans="1:4" x14ac:dyDescent="0.35">
      <c r="A275" s="2">
        <f t="shared" si="4"/>
        <v>45705</v>
      </c>
      <c r="B275" t="s">
        <v>2215</v>
      </c>
      <c r="C275" s="37">
        <v>139.22</v>
      </c>
      <c r="D275" s="37">
        <v>146.44999999999999</v>
      </c>
    </row>
    <row r="276" spans="1:4" x14ac:dyDescent="0.35">
      <c r="A276" s="2">
        <f t="shared" si="4"/>
        <v>45712</v>
      </c>
      <c r="B276" t="s">
        <v>2258</v>
      </c>
      <c r="C276" s="37">
        <v>139.62</v>
      </c>
      <c r="D276" s="37">
        <v>146.82</v>
      </c>
    </row>
    <row r="277" spans="1:4" x14ac:dyDescent="0.35">
      <c r="A277" s="2">
        <f t="shared" si="4"/>
        <v>45719</v>
      </c>
      <c r="B277" t="s">
        <v>2259</v>
      </c>
      <c r="C277" s="37">
        <v>139.61000000000001</v>
      </c>
      <c r="D277" s="37">
        <v>146.88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84C9-E507-4B13-AB8A-EA3C8F74702A}">
  <dimension ref="A1:BB1358"/>
  <sheetViews>
    <sheetView workbookViewId="0">
      <pane xSplit="2" ySplit="6" topLeftCell="C1332" activePane="bottomRight" state="frozen"/>
      <selection pane="topRight" activeCell="B1" sqref="B1"/>
      <selection pane="bottomLeft" activeCell="A7" sqref="A7"/>
      <selection pane="bottomRight" activeCell="C1354" sqref="C1354:C1358"/>
    </sheetView>
  </sheetViews>
  <sheetFormatPr defaultRowHeight="14.5" x14ac:dyDescent="0.35"/>
  <cols>
    <col min="1" max="1" width="10.7265625" bestFit="1" customWidth="1"/>
    <col min="4" max="51" width="17.81640625" customWidth="1"/>
    <col min="53" max="54" width="20.7265625" customWidth="1"/>
  </cols>
  <sheetData>
    <row r="1" spans="1:54" x14ac:dyDescent="0.35">
      <c r="B1" s="4" t="s">
        <v>45</v>
      </c>
      <c r="C1" s="4"/>
      <c r="D1" t="s">
        <v>2060</v>
      </c>
      <c r="E1" t="s">
        <v>2061</v>
      </c>
      <c r="F1" t="s">
        <v>2062</v>
      </c>
      <c r="G1" t="s">
        <v>2063</v>
      </c>
      <c r="H1" t="s">
        <v>2064</v>
      </c>
      <c r="I1" t="s">
        <v>2065</v>
      </c>
      <c r="J1" t="s">
        <v>2066</v>
      </c>
      <c r="K1" t="s">
        <v>2067</v>
      </c>
      <c r="L1" t="s">
        <v>2068</v>
      </c>
      <c r="M1" t="s">
        <v>2069</v>
      </c>
      <c r="N1" t="s">
        <v>2070</v>
      </c>
      <c r="O1" t="s">
        <v>2071</v>
      </c>
      <c r="P1" t="s">
        <v>2072</v>
      </c>
      <c r="Q1" t="s">
        <v>2073</v>
      </c>
      <c r="R1" t="s">
        <v>2074</v>
      </c>
      <c r="S1" t="s">
        <v>2075</v>
      </c>
      <c r="T1" t="s">
        <v>2076</v>
      </c>
      <c r="U1" t="s">
        <v>2077</v>
      </c>
      <c r="V1" t="s">
        <v>2078</v>
      </c>
      <c r="W1" t="s">
        <v>2079</v>
      </c>
      <c r="X1" t="s">
        <v>2080</v>
      </c>
      <c r="Y1" t="s">
        <v>2081</v>
      </c>
      <c r="Z1" t="s">
        <v>2082</v>
      </c>
      <c r="AA1" t="s">
        <v>2083</v>
      </c>
      <c r="AB1" t="s">
        <v>2084</v>
      </c>
      <c r="AC1" t="s">
        <v>2085</v>
      </c>
      <c r="AD1" t="s">
        <v>2086</v>
      </c>
      <c r="AE1" t="s">
        <v>2087</v>
      </c>
      <c r="AF1" t="s">
        <v>2088</v>
      </c>
      <c r="AG1" t="s">
        <v>2089</v>
      </c>
      <c r="AH1" t="s">
        <v>2090</v>
      </c>
      <c r="AI1" t="s">
        <v>2091</v>
      </c>
      <c r="AJ1" t="s">
        <v>2092</v>
      </c>
      <c r="AK1" t="s">
        <v>2093</v>
      </c>
      <c r="AL1" t="s">
        <v>2094</v>
      </c>
      <c r="AM1" t="s">
        <v>2095</v>
      </c>
      <c r="AN1" t="s">
        <v>2096</v>
      </c>
      <c r="AO1" t="s">
        <v>2097</v>
      </c>
      <c r="AP1" t="s">
        <v>2098</v>
      </c>
      <c r="AQ1" t="s">
        <v>2099</v>
      </c>
      <c r="AR1" t="s">
        <v>2100</v>
      </c>
      <c r="AS1" t="s">
        <v>2101</v>
      </c>
      <c r="AT1" t="s">
        <v>2102</v>
      </c>
      <c r="AU1" t="s">
        <v>2103</v>
      </c>
      <c r="AV1" t="s">
        <v>2104</v>
      </c>
      <c r="AW1" t="s">
        <v>2105</v>
      </c>
      <c r="AX1" t="s">
        <v>2106</v>
      </c>
      <c r="AY1" t="s">
        <v>2107</v>
      </c>
      <c r="BA1" s="16" t="s">
        <v>1095</v>
      </c>
      <c r="BB1" t="s">
        <v>44</v>
      </c>
    </row>
    <row r="2" spans="1:54" s="6" customFormat="1" ht="79" customHeight="1" x14ac:dyDescent="0.35">
      <c r="B2" s="6" t="s">
        <v>8</v>
      </c>
      <c r="D2" s="6" t="s">
        <v>2110</v>
      </c>
      <c r="E2" s="6" t="s">
        <v>2111</v>
      </c>
      <c r="F2" s="6" t="s">
        <v>2112</v>
      </c>
      <c r="G2" s="6" t="s">
        <v>2113</v>
      </c>
      <c r="H2" s="6" t="s">
        <v>2114</v>
      </c>
      <c r="I2" s="6" t="s">
        <v>2115</v>
      </c>
      <c r="J2" s="6" t="s">
        <v>2116</v>
      </c>
      <c r="K2" s="6" t="s">
        <v>2117</v>
      </c>
      <c r="L2" s="6" t="s">
        <v>2118</v>
      </c>
      <c r="M2" s="6" t="s">
        <v>2119</v>
      </c>
      <c r="N2" s="6" t="s">
        <v>2120</v>
      </c>
      <c r="O2" s="6" t="s">
        <v>2122</v>
      </c>
      <c r="P2" s="6" t="s">
        <v>2124</v>
      </c>
      <c r="Q2" s="6" t="s">
        <v>2126</v>
      </c>
      <c r="R2" s="6" t="s">
        <v>2127</v>
      </c>
      <c r="S2" s="6" t="s">
        <v>2128</v>
      </c>
      <c r="T2" s="6" t="s">
        <v>2129</v>
      </c>
      <c r="U2" s="6" t="s">
        <v>2131</v>
      </c>
      <c r="V2" s="6" t="s">
        <v>2133</v>
      </c>
      <c r="W2" s="6" t="s">
        <v>2134</v>
      </c>
      <c r="X2" s="6" t="s">
        <v>2135</v>
      </c>
      <c r="Y2" s="6" t="s">
        <v>2136</v>
      </c>
      <c r="Z2" s="6" t="s">
        <v>2137</v>
      </c>
      <c r="AA2" s="6" t="s">
        <v>2138</v>
      </c>
      <c r="AB2" s="6" t="s">
        <v>2139</v>
      </c>
      <c r="AC2" s="6" t="s">
        <v>2140</v>
      </c>
      <c r="AD2" s="6" t="s">
        <v>2141</v>
      </c>
      <c r="AE2" s="6" t="s">
        <v>2142</v>
      </c>
      <c r="AF2" s="6" t="s">
        <v>2143</v>
      </c>
      <c r="AG2" s="6" t="s">
        <v>2144</v>
      </c>
      <c r="AH2" s="6" t="s">
        <v>2145</v>
      </c>
      <c r="AI2" s="6" t="s">
        <v>2146</v>
      </c>
      <c r="AJ2" s="6" t="s">
        <v>2147</v>
      </c>
      <c r="AK2" s="6" t="s">
        <v>2148</v>
      </c>
      <c r="AL2" s="6" t="s">
        <v>2149</v>
      </c>
      <c r="AM2" s="6" t="s">
        <v>2150</v>
      </c>
      <c r="AN2" s="6" t="s">
        <v>2151</v>
      </c>
      <c r="AO2" s="6" t="s">
        <v>2152</v>
      </c>
      <c r="AP2" s="6" t="s">
        <v>2153</v>
      </c>
      <c r="AQ2" s="6" t="s">
        <v>2154</v>
      </c>
      <c r="AR2" s="6" t="s">
        <v>2155</v>
      </c>
      <c r="AS2" s="6" t="s">
        <v>2156</v>
      </c>
      <c r="AT2" s="6" t="s">
        <v>2157</v>
      </c>
      <c r="AU2" s="6" t="s">
        <v>2158</v>
      </c>
      <c r="AV2" s="6" t="s">
        <v>2159</v>
      </c>
      <c r="AW2" s="6" t="s">
        <v>2160</v>
      </c>
      <c r="AX2" s="6" t="s">
        <v>2161</v>
      </c>
      <c r="AY2" s="6" t="s">
        <v>2162</v>
      </c>
      <c r="BA2" s="6" t="s">
        <v>1098</v>
      </c>
      <c r="BB2" s="6" t="s">
        <v>49</v>
      </c>
    </row>
    <row r="3" spans="1:54" x14ac:dyDescent="0.35">
      <c r="B3" t="s">
        <v>7</v>
      </c>
      <c r="D3" t="s">
        <v>2109</v>
      </c>
      <c r="E3" t="s">
        <v>2109</v>
      </c>
      <c r="F3" t="s">
        <v>2109</v>
      </c>
      <c r="G3" t="s">
        <v>2109</v>
      </c>
      <c r="H3" t="s">
        <v>2109</v>
      </c>
      <c r="I3" t="s">
        <v>2109</v>
      </c>
      <c r="J3" t="s">
        <v>2109</v>
      </c>
      <c r="K3" t="s">
        <v>2109</v>
      </c>
      <c r="L3" t="s">
        <v>2109</v>
      </c>
      <c r="M3" t="s">
        <v>2109</v>
      </c>
      <c r="N3" t="s">
        <v>2109</v>
      </c>
      <c r="O3" t="s">
        <v>2121</v>
      </c>
      <c r="P3" t="s">
        <v>2123</v>
      </c>
      <c r="Q3" t="s">
        <v>2125</v>
      </c>
      <c r="R3" t="s">
        <v>2125</v>
      </c>
      <c r="S3" t="s">
        <v>2125</v>
      </c>
      <c r="T3" t="s">
        <v>2125</v>
      </c>
      <c r="U3" t="s">
        <v>2130</v>
      </c>
      <c r="V3" t="s">
        <v>2132</v>
      </c>
      <c r="W3" t="s">
        <v>2132</v>
      </c>
      <c r="X3" t="s">
        <v>2132</v>
      </c>
      <c r="Y3" t="s">
        <v>2132</v>
      </c>
      <c r="Z3" t="s">
        <v>2132</v>
      </c>
      <c r="AA3" t="s">
        <v>2132</v>
      </c>
      <c r="AB3" t="s">
        <v>2132</v>
      </c>
      <c r="AC3" t="s">
        <v>2132</v>
      </c>
      <c r="AD3" t="s">
        <v>2132</v>
      </c>
      <c r="AE3" t="s">
        <v>2132</v>
      </c>
      <c r="AF3" t="s">
        <v>2132</v>
      </c>
      <c r="AG3" t="s">
        <v>2132</v>
      </c>
      <c r="AH3" t="s">
        <v>2132</v>
      </c>
      <c r="AI3" t="s">
        <v>2132</v>
      </c>
      <c r="AJ3" t="s">
        <v>2132</v>
      </c>
      <c r="AK3" t="s">
        <v>2132</v>
      </c>
      <c r="AL3" t="s">
        <v>2132</v>
      </c>
      <c r="AM3" t="s">
        <v>2132</v>
      </c>
      <c r="AN3" t="s">
        <v>2132</v>
      </c>
      <c r="AO3" t="s">
        <v>2132</v>
      </c>
      <c r="AP3" t="s">
        <v>2132</v>
      </c>
      <c r="AQ3" t="s">
        <v>2132</v>
      </c>
      <c r="AR3" t="s">
        <v>2132</v>
      </c>
      <c r="AS3" t="s">
        <v>2132</v>
      </c>
      <c r="AT3" t="s">
        <v>2132</v>
      </c>
      <c r="AU3" t="s">
        <v>2132</v>
      </c>
      <c r="AV3" t="s">
        <v>2132</v>
      </c>
      <c r="AW3" t="s">
        <v>2132</v>
      </c>
      <c r="AX3" t="s">
        <v>2132</v>
      </c>
      <c r="AY3" t="s">
        <v>2132</v>
      </c>
      <c r="BA3" t="s">
        <v>1097</v>
      </c>
      <c r="BB3" t="s">
        <v>48</v>
      </c>
    </row>
    <row r="4" spans="1:54" x14ac:dyDescent="0.35">
      <c r="B4" t="s">
        <v>6</v>
      </c>
      <c r="D4" t="s">
        <v>2263</v>
      </c>
      <c r="E4" t="s">
        <v>2263</v>
      </c>
      <c r="F4" t="s">
        <v>2263</v>
      </c>
      <c r="G4" t="s">
        <v>2263</v>
      </c>
      <c r="H4" t="s">
        <v>2263</v>
      </c>
      <c r="I4" t="s">
        <v>2263</v>
      </c>
      <c r="J4" t="s">
        <v>2263</v>
      </c>
      <c r="K4" t="s">
        <v>2263</v>
      </c>
      <c r="L4" t="s">
        <v>2263</v>
      </c>
      <c r="M4" t="s">
        <v>2263</v>
      </c>
      <c r="N4" t="s">
        <v>2263</v>
      </c>
      <c r="O4" t="s">
        <v>2263</v>
      </c>
      <c r="P4" t="s">
        <v>2263</v>
      </c>
      <c r="Q4" t="s">
        <v>2263</v>
      </c>
      <c r="R4" t="s">
        <v>2263</v>
      </c>
      <c r="S4" t="s">
        <v>2263</v>
      </c>
      <c r="T4" t="s">
        <v>2263</v>
      </c>
      <c r="U4" t="s">
        <v>2263</v>
      </c>
      <c r="V4" t="s">
        <v>2263</v>
      </c>
      <c r="W4" t="s">
        <v>2263</v>
      </c>
      <c r="X4" t="s">
        <v>2263</v>
      </c>
      <c r="Y4" t="s">
        <v>2263</v>
      </c>
      <c r="Z4" t="s">
        <v>2263</v>
      </c>
      <c r="AA4" t="s">
        <v>2263</v>
      </c>
      <c r="AB4" t="s">
        <v>2263</v>
      </c>
      <c r="AC4" t="s">
        <v>2263</v>
      </c>
      <c r="AD4" t="s">
        <v>2263</v>
      </c>
      <c r="AE4" t="s">
        <v>2263</v>
      </c>
      <c r="AF4" t="s">
        <v>2263</v>
      </c>
      <c r="AG4" t="s">
        <v>2263</v>
      </c>
      <c r="AH4" t="s">
        <v>2263</v>
      </c>
      <c r="AI4" t="s">
        <v>2263</v>
      </c>
      <c r="AJ4" t="s">
        <v>2263</v>
      </c>
      <c r="AK4" t="s">
        <v>2263</v>
      </c>
      <c r="AL4" t="s">
        <v>2263</v>
      </c>
      <c r="AM4" t="s">
        <v>2263</v>
      </c>
      <c r="AN4" t="s">
        <v>2263</v>
      </c>
      <c r="AO4" t="s">
        <v>2263</v>
      </c>
      <c r="AP4" t="s">
        <v>2263</v>
      </c>
      <c r="AQ4" t="s">
        <v>2263</v>
      </c>
      <c r="AR4" t="s">
        <v>2263</v>
      </c>
      <c r="AS4" t="s">
        <v>2263</v>
      </c>
      <c r="AT4" t="s">
        <v>2263</v>
      </c>
      <c r="AU4" t="s">
        <v>2263</v>
      </c>
      <c r="AV4" t="s">
        <v>2263</v>
      </c>
      <c r="AW4" t="s">
        <v>2263</v>
      </c>
      <c r="AX4" t="s">
        <v>2263</v>
      </c>
      <c r="AY4" t="s">
        <v>2263</v>
      </c>
      <c r="BA4" t="s">
        <v>2265</v>
      </c>
      <c r="BB4" t="s">
        <v>2263</v>
      </c>
    </row>
    <row r="5" spans="1:54" x14ac:dyDescent="0.35">
      <c r="B5" t="s">
        <v>5</v>
      </c>
      <c r="D5" t="s">
        <v>2108</v>
      </c>
      <c r="E5" t="s">
        <v>2108</v>
      </c>
      <c r="F5" t="s">
        <v>2108</v>
      </c>
      <c r="G5" t="s">
        <v>2108</v>
      </c>
      <c r="H5" t="s">
        <v>2108</v>
      </c>
      <c r="I5" t="s">
        <v>2108</v>
      </c>
      <c r="J5" t="s">
        <v>2108</v>
      </c>
      <c r="K5" t="s">
        <v>2108</v>
      </c>
      <c r="L5" t="s">
        <v>2108</v>
      </c>
      <c r="M5" t="s">
        <v>2108</v>
      </c>
      <c r="N5" t="s">
        <v>2108</v>
      </c>
      <c r="O5" t="s">
        <v>2108</v>
      </c>
      <c r="P5" t="s">
        <v>2108</v>
      </c>
      <c r="Q5" t="s">
        <v>2108</v>
      </c>
      <c r="R5" t="s">
        <v>2108</v>
      </c>
      <c r="S5" t="s">
        <v>2108</v>
      </c>
      <c r="T5" t="s">
        <v>2108</v>
      </c>
      <c r="U5" t="s">
        <v>2108</v>
      </c>
      <c r="V5" t="s">
        <v>2108</v>
      </c>
      <c r="W5" t="s">
        <v>2108</v>
      </c>
      <c r="X5" t="s">
        <v>2108</v>
      </c>
      <c r="Y5" t="s">
        <v>2108</v>
      </c>
      <c r="Z5" t="s">
        <v>2108</v>
      </c>
      <c r="AA5" t="s">
        <v>2108</v>
      </c>
      <c r="AB5" t="s">
        <v>2108</v>
      </c>
      <c r="AC5" t="s">
        <v>2108</v>
      </c>
      <c r="AD5" t="s">
        <v>2108</v>
      </c>
      <c r="AE5" t="s">
        <v>2108</v>
      </c>
      <c r="AF5" t="s">
        <v>2108</v>
      </c>
      <c r="AG5" t="s">
        <v>2108</v>
      </c>
      <c r="AH5" t="s">
        <v>2108</v>
      </c>
      <c r="AI5" t="s">
        <v>2108</v>
      </c>
      <c r="AJ5" t="s">
        <v>2108</v>
      </c>
      <c r="AK5" t="s">
        <v>2108</v>
      </c>
      <c r="AL5" t="s">
        <v>2108</v>
      </c>
      <c r="AM5" t="s">
        <v>2108</v>
      </c>
      <c r="AN5" t="s">
        <v>2108</v>
      </c>
      <c r="AO5" t="s">
        <v>2108</v>
      </c>
      <c r="AP5" t="s">
        <v>2108</v>
      </c>
      <c r="AQ5" t="s">
        <v>2108</v>
      </c>
      <c r="AR5" t="s">
        <v>2108</v>
      </c>
      <c r="AS5" t="s">
        <v>2108</v>
      </c>
      <c r="AT5" t="s">
        <v>2108</v>
      </c>
      <c r="AU5" t="s">
        <v>2108</v>
      </c>
      <c r="AV5" t="s">
        <v>2108</v>
      </c>
      <c r="AW5" t="s">
        <v>2108</v>
      </c>
      <c r="AX5" t="s">
        <v>2108</v>
      </c>
      <c r="AY5" t="s">
        <v>2108</v>
      </c>
      <c r="BA5" t="s">
        <v>1096</v>
      </c>
      <c r="BB5" t="s">
        <v>47</v>
      </c>
    </row>
    <row r="6" spans="1:54" x14ac:dyDescent="0.35">
      <c r="B6" t="s">
        <v>4</v>
      </c>
      <c r="D6" t="s">
        <v>2262</v>
      </c>
      <c r="E6" t="s">
        <v>2262</v>
      </c>
      <c r="F6" t="s">
        <v>2262</v>
      </c>
      <c r="G6" t="s">
        <v>2262</v>
      </c>
      <c r="H6" t="s">
        <v>2262</v>
      </c>
      <c r="I6" t="s">
        <v>2262</v>
      </c>
      <c r="J6" t="s">
        <v>2262</v>
      </c>
      <c r="K6" t="s">
        <v>2262</v>
      </c>
      <c r="L6" t="s">
        <v>2262</v>
      </c>
      <c r="M6" t="s">
        <v>2262</v>
      </c>
      <c r="N6" t="s">
        <v>2262</v>
      </c>
      <c r="O6" t="s">
        <v>2262</v>
      </c>
      <c r="P6" t="s">
        <v>2262</v>
      </c>
      <c r="Q6" t="s">
        <v>2262</v>
      </c>
      <c r="R6" t="s">
        <v>2262</v>
      </c>
      <c r="S6" t="s">
        <v>2262</v>
      </c>
      <c r="T6" t="s">
        <v>2262</v>
      </c>
      <c r="U6" t="s">
        <v>2262</v>
      </c>
      <c r="V6" t="s">
        <v>2262</v>
      </c>
      <c r="W6" t="s">
        <v>2262</v>
      </c>
      <c r="X6" t="s">
        <v>2262</v>
      </c>
      <c r="Y6" t="s">
        <v>2262</v>
      </c>
      <c r="Z6" t="s">
        <v>2262</v>
      </c>
      <c r="AA6" t="s">
        <v>2262</v>
      </c>
      <c r="AB6" t="s">
        <v>2262</v>
      </c>
      <c r="AC6" t="s">
        <v>2262</v>
      </c>
      <c r="AD6" t="s">
        <v>2262</v>
      </c>
      <c r="AE6" t="s">
        <v>2262</v>
      </c>
      <c r="AF6" t="s">
        <v>2262</v>
      </c>
      <c r="AG6" t="s">
        <v>2262</v>
      </c>
      <c r="AH6" t="s">
        <v>2262</v>
      </c>
      <c r="AI6" t="s">
        <v>2262</v>
      </c>
      <c r="AJ6" t="s">
        <v>2262</v>
      </c>
      <c r="AK6" t="s">
        <v>2262</v>
      </c>
      <c r="AL6" t="s">
        <v>2262</v>
      </c>
      <c r="AM6" t="s">
        <v>2262</v>
      </c>
      <c r="AN6" t="s">
        <v>2262</v>
      </c>
      <c r="AO6" t="s">
        <v>2262</v>
      </c>
      <c r="AP6" t="s">
        <v>2262</v>
      </c>
      <c r="AQ6" t="s">
        <v>2262</v>
      </c>
      <c r="AR6" t="s">
        <v>2262</v>
      </c>
      <c r="AS6" t="s">
        <v>2262</v>
      </c>
      <c r="AT6" t="s">
        <v>2262</v>
      </c>
      <c r="AU6" t="s">
        <v>2262</v>
      </c>
      <c r="AV6" t="s">
        <v>2262</v>
      </c>
      <c r="AW6" t="s">
        <v>2262</v>
      </c>
      <c r="AX6" t="s">
        <v>2262</v>
      </c>
      <c r="AY6" t="s">
        <v>2262</v>
      </c>
      <c r="BA6" t="s">
        <v>2264</v>
      </c>
      <c r="BB6" t="s">
        <v>2266</v>
      </c>
    </row>
    <row r="7" spans="1:54" x14ac:dyDescent="0.35">
      <c r="A7" s="2">
        <v>43831</v>
      </c>
      <c r="B7" t="s">
        <v>46</v>
      </c>
      <c r="C7" s="32">
        <v>43831</v>
      </c>
      <c r="D7" s="38" t="e">
        <v>#N/A</v>
      </c>
      <c r="E7" s="38" t="e">
        <v>#N/A</v>
      </c>
      <c r="F7" s="38" t="e">
        <v>#N/A</v>
      </c>
      <c r="G7" s="38" t="e">
        <v>#N/A</v>
      </c>
      <c r="H7" s="38" t="e">
        <v>#N/A</v>
      </c>
      <c r="I7" s="38" t="e">
        <v>#N/A</v>
      </c>
      <c r="J7" s="38" t="e">
        <v>#N/A</v>
      </c>
      <c r="K7" s="38" t="e">
        <v>#N/A</v>
      </c>
      <c r="L7" s="38" t="e">
        <v>#N/A</v>
      </c>
      <c r="M7" s="38" t="e">
        <v>#N/A</v>
      </c>
      <c r="N7" s="38" t="e">
        <v>#N/A</v>
      </c>
      <c r="O7" s="38" t="e">
        <v>#N/A</v>
      </c>
      <c r="P7" s="38" t="e">
        <v>#N/A</v>
      </c>
      <c r="Q7" s="38" t="e">
        <v>#N/A</v>
      </c>
      <c r="R7" s="38" t="e">
        <v>#N/A</v>
      </c>
      <c r="S7" s="38" t="e">
        <v>#N/A</v>
      </c>
      <c r="T7" s="38" t="e">
        <v>#N/A</v>
      </c>
      <c r="U7" s="38" t="e">
        <v>#N/A</v>
      </c>
      <c r="V7" s="38" t="e">
        <v>#N/A</v>
      </c>
      <c r="W7" s="38" t="e">
        <v>#N/A</v>
      </c>
      <c r="X7" s="38" t="e">
        <v>#N/A</v>
      </c>
      <c r="Y7" s="38" t="e">
        <v>#N/A</v>
      </c>
      <c r="Z7" s="38" t="e">
        <v>#N/A</v>
      </c>
      <c r="AA7" s="38" t="e">
        <v>#N/A</v>
      </c>
      <c r="AB7" s="38" t="e">
        <v>#N/A</v>
      </c>
      <c r="AC7" s="38" t="e">
        <v>#N/A</v>
      </c>
      <c r="AD7" s="38" t="e">
        <v>#N/A</v>
      </c>
      <c r="AE7" s="38" t="e">
        <v>#N/A</v>
      </c>
      <c r="AF7" s="38" t="e">
        <v>#N/A</v>
      </c>
      <c r="AG7" s="38" t="e">
        <v>#N/A</v>
      </c>
      <c r="AH7" s="38" t="e">
        <v>#N/A</v>
      </c>
      <c r="AI7" s="38" t="e">
        <v>#N/A</v>
      </c>
      <c r="AJ7" s="38" t="e">
        <v>#N/A</v>
      </c>
      <c r="AK7" s="38" t="e">
        <v>#N/A</v>
      </c>
      <c r="AL7" s="38" t="e">
        <v>#N/A</v>
      </c>
      <c r="AM7" s="38" t="e">
        <v>#N/A</v>
      </c>
      <c r="AN7" s="38" t="e">
        <v>#N/A</v>
      </c>
      <c r="AO7" s="38" t="e">
        <v>#N/A</v>
      </c>
      <c r="AP7" s="38" t="e">
        <v>#N/A</v>
      </c>
      <c r="AQ7" s="38" t="e">
        <v>#N/A</v>
      </c>
      <c r="AR7" s="38" t="e">
        <v>#N/A</v>
      </c>
      <c r="AS7" s="38" t="e">
        <v>#N/A</v>
      </c>
      <c r="AT7" s="38" t="e">
        <v>#N/A</v>
      </c>
      <c r="AU7" s="38" t="e">
        <v>#N/A</v>
      </c>
      <c r="AV7" s="38" t="e">
        <v>#N/A</v>
      </c>
      <c r="AW7" s="38" t="e">
        <v>#N/A</v>
      </c>
      <c r="AX7" s="38" t="e">
        <v>#N/A</v>
      </c>
      <c r="AY7" s="38" t="e">
        <v>#N/A</v>
      </c>
      <c r="BA7" s="37" t="e">
        <v>#N/A</v>
      </c>
      <c r="BB7" s="38" t="e">
        <v>#N/A</v>
      </c>
    </row>
    <row r="8" spans="1:54" x14ac:dyDescent="0.35">
      <c r="A8" s="2">
        <v>43832</v>
      </c>
      <c r="B8" t="s">
        <v>50</v>
      </c>
      <c r="C8" s="32">
        <v>43832</v>
      </c>
      <c r="D8" s="38">
        <v>31.03</v>
      </c>
      <c r="E8" s="38">
        <v>30.63</v>
      </c>
      <c r="F8" s="38">
        <v>29.5</v>
      </c>
      <c r="G8" s="38">
        <v>28.72</v>
      </c>
      <c r="H8" s="38">
        <v>27.58</v>
      </c>
      <c r="I8" s="38">
        <v>28.3</v>
      </c>
      <c r="J8" s="38">
        <v>29.31</v>
      </c>
      <c r="K8" s="38">
        <v>30.22</v>
      </c>
      <c r="L8" s="38">
        <v>33.15</v>
      </c>
      <c r="M8" s="38">
        <v>40.85</v>
      </c>
      <c r="N8" s="38">
        <v>45.48</v>
      </c>
      <c r="O8" s="38">
        <v>46.39</v>
      </c>
      <c r="P8" s="38">
        <v>47</v>
      </c>
      <c r="Q8" s="38">
        <v>44.18</v>
      </c>
      <c r="R8" s="38">
        <v>40.47</v>
      </c>
      <c r="S8" s="38">
        <v>37.83</v>
      </c>
      <c r="T8" s="38">
        <v>37</v>
      </c>
      <c r="U8" s="38">
        <v>36.06</v>
      </c>
      <c r="V8" s="38">
        <v>36.51</v>
      </c>
      <c r="W8" s="38">
        <v>38.130000000000003</v>
      </c>
      <c r="X8" s="38">
        <v>42.19</v>
      </c>
      <c r="Y8" s="38">
        <v>45.31</v>
      </c>
      <c r="Z8" s="38">
        <v>47.77</v>
      </c>
      <c r="AA8" s="38">
        <v>51.39</v>
      </c>
      <c r="AB8" s="38">
        <v>50.66</v>
      </c>
      <c r="AC8" s="38">
        <v>46.76</v>
      </c>
      <c r="AD8" s="38">
        <v>40.78</v>
      </c>
      <c r="AE8" s="38">
        <v>39</v>
      </c>
      <c r="AF8" s="38">
        <v>38.6</v>
      </c>
      <c r="AG8" s="38">
        <v>39.19</v>
      </c>
      <c r="AH8" s="38">
        <v>40.200000000000003</v>
      </c>
      <c r="AI8" s="38">
        <v>41.96</v>
      </c>
      <c r="AJ8" s="38">
        <v>46.51</v>
      </c>
      <c r="AK8" s="38">
        <v>48.99</v>
      </c>
      <c r="AL8" s="38">
        <v>50.33</v>
      </c>
      <c r="AM8" s="38">
        <v>50.87</v>
      </c>
      <c r="AN8" s="38">
        <v>49.48</v>
      </c>
      <c r="AO8" s="38">
        <v>46.4</v>
      </c>
      <c r="AP8" s="38">
        <v>40.950000000000003</v>
      </c>
      <c r="AQ8" s="38">
        <v>39.43</v>
      </c>
      <c r="AR8" s="38">
        <v>38.9</v>
      </c>
      <c r="AS8" s="38">
        <v>39.14</v>
      </c>
      <c r="AT8" s="38">
        <v>40.21</v>
      </c>
      <c r="AU8" s="38">
        <v>43.18</v>
      </c>
      <c r="AV8" s="38">
        <v>47.78</v>
      </c>
      <c r="AW8" s="38">
        <v>50.08</v>
      </c>
      <c r="AX8" s="38">
        <v>50.61</v>
      </c>
      <c r="AY8" s="38">
        <v>50.66</v>
      </c>
      <c r="BA8" s="37">
        <v>67.05</v>
      </c>
      <c r="BB8" s="38">
        <v>1.3189</v>
      </c>
    </row>
    <row r="9" spans="1:54" x14ac:dyDescent="0.35">
      <c r="A9" s="2">
        <v>43833</v>
      </c>
      <c r="B9" t="s">
        <v>51</v>
      </c>
      <c r="C9" s="32">
        <v>43833</v>
      </c>
      <c r="D9" s="38">
        <v>33.07</v>
      </c>
      <c r="E9" s="38">
        <v>32.74</v>
      </c>
      <c r="F9" s="38">
        <v>31.77</v>
      </c>
      <c r="G9" s="38">
        <v>31.17</v>
      </c>
      <c r="H9" s="38">
        <v>30.27</v>
      </c>
      <c r="I9" s="38">
        <v>31.01</v>
      </c>
      <c r="J9" s="38">
        <v>31.86</v>
      </c>
      <c r="K9" s="38">
        <v>33.159999999999997</v>
      </c>
      <c r="L9" s="38">
        <v>35.76</v>
      </c>
      <c r="M9" s="38">
        <v>43.96</v>
      </c>
      <c r="N9" s="38">
        <v>47.05</v>
      </c>
      <c r="O9" s="38">
        <v>48.61</v>
      </c>
      <c r="P9" s="38">
        <v>49.23</v>
      </c>
      <c r="Q9" s="38">
        <v>46.41</v>
      </c>
      <c r="R9" s="38">
        <v>42.61</v>
      </c>
      <c r="S9" s="38">
        <v>39.83</v>
      </c>
      <c r="T9" s="38">
        <v>38.96</v>
      </c>
      <c r="U9" s="38">
        <v>38.020000000000003</v>
      </c>
      <c r="V9" s="38">
        <v>38.47</v>
      </c>
      <c r="W9" s="38">
        <v>40.090000000000003</v>
      </c>
      <c r="X9" s="38">
        <v>44.13</v>
      </c>
      <c r="Y9" s="38">
        <v>47.21</v>
      </c>
      <c r="Z9" s="38">
        <v>49.64</v>
      </c>
      <c r="AA9" s="38">
        <v>53.26</v>
      </c>
      <c r="AB9" s="38">
        <v>52.53</v>
      </c>
      <c r="AC9" s="38">
        <v>48.5</v>
      </c>
      <c r="AD9" s="38">
        <v>42.45</v>
      </c>
      <c r="AE9" s="38">
        <v>40.6</v>
      </c>
      <c r="AF9" s="38">
        <v>40.130000000000003</v>
      </c>
      <c r="AG9" s="38">
        <v>40.72</v>
      </c>
      <c r="AH9" s="38">
        <v>41.73</v>
      </c>
      <c r="AI9" s="38">
        <v>43.49</v>
      </c>
      <c r="AJ9" s="38">
        <v>47.99</v>
      </c>
      <c r="AK9" s="38">
        <v>50.47</v>
      </c>
      <c r="AL9" s="38">
        <v>51.81</v>
      </c>
      <c r="AM9" s="38">
        <v>52.35</v>
      </c>
      <c r="AN9" s="38">
        <v>50.96</v>
      </c>
      <c r="AO9" s="38">
        <v>47.88</v>
      </c>
      <c r="AP9" s="38">
        <v>42.48</v>
      </c>
      <c r="AQ9" s="38">
        <v>41.01</v>
      </c>
      <c r="AR9" s="38">
        <v>40.479999999999997</v>
      </c>
      <c r="AS9" s="38">
        <v>40.72</v>
      </c>
      <c r="AT9" s="38">
        <v>41.79</v>
      </c>
      <c r="AU9" s="38">
        <v>44.76</v>
      </c>
      <c r="AV9" s="38">
        <v>49.36</v>
      </c>
      <c r="AW9" s="38">
        <v>51.66</v>
      </c>
      <c r="AX9" s="38">
        <v>52.19</v>
      </c>
      <c r="AY9" s="38">
        <v>52.24</v>
      </c>
      <c r="BA9" s="37">
        <v>69.08</v>
      </c>
      <c r="BB9" s="38">
        <v>1.3071999999999999</v>
      </c>
    </row>
    <row r="10" spans="1:54" x14ac:dyDescent="0.35">
      <c r="A10" s="2">
        <v>43836</v>
      </c>
      <c r="B10" t="s">
        <v>52</v>
      </c>
      <c r="C10" s="32">
        <v>43836</v>
      </c>
      <c r="D10" s="38">
        <v>31.18</v>
      </c>
      <c r="E10" s="38">
        <v>31.16</v>
      </c>
      <c r="F10" s="38">
        <v>30.65</v>
      </c>
      <c r="G10" s="38">
        <v>29.98</v>
      </c>
      <c r="H10" s="38">
        <v>29.05</v>
      </c>
      <c r="I10" s="38">
        <v>29.68</v>
      </c>
      <c r="J10" s="38">
        <v>30.54</v>
      </c>
      <c r="K10" s="38">
        <v>31.95</v>
      </c>
      <c r="L10" s="38">
        <v>34.69</v>
      </c>
      <c r="M10" s="38">
        <v>42.96</v>
      </c>
      <c r="N10" s="38">
        <v>46.05</v>
      </c>
      <c r="O10" s="38">
        <v>47.75</v>
      </c>
      <c r="P10" s="38">
        <v>48.41</v>
      </c>
      <c r="Q10" s="38">
        <v>45.59</v>
      </c>
      <c r="R10" s="38">
        <v>41.56</v>
      </c>
      <c r="S10" s="38">
        <v>38.68</v>
      </c>
      <c r="T10" s="38">
        <v>37.770000000000003</v>
      </c>
      <c r="U10" s="38">
        <v>36.83</v>
      </c>
      <c r="V10" s="38">
        <v>37.28</v>
      </c>
      <c r="W10" s="38">
        <v>38.9</v>
      </c>
      <c r="X10" s="38">
        <v>43.02</v>
      </c>
      <c r="Y10" s="38">
        <v>46.18</v>
      </c>
      <c r="Z10" s="38">
        <v>48.64</v>
      </c>
      <c r="AA10" s="38">
        <v>52.29</v>
      </c>
      <c r="AB10" s="38">
        <v>51.59</v>
      </c>
      <c r="AC10" s="38">
        <v>47.59</v>
      </c>
      <c r="AD10" s="38">
        <v>41.54</v>
      </c>
      <c r="AE10" s="38">
        <v>39.69</v>
      </c>
      <c r="AF10" s="38">
        <v>39.22</v>
      </c>
      <c r="AG10" s="38">
        <v>39.81</v>
      </c>
      <c r="AH10" s="38">
        <v>40.82</v>
      </c>
      <c r="AI10" s="38">
        <v>42.58</v>
      </c>
      <c r="AJ10" s="38">
        <v>47.08</v>
      </c>
      <c r="AK10" s="38">
        <v>49.56</v>
      </c>
      <c r="AL10" s="38">
        <v>50.9</v>
      </c>
      <c r="AM10" s="38">
        <v>51.44</v>
      </c>
      <c r="AN10" s="38">
        <v>50.05</v>
      </c>
      <c r="AO10" s="38">
        <v>46.97</v>
      </c>
      <c r="AP10" s="38">
        <v>41.57</v>
      </c>
      <c r="AQ10" s="38">
        <v>40.1</v>
      </c>
      <c r="AR10" s="38">
        <v>39.57</v>
      </c>
      <c r="AS10" s="38">
        <v>39.81</v>
      </c>
      <c r="AT10" s="38">
        <v>40.880000000000003</v>
      </c>
      <c r="AU10" s="38">
        <v>43.85</v>
      </c>
      <c r="AV10" s="38">
        <v>48.53</v>
      </c>
      <c r="AW10" s="38">
        <v>50.91</v>
      </c>
      <c r="AX10" s="38">
        <v>51.47</v>
      </c>
      <c r="AY10" s="38">
        <v>51.55</v>
      </c>
      <c r="BA10" s="37">
        <v>70.25</v>
      </c>
      <c r="BB10" s="38">
        <v>1.3159000000000001</v>
      </c>
    </row>
    <row r="11" spans="1:54" x14ac:dyDescent="0.35">
      <c r="A11" s="2">
        <v>43837</v>
      </c>
      <c r="B11" t="s">
        <v>53</v>
      </c>
      <c r="C11" s="32">
        <v>43837</v>
      </c>
      <c r="D11" s="38">
        <v>30.24</v>
      </c>
      <c r="E11" s="38">
        <v>30.09</v>
      </c>
      <c r="F11" s="38">
        <v>29.52</v>
      </c>
      <c r="G11" s="38">
        <v>29.11</v>
      </c>
      <c r="H11" s="38">
        <v>28.3</v>
      </c>
      <c r="I11" s="38">
        <v>28.83</v>
      </c>
      <c r="J11" s="38">
        <v>29.67</v>
      </c>
      <c r="K11" s="38">
        <v>31.08</v>
      </c>
      <c r="L11" s="38">
        <v>33.68</v>
      </c>
      <c r="M11" s="38">
        <v>42.08</v>
      </c>
      <c r="N11" s="38">
        <v>45.03</v>
      </c>
      <c r="O11" s="38">
        <v>47</v>
      </c>
      <c r="P11" s="38">
        <v>47.67</v>
      </c>
      <c r="Q11" s="38">
        <v>44.8</v>
      </c>
      <c r="R11" s="38">
        <v>40.68</v>
      </c>
      <c r="S11" s="38">
        <v>37.799999999999997</v>
      </c>
      <c r="T11" s="38">
        <v>36.96</v>
      </c>
      <c r="U11" s="38">
        <v>36.299999999999997</v>
      </c>
      <c r="V11" s="38">
        <v>36.83</v>
      </c>
      <c r="W11" s="38">
        <v>38.450000000000003</v>
      </c>
      <c r="X11" s="38">
        <v>42.51</v>
      </c>
      <c r="Y11" s="38">
        <v>45.67</v>
      </c>
      <c r="Z11" s="38">
        <v>48.07</v>
      </c>
      <c r="AA11" s="38">
        <v>51.63</v>
      </c>
      <c r="AB11" s="38">
        <v>50.93</v>
      </c>
      <c r="AC11" s="38">
        <v>47.02</v>
      </c>
      <c r="AD11" s="38">
        <v>41.17</v>
      </c>
      <c r="AE11" s="38">
        <v>39.35</v>
      </c>
      <c r="AF11" s="38">
        <v>38.9</v>
      </c>
      <c r="AG11" s="38">
        <v>39.5</v>
      </c>
      <c r="AH11" s="38">
        <v>40.51</v>
      </c>
      <c r="AI11" s="38">
        <v>42.27</v>
      </c>
      <c r="AJ11" s="38">
        <v>46.92</v>
      </c>
      <c r="AK11" s="38">
        <v>49.44</v>
      </c>
      <c r="AL11" s="38">
        <v>50.78</v>
      </c>
      <c r="AM11" s="38">
        <v>51.32</v>
      </c>
      <c r="AN11" s="38">
        <v>49.93</v>
      </c>
      <c r="AO11" s="38">
        <v>46.85</v>
      </c>
      <c r="AP11" s="38">
        <v>41.33</v>
      </c>
      <c r="AQ11" s="38">
        <v>39.86</v>
      </c>
      <c r="AR11" s="38">
        <v>39.33</v>
      </c>
      <c r="AS11" s="38">
        <v>39.57</v>
      </c>
      <c r="AT11" s="38">
        <v>40.64</v>
      </c>
      <c r="AU11" s="38">
        <v>43.43</v>
      </c>
      <c r="AV11" s="38">
        <v>48.27</v>
      </c>
      <c r="AW11" s="38">
        <v>50.65</v>
      </c>
      <c r="AX11" s="38">
        <v>51.21</v>
      </c>
      <c r="AY11" s="38">
        <v>51.29</v>
      </c>
      <c r="BA11" s="37">
        <v>68.739999999999995</v>
      </c>
      <c r="BB11" s="38">
        <v>1.3122</v>
      </c>
    </row>
    <row r="12" spans="1:54" x14ac:dyDescent="0.35">
      <c r="A12" s="2">
        <f>+A7+7</f>
        <v>43838</v>
      </c>
      <c r="B12" t="s">
        <v>54</v>
      </c>
      <c r="C12" s="32">
        <v>43838</v>
      </c>
      <c r="D12" s="38">
        <v>30.46</v>
      </c>
      <c r="E12" s="38">
        <v>30.28</v>
      </c>
      <c r="F12" s="38">
        <v>29.59</v>
      </c>
      <c r="G12" s="38">
        <v>29.09</v>
      </c>
      <c r="H12" s="38">
        <v>28.4</v>
      </c>
      <c r="I12" s="38">
        <v>28.97</v>
      </c>
      <c r="J12" s="38">
        <v>29.77</v>
      </c>
      <c r="K12" s="38">
        <v>31.13</v>
      </c>
      <c r="L12" s="38">
        <v>33.729999999999997</v>
      </c>
      <c r="M12" s="38">
        <v>42.13</v>
      </c>
      <c r="N12" s="38">
        <v>45.33</v>
      </c>
      <c r="O12" s="38">
        <v>47.24</v>
      </c>
      <c r="P12" s="38">
        <v>47.89</v>
      </c>
      <c r="Q12" s="38">
        <v>45.04</v>
      </c>
      <c r="R12" s="38">
        <v>40.799999999999997</v>
      </c>
      <c r="S12" s="38">
        <v>37.909999999999997</v>
      </c>
      <c r="T12" s="38">
        <v>37.119999999999997</v>
      </c>
      <c r="U12" s="38">
        <v>36.700000000000003</v>
      </c>
      <c r="V12" s="38">
        <v>37.29</v>
      </c>
      <c r="W12" s="38">
        <v>38.909999999999997</v>
      </c>
      <c r="X12" s="38">
        <v>42.94</v>
      </c>
      <c r="Y12" s="38">
        <v>46.1</v>
      </c>
      <c r="Z12" s="38">
        <v>48.5</v>
      </c>
      <c r="AA12" s="38">
        <v>52.06</v>
      </c>
      <c r="AB12" s="38">
        <v>51.36</v>
      </c>
      <c r="AC12" s="38">
        <v>47.45</v>
      </c>
      <c r="AD12" s="38">
        <v>41.6</v>
      </c>
      <c r="AE12" s="38">
        <v>39.78</v>
      </c>
      <c r="AF12" s="38">
        <v>39.33</v>
      </c>
      <c r="AG12" s="38">
        <v>39.93</v>
      </c>
      <c r="AH12" s="38">
        <v>40.94</v>
      </c>
      <c r="AI12" s="38">
        <v>42.7</v>
      </c>
      <c r="AJ12" s="38">
        <v>47.32</v>
      </c>
      <c r="AK12" s="38">
        <v>49.81</v>
      </c>
      <c r="AL12" s="38">
        <v>51.12</v>
      </c>
      <c r="AM12" s="38">
        <v>51.66</v>
      </c>
      <c r="AN12" s="38">
        <v>50.27</v>
      </c>
      <c r="AO12" s="38">
        <v>47.19</v>
      </c>
      <c r="AP12" s="38">
        <v>41.72</v>
      </c>
      <c r="AQ12" s="38">
        <v>40.25</v>
      </c>
      <c r="AR12" s="38">
        <v>39.72</v>
      </c>
      <c r="AS12" s="38">
        <v>39.96</v>
      </c>
      <c r="AT12" s="38">
        <v>41.03</v>
      </c>
      <c r="AU12" s="38">
        <v>43.82</v>
      </c>
      <c r="AV12" s="38">
        <v>48.52</v>
      </c>
      <c r="AW12" s="38">
        <v>50.78</v>
      </c>
      <c r="AX12" s="38">
        <v>51.26</v>
      </c>
      <c r="AY12" s="38">
        <v>51.34</v>
      </c>
      <c r="BA12" s="37">
        <v>67.31</v>
      </c>
      <c r="BB12" s="38">
        <v>1.3099000000000001</v>
      </c>
    </row>
    <row r="13" spans="1:54" x14ac:dyDescent="0.35">
      <c r="A13" s="2">
        <f t="shared" ref="A13:A76" si="0">+A8+7</f>
        <v>43839</v>
      </c>
      <c r="B13" t="s">
        <v>55</v>
      </c>
      <c r="C13" s="32">
        <v>43839</v>
      </c>
      <c r="D13" s="38">
        <v>31.03</v>
      </c>
      <c r="E13" s="38">
        <v>30.54</v>
      </c>
      <c r="F13" s="38">
        <v>30.01</v>
      </c>
      <c r="G13" s="38">
        <v>29.51</v>
      </c>
      <c r="H13" s="38">
        <v>28.81</v>
      </c>
      <c r="I13" s="38">
        <v>29.32</v>
      </c>
      <c r="J13" s="38">
        <v>29.99</v>
      </c>
      <c r="K13" s="38">
        <v>31.55</v>
      </c>
      <c r="L13" s="38">
        <v>34.15</v>
      </c>
      <c r="M13" s="38">
        <v>42.28</v>
      </c>
      <c r="N13" s="38">
        <v>45.57</v>
      </c>
      <c r="O13" s="38">
        <v>47.55</v>
      </c>
      <c r="P13" s="38">
        <v>48.02</v>
      </c>
      <c r="Q13" s="38">
        <v>45.31</v>
      </c>
      <c r="R13" s="38">
        <v>41.16</v>
      </c>
      <c r="S13" s="38">
        <v>38.42</v>
      </c>
      <c r="T13" s="38">
        <v>37.68</v>
      </c>
      <c r="U13" s="38">
        <v>37.26</v>
      </c>
      <c r="V13" s="38">
        <v>37.85</v>
      </c>
      <c r="W13" s="38">
        <v>39.380000000000003</v>
      </c>
      <c r="X13" s="38">
        <v>43.43</v>
      </c>
      <c r="Y13" s="38">
        <v>46.59</v>
      </c>
      <c r="Z13" s="38">
        <v>48.99</v>
      </c>
      <c r="AA13" s="38">
        <v>52.55</v>
      </c>
      <c r="AB13" s="38">
        <v>51.8</v>
      </c>
      <c r="AC13" s="38">
        <v>47.85</v>
      </c>
      <c r="AD13" s="38">
        <v>41.95</v>
      </c>
      <c r="AE13" s="38">
        <v>40.08</v>
      </c>
      <c r="AF13" s="38">
        <v>39.630000000000003</v>
      </c>
      <c r="AG13" s="38">
        <v>40.229999999999997</v>
      </c>
      <c r="AH13" s="38">
        <v>41.24</v>
      </c>
      <c r="AI13" s="38">
        <v>43</v>
      </c>
      <c r="AJ13" s="38">
        <v>47.62</v>
      </c>
      <c r="AK13" s="38">
        <v>50.11</v>
      </c>
      <c r="AL13" s="38">
        <v>51.42</v>
      </c>
      <c r="AM13" s="38">
        <v>51.96</v>
      </c>
      <c r="AN13" s="38">
        <v>50.57</v>
      </c>
      <c r="AO13" s="38">
        <v>47.49</v>
      </c>
      <c r="AP13" s="38">
        <v>42.02</v>
      </c>
      <c r="AQ13" s="38">
        <v>40.549999999999997</v>
      </c>
      <c r="AR13" s="38">
        <v>40.020000000000003</v>
      </c>
      <c r="AS13" s="38">
        <v>40.26</v>
      </c>
      <c r="AT13" s="38">
        <v>41.29</v>
      </c>
      <c r="AU13" s="38">
        <v>44.04</v>
      </c>
      <c r="AV13" s="38">
        <v>48.7</v>
      </c>
      <c r="AW13" s="38">
        <v>50.91</v>
      </c>
      <c r="AX13" s="38">
        <v>51.39</v>
      </c>
      <c r="AY13" s="38">
        <v>51.47</v>
      </c>
      <c r="BA13" s="37">
        <v>66.58</v>
      </c>
      <c r="BB13" s="38">
        <v>1.3048999999999999</v>
      </c>
    </row>
    <row r="14" spans="1:54" x14ac:dyDescent="0.35">
      <c r="A14" s="2">
        <f t="shared" si="0"/>
        <v>43840</v>
      </c>
      <c r="B14" t="s">
        <v>56</v>
      </c>
      <c r="C14" s="32">
        <v>43840</v>
      </c>
      <c r="D14" s="38">
        <v>30.45</v>
      </c>
      <c r="E14" s="38">
        <v>30.02</v>
      </c>
      <c r="F14" s="38">
        <v>29.48</v>
      </c>
      <c r="G14" s="38">
        <v>28.87</v>
      </c>
      <c r="H14" s="38">
        <v>28.21</v>
      </c>
      <c r="I14" s="38">
        <v>28.77</v>
      </c>
      <c r="J14" s="38">
        <v>29.47</v>
      </c>
      <c r="K14" s="38">
        <v>30.97</v>
      </c>
      <c r="L14" s="38">
        <v>33.64</v>
      </c>
      <c r="M14" s="38">
        <v>42.01</v>
      </c>
      <c r="N14" s="38">
        <v>44.79</v>
      </c>
      <c r="O14" s="38">
        <v>46.89</v>
      </c>
      <c r="P14" s="38">
        <v>47.42</v>
      </c>
      <c r="Q14" s="38">
        <v>44.71</v>
      </c>
      <c r="R14" s="38">
        <v>40.64</v>
      </c>
      <c r="S14" s="38">
        <v>37.93</v>
      </c>
      <c r="T14" s="38">
        <v>37.19</v>
      </c>
      <c r="U14" s="38">
        <v>36.770000000000003</v>
      </c>
      <c r="V14" s="38">
        <v>37.36</v>
      </c>
      <c r="W14" s="38">
        <v>38.89</v>
      </c>
      <c r="X14" s="38">
        <v>43.06</v>
      </c>
      <c r="Y14" s="38">
        <v>46.22</v>
      </c>
      <c r="Z14" s="38">
        <v>48.62</v>
      </c>
      <c r="AA14" s="38">
        <v>52.09</v>
      </c>
      <c r="AB14" s="38">
        <v>51.34</v>
      </c>
      <c r="AC14" s="38">
        <v>47.39</v>
      </c>
      <c r="AD14" s="38">
        <v>41.38</v>
      </c>
      <c r="AE14" s="38">
        <v>39.409999999999997</v>
      </c>
      <c r="AF14" s="38">
        <v>38.96</v>
      </c>
      <c r="AG14" s="38">
        <v>39.56</v>
      </c>
      <c r="AH14" s="38">
        <v>40.57</v>
      </c>
      <c r="AI14" s="38">
        <v>42.33</v>
      </c>
      <c r="AJ14" s="38">
        <v>47.02</v>
      </c>
      <c r="AK14" s="38">
        <v>49.58</v>
      </c>
      <c r="AL14" s="38">
        <v>50.93</v>
      </c>
      <c r="AM14" s="38">
        <v>51.47</v>
      </c>
      <c r="AN14" s="38">
        <v>50.09</v>
      </c>
      <c r="AO14" s="38">
        <v>47.02</v>
      </c>
      <c r="AP14" s="38">
        <v>41.54</v>
      </c>
      <c r="AQ14" s="38">
        <v>40.08</v>
      </c>
      <c r="AR14" s="38">
        <v>39.58</v>
      </c>
      <c r="AS14" s="38">
        <v>39.82</v>
      </c>
      <c r="AT14" s="38">
        <v>40.85</v>
      </c>
      <c r="AU14" s="38">
        <v>43.6</v>
      </c>
      <c r="AV14" s="38">
        <v>48.26</v>
      </c>
      <c r="AW14" s="38">
        <v>50.47</v>
      </c>
      <c r="AX14" s="38">
        <v>50.95</v>
      </c>
      <c r="AY14" s="38">
        <v>51.03</v>
      </c>
      <c r="BA14" s="37">
        <v>66.77</v>
      </c>
      <c r="BB14" s="38">
        <v>1.3062</v>
      </c>
    </row>
    <row r="15" spans="1:54" x14ac:dyDescent="0.35">
      <c r="A15" s="2">
        <f t="shared" si="0"/>
        <v>43843</v>
      </c>
      <c r="B15" t="s">
        <v>57</v>
      </c>
      <c r="C15" s="32">
        <v>43843</v>
      </c>
      <c r="D15" s="38">
        <v>31.34</v>
      </c>
      <c r="E15" s="38">
        <v>30.65</v>
      </c>
      <c r="F15" s="38">
        <v>30.05</v>
      </c>
      <c r="G15" s="38">
        <v>29.45</v>
      </c>
      <c r="H15" s="38">
        <v>28.76</v>
      </c>
      <c r="I15" s="38">
        <v>29.33</v>
      </c>
      <c r="J15" s="38">
        <v>30.06</v>
      </c>
      <c r="K15" s="38">
        <v>31.57</v>
      </c>
      <c r="L15" s="38">
        <v>34.119999999999997</v>
      </c>
      <c r="M15" s="38">
        <v>42.29</v>
      </c>
      <c r="N15" s="38">
        <v>45.53</v>
      </c>
      <c r="O15" s="38">
        <v>47.29</v>
      </c>
      <c r="P15" s="38">
        <v>47.82</v>
      </c>
      <c r="Q15" s="38">
        <v>45.11</v>
      </c>
      <c r="R15" s="38">
        <v>41.06</v>
      </c>
      <c r="S15" s="38">
        <v>38.369999999999997</v>
      </c>
      <c r="T15" s="38">
        <v>37.630000000000003</v>
      </c>
      <c r="U15" s="38">
        <v>37.21</v>
      </c>
      <c r="V15" s="38">
        <v>37.799999999999997</v>
      </c>
      <c r="W15" s="38">
        <v>39.29</v>
      </c>
      <c r="X15" s="38">
        <v>43.39</v>
      </c>
      <c r="Y15" s="38">
        <v>46.51</v>
      </c>
      <c r="Z15" s="38">
        <v>48.88</v>
      </c>
      <c r="AA15" s="38">
        <v>52.35</v>
      </c>
      <c r="AB15" s="38">
        <v>51.6</v>
      </c>
      <c r="AC15" s="38">
        <v>47.65</v>
      </c>
      <c r="AD15" s="38">
        <v>41.67</v>
      </c>
      <c r="AE15" s="38">
        <v>39.700000000000003</v>
      </c>
      <c r="AF15" s="38">
        <v>39.25</v>
      </c>
      <c r="AG15" s="38">
        <v>39.85</v>
      </c>
      <c r="AH15" s="38">
        <v>40.86</v>
      </c>
      <c r="AI15" s="38">
        <v>42.62</v>
      </c>
      <c r="AJ15" s="38">
        <v>47.29</v>
      </c>
      <c r="AK15" s="38">
        <v>49.83</v>
      </c>
      <c r="AL15" s="38">
        <v>51.18</v>
      </c>
      <c r="AM15" s="38">
        <v>51.72</v>
      </c>
      <c r="AN15" s="38">
        <v>50.34</v>
      </c>
      <c r="AO15" s="38">
        <v>47.27</v>
      </c>
      <c r="AP15" s="38">
        <v>41.83</v>
      </c>
      <c r="AQ15" s="38">
        <v>40.4</v>
      </c>
      <c r="AR15" s="38">
        <v>39.9</v>
      </c>
      <c r="AS15" s="38">
        <v>40.14</v>
      </c>
      <c r="AT15" s="38">
        <v>41.17</v>
      </c>
      <c r="AU15" s="38">
        <v>43.92</v>
      </c>
      <c r="AV15" s="38">
        <v>48.58</v>
      </c>
      <c r="AW15" s="38">
        <v>50.79</v>
      </c>
      <c r="AX15" s="38">
        <v>51.27</v>
      </c>
      <c r="AY15" s="38">
        <v>51.35</v>
      </c>
      <c r="BA15" s="37">
        <v>64.14</v>
      </c>
      <c r="BB15" s="38">
        <v>1.2979000000000001</v>
      </c>
    </row>
    <row r="16" spans="1:54" x14ac:dyDescent="0.35">
      <c r="A16" s="2">
        <f t="shared" si="0"/>
        <v>43844</v>
      </c>
      <c r="B16" t="s">
        <v>58</v>
      </c>
      <c r="C16" s="32">
        <v>43844</v>
      </c>
      <c r="D16" s="38">
        <v>29.18</v>
      </c>
      <c r="E16" s="38">
        <v>28.59</v>
      </c>
      <c r="F16" s="38">
        <v>28.03</v>
      </c>
      <c r="G16" s="38">
        <v>27.63</v>
      </c>
      <c r="H16" s="38">
        <v>27.22</v>
      </c>
      <c r="I16" s="38">
        <v>27.76</v>
      </c>
      <c r="J16" s="38">
        <v>28.44</v>
      </c>
      <c r="K16" s="38">
        <v>29.95</v>
      </c>
      <c r="L16" s="38">
        <v>32.479999999999997</v>
      </c>
      <c r="M16" s="38">
        <v>40.78</v>
      </c>
      <c r="N16" s="38">
        <v>43.8</v>
      </c>
      <c r="O16" s="38">
        <v>45.68</v>
      </c>
      <c r="P16" s="38">
        <v>46.48</v>
      </c>
      <c r="Q16" s="38">
        <v>43.87</v>
      </c>
      <c r="R16" s="38">
        <v>39.78</v>
      </c>
      <c r="S16" s="38">
        <v>37.090000000000003</v>
      </c>
      <c r="T16" s="38">
        <v>36.35</v>
      </c>
      <c r="U16" s="38">
        <v>35.93</v>
      </c>
      <c r="V16" s="38">
        <v>36.5</v>
      </c>
      <c r="W16" s="38">
        <v>37.94</v>
      </c>
      <c r="X16" s="38">
        <v>42.04</v>
      </c>
      <c r="Y16" s="38">
        <v>45.11</v>
      </c>
      <c r="Z16" s="38">
        <v>47.48</v>
      </c>
      <c r="AA16" s="38">
        <v>51</v>
      </c>
      <c r="AB16" s="38">
        <v>50.29</v>
      </c>
      <c r="AC16" s="38">
        <v>46.48</v>
      </c>
      <c r="AD16" s="38">
        <v>40.619999999999997</v>
      </c>
      <c r="AE16" s="38">
        <v>38.72</v>
      </c>
      <c r="AF16" s="38">
        <v>38.270000000000003</v>
      </c>
      <c r="AG16" s="38">
        <v>38.869999999999997</v>
      </c>
      <c r="AH16" s="38">
        <v>39.86</v>
      </c>
      <c r="AI16" s="38">
        <v>41.57</v>
      </c>
      <c r="AJ16" s="38">
        <v>46.19</v>
      </c>
      <c r="AK16" s="38">
        <v>48.73</v>
      </c>
      <c r="AL16" s="38">
        <v>50.08</v>
      </c>
      <c r="AM16" s="38">
        <v>50.62</v>
      </c>
      <c r="AN16" s="38">
        <v>49.24</v>
      </c>
      <c r="AO16" s="38">
        <v>46.22</v>
      </c>
      <c r="AP16" s="38">
        <v>40.83</v>
      </c>
      <c r="AQ16" s="38">
        <v>39.4</v>
      </c>
      <c r="AR16" s="38">
        <v>38.9</v>
      </c>
      <c r="AS16" s="38">
        <v>39.14</v>
      </c>
      <c r="AT16" s="38">
        <v>40.17</v>
      </c>
      <c r="AU16" s="38">
        <v>42.92</v>
      </c>
      <c r="AV16" s="38">
        <v>47.58</v>
      </c>
      <c r="AW16" s="38">
        <v>49.79</v>
      </c>
      <c r="AX16" s="38">
        <v>50.27</v>
      </c>
      <c r="AY16" s="38">
        <v>50.35</v>
      </c>
      <c r="BA16" s="37">
        <v>64.45</v>
      </c>
      <c r="BB16" s="38">
        <v>1.3009999999999999</v>
      </c>
    </row>
    <row r="17" spans="1:54" x14ac:dyDescent="0.35">
      <c r="A17" s="2">
        <f t="shared" si="0"/>
        <v>43845</v>
      </c>
      <c r="B17" t="s">
        <v>59</v>
      </c>
      <c r="C17" s="32">
        <v>43845</v>
      </c>
      <c r="D17" s="38">
        <v>29.05</v>
      </c>
      <c r="E17" s="38">
        <v>28.51</v>
      </c>
      <c r="F17" s="38">
        <v>27.87</v>
      </c>
      <c r="G17" s="38">
        <v>27.5</v>
      </c>
      <c r="H17" s="38">
        <v>27</v>
      </c>
      <c r="I17" s="38">
        <v>27.5</v>
      </c>
      <c r="J17" s="38">
        <v>28.19</v>
      </c>
      <c r="K17" s="38">
        <v>29.66</v>
      </c>
      <c r="L17" s="38">
        <v>32.19</v>
      </c>
      <c r="M17" s="38">
        <v>40.270000000000003</v>
      </c>
      <c r="N17" s="38">
        <v>43.47</v>
      </c>
      <c r="O17" s="38">
        <v>45.41</v>
      </c>
      <c r="P17" s="38">
        <v>46.21</v>
      </c>
      <c r="Q17" s="38">
        <v>43.6</v>
      </c>
      <c r="R17" s="38">
        <v>39.549999999999997</v>
      </c>
      <c r="S17" s="38">
        <v>36.880000000000003</v>
      </c>
      <c r="T17" s="38">
        <v>36.14</v>
      </c>
      <c r="U17" s="38">
        <v>35.72</v>
      </c>
      <c r="V17" s="38">
        <v>36.29</v>
      </c>
      <c r="W17" s="38">
        <v>37.729999999999997</v>
      </c>
      <c r="X17" s="38">
        <v>41.76</v>
      </c>
      <c r="Y17" s="38">
        <v>44.83</v>
      </c>
      <c r="Z17" s="38">
        <v>47.2</v>
      </c>
      <c r="AA17" s="38">
        <v>50.72</v>
      </c>
      <c r="AB17" s="38">
        <v>50.01</v>
      </c>
      <c r="AC17" s="38">
        <v>46.2</v>
      </c>
      <c r="AD17" s="38">
        <v>40.44</v>
      </c>
      <c r="AE17" s="38">
        <v>38.54</v>
      </c>
      <c r="AF17" s="38">
        <v>38.090000000000003</v>
      </c>
      <c r="AG17" s="38">
        <v>38.69</v>
      </c>
      <c r="AH17" s="38">
        <v>39.68</v>
      </c>
      <c r="AI17" s="38">
        <v>41.35</v>
      </c>
      <c r="AJ17" s="38">
        <v>45.9</v>
      </c>
      <c r="AK17" s="38">
        <v>48.44</v>
      </c>
      <c r="AL17" s="38">
        <v>49.79</v>
      </c>
      <c r="AM17" s="38">
        <v>50.33</v>
      </c>
      <c r="AN17" s="38">
        <v>48.95</v>
      </c>
      <c r="AO17" s="38">
        <v>45.93</v>
      </c>
      <c r="AP17" s="38">
        <v>40.54</v>
      </c>
      <c r="AQ17" s="38">
        <v>39.11</v>
      </c>
      <c r="AR17" s="38">
        <v>38.61</v>
      </c>
      <c r="AS17" s="38">
        <v>38.85</v>
      </c>
      <c r="AT17" s="38">
        <v>39.880000000000003</v>
      </c>
      <c r="AU17" s="38">
        <v>42.63</v>
      </c>
      <c r="AV17" s="38">
        <v>47.29</v>
      </c>
      <c r="AW17" s="38">
        <v>49.5</v>
      </c>
      <c r="AX17" s="38">
        <v>49.98</v>
      </c>
      <c r="AY17" s="38">
        <v>50.06</v>
      </c>
      <c r="BA17" s="37">
        <v>63.29</v>
      </c>
      <c r="BB17" s="38">
        <v>1.3023</v>
      </c>
    </row>
    <row r="18" spans="1:54" x14ac:dyDescent="0.35">
      <c r="A18" s="2">
        <f t="shared" si="0"/>
        <v>43846</v>
      </c>
      <c r="B18" t="s">
        <v>60</v>
      </c>
      <c r="C18" s="32">
        <v>43846</v>
      </c>
      <c r="D18" s="38">
        <v>28.83</v>
      </c>
      <c r="E18" s="38">
        <v>28.15</v>
      </c>
      <c r="F18" s="38">
        <v>27.47</v>
      </c>
      <c r="G18" s="38">
        <v>27.09</v>
      </c>
      <c r="H18" s="38">
        <v>26.72</v>
      </c>
      <c r="I18" s="38">
        <v>27.22</v>
      </c>
      <c r="J18" s="38">
        <v>27.74</v>
      </c>
      <c r="K18" s="38">
        <v>29.19</v>
      </c>
      <c r="L18" s="38">
        <v>31.54</v>
      </c>
      <c r="M18" s="38">
        <v>39.31</v>
      </c>
      <c r="N18" s="38">
        <v>42.37</v>
      </c>
      <c r="O18" s="38">
        <v>44.41</v>
      </c>
      <c r="P18" s="38">
        <v>45.25</v>
      </c>
      <c r="Q18" s="38">
        <v>42.64</v>
      </c>
      <c r="R18" s="38">
        <v>38.909999999999997</v>
      </c>
      <c r="S18" s="38">
        <v>36.369999999999997</v>
      </c>
      <c r="T18" s="38">
        <v>35.630000000000003</v>
      </c>
      <c r="U18" s="38">
        <v>35.21</v>
      </c>
      <c r="V18" s="38">
        <v>35.78</v>
      </c>
      <c r="W18" s="38">
        <v>37.22</v>
      </c>
      <c r="X18" s="38">
        <v>41.1</v>
      </c>
      <c r="Y18" s="38">
        <v>44.17</v>
      </c>
      <c r="Z18" s="38">
        <v>46.54</v>
      </c>
      <c r="AA18" s="38">
        <v>50.11</v>
      </c>
      <c r="AB18" s="38">
        <v>49.4</v>
      </c>
      <c r="AC18" s="38">
        <v>45.59</v>
      </c>
      <c r="AD18" s="38">
        <v>39.950000000000003</v>
      </c>
      <c r="AE18" s="38">
        <v>38.1</v>
      </c>
      <c r="AF18" s="38">
        <v>37.65</v>
      </c>
      <c r="AG18" s="38">
        <v>38.25</v>
      </c>
      <c r="AH18" s="38">
        <v>39.21</v>
      </c>
      <c r="AI18" s="38">
        <v>40.24</v>
      </c>
      <c r="AJ18" s="38">
        <v>43.33</v>
      </c>
      <c r="AK18" s="38">
        <v>45.85</v>
      </c>
      <c r="AL18" s="38">
        <v>48.4</v>
      </c>
      <c r="AM18" s="38">
        <v>50.14</v>
      </c>
      <c r="AN18" s="38">
        <v>49.96</v>
      </c>
      <c r="AO18" s="38">
        <v>46.88</v>
      </c>
      <c r="AP18" s="38">
        <v>40.99</v>
      </c>
      <c r="AQ18" s="38">
        <v>39.06</v>
      </c>
      <c r="AR18" s="38">
        <v>38.11</v>
      </c>
      <c r="AS18" s="38">
        <v>38.15</v>
      </c>
      <c r="AT18" s="38">
        <v>39.18</v>
      </c>
      <c r="AU18" s="38">
        <v>41.93</v>
      </c>
      <c r="AV18" s="38">
        <v>46.59</v>
      </c>
      <c r="AW18" s="38">
        <v>48.8</v>
      </c>
      <c r="AX18" s="38">
        <v>49.28</v>
      </c>
      <c r="AY18" s="38">
        <v>49.36</v>
      </c>
      <c r="BA18" s="37">
        <v>64.63</v>
      </c>
      <c r="BB18" s="38">
        <v>1.3067</v>
      </c>
    </row>
    <row r="19" spans="1:54" x14ac:dyDescent="0.35">
      <c r="A19" s="2">
        <f t="shared" si="0"/>
        <v>43847</v>
      </c>
      <c r="B19" t="s">
        <v>61</v>
      </c>
      <c r="C19" s="32">
        <v>43847</v>
      </c>
      <c r="D19" s="38">
        <v>28.31</v>
      </c>
      <c r="E19" s="38">
        <v>27.48</v>
      </c>
      <c r="F19" s="38">
        <v>26.76</v>
      </c>
      <c r="G19" s="38">
        <v>26.55</v>
      </c>
      <c r="H19" s="38">
        <v>26.12</v>
      </c>
      <c r="I19" s="38">
        <v>26.67</v>
      </c>
      <c r="J19" s="38">
        <v>27.22</v>
      </c>
      <c r="K19" s="38">
        <v>28.48</v>
      </c>
      <c r="L19" s="38">
        <v>30.59</v>
      </c>
      <c r="M19" s="38">
        <v>38.42</v>
      </c>
      <c r="N19" s="38">
        <v>41.59</v>
      </c>
      <c r="O19" s="38">
        <v>43.36</v>
      </c>
      <c r="P19" s="38">
        <v>44.13</v>
      </c>
      <c r="Q19" s="38">
        <v>41.48</v>
      </c>
      <c r="R19" s="38">
        <v>37.950000000000003</v>
      </c>
      <c r="S19" s="38">
        <v>35.590000000000003</v>
      </c>
      <c r="T19" s="38">
        <v>34.979999999999997</v>
      </c>
      <c r="U19" s="38">
        <v>34.659999999999997</v>
      </c>
      <c r="V19" s="38">
        <v>35.270000000000003</v>
      </c>
      <c r="W19" s="38">
        <v>36.71</v>
      </c>
      <c r="X19" s="38">
        <v>40.44</v>
      </c>
      <c r="Y19" s="38">
        <v>43.51</v>
      </c>
      <c r="Z19" s="38">
        <v>45.88</v>
      </c>
      <c r="AA19" s="38">
        <v>49.45</v>
      </c>
      <c r="AB19" s="38">
        <v>48.74</v>
      </c>
      <c r="AC19" s="38">
        <v>44.93</v>
      </c>
      <c r="AD19" s="38">
        <v>39.49</v>
      </c>
      <c r="AE19" s="38">
        <v>37.79</v>
      </c>
      <c r="AF19" s="38">
        <v>37.44</v>
      </c>
      <c r="AG19" s="38">
        <v>38.04</v>
      </c>
      <c r="AH19" s="38">
        <v>38.909999999999997</v>
      </c>
      <c r="AI19" s="38">
        <v>39.78</v>
      </c>
      <c r="AJ19" s="38">
        <v>42.67</v>
      </c>
      <c r="AK19" s="38">
        <v>45.16</v>
      </c>
      <c r="AL19" s="38">
        <v>47.71</v>
      </c>
      <c r="AM19" s="38">
        <v>49.5</v>
      </c>
      <c r="AN19" s="38">
        <v>49.47</v>
      </c>
      <c r="AO19" s="38">
        <v>46.49</v>
      </c>
      <c r="AP19" s="38">
        <v>40.700000000000003</v>
      </c>
      <c r="AQ19" s="38">
        <v>38.770000000000003</v>
      </c>
      <c r="AR19" s="38">
        <v>37.82</v>
      </c>
      <c r="AS19" s="38">
        <v>37.86</v>
      </c>
      <c r="AT19" s="38">
        <v>38.89</v>
      </c>
      <c r="AU19" s="38">
        <v>41.64</v>
      </c>
      <c r="AV19" s="38">
        <v>46.15</v>
      </c>
      <c r="AW19" s="38">
        <v>48.26</v>
      </c>
      <c r="AX19" s="38">
        <v>48.69</v>
      </c>
      <c r="AY19" s="38">
        <v>48.77</v>
      </c>
      <c r="BA19" s="37">
        <v>64.05</v>
      </c>
      <c r="BB19" s="38">
        <v>1.3028999999999999</v>
      </c>
    </row>
    <row r="20" spans="1:54" x14ac:dyDescent="0.35">
      <c r="A20" s="2">
        <f t="shared" si="0"/>
        <v>43850</v>
      </c>
      <c r="B20" t="s">
        <v>62</v>
      </c>
      <c r="C20" s="32">
        <v>43850</v>
      </c>
      <c r="D20" s="38">
        <v>27.35</v>
      </c>
      <c r="E20" s="38">
        <v>26.57</v>
      </c>
      <c r="F20" s="38">
        <v>25.85</v>
      </c>
      <c r="G20" s="38">
        <v>25.9</v>
      </c>
      <c r="H20" s="38">
        <v>25.74</v>
      </c>
      <c r="I20" s="38">
        <v>26.14</v>
      </c>
      <c r="J20" s="38">
        <v>26.59</v>
      </c>
      <c r="K20" s="38">
        <v>27.94</v>
      </c>
      <c r="L20" s="38">
        <v>30.04</v>
      </c>
      <c r="M20" s="38">
        <v>37.04</v>
      </c>
      <c r="N20" s="38">
        <v>40.090000000000003</v>
      </c>
      <c r="O20" s="38">
        <v>41.99</v>
      </c>
      <c r="P20" s="38">
        <v>42.75</v>
      </c>
      <c r="Q20" s="38">
        <v>40.200000000000003</v>
      </c>
      <c r="R20" s="38">
        <v>36.93</v>
      </c>
      <c r="S20" s="38">
        <v>34.78</v>
      </c>
      <c r="T20" s="38">
        <v>34.26</v>
      </c>
      <c r="U20" s="38">
        <v>33.99</v>
      </c>
      <c r="V20" s="38">
        <v>34.6</v>
      </c>
      <c r="W20" s="38">
        <v>36.04</v>
      </c>
      <c r="X20" s="38">
        <v>39.79</v>
      </c>
      <c r="Y20" s="38">
        <v>42.88</v>
      </c>
      <c r="Z20" s="38">
        <v>45.27</v>
      </c>
      <c r="AA20" s="38">
        <v>48.84</v>
      </c>
      <c r="AB20" s="38">
        <v>48.13</v>
      </c>
      <c r="AC20" s="38">
        <v>44.37</v>
      </c>
      <c r="AD20" s="38">
        <v>39.049999999999997</v>
      </c>
      <c r="AE20" s="38">
        <v>37.4</v>
      </c>
      <c r="AF20" s="38">
        <v>37.049999999999997</v>
      </c>
      <c r="AG20" s="38">
        <v>37.67</v>
      </c>
      <c r="AH20" s="38">
        <v>38.61</v>
      </c>
      <c r="AI20" s="38">
        <v>39.53</v>
      </c>
      <c r="AJ20" s="38">
        <v>42.61</v>
      </c>
      <c r="AK20" s="38">
        <v>45.1</v>
      </c>
      <c r="AL20" s="38">
        <v>47.65</v>
      </c>
      <c r="AM20" s="38">
        <v>49.44</v>
      </c>
      <c r="AN20" s="38">
        <v>49.41</v>
      </c>
      <c r="AO20" s="38">
        <v>46.43</v>
      </c>
      <c r="AP20" s="38">
        <v>40.64</v>
      </c>
      <c r="AQ20" s="38">
        <v>38.71</v>
      </c>
      <c r="AR20" s="38">
        <v>37.76</v>
      </c>
      <c r="AS20" s="38">
        <v>37.799999999999997</v>
      </c>
      <c r="AT20" s="38">
        <v>38.83</v>
      </c>
      <c r="AU20" s="38">
        <v>41.58</v>
      </c>
      <c r="AV20" s="38">
        <v>46.09</v>
      </c>
      <c r="AW20" s="38">
        <v>48.2</v>
      </c>
      <c r="AX20" s="38">
        <v>48.63</v>
      </c>
      <c r="AY20" s="38">
        <v>48.71</v>
      </c>
      <c r="BA20" s="37">
        <v>64.63</v>
      </c>
      <c r="BB20" s="38">
        <v>1.2998000000000001</v>
      </c>
    </row>
    <row r="21" spans="1:54" x14ac:dyDescent="0.35">
      <c r="A21" s="2">
        <f t="shared" si="0"/>
        <v>43851</v>
      </c>
      <c r="B21" t="s">
        <v>63</v>
      </c>
      <c r="C21" s="32">
        <v>43851</v>
      </c>
      <c r="D21" s="38">
        <v>27.85</v>
      </c>
      <c r="E21" s="38">
        <v>26.96</v>
      </c>
      <c r="F21" s="38">
        <v>26.26</v>
      </c>
      <c r="G21" s="38">
        <v>26.05</v>
      </c>
      <c r="H21" s="38">
        <v>26.01</v>
      </c>
      <c r="I21" s="38">
        <v>26.44</v>
      </c>
      <c r="J21" s="38">
        <v>26.92</v>
      </c>
      <c r="K21" s="38">
        <v>28.14</v>
      </c>
      <c r="L21" s="38">
        <v>30.23</v>
      </c>
      <c r="M21" s="38">
        <v>37.18</v>
      </c>
      <c r="N21" s="38">
        <v>40.15</v>
      </c>
      <c r="O21" s="38">
        <v>41.94</v>
      </c>
      <c r="P21" s="38">
        <v>42.66</v>
      </c>
      <c r="Q21" s="38">
        <v>40.020000000000003</v>
      </c>
      <c r="R21" s="38">
        <v>36.659999999999997</v>
      </c>
      <c r="S21" s="38">
        <v>34.479999999999997</v>
      </c>
      <c r="T21" s="38">
        <v>33.950000000000003</v>
      </c>
      <c r="U21" s="38">
        <v>33.68</v>
      </c>
      <c r="V21" s="38">
        <v>34.29</v>
      </c>
      <c r="W21" s="38">
        <v>35.729999999999997</v>
      </c>
      <c r="X21" s="38">
        <v>39.53</v>
      </c>
      <c r="Y21" s="38">
        <v>42.69</v>
      </c>
      <c r="Z21" s="38">
        <v>45.11</v>
      </c>
      <c r="AA21" s="38">
        <v>48.71</v>
      </c>
      <c r="AB21" s="38">
        <v>48.02</v>
      </c>
      <c r="AC21" s="38">
        <v>44.29</v>
      </c>
      <c r="AD21" s="38">
        <v>38.979999999999997</v>
      </c>
      <c r="AE21" s="38">
        <v>37.340000000000003</v>
      </c>
      <c r="AF21" s="38">
        <v>37</v>
      </c>
      <c r="AG21" s="38">
        <v>37.630000000000003</v>
      </c>
      <c r="AH21" s="38">
        <v>38.58</v>
      </c>
      <c r="AI21" s="38">
        <v>39.5</v>
      </c>
      <c r="AJ21" s="38">
        <v>42.55</v>
      </c>
      <c r="AK21" s="38">
        <v>45.02</v>
      </c>
      <c r="AL21" s="38">
        <v>47.54</v>
      </c>
      <c r="AM21" s="38">
        <v>49.27</v>
      </c>
      <c r="AN21" s="38">
        <v>49.18</v>
      </c>
      <c r="AO21" s="38">
        <v>46.12</v>
      </c>
      <c r="AP21" s="38">
        <v>40.32</v>
      </c>
      <c r="AQ21" s="38">
        <v>38.39</v>
      </c>
      <c r="AR21" s="38">
        <v>37.44</v>
      </c>
      <c r="AS21" s="38">
        <v>37.479999999999997</v>
      </c>
      <c r="AT21" s="38">
        <v>38.51</v>
      </c>
      <c r="AU21" s="38">
        <v>41.26</v>
      </c>
      <c r="AV21" s="38">
        <v>45.77</v>
      </c>
      <c r="AW21" s="38">
        <v>47.88</v>
      </c>
      <c r="AX21" s="38">
        <v>48.32</v>
      </c>
      <c r="AY21" s="38">
        <v>48.42</v>
      </c>
      <c r="BA21" s="37">
        <v>63.66</v>
      </c>
      <c r="BB21" s="38">
        <v>1.3058000000000001</v>
      </c>
    </row>
    <row r="22" spans="1:54" x14ac:dyDescent="0.35">
      <c r="A22" s="2">
        <f t="shared" si="0"/>
        <v>43852</v>
      </c>
      <c r="B22" t="s">
        <v>64</v>
      </c>
      <c r="C22" s="32">
        <v>43852</v>
      </c>
      <c r="D22" s="38">
        <v>26.81</v>
      </c>
      <c r="E22" s="38">
        <v>25.92</v>
      </c>
      <c r="F22" s="38">
        <v>25.3</v>
      </c>
      <c r="G22" s="38">
        <v>25.15</v>
      </c>
      <c r="H22" s="38">
        <v>25.1</v>
      </c>
      <c r="I22" s="38">
        <v>25.54</v>
      </c>
      <c r="J22" s="38">
        <v>26.06</v>
      </c>
      <c r="K22" s="38">
        <v>27.29</v>
      </c>
      <c r="L22" s="38">
        <v>29.29</v>
      </c>
      <c r="M22" s="38">
        <v>36.21</v>
      </c>
      <c r="N22" s="38">
        <v>39.29</v>
      </c>
      <c r="O22" s="38">
        <v>41.4</v>
      </c>
      <c r="P22" s="38">
        <v>41.77</v>
      </c>
      <c r="Q22" s="38">
        <v>39.130000000000003</v>
      </c>
      <c r="R22" s="38">
        <v>35.909999999999997</v>
      </c>
      <c r="S22" s="38">
        <v>33.729999999999997</v>
      </c>
      <c r="T22" s="38">
        <v>33.200000000000003</v>
      </c>
      <c r="U22" s="38">
        <v>32.93</v>
      </c>
      <c r="V22" s="38">
        <v>33.54</v>
      </c>
      <c r="W22" s="38">
        <v>34.979999999999997</v>
      </c>
      <c r="X22" s="38">
        <v>38.68</v>
      </c>
      <c r="Y22" s="38">
        <v>41.8</v>
      </c>
      <c r="Z22" s="38">
        <v>44.22</v>
      </c>
      <c r="AA22" s="38">
        <v>47.82</v>
      </c>
      <c r="AB22" s="38">
        <v>47.13</v>
      </c>
      <c r="AC22" s="38">
        <v>43.43</v>
      </c>
      <c r="AD22" s="38">
        <v>38.159999999999997</v>
      </c>
      <c r="AE22" s="38">
        <v>36.590000000000003</v>
      </c>
      <c r="AF22" s="38">
        <v>36.270000000000003</v>
      </c>
      <c r="AG22" s="38">
        <v>36.9</v>
      </c>
      <c r="AH22" s="38">
        <v>37.85</v>
      </c>
      <c r="AI22" s="38">
        <v>38.770000000000003</v>
      </c>
      <c r="AJ22" s="38">
        <v>41.77</v>
      </c>
      <c r="AK22" s="38">
        <v>44.24</v>
      </c>
      <c r="AL22" s="38">
        <v>46.76</v>
      </c>
      <c r="AM22" s="38">
        <v>48.49</v>
      </c>
      <c r="AN22" s="38">
        <v>48.4</v>
      </c>
      <c r="AO22" s="38">
        <v>45.34</v>
      </c>
      <c r="AP22" s="38">
        <v>39.46</v>
      </c>
      <c r="AQ22" s="38">
        <v>37.479999999999997</v>
      </c>
      <c r="AR22" s="38">
        <v>36.49</v>
      </c>
      <c r="AS22" s="38">
        <v>36.54</v>
      </c>
      <c r="AT22" s="38">
        <v>37.58</v>
      </c>
      <c r="AU22" s="38">
        <v>40.340000000000003</v>
      </c>
      <c r="AV22" s="38">
        <v>44.86</v>
      </c>
      <c r="AW22" s="38">
        <v>46.97</v>
      </c>
      <c r="AX22" s="38">
        <v>47.41</v>
      </c>
      <c r="AY22" s="38">
        <v>47.51</v>
      </c>
      <c r="BA22" s="37">
        <v>62.11</v>
      </c>
      <c r="BB22" s="38">
        <v>1.3141</v>
      </c>
    </row>
    <row r="23" spans="1:54" x14ac:dyDescent="0.35">
      <c r="A23" s="2">
        <f t="shared" si="0"/>
        <v>43853</v>
      </c>
      <c r="B23" t="s">
        <v>65</v>
      </c>
      <c r="C23" s="32">
        <v>43853</v>
      </c>
      <c r="D23" s="38">
        <v>26.77</v>
      </c>
      <c r="E23" s="38">
        <v>25.69</v>
      </c>
      <c r="F23" s="38">
        <v>25.05</v>
      </c>
      <c r="G23" s="38">
        <v>24.96</v>
      </c>
      <c r="H23" s="38">
        <v>24.89</v>
      </c>
      <c r="I23" s="38">
        <v>25.24</v>
      </c>
      <c r="J23" s="38">
        <v>25.79</v>
      </c>
      <c r="K23" s="38">
        <v>27.01</v>
      </c>
      <c r="L23" s="38">
        <v>28.94</v>
      </c>
      <c r="M23" s="38">
        <v>35.44</v>
      </c>
      <c r="N23" s="38">
        <v>38.56</v>
      </c>
      <c r="O23" s="38">
        <v>41.07</v>
      </c>
      <c r="P23" s="38">
        <v>40.96</v>
      </c>
      <c r="Q23" s="38">
        <v>38.229999999999997</v>
      </c>
      <c r="R23" s="38">
        <v>35.47</v>
      </c>
      <c r="S23" s="38">
        <v>33.46</v>
      </c>
      <c r="T23" s="38">
        <v>32.96</v>
      </c>
      <c r="U23" s="38">
        <v>32.659999999999997</v>
      </c>
      <c r="V23" s="38">
        <v>33.270000000000003</v>
      </c>
      <c r="W23" s="38">
        <v>34.76</v>
      </c>
      <c r="X23" s="38">
        <v>38.46</v>
      </c>
      <c r="Y23" s="38">
        <v>41.58</v>
      </c>
      <c r="Z23" s="38">
        <v>44</v>
      </c>
      <c r="AA23" s="38">
        <v>47.6</v>
      </c>
      <c r="AB23" s="38">
        <v>46.91</v>
      </c>
      <c r="AC23" s="38">
        <v>43.18</v>
      </c>
      <c r="AD23" s="38">
        <v>38.159999999999997</v>
      </c>
      <c r="AE23" s="38">
        <v>36.69</v>
      </c>
      <c r="AF23" s="38">
        <v>36.369999999999997</v>
      </c>
      <c r="AG23" s="38">
        <v>37</v>
      </c>
      <c r="AH23" s="38">
        <v>37.950000000000003</v>
      </c>
      <c r="AI23" s="38">
        <v>38.82</v>
      </c>
      <c r="AJ23" s="38">
        <v>41.71</v>
      </c>
      <c r="AK23" s="38">
        <v>44.13</v>
      </c>
      <c r="AL23" s="38">
        <v>46.65</v>
      </c>
      <c r="AM23" s="38">
        <v>48.38</v>
      </c>
      <c r="AN23" s="38">
        <v>48.29</v>
      </c>
      <c r="AO23" s="38">
        <v>45.23</v>
      </c>
      <c r="AP23" s="38">
        <v>39.35</v>
      </c>
      <c r="AQ23" s="38">
        <v>37.369999999999997</v>
      </c>
      <c r="AR23" s="38">
        <v>36.380000000000003</v>
      </c>
      <c r="AS23" s="38">
        <v>36.43</v>
      </c>
      <c r="AT23" s="38">
        <v>37.47</v>
      </c>
      <c r="AU23" s="38">
        <v>40.229999999999997</v>
      </c>
      <c r="AV23" s="38">
        <v>44.75</v>
      </c>
      <c r="AW23" s="38">
        <v>46.86</v>
      </c>
      <c r="AX23" s="38">
        <v>47.3</v>
      </c>
      <c r="AY23" s="38">
        <v>47.4</v>
      </c>
      <c r="BA23" s="37">
        <v>61.26</v>
      </c>
      <c r="BB23" s="38">
        <v>1.3118000000000001</v>
      </c>
    </row>
    <row r="24" spans="1:54" x14ac:dyDescent="0.35">
      <c r="A24" s="2">
        <f t="shared" si="0"/>
        <v>43854</v>
      </c>
      <c r="B24" t="s">
        <v>66</v>
      </c>
      <c r="C24" s="32">
        <v>43854</v>
      </c>
      <c r="D24" s="38">
        <v>27.12</v>
      </c>
      <c r="E24" s="38">
        <v>25.93</v>
      </c>
      <c r="F24" s="38">
        <v>25.19</v>
      </c>
      <c r="G24" s="38">
        <v>25.09</v>
      </c>
      <c r="H24" s="38">
        <v>24.93</v>
      </c>
      <c r="I24" s="38">
        <v>25.33</v>
      </c>
      <c r="J24" s="38">
        <v>25.83</v>
      </c>
      <c r="K24" s="38">
        <v>27.13</v>
      </c>
      <c r="L24" s="38">
        <v>29.01</v>
      </c>
      <c r="M24" s="38">
        <v>35.74</v>
      </c>
      <c r="N24" s="38">
        <v>38.799999999999997</v>
      </c>
      <c r="O24" s="38">
        <v>41.27</v>
      </c>
      <c r="P24" s="38">
        <v>41.05</v>
      </c>
      <c r="Q24" s="38">
        <v>38.33</v>
      </c>
      <c r="R24" s="38">
        <v>35.54</v>
      </c>
      <c r="S24" s="38">
        <v>33.49</v>
      </c>
      <c r="T24" s="38">
        <v>32.979999999999997</v>
      </c>
      <c r="U24" s="38">
        <v>32.67</v>
      </c>
      <c r="V24" s="38">
        <v>33.270000000000003</v>
      </c>
      <c r="W24" s="38">
        <v>34.75</v>
      </c>
      <c r="X24" s="38">
        <v>38.299999999999997</v>
      </c>
      <c r="Y24" s="38">
        <v>41.34</v>
      </c>
      <c r="Z24" s="38">
        <v>43.74</v>
      </c>
      <c r="AA24" s="38">
        <v>47.28</v>
      </c>
      <c r="AB24" s="38">
        <v>46.59</v>
      </c>
      <c r="AC24" s="38">
        <v>42.86</v>
      </c>
      <c r="AD24" s="38">
        <v>38.020000000000003</v>
      </c>
      <c r="AE24" s="38">
        <v>36.58</v>
      </c>
      <c r="AF24" s="38">
        <v>36.28</v>
      </c>
      <c r="AG24" s="38">
        <v>36.94</v>
      </c>
      <c r="AH24" s="38">
        <v>37.9</v>
      </c>
      <c r="AI24" s="38">
        <v>38.81</v>
      </c>
      <c r="AJ24" s="38">
        <v>41.36</v>
      </c>
      <c r="AK24" s="38">
        <v>43.74</v>
      </c>
      <c r="AL24" s="38">
        <v>46.26</v>
      </c>
      <c r="AM24" s="38">
        <v>47.99</v>
      </c>
      <c r="AN24" s="38">
        <v>47.9</v>
      </c>
      <c r="AO24" s="38">
        <v>44.85</v>
      </c>
      <c r="AP24" s="38">
        <v>39.200000000000003</v>
      </c>
      <c r="AQ24" s="38">
        <v>37.22</v>
      </c>
      <c r="AR24" s="38">
        <v>36.229999999999997</v>
      </c>
      <c r="AS24" s="38">
        <v>36.28</v>
      </c>
      <c r="AT24" s="38">
        <v>37.32</v>
      </c>
      <c r="AU24" s="38">
        <v>40.08</v>
      </c>
      <c r="AV24" s="38">
        <v>44.51</v>
      </c>
      <c r="AW24" s="38">
        <v>46.62</v>
      </c>
      <c r="AX24" s="38">
        <v>47.06</v>
      </c>
      <c r="AY24" s="38">
        <v>47.16</v>
      </c>
      <c r="BA24" s="37">
        <v>59.34</v>
      </c>
      <c r="BB24" s="38">
        <v>1.3067</v>
      </c>
    </row>
    <row r="25" spans="1:54" x14ac:dyDescent="0.35">
      <c r="A25" s="2">
        <f t="shared" si="0"/>
        <v>43857</v>
      </c>
      <c r="B25" t="s">
        <v>67</v>
      </c>
      <c r="C25" s="32">
        <v>43857</v>
      </c>
      <c r="D25" s="38">
        <v>27.32</v>
      </c>
      <c r="E25" s="38">
        <v>26.05</v>
      </c>
      <c r="F25" s="38">
        <v>25.38</v>
      </c>
      <c r="G25" s="38">
        <v>25.28</v>
      </c>
      <c r="H25" s="38">
        <v>25.16</v>
      </c>
      <c r="I25" s="38">
        <v>25.51</v>
      </c>
      <c r="J25" s="38">
        <v>26.04</v>
      </c>
      <c r="K25" s="38">
        <v>27.44</v>
      </c>
      <c r="L25" s="38">
        <v>29.14</v>
      </c>
      <c r="M25" s="38">
        <v>35.74</v>
      </c>
      <c r="N25" s="38">
        <v>39.08</v>
      </c>
      <c r="O25" s="38">
        <v>41.08</v>
      </c>
      <c r="P25" s="38">
        <v>41.33</v>
      </c>
      <c r="Q25" s="38">
        <v>38.44</v>
      </c>
      <c r="R25" s="38">
        <v>35.58</v>
      </c>
      <c r="S25" s="38">
        <v>33.44</v>
      </c>
      <c r="T25" s="38">
        <v>32.880000000000003</v>
      </c>
      <c r="U25" s="38">
        <v>32.53</v>
      </c>
      <c r="V25" s="38">
        <v>33.1</v>
      </c>
      <c r="W25" s="38">
        <v>34.6</v>
      </c>
      <c r="X25" s="38">
        <v>38.049999999999997</v>
      </c>
      <c r="Y25" s="38">
        <v>40.950000000000003</v>
      </c>
      <c r="Z25" s="38">
        <v>43.35</v>
      </c>
      <c r="AA25" s="38">
        <v>46.9</v>
      </c>
      <c r="AB25" s="38">
        <v>46.21</v>
      </c>
      <c r="AC25" s="38">
        <v>42.48</v>
      </c>
      <c r="AD25" s="38">
        <v>38.07</v>
      </c>
      <c r="AE25" s="38">
        <v>36.92</v>
      </c>
      <c r="AF25" s="38">
        <v>36.619999999999997</v>
      </c>
      <c r="AG25" s="38">
        <v>37.090000000000003</v>
      </c>
      <c r="AH25" s="38">
        <v>37.909999999999997</v>
      </c>
      <c r="AI25" s="38">
        <v>38.69</v>
      </c>
      <c r="AJ25" s="38">
        <v>41.05</v>
      </c>
      <c r="AK25" s="38">
        <v>43.43</v>
      </c>
      <c r="AL25" s="38">
        <v>46.09</v>
      </c>
      <c r="AM25" s="38">
        <v>48.03</v>
      </c>
      <c r="AN25" s="38">
        <v>47.94</v>
      </c>
      <c r="AO25" s="38">
        <v>44.89</v>
      </c>
      <c r="AP25" s="38">
        <v>39.24</v>
      </c>
      <c r="AQ25" s="38">
        <v>37.26</v>
      </c>
      <c r="AR25" s="38">
        <v>36.270000000000003</v>
      </c>
      <c r="AS25" s="38">
        <v>36.32</v>
      </c>
      <c r="AT25" s="38">
        <v>37.36</v>
      </c>
      <c r="AU25" s="38">
        <v>40.119999999999997</v>
      </c>
      <c r="AV25" s="38">
        <v>44.46</v>
      </c>
      <c r="AW25" s="38">
        <v>46.52</v>
      </c>
      <c r="AX25" s="38">
        <v>46.93</v>
      </c>
      <c r="AY25" s="38">
        <v>47.03</v>
      </c>
      <c r="BA25" s="37">
        <v>58.54</v>
      </c>
      <c r="BB25" s="38">
        <v>1.3056000000000001</v>
      </c>
    </row>
    <row r="26" spans="1:54" x14ac:dyDescent="0.35">
      <c r="A26" s="2">
        <f t="shared" si="0"/>
        <v>43858</v>
      </c>
      <c r="B26" t="s">
        <v>68</v>
      </c>
      <c r="C26" s="32">
        <v>43858</v>
      </c>
      <c r="D26" s="38">
        <v>28.14</v>
      </c>
      <c r="E26" s="38">
        <v>26.95</v>
      </c>
      <c r="F26" s="38">
        <v>26.41</v>
      </c>
      <c r="G26" s="38">
        <v>26.3</v>
      </c>
      <c r="H26" s="38">
        <v>26.19</v>
      </c>
      <c r="I26" s="38">
        <v>26.55</v>
      </c>
      <c r="J26" s="38">
        <v>27.01</v>
      </c>
      <c r="K26" s="38">
        <v>28.36</v>
      </c>
      <c r="L26" s="38">
        <v>30.16</v>
      </c>
      <c r="M26" s="38">
        <v>36.71</v>
      </c>
      <c r="N26" s="38">
        <v>39.51</v>
      </c>
      <c r="O26" s="38">
        <v>41.51</v>
      </c>
      <c r="P26" s="38">
        <v>41.98</v>
      </c>
      <c r="Q26" s="38">
        <v>39.159999999999997</v>
      </c>
      <c r="R26" s="38">
        <v>36.270000000000003</v>
      </c>
      <c r="S26" s="38">
        <v>34.119999999999997</v>
      </c>
      <c r="T26" s="38">
        <v>33.56</v>
      </c>
      <c r="U26" s="38">
        <v>33.21</v>
      </c>
      <c r="V26" s="38">
        <v>33.78</v>
      </c>
      <c r="W26" s="38">
        <v>35.26</v>
      </c>
      <c r="X26" s="38">
        <v>38.6</v>
      </c>
      <c r="Y26" s="38">
        <v>41.43</v>
      </c>
      <c r="Z26" s="38">
        <v>43.83</v>
      </c>
      <c r="AA26" s="38">
        <v>47.38</v>
      </c>
      <c r="AB26" s="38">
        <v>46.69</v>
      </c>
      <c r="AC26" s="38">
        <v>43.01</v>
      </c>
      <c r="AD26" s="38">
        <v>38.71</v>
      </c>
      <c r="AE26" s="38">
        <v>37.56</v>
      </c>
      <c r="AF26" s="38">
        <v>37.26</v>
      </c>
      <c r="AG26" s="38">
        <v>37.369999999999997</v>
      </c>
      <c r="AH26" s="38">
        <v>37.93</v>
      </c>
      <c r="AI26" s="38">
        <v>38.71</v>
      </c>
      <c r="AJ26" s="38">
        <v>41.29</v>
      </c>
      <c r="AK26" s="38">
        <v>43.86</v>
      </c>
      <c r="AL26" s="38">
        <v>46.52</v>
      </c>
      <c r="AM26" s="38">
        <v>48.46</v>
      </c>
      <c r="AN26" s="38">
        <v>48.37</v>
      </c>
      <c r="AO26" s="38">
        <v>45.32</v>
      </c>
      <c r="AP26" s="38">
        <v>39.67</v>
      </c>
      <c r="AQ26" s="38">
        <v>37.69</v>
      </c>
      <c r="AR26" s="38">
        <v>36.700000000000003</v>
      </c>
      <c r="AS26" s="38">
        <v>36.75</v>
      </c>
      <c r="AT26" s="38">
        <v>37.79</v>
      </c>
      <c r="AU26" s="38">
        <v>40.549999999999997</v>
      </c>
      <c r="AV26" s="38">
        <v>44.89</v>
      </c>
      <c r="AW26" s="38">
        <v>46.95</v>
      </c>
      <c r="AX26" s="38">
        <v>47.36</v>
      </c>
      <c r="AY26" s="38">
        <v>47.46</v>
      </c>
      <c r="BA26" s="37">
        <v>59.37</v>
      </c>
      <c r="BB26" s="38">
        <v>1.2983</v>
      </c>
    </row>
    <row r="27" spans="1:54" x14ac:dyDescent="0.35">
      <c r="A27" s="2">
        <f t="shared" si="0"/>
        <v>43859</v>
      </c>
      <c r="B27" t="s">
        <v>69</v>
      </c>
      <c r="C27" s="32">
        <v>43859</v>
      </c>
      <c r="D27" s="38">
        <v>26.66</v>
      </c>
      <c r="E27" s="38">
        <v>25.44</v>
      </c>
      <c r="F27" s="38">
        <v>24.89</v>
      </c>
      <c r="G27" s="38">
        <v>24.89</v>
      </c>
      <c r="H27" s="38">
        <v>24.87</v>
      </c>
      <c r="I27" s="38">
        <v>25.34</v>
      </c>
      <c r="J27" s="38">
        <v>25.77</v>
      </c>
      <c r="K27" s="38">
        <v>27.08</v>
      </c>
      <c r="L27" s="38">
        <v>28.9</v>
      </c>
      <c r="M27" s="38">
        <v>35.479999999999997</v>
      </c>
      <c r="N27" s="38">
        <v>38.33</v>
      </c>
      <c r="O27" s="38">
        <v>40.32</v>
      </c>
      <c r="P27" s="38">
        <v>40.799999999999997</v>
      </c>
      <c r="Q27" s="38">
        <v>38.090000000000003</v>
      </c>
      <c r="R27" s="38">
        <v>35.31</v>
      </c>
      <c r="S27" s="38">
        <v>33.229999999999997</v>
      </c>
      <c r="T27" s="38">
        <v>32.729999999999997</v>
      </c>
      <c r="U27" s="38">
        <v>32.380000000000003</v>
      </c>
      <c r="V27" s="38">
        <v>32.9</v>
      </c>
      <c r="W27" s="38">
        <v>34.299999999999997</v>
      </c>
      <c r="X27" s="38">
        <v>37.44</v>
      </c>
      <c r="Y27" s="38">
        <v>40.07</v>
      </c>
      <c r="Z27" s="38">
        <v>42.46</v>
      </c>
      <c r="AA27" s="38">
        <v>46.07</v>
      </c>
      <c r="AB27" s="38">
        <v>45.43</v>
      </c>
      <c r="AC27" s="38">
        <v>41.79</v>
      </c>
      <c r="AD27" s="38">
        <v>37.520000000000003</v>
      </c>
      <c r="AE27" s="38">
        <v>36.369999999999997</v>
      </c>
      <c r="AF27" s="38">
        <v>36.07</v>
      </c>
      <c r="AG27" s="38">
        <v>36.119999999999997</v>
      </c>
      <c r="AH27" s="38">
        <v>36.619999999999997</v>
      </c>
      <c r="AI27" s="38">
        <v>37.35</v>
      </c>
      <c r="AJ27" s="38">
        <v>39.840000000000003</v>
      </c>
      <c r="AK27" s="38">
        <v>42.36</v>
      </c>
      <c r="AL27" s="38">
        <v>45.02</v>
      </c>
      <c r="AM27" s="38">
        <v>47.06</v>
      </c>
      <c r="AN27" s="38">
        <v>47.07</v>
      </c>
      <c r="AO27" s="38">
        <v>44.12</v>
      </c>
      <c r="AP27" s="38">
        <v>38.549999999999997</v>
      </c>
      <c r="AQ27" s="38">
        <v>36.65</v>
      </c>
      <c r="AR27" s="38">
        <v>35.74</v>
      </c>
      <c r="AS27" s="38">
        <v>35.869999999999997</v>
      </c>
      <c r="AT27" s="38">
        <v>36.909999999999997</v>
      </c>
      <c r="AU27" s="38">
        <v>39.67</v>
      </c>
      <c r="AV27" s="38">
        <v>43.96</v>
      </c>
      <c r="AW27" s="38">
        <v>46.02</v>
      </c>
      <c r="AX27" s="38">
        <v>46.43</v>
      </c>
      <c r="AY27" s="38">
        <v>46.53</v>
      </c>
      <c r="BA27" s="37">
        <v>59.46</v>
      </c>
      <c r="BB27" s="38">
        <v>1.3</v>
      </c>
    </row>
    <row r="28" spans="1:54" x14ac:dyDescent="0.35">
      <c r="A28" s="2">
        <f t="shared" si="0"/>
        <v>43860</v>
      </c>
      <c r="B28" t="s">
        <v>70</v>
      </c>
      <c r="C28" s="32">
        <v>43860</v>
      </c>
      <c r="D28" s="38">
        <v>25.34</v>
      </c>
      <c r="E28" s="38">
        <v>24.38</v>
      </c>
      <c r="F28" s="38">
        <v>23.88</v>
      </c>
      <c r="G28" s="38">
        <v>24.24</v>
      </c>
      <c r="H28" s="38">
        <v>24.57</v>
      </c>
      <c r="I28" s="38">
        <v>24.71</v>
      </c>
      <c r="J28" s="38">
        <v>25.11</v>
      </c>
      <c r="K28" s="38">
        <v>26.51</v>
      </c>
      <c r="L28" s="38">
        <v>28.33</v>
      </c>
      <c r="M28" s="38">
        <v>34.659999999999997</v>
      </c>
      <c r="N28" s="38">
        <v>37.340000000000003</v>
      </c>
      <c r="O28" s="38">
        <v>39.03</v>
      </c>
      <c r="P28" s="38">
        <v>39.32</v>
      </c>
      <c r="Q28" s="38">
        <v>36.520000000000003</v>
      </c>
      <c r="R28" s="38">
        <v>33.869999999999997</v>
      </c>
      <c r="S28" s="38">
        <v>31.94</v>
      </c>
      <c r="T28" s="38">
        <v>31.56</v>
      </c>
      <c r="U28" s="38">
        <v>31.31</v>
      </c>
      <c r="V28" s="38">
        <v>31.86</v>
      </c>
      <c r="W28" s="38">
        <v>33.25</v>
      </c>
      <c r="X28" s="38">
        <v>36.24</v>
      </c>
      <c r="Y28" s="38">
        <v>38.72</v>
      </c>
      <c r="Z28" s="38">
        <v>41.02</v>
      </c>
      <c r="AA28" s="38">
        <v>44.58</v>
      </c>
      <c r="AB28" s="38">
        <v>43.9</v>
      </c>
      <c r="AC28" s="38">
        <v>40.36</v>
      </c>
      <c r="AD28" s="38">
        <v>36.369999999999997</v>
      </c>
      <c r="AE28" s="38">
        <v>35.270000000000003</v>
      </c>
      <c r="AF28" s="38">
        <v>35.020000000000003</v>
      </c>
      <c r="AG28" s="38">
        <v>35.1</v>
      </c>
      <c r="AH28" s="38">
        <v>35.619999999999997</v>
      </c>
      <c r="AI28" s="38">
        <v>36.369999999999997</v>
      </c>
      <c r="AJ28" s="38">
        <v>38.61</v>
      </c>
      <c r="AK28" s="38">
        <v>41.14</v>
      </c>
      <c r="AL28" s="38">
        <v>43.81</v>
      </c>
      <c r="AM28" s="38">
        <v>45.86</v>
      </c>
      <c r="AN28" s="38">
        <v>45.88</v>
      </c>
      <c r="AO28" s="38">
        <v>42.93</v>
      </c>
      <c r="AP28" s="38">
        <v>37.36</v>
      </c>
      <c r="AQ28" s="38">
        <v>35.450000000000003</v>
      </c>
      <c r="AR28" s="38">
        <v>34.54</v>
      </c>
      <c r="AS28" s="38">
        <v>34.67</v>
      </c>
      <c r="AT28" s="38">
        <v>35.71</v>
      </c>
      <c r="AU28" s="38">
        <v>38.47</v>
      </c>
      <c r="AV28" s="38">
        <v>42.71</v>
      </c>
      <c r="AW28" s="38">
        <v>44.77</v>
      </c>
      <c r="AX28" s="38">
        <v>45.18</v>
      </c>
      <c r="AY28" s="38">
        <v>45.28</v>
      </c>
      <c r="BA28" s="37">
        <v>57.72</v>
      </c>
      <c r="BB28" s="38">
        <v>1.31</v>
      </c>
    </row>
    <row r="29" spans="1:54" x14ac:dyDescent="0.35">
      <c r="A29" s="2">
        <f t="shared" si="0"/>
        <v>43861</v>
      </c>
      <c r="B29" t="s">
        <v>71</v>
      </c>
      <c r="C29" s="32">
        <v>43861</v>
      </c>
      <c r="D29" s="38">
        <v>24.18</v>
      </c>
      <c r="E29" s="38">
        <v>23.79</v>
      </c>
      <c r="F29" s="38">
        <v>24.17</v>
      </c>
      <c r="G29" s="38">
        <v>24.31</v>
      </c>
      <c r="H29" s="38">
        <v>24.56</v>
      </c>
      <c r="I29" s="38">
        <v>24.55</v>
      </c>
      <c r="J29" s="38">
        <v>26.12</v>
      </c>
      <c r="K29" s="38">
        <v>28.12</v>
      </c>
      <c r="L29" s="38">
        <v>34.200000000000003</v>
      </c>
      <c r="M29" s="38">
        <v>36.729999999999997</v>
      </c>
      <c r="N29" s="38">
        <v>38.33</v>
      </c>
      <c r="O29" s="38">
        <v>38.57</v>
      </c>
      <c r="P29" s="38">
        <v>35.83</v>
      </c>
      <c r="Q29" s="38">
        <v>33.47</v>
      </c>
      <c r="R29" s="38">
        <v>31.73</v>
      </c>
      <c r="S29" s="38">
        <v>31.36</v>
      </c>
      <c r="T29" s="38">
        <v>31.1</v>
      </c>
      <c r="U29" s="38">
        <v>31.65</v>
      </c>
      <c r="V29" s="38">
        <v>32.86</v>
      </c>
      <c r="W29" s="38">
        <v>35.659999999999997</v>
      </c>
      <c r="X29" s="38">
        <v>38.01</v>
      </c>
      <c r="Y29" s="38">
        <v>40.25</v>
      </c>
      <c r="Z29" s="38">
        <v>43.77</v>
      </c>
      <c r="AA29" s="38">
        <v>43.1</v>
      </c>
      <c r="AB29" s="38">
        <v>39.57</v>
      </c>
      <c r="AC29" s="38">
        <v>35.82</v>
      </c>
      <c r="AD29" s="38">
        <v>34.79</v>
      </c>
      <c r="AE29" s="38">
        <v>34.590000000000003</v>
      </c>
      <c r="AF29" s="38">
        <v>34.68</v>
      </c>
      <c r="AG29" s="38">
        <v>35.21</v>
      </c>
      <c r="AH29" s="38">
        <v>35.979999999999997</v>
      </c>
      <c r="AI29" s="38">
        <v>38.299999999999997</v>
      </c>
      <c r="AJ29" s="38">
        <v>40.89</v>
      </c>
      <c r="AK29" s="38">
        <v>43.58</v>
      </c>
      <c r="AL29" s="38">
        <v>45.64</v>
      </c>
      <c r="AM29" s="38">
        <v>45.69</v>
      </c>
      <c r="AN29" s="38">
        <v>42.77</v>
      </c>
      <c r="AO29" s="38">
        <v>37.200000000000003</v>
      </c>
      <c r="AP29" s="38">
        <v>35.340000000000003</v>
      </c>
      <c r="AQ29" s="38">
        <v>34.46</v>
      </c>
      <c r="AR29" s="38">
        <v>34.6</v>
      </c>
      <c r="AS29" s="38">
        <v>35.64</v>
      </c>
      <c r="AT29" s="38">
        <v>38.4</v>
      </c>
      <c r="AU29" s="38">
        <v>42.64</v>
      </c>
      <c r="AV29" s="38">
        <v>44.7</v>
      </c>
      <c r="AW29" s="38">
        <v>45.11</v>
      </c>
      <c r="AX29" s="38">
        <v>45.21</v>
      </c>
      <c r="AY29" s="38">
        <v>42.71</v>
      </c>
      <c r="BA29" s="37">
        <v>57.77</v>
      </c>
      <c r="BB29" s="38">
        <v>1.3179000000000001</v>
      </c>
    </row>
    <row r="30" spans="1:54" x14ac:dyDescent="0.35">
      <c r="A30" s="2">
        <f t="shared" si="0"/>
        <v>43864</v>
      </c>
      <c r="B30" t="s">
        <v>72</v>
      </c>
      <c r="C30" s="32">
        <v>43864</v>
      </c>
      <c r="D30" s="38">
        <v>22.83</v>
      </c>
      <c r="E30" s="38">
        <v>22.7</v>
      </c>
      <c r="F30" s="38">
        <v>23.21</v>
      </c>
      <c r="G30" s="38">
        <v>23.59</v>
      </c>
      <c r="H30" s="38">
        <v>23.87</v>
      </c>
      <c r="I30" s="38">
        <v>24.05</v>
      </c>
      <c r="J30" s="38">
        <v>25.42</v>
      </c>
      <c r="K30" s="38">
        <v>27.25</v>
      </c>
      <c r="L30" s="38">
        <v>33.270000000000003</v>
      </c>
      <c r="M30" s="38">
        <v>35.869999999999997</v>
      </c>
      <c r="N30" s="38">
        <v>37.47</v>
      </c>
      <c r="O30" s="38">
        <v>37.68</v>
      </c>
      <c r="P30" s="38">
        <v>35.01</v>
      </c>
      <c r="Q30" s="38">
        <v>32.75</v>
      </c>
      <c r="R30" s="38">
        <v>31.08</v>
      </c>
      <c r="S30" s="38">
        <v>30.71</v>
      </c>
      <c r="T30" s="38">
        <v>30.45</v>
      </c>
      <c r="U30" s="38">
        <v>31</v>
      </c>
      <c r="V30" s="38">
        <v>32.270000000000003</v>
      </c>
      <c r="W30" s="38">
        <v>35.06</v>
      </c>
      <c r="X30" s="38">
        <v>37.5</v>
      </c>
      <c r="Y30" s="38">
        <v>39.74</v>
      </c>
      <c r="Z30" s="38">
        <v>43.26</v>
      </c>
      <c r="AA30" s="38">
        <v>42.59</v>
      </c>
      <c r="AB30" s="38">
        <v>39.21</v>
      </c>
      <c r="AC30" s="38">
        <v>35.549999999999997</v>
      </c>
      <c r="AD30" s="38">
        <v>34.65</v>
      </c>
      <c r="AE30" s="38">
        <v>34.450000000000003</v>
      </c>
      <c r="AF30" s="38">
        <v>34.54</v>
      </c>
      <c r="AG30" s="38">
        <v>35.01</v>
      </c>
      <c r="AH30" s="38">
        <v>35.64</v>
      </c>
      <c r="AI30" s="38">
        <v>37.82</v>
      </c>
      <c r="AJ30" s="38">
        <v>40.270000000000003</v>
      </c>
      <c r="AK30" s="38">
        <v>42.89</v>
      </c>
      <c r="AL30" s="38">
        <v>44.95</v>
      </c>
      <c r="AM30" s="38">
        <v>45.06</v>
      </c>
      <c r="AN30" s="38">
        <v>42.27</v>
      </c>
      <c r="AO30" s="38">
        <v>36.86</v>
      </c>
      <c r="AP30" s="38">
        <v>35.15</v>
      </c>
      <c r="AQ30" s="38">
        <v>34.29</v>
      </c>
      <c r="AR30" s="38">
        <v>34.43</v>
      </c>
      <c r="AS30" s="38">
        <v>35.47</v>
      </c>
      <c r="AT30" s="38">
        <v>38.15</v>
      </c>
      <c r="AU30" s="38">
        <v>42.31</v>
      </c>
      <c r="AV30" s="38">
        <v>44.31</v>
      </c>
      <c r="AW30" s="38">
        <v>44.72</v>
      </c>
      <c r="AX30" s="38">
        <v>44.82</v>
      </c>
      <c r="AY30" s="38">
        <v>42.32</v>
      </c>
      <c r="BA30" s="37">
        <v>54</v>
      </c>
      <c r="BB30" s="38">
        <v>1.3012999999999999</v>
      </c>
    </row>
    <row r="31" spans="1:54" x14ac:dyDescent="0.35">
      <c r="A31" s="2">
        <f t="shared" si="0"/>
        <v>43865</v>
      </c>
      <c r="B31" t="s">
        <v>73</v>
      </c>
      <c r="C31" s="32">
        <v>43865</v>
      </c>
      <c r="D31" s="38">
        <v>23.02</v>
      </c>
      <c r="E31" s="38">
        <v>22.84</v>
      </c>
      <c r="F31" s="38">
        <v>23.44</v>
      </c>
      <c r="G31" s="38">
        <v>24.04</v>
      </c>
      <c r="H31" s="38">
        <v>24.32</v>
      </c>
      <c r="I31" s="38">
        <v>24.67</v>
      </c>
      <c r="J31" s="38">
        <v>25.9</v>
      </c>
      <c r="K31" s="38">
        <v>27.99</v>
      </c>
      <c r="L31" s="38">
        <v>34.090000000000003</v>
      </c>
      <c r="M31" s="38">
        <v>36.69</v>
      </c>
      <c r="N31" s="38">
        <v>38.25</v>
      </c>
      <c r="O31" s="38">
        <v>38.4</v>
      </c>
      <c r="P31" s="38">
        <v>35.71</v>
      </c>
      <c r="Q31" s="38">
        <v>33.450000000000003</v>
      </c>
      <c r="R31" s="38">
        <v>31.77</v>
      </c>
      <c r="S31" s="38">
        <v>31.41</v>
      </c>
      <c r="T31" s="38">
        <v>31.1</v>
      </c>
      <c r="U31" s="38">
        <v>31.66</v>
      </c>
      <c r="V31" s="38">
        <v>33.04</v>
      </c>
      <c r="W31" s="38">
        <v>36.14</v>
      </c>
      <c r="X31" s="38">
        <v>38.630000000000003</v>
      </c>
      <c r="Y31" s="38">
        <v>40.869999999999997</v>
      </c>
      <c r="Z31" s="38">
        <v>44.39</v>
      </c>
      <c r="AA31" s="38">
        <v>43.72</v>
      </c>
      <c r="AB31" s="38">
        <v>40.340000000000003</v>
      </c>
      <c r="AC31" s="38">
        <v>36.57</v>
      </c>
      <c r="AD31" s="38">
        <v>35.69</v>
      </c>
      <c r="AE31" s="38">
        <v>35.51</v>
      </c>
      <c r="AF31" s="38">
        <v>35.619999999999997</v>
      </c>
      <c r="AG31" s="38">
        <v>36.11</v>
      </c>
      <c r="AH31" s="38">
        <v>36.76</v>
      </c>
      <c r="AI31" s="38">
        <v>38.94</v>
      </c>
      <c r="AJ31" s="38">
        <v>41.39</v>
      </c>
      <c r="AK31" s="38">
        <v>44.03</v>
      </c>
      <c r="AL31" s="38">
        <v>46.11</v>
      </c>
      <c r="AM31" s="38">
        <v>46.24</v>
      </c>
      <c r="AN31" s="38">
        <v>43.47</v>
      </c>
      <c r="AO31" s="38">
        <v>38.06</v>
      </c>
      <c r="AP31" s="38">
        <v>36.35</v>
      </c>
      <c r="AQ31" s="38">
        <v>35.49</v>
      </c>
      <c r="AR31" s="38">
        <v>35.630000000000003</v>
      </c>
      <c r="AS31" s="38">
        <v>36.61</v>
      </c>
      <c r="AT31" s="38">
        <v>39.229999999999997</v>
      </c>
      <c r="AU31" s="38">
        <v>43.34</v>
      </c>
      <c r="AV31" s="38">
        <v>45.29</v>
      </c>
      <c r="AW31" s="38">
        <v>45.65</v>
      </c>
      <c r="AX31" s="38">
        <v>45.71</v>
      </c>
      <c r="AY31" s="38">
        <v>43.17</v>
      </c>
      <c r="BA31" s="37">
        <v>53.9</v>
      </c>
      <c r="BB31" s="38">
        <v>1.3025</v>
      </c>
    </row>
    <row r="32" spans="1:54" x14ac:dyDescent="0.35">
      <c r="A32" s="2">
        <f t="shared" si="0"/>
        <v>43866</v>
      </c>
      <c r="B32" t="s">
        <v>74</v>
      </c>
      <c r="C32" s="32">
        <v>43866</v>
      </c>
      <c r="D32" s="38">
        <v>22.79</v>
      </c>
      <c r="E32" s="38">
        <v>22.55</v>
      </c>
      <c r="F32" s="38">
        <v>23.21</v>
      </c>
      <c r="G32" s="38">
        <v>23.96</v>
      </c>
      <c r="H32" s="38">
        <v>24.14</v>
      </c>
      <c r="I32" s="38">
        <v>24.48</v>
      </c>
      <c r="J32" s="38">
        <v>25.76</v>
      </c>
      <c r="K32" s="38">
        <v>28.05</v>
      </c>
      <c r="L32" s="38">
        <v>34.75</v>
      </c>
      <c r="M32" s="38">
        <v>37.76</v>
      </c>
      <c r="N32" s="38">
        <v>39.340000000000003</v>
      </c>
      <c r="O32" s="38">
        <v>39.56</v>
      </c>
      <c r="P32" s="38">
        <v>36.93</v>
      </c>
      <c r="Q32" s="38">
        <v>34.68</v>
      </c>
      <c r="R32" s="38">
        <v>32.92</v>
      </c>
      <c r="S32" s="38">
        <v>32.479999999999997</v>
      </c>
      <c r="T32" s="38">
        <v>32.17</v>
      </c>
      <c r="U32" s="38">
        <v>32.729999999999997</v>
      </c>
      <c r="V32" s="38">
        <v>34.19</v>
      </c>
      <c r="W32" s="38">
        <v>37.21</v>
      </c>
      <c r="X32" s="38">
        <v>39.79</v>
      </c>
      <c r="Y32" s="38">
        <v>42.15</v>
      </c>
      <c r="Z32" s="38">
        <v>45.79</v>
      </c>
      <c r="AA32" s="38">
        <v>45.12</v>
      </c>
      <c r="AB32" s="38">
        <v>41.69</v>
      </c>
      <c r="AC32" s="38">
        <v>37.880000000000003</v>
      </c>
      <c r="AD32" s="38">
        <v>36.94</v>
      </c>
      <c r="AE32" s="38">
        <v>36.72</v>
      </c>
      <c r="AF32" s="38">
        <v>36.83</v>
      </c>
      <c r="AG32" s="38">
        <v>37.32</v>
      </c>
      <c r="AH32" s="38">
        <v>37.97</v>
      </c>
      <c r="AI32" s="38">
        <v>40.15</v>
      </c>
      <c r="AJ32" s="38">
        <v>42.6</v>
      </c>
      <c r="AK32" s="38">
        <v>45.24</v>
      </c>
      <c r="AL32" s="38">
        <v>47.32</v>
      </c>
      <c r="AM32" s="38">
        <v>47.45</v>
      </c>
      <c r="AN32" s="38">
        <v>44.68</v>
      </c>
      <c r="AO32" s="38">
        <v>39.270000000000003</v>
      </c>
      <c r="AP32" s="38">
        <v>37.56</v>
      </c>
      <c r="AQ32" s="38">
        <v>36.700000000000003</v>
      </c>
      <c r="AR32" s="38">
        <v>36.840000000000003</v>
      </c>
      <c r="AS32" s="38">
        <v>37.82</v>
      </c>
      <c r="AT32" s="38">
        <v>40.44</v>
      </c>
      <c r="AU32" s="38">
        <v>44.55</v>
      </c>
      <c r="AV32" s="38">
        <v>46.5</v>
      </c>
      <c r="AW32" s="38">
        <v>46.86</v>
      </c>
      <c r="AX32" s="38">
        <v>46.92</v>
      </c>
      <c r="AY32" s="38">
        <v>44.38</v>
      </c>
      <c r="BA32" s="37">
        <v>55.36</v>
      </c>
      <c r="BB32" s="38">
        <v>1.2984</v>
      </c>
    </row>
    <row r="33" spans="1:54" x14ac:dyDescent="0.35">
      <c r="A33" s="2">
        <f t="shared" si="0"/>
        <v>43867</v>
      </c>
      <c r="B33" t="s">
        <v>75</v>
      </c>
      <c r="C33" s="32">
        <v>43867</v>
      </c>
      <c r="D33" s="38">
        <v>22.4</v>
      </c>
      <c r="E33" s="38">
        <v>22.24</v>
      </c>
      <c r="F33" s="38">
        <v>22.89</v>
      </c>
      <c r="G33" s="38">
        <v>23.54</v>
      </c>
      <c r="H33" s="38">
        <v>23.78</v>
      </c>
      <c r="I33" s="38">
        <v>24.17</v>
      </c>
      <c r="J33" s="38">
        <v>25.66</v>
      </c>
      <c r="K33" s="38">
        <v>27.79</v>
      </c>
      <c r="L33" s="38">
        <v>34.54</v>
      </c>
      <c r="M33" s="38">
        <v>37.58</v>
      </c>
      <c r="N33" s="38">
        <v>39.21</v>
      </c>
      <c r="O33" s="38">
        <v>39.479999999999997</v>
      </c>
      <c r="P33" s="38">
        <v>36.81</v>
      </c>
      <c r="Q33" s="38">
        <v>34.299999999999997</v>
      </c>
      <c r="R33" s="38">
        <v>32.42</v>
      </c>
      <c r="S33" s="38">
        <v>31.83</v>
      </c>
      <c r="T33" s="38">
        <v>31.56</v>
      </c>
      <c r="U33" s="38">
        <v>32.15</v>
      </c>
      <c r="V33" s="38">
        <v>33.71</v>
      </c>
      <c r="W33" s="38">
        <v>36.83</v>
      </c>
      <c r="X33" s="38">
        <v>39.479999999999997</v>
      </c>
      <c r="Y33" s="38">
        <v>41.84</v>
      </c>
      <c r="Z33" s="38">
        <v>45.48</v>
      </c>
      <c r="AA33" s="38">
        <v>44.81</v>
      </c>
      <c r="AB33" s="38">
        <v>41.38</v>
      </c>
      <c r="AC33" s="38">
        <v>37.57</v>
      </c>
      <c r="AD33" s="38">
        <v>36.630000000000003</v>
      </c>
      <c r="AE33" s="38">
        <v>36.409999999999997</v>
      </c>
      <c r="AF33" s="38">
        <v>36.520000000000003</v>
      </c>
      <c r="AG33" s="38">
        <v>37.01</v>
      </c>
      <c r="AH33" s="38">
        <v>37.659999999999997</v>
      </c>
      <c r="AI33" s="38">
        <v>39.840000000000003</v>
      </c>
      <c r="AJ33" s="38">
        <v>42.29</v>
      </c>
      <c r="AK33" s="38">
        <v>44.93</v>
      </c>
      <c r="AL33" s="38">
        <v>47.01</v>
      </c>
      <c r="AM33" s="38">
        <v>47.14</v>
      </c>
      <c r="AN33" s="38">
        <v>44.37</v>
      </c>
      <c r="AO33" s="38">
        <v>38.96</v>
      </c>
      <c r="AP33" s="38">
        <v>37.25</v>
      </c>
      <c r="AQ33" s="38">
        <v>36.39</v>
      </c>
      <c r="AR33" s="38">
        <v>36.53</v>
      </c>
      <c r="AS33" s="38">
        <v>37.51</v>
      </c>
      <c r="AT33" s="38">
        <v>40.130000000000003</v>
      </c>
      <c r="AU33" s="38">
        <v>44.24</v>
      </c>
      <c r="AV33" s="38">
        <v>46.19</v>
      </c>
      <c r="AW33" s="38">
        <v>46.55</v>
      </c>
      <c r="AX33" s="38">
        <v>46.61</v>
      </c>
      <c r="AY33" s="38">
        <v>44.07</v>
      </c>
      <c r="BA33" s="37">
        <v>55.18</v>
      </c>
      <c r="BB33" s="38">
        <v>1.2928999999999999</v>
      </c>
    </row>
    <row r="34" spans="1:54" x14ac:dyDescent="0.35">
      <c r="A34" s="2">
        <f t="shared" si="0"/>
        <v>43868</v>
      </c>
      <c r="B34" t="s">
        <v>76</v>
      </c>
      <c r="C34" s="32">
        <v>43868</v>
      </c>
      <c r="D34" s="38">
        <v>22.13</v>
      </c>
      <c r="E34" s="38">
        <v>22.11</v>
      </c>
      <c r="F34" s="38">
        <v>22.67</v>
      </c>
      <c r="G34" s="38">
        <v>23.57</v>
      </c>
      <c r="H34" s="38">
        <v>23.91</v>
      </c>
      <c r="I34" s="38">
        <v>24.36</v>
      </c>
      <c r="J34" s="38">
        <v>25.77</v>
      </c>
      <c r="K34" s="38">
        <v>27.98</v>
      </c>
      <c r="L34" s="38">
        <v>34.82</v>
      </c>
      <c r="M34" s="38">
        <v>37.799999999999997</v>
      </c>
      <c r="N34" s="38">
        <v>39.25</v>
      </c>
      <c r="O34" s="38">
        <v>39.479999999999997</v>
      </c>
      <c r="P34" s="38">
        <v>36.9</v>
      </c>
      <c r="Q34" s="38">
        <v>34.47</v>
      </c>
      <c r="R34" s="38">
        <v>32.74</v>
      </c>
      <c r="S34" s="38">
        <v>32.17</v>
      </c>
      <c r="T34" s="38">
        <v>31.94</v>
      </c>
      <c r="U34" s="38">
        <v>32.549999999999997</v>
      </c>
      <c r="V34" s="38">
        <v>34.119999999999997</v>
      </c>
      <c r="W34" s="38">
        <v>37.200000000000003</v>
      </c>
      <c r="X34" s="38">
        <v>39.82</v>
      </c>
      <c r="Y34" s="38">
        <v>42.15</v>
      </c>
      <c r="Z34" s="38">
        <v>45.79</v>
      </c>
      <c r="AA34" s="38">
        <v>45.12</v>
      </c>
      <c r="AB34" s="38">
        <v>41.65</v>
      </c>
      <c r="AC34" s="38">
        <v>37.799999999999997</v>
      </c>
      <c r="AD34" s="38">
        <v>36.83</v>
      </c>
      <c r="AE34" s="38">
        <v>36.61</v>
      </c>
      <c r="AF34" s="38">
        <v>36.72</v>
      </c>
      <c r="AG34" s="38">
        <v>37.21</v>
      </c>
      <c r="AH34" s="38">
        <v>37.86</v>
      </c>
      <c r="AI34" s="38">
        <v>40.04</v>
      </c>
      <c r="AJ34" s="38">
        <v>42.49</v>
      </c>
      <c r="AK34" s="38">
        <v>45.13</v>
      </c>
      <c r="AL34" s="38">
        <v>47.21</v>
      </c>
      <c r="AM34" s="38">
        <v>47.41</v>
      </c>
      <c r="AN34" s="38">
        <v>44.73</v>
      </c>
      <c r="AO34" s="38">
        <v>39.4</v>
      </c>
      <c r="AP34" s="38">
        <v>37.770000000000003</v>
      </c>
      <c r="AQ34" s="38">
        <v>36.909999999999997</v>
      </c>
      <c r="AR34" s="38">
        <v>37.049999999999997</v>
      </c>
      <c r="AS34" s="38">
        <v>38.03</v>
      </c>
      <c r="AT34" s="38">
        <v>40.65</v>
      </c>
      <c r="AU34" s="38">
        <v>44.76</v>
      </c>
      <c r="AV34" s="38">
        <v>46.71</v>
      </c>
      <c r="AW34" s="38">
        <v>47.07</v>
      </c>
      <c r="AX34" s="38">
        <v>47.13</v>
      </c>
      <c r="AY34" s="38">
        <v>44.59</v>
      </c>
      <c r="BA34" s="37">
        <v>54.53</v>
      </c>
      <c r="BB34" s="38">
        <v>1.2939000000000001</v>
      </c>
    </row>
    <row r="35" spans="1:54" x14ac:dyDescent="0.35">
      <c r="A35" s="2">
        <f t="shared" si="0"/>
        <v>43871</v>
      </c>
      <c r="B35" t="s">
        <v>77</v>
      </c>
      <c r="C35" s="32">
        <v>43871</v>
      </c>
      <c r="D35" s="38">
        <v>20.86</v>
      </c>
      <c r="E35" s="38">
        <v>20.87</v>
      </c>
      <c r="F35" s="38">
        <v>21.61</v>
      </c>
      <c r="G35" s="38">
        <v>22.71</v>
      </c>
      <c r="H35" s="38">
        <v>23.24</v>
      </c>
      <c r="I35" s="38">
        <v>23.64</v>
      </c>
      <c r="J35" s="38">
        <v>25</v>
      </c>
      <c r="K35" s="38">
        <v>27.18</v>
      </c>
      <c r="L35" s="38">
        <v>33.96</v>
      </c>
      <c r="M35" s="38">
        <v>37.01</v>
      </c>
      <c r="N35" s="38">
        <v>38.29</v>
      </c>
      <c r="O35" s="38">
        <v>38.43</v>
      </c>
      <c r="P35" s="38">
        <v>35.92</v>
      </c>
      <c r="Q35" s="38">
        <v>33.56</v>
      </c>
      <c r="R35" s="38">
        <v>32.01</v>
      </c>
      <c r="S35" s="38">
        <v>31.44</v>
      </c>
      <c r="T35" s="38">
        <v>31.24</v>
      </c>
      <c r="U35" s="38">
        <v>31.85</v>
      </c>
      <c r="V35" s="38">
        <v>33.36</v>
      </c>
      <c r="W35" s="38">
        <v>36.369999999999997</v>
      </c>
      <c r="X35" s="38">
        <v>38.92</v>
      </c>
      <c r="Y35" s="38">
        <v>41.25</v>
      </c>
      <c r="Z35" s="38">
        <v>44.89</v>
      </c>
      <c r="AA35" s="38">
        <v>44.22</v>
      </c>
      <c r="AB35" s="38">
        <v>40.799999999999997</v>
      </c>
      <c r="AC35" s="38">
        <v>36.99</v>
      </c>
      <c r="AD35" s="38">
        <v>36.020000000000003</v>
      </c>
      <c r="AE35" s="38">
        <v>35.799999999999997</v>
      </c>
      <c r="AF35" s="38">
        <v>35.909999999999997</v>
      </c>
      <c r="AG35" s="38">
        <v>36.4</v>
      </c>
      <c r="AH35" s="38">
        <v>37.049999999999997</v>
      </c>
      <c r="AI35" s="38">
        <v>39.229999999999997</v>
      </c>
      <c r="AJ35" s="38">
        <v>41.68</v>
      </c>
      <c r="AK35" s="38">
        <v>44.32</v>
      </c>
      <c r="AL35" s="38">
        <v>46.4</v>
      </c>
      <c r="AM35" s="38">
        <v>46.6</v>
      </c>
      <c r="AN35" s="38">
        <v>43.92</v>
      </c>
      <c r="AO35" s="38">
        <v>38.590000000000003</v>
      </c>
      <c r="AP35" s="38">
        <v>36.96</v>
      </c>
      <c r="AQ35" s="38">
        <v>36.1</v>
      </c>
      <c r="AR35" s="38">
        <v>36.24</v>
      </c>
      <c r="AS35" s="38">
        <v>37.22</v>
      </c>
      <c r="AT35" s="38">
        <v>39.840000000000003</v>
      </c>
      <c r="AU35" s="38">
        <v>43.95</v>
      </c>
      <c r="AV35" s="38">
        <v>45.9</v>
      </c>
      <c r="AW35" s="38">
        <v>46.26</v>
      </c>
      <c r="AX35" s="38">
        <v>46.32</v>
      </c>
      <c r="AY35" s="38">
        <v>43.78</v>
      </c>
      <c r="BA35" s="37">
        <v>53.39</v>
      </c>
      <c r="BB35" s="38">
        <v>1.2923</v>
      </c>
    </row>
    <row r="36" spans="1:54" x14ac:dyDescent="0.35">
      <c r="A36" s="2">
        <f t="shared" si="0"/>
        <v>43872</v>
      </c>
      <c r="B36" t="s">
        <v>78</v>
      </c>
      <c r="C36" s="32">
        <v>43872</v>
      </c>
      <c r="D36" s="38">
        <v>20.52</v>
      </c>
      <c r="E36" s="38">
        <v>20.47</v>
      </c>
      <c r="F36" s="38">
        <v>21.22</v>
      </c>
      <c r="G36" s="38">
        <v>22.38</v>
      </c>
      <c r="H36" s="38">
        <v>23.03</v>
      </c>
      <c r="I36" s="38">
        <v>23.52</v>
      </c>
      <c r="J36" s="38">
        <v>24.77</v>
      </c>
      <c r="K36" s="38">
        <v>27.07</v>
      </c>
      <c r="L36" s="38">
        <v>33.89</v>
      </c>
      <c r="M36" s="38">
        <v>37.020000000000003</v>
      </c>
      <c r="N36" s="38">
        <v>38.61</v>
      </c>
      <c r="O36" s="38">
        <v>38.799999999999997</v>
      </c>
      <c r="P36" s="38">
        <v>35.64</v>
      </c>
      <c r="Q36" s="38">
        <v>33.32</v>
      </c>
      <c r="R36" s="38">
        <v>31.89</v>
      </c>
      <c r="S36" s="38">
        <v>31.52</v>
      </c>
      <c r="T36" s="38">
        <v>31.41</v>
      </c>
      <c r="U36" s="38">
        <v>32.020000000000003</v>
      </c>
      <c r="V36" s="38">
        <v>33.53</v>
      </c>
      <c r="W36" s="38">
        <v>36.58</v>
      </c>
      <c r="X36" s="38">
        <v>39.159999999999997</v>
      </c>
      <c r="Y36" s="38">
        <v>41.51</v>
      </c>
      <c r="Z36" s="38">
        <v>45.15</v>
      </c>
      <c r="AA36" s="38">
        <v>44.48</v>
      </c>
      <c r="AB36" s="38">
        <v>41.06</v>
      </c>
      <c r="AC36" s="38">
        <v>37.25</v>
      </c>
      <c r="AD36" s="38">
        <v>36.28</v>
      </c>
      <c r="AE36" s="38">
        <v>36.06</v>
      </c>
      <c r="AF36" s="38">
        <v>36.17</v>
      </c>
      <c r="AG36" s="38">
        <v>36.659999999999997</v>
      </c>
      <c r="AH36" s="38">
        <v>37.31</v>
      </c>
      <c r="AI36" s="38">
        <v>39.49</v>
      </c>
      <c r="AJ36" s="38">
        <v>41.94</v>
      </c>
      <c r="AK36" s="38">
        <v>44.58</v>
      </c>
      <c r="AL36" s="38">
        <v>46.66</v>
      </c>
      <c r="AM36" s="38">
        <v>46.86</v>
      </c>
      <c r="AN36" s="38">
        <v>44.18</v>
      </c>
      <c r="AO36" s="38">
        <v>38.85</v>
      </c>
      <c r="AP36" s="38">
        <v>37.22</v>
      </c>
      <c r="AQ36" s="38">
        <v>36.36</v>
      </c>
      <c r="AR36" s="38">
        <v>36.5</v>
      </c>
      <c r="AS36" s="38">
        <v>37.479999999999997</v>
      </c>
      <c r="AT36" s="38">
        <v>40.1</v>
      </c>
      <c r="AU36" s="38">
        <v>44.15</v>
      </c>
      <c r="AV36" s="38">
        <v>46.1</v>
      </c>
      <c r="AW36" s="38">
        <v>46.46</v>
      </c>
      <c r="AX36" s="38">
        <v>46.52</v>
      </c>
      <c r="AY36" s="38">
        <v>43.98</v>
      </c>
      <c r="BA36" s="37">
        <v>54</v>
      </c>
      <c r="BB36" s="38">
        <v>1.2945</v>
      </c>
    </row>
    <row r="37" spans="1:54" x14ac:dyDescent="0.35">
      <c r="A37" s="2">
        <f t="shared" si="0"/>
        <v>43873</v>
      </c>
      <c r="B37" t="s">
        <v>79</v>
      </c>
      <c r="C37" s="32">
        <v>43873</v>
      </c>
      <c r="D37" s="38">
        <v>20.69</v>
      </c>
      <c r="E37" s="38">
        <v>20.69</v>
      </c>
      <c r="F37" s="38">
        <v>21.49</v>
      </c>
      <c r="G37" s="38">
        <v>22.66</v>
      </c>
      <c r="H37" s="38">
        <v>23.35</v>
      </c>
      <c r="I37" s="38">
        <v>24.1</v>
      </c>
      <c r="J37" s="38">
        <v>25.3</v>
      </c>
      <c r="K37" s="38">
        <v>27.71</v>
      </c>
      <c r="L37" s="38">
        <v>34.71</v>
      </c>
      <c r="M37" s="38">
        <v>37.869999999999997</v>
      </c>
      <c r="N37" s="38">
        <v>39.46</v>
      </c>
      <c r="O37" s="38">
        <v>39.65</v>
      </c>
      <c r="P37" s="38">
        <v>36.49</v>
      </c>
      <c r="Q37" s="38">
        <v>34.200000000000003</v>
      </c>
      <c r="R37" s="38">
        <v>32.79</v>
      </c>
      <c r="S37" s="38">
        <v>32.4</v>
      </c>
      <c r="T37" s="38">
        <v>32.270000000000003</v>
      </c>
      <c r="U37" s="38">
        <v>32.86</v>
      </c>
      <c r="V37" s="38">
        <v>34.409999999999997</v>
      </c>
      <c r="W37" s="38">
        <v>37.51</v>
      </c>
      <c r="X37" s="38">
        <v>40.119999999999997</v>
      </c>
      <c r="Y37" s="38">
        <v>42.45</v>
      </c>
      <c r="Z37" s="38">
        <v>45.99</v>
      </c>
      <c r="AA37" s="38">
        <v>45.3</v>
      </c>
      <c r="AB37" s="38">
        <v>41.86</v>
      </c>
      <c r="AC37" s="38">
        <v>38.01</v>
      </c>
      <c r="AD37" s="38">
        <v>37.01</v>
      </c>
      <c r="AE37" s="38">
        <v>36.76</v>
      </c>
      <c r="AF37" s="38">
        <v>36.83</v>
      </c>
      <c r="AG37" s="38">
        <v>37.29</v>
      </c>
      <c r="AH37" s="38">
        <v>37.909999999999997</v>
      </c>
      <c r="AI37" s="38">
        <v>40.03</v>
      </c>
      <c r="AJ37" s="38">
        <v>42.42</v>
      </c>
      <c r="AK37" s="38">
        <v>44.99</v>
      </c>
      <c r="AL37" s="38">
        <v>47.07</v>
      </c>
      <c r="AM37" s="38">
        <v>47.27</v>
      </c>
      <c r="AN37" s="38">
        <v>44.59</v>
      </c>
      <c r="AO37" s="38">
        <v>39.26</v>
      </c>
      <c r="AP37" s="38">
        <v>37.630000000000003</v>
      </c>
      <c r="AQ37" s="38">
        <v>36.770000000000003</v>
      </c>
      <c r="AR37" s="38">
        <v>36.909999999999997</v>
      </c>
      <c r="AS37" s="38">
        <v>37.89</v>
      </c>
      <c r="AT37" s="38">
        <v>40.51</v>
      </c>
      <c r="AU37" s="38">
        <v>44.56</v>
      </c>
      <c r="AV37" s="38">
        <v>46.51</v>
      </c>
      <c r="AW37" s="38">
        <v>46.87</v>
      </c>
      <c r="AX37" s="38">
        <v>46.93</v>
      </c>
      <c r="AY37" s="38">
        <v>44.39</v>
      </c>
      <c r="BA37" s="37">
        <v>55.54</v>
      </c>
      <c r="BB37" s="38">
        <v>1.2975000000000001</v>
      </c>
    </row>
    <row r="38" spans="1:54" x14ac:dyDescent="0.35">
      <c r="A38" s="2">
        <f t="shared" si="0"/>
        <v>43874</v>
      </c>
      <c r="B38" t="s">
        <v>80</v>
      </c>
      <c r="C38" s="32">
        <v>43874</v>
      </c>
      <c r="D38" s="38">
        <v>20.75</v>
      </c>
      <c r="E38" s="38">
        <v>20.88</v>
      </c>
      <c r="F38" s="38">
        <v>21.75</v>
      </c>
      <c r="G38" s="38">
        <v>22.92</v>
      </c>
      <c r="H38" s="38">
        <v>23.57</v>
      </c>
      <c r="I38" s="38">
        <v>24.05</v>
      </c>
      <c r="J38" s="38">
        <v>24.9</v>
      </c>
      <c r="K38" s="38">
        <v>27.9</v>
      </c>
      <c r="L38" s="38">
        <v>35.46</v>
      </c>
      <c r="M38" s="38">
        <v>38.65</v>
      </c>
      <c r="N38" s="38">
        <v>40.24</v>
      </c>
      <c r="O38" s="38">
        <v>40.4</v>
      </c>
      <c r="P38" s="38">
        <v>37.15</v>
      </c>
      <c r="Q38" s="38">
        <v>34.630000000000003</v>
      </c>
      <c r="R38" s="38">
        <v>33.14</v>
      </c>
      <c r="S38" s="38">
        <v>32.68</v>
      </c>
      <c r="T38" s="38">
        <v>32.57</v>
      </c>
      <c r="U38" s="38">
        <v>33.200000000000003</v>
      </c>
      <c r="V38" s="38">
        <v>34.799999999999997</v>
      </c>
      <c r="W38" s="38">
        <v>38.01</v>
      </c>
      <c r="X38" s="38">
        <v>40.659999999999997</v>
      </c>
      <c r="Y38" s="38">
        <v>43.01</v>
      </c>
      <c r="Z38" s="38">
        <v>46.55</v>
      </c>
      <c r="AA38" s="38">
        <v>45.84</v>
      </c>
      <c r="AB38" s="38">
        <v>42.38</v>
      </c>
      <c r="AC38" s="38">
        <v>38.53</v>
      </c>
      <c r="AD38" s="38">
        <v>37.549999999999997</v>
      </c>
      <c r="AE38" s="38">
        <v>37.35</v>
      </c>
      <c r="AF38" s="38">
        <v>37.47</v>
      </c>
      <c r="AG38" s="38">
        <v>37.979999999999997</v>
      </c>
      <c r="AH38" s="38">
        <v>38.65</v>
      </c>
      <c r="AI38" s="38">
        <v>40.97</v>
      </c>
      <c r="AJ38" s="38">
        <v>43.36</v>
      </c>
      <c r="AK38" s="38">
        <v>45.91</v>
      </c>
      <c r="AL38" s="38">
        <v>47.97</v>
      </c>
      <c r="AM38" s="38">
        <v>48.17</v>
      </c>
      <c r="AN38" s="38">
        <v>45.49</v>
      </c>
      <c r="AO38" s="38">
        <v>40.130000000000003</v>
      </c>
      <c r="AP38" s="38">
        <v>38.5</v>
      </c>
      <c r="AQ38" s="38">
        <v>37.64</v>
      </c>
      <c r="AR38" s="38">
        <v>37.78</v>
      </c>
      <c r="AS38" s="38">
        <v>38.76</v>
      </c>
      <c r="AT38" s="38">
        <v>41.38</v>
      </c>
      <c r="AU38" s="38">
        <v>45.43</v>
      </c>
      <c r="AV38" s="38">
        <v>47.38</v>
      </c>
      <c r="AW38" s="38">
        <v>47.74</v>
      </c>
      <c r="AX38" s="38">
        <v>47.8</v>
      </c>
      <c r="AY38" s="38">
        <v>45.26</v>
      </c>
      <c r="BA38" s="37">
        <v>56.34</v>
      </c>
      <c r="BB38" s="38">
        <v>1.3055000000000001</v>
      </c>
    </row>
    <row r="39" spans="1:54" x14ac:dyDescent="0.35">
      <c r="A39" s="2">
        <f t="shared" si="0"/>
        <v>43875</v>
      </c>
      <c r="B39" t="s">
        <v>81</v>
      </c>
      <c r="C39" s="32">
        <v>43875</v>
      </c>
      <c r="D39" s="38">
        <v>20.86</v>
      </c>
      <c r="E39" s="38">
        <v>21.08</v>
      </c>
      <c r="F39" s="38">
        <v>22.06</v>
      </c>
      <c r="G39" s="38">
        <v>23.26</v>
      </c>
      <c r="H39" s="38">
        <v>23.76</v>
      </c>
      <c r="I39" s="38">
        <v>24.26</v>
      </c>
      <c r="J39" s="38">
        <v>25.46</v>
      </c>
      <c r="K39" s="38">
        <v>28.25</v>
      </c>
      <c r="L39" s="38">
        <v>35.89</v>
      </c>
      <c r="M39" s="38">
        <v>39.1</v>
      </c>
      <c r="N39" s="38">
        <v>40.630000000000003</v>
      </c>
      <c r="O39" s="38">
        <v>40.869999999999997</v>
      </c>
      <c r="P39" s="38">
        <v>37.68</v>
      </c>
      <c r="Q39" s="38">
        <v>35.18</v>
      </c>
      <c r="R39" s="38">
        <v>33.67</v>
      </c>
      <c r="S39" s="38">
        <v>33.18</v>
      </c>
      <c r="T39" s="38">
        <v>33.020000000000003</v>
      </c>
      <c r="U39" s="38">
        <v>33.590000000000003</v>
      </c>
      <c r="V39" s="38">
        <v>35.130000000000003</v>
      </c>
      <c r="W39" s="38">
        <v>38.229999999999997</v>
      </c>
      <c r="X39" s="38">
        <v>40.82</v>
      </c>
      <c r="Y39" s="38">
        <v>43.14</v>
      </c>
      <c r="Z39" s="38">
        <v>46.65</v>
      </c>
      <c r="AA39" s="38">
        <v>45.94</v>
      </c>
      <c r="AB39" s="38">
        <v>42.54</v>
      </c>
      <c r="AC39" s="38">
        <v>38.75</v>
      </c>
      <c r="AD39" s="38">
        <v>37.81</v>
      </c>
      <c r="AE39" s="38">
        <v>37.61</v>
      </c>
      <c r="AF39" s="38">
        <v>37.729999999999997</v>
      </c>
      <c r="AG39" s="38">
        <v>38.22</v>
      </c>
      <c r="AH39" s="38">
        <v>38.880000000000003</v>
      </c>
      <c r="AI39" s="38">
        <v>41.19</v>
      </c>
      <c r="AJ39" s="38">
        <v>43.56</v>
      </c>
      <c r="AK39" s="38">
        <v>46.09</v>
      </c>
      <c r="AL39" s="38">
        <v>48.13</v>
      </c>
      <c r="AM39" s="38">
        <v>48.31</v>
      </c>
      <c r="AN39" s="38">
        <v>45.61</v>
      </c>
      <c r="AO39" s="38">
        <v>40.31</v>
      </c>
      <c r="AP39" s="38">
        <v>38.64</v>
      </c>
      <c r="AQ39" s="38">
        <v>37.76</v>
      </c>
      <c r="AR39" s="38">
        <v>37.880000000000003</v>
      </c>
      <c r="AS39" s="38">
        <v>38.840000000000003</v>
      </c>
      <c r="AT39" s="38">
        <v>41.42</v>
      </c>
      <c r="AU39" s="38">
        <v>45.4</v>
      </c>
      <c r="AV39" s="38">
        <v>47.3</v>
      </c>
      <c r="AW39" s="38">
        <v>47.66</v>
      </c>
      <c r="AX39" s="38">
        <v>47.72</v>
      </c>
      <c r="AY39" s="38">
        <v>45.26</v>
      </c>
      <c r="BA39" s="37">
        <v>57.37</v>
      </c>
      <c r="BB39" s="38">
        <v>1.3016000000000001</v>
      </c>
    </row>
    <row r="40" spans="1:54" x14ac:dyDescent="0.35">
      <c r="A40" s="2">
        <f t="shared" si="0"/>
        <v>43878</v>
      </c>
      <c r="B40" t="s">
        <v>82</v>
      </c>
      <c r="C40" s="32">
        <v>43878</v>
      </c>
      <c r="D40" s="38">
        <v>22.16</v>
      </c>
      <c r="E40" s="38">
        <v>22.32</v>
      </c>
      <c r="F40" s="38">
        <v>23.45</v>
      </c>
      <c r="G40" s="38">
        <v>24.71</v>
      </c>
      <c r="H40" s="38">
        <v>25.03</v>
      </c>
      <c r="I40" s="38">
        <v>25.45</v>
      </c>
      <c r="J40" s="38">
        <v>26.77</v>
      </c>
      <c r="K40" s="38">
        <v>29.56</v>
      </c>
      <c r="L40" s="38">
        <v>37.200000000000003</v>
      </c>
      <c r="M40" s="38">
        <v>40.409999999999997</v>
      </c>
      <c r="N40" s="38">
        <v>41.84</v>
      </c>
      <c r="O40" s="38">
        <v>42.07</v>
      </c>
      <c r="P40" s="38">
        <v>38.880000000000003</v>
      </c>
      <c r="Q40" s="38">
        <v>36.22</v>
      </c>
      <c r="R40" s="38">
        <v>34.72</v>
      </c>
      <c r="S40" s="38">
        <v>34.229999999999997</v>
      </c>
      <c r="T40" s="38">
        <v>34.07</v>
      </c>
      <c r="U40" s="38">
        <v>34.64</v>
      </c>
      <c r="V40" s="38">
        <v>36.18</v>
      </c>
      <c r="W40" s="38">
        <v>39.28</v>
      </c>
      <c r="X40" s="38">
        <v>41.87</v>
      </c>
      <c r="Y40" s="38">
        <v>44.19</v>
      </c>
      <c r="Z40" s="38">
        <v>47.7</v>
      </c>
      <c r="AA40" s="38">
        <v>46.99</v>
      </c>
      <c r="AB40" s="38">
        <v>43.59</v>
      </c>
      <c r="AC40" s="38">
        <v>39.700000000000003</v>
      </c>
      <c r="AD40" s="38">
        <v>38.76</v>
      </c>
      <c r="AE40" s="38">
        <v>38.56</v>
      </c>
      <c r="AF40" s="38">
        <v>38.58</v>
      </c>
      <c r="AG40" s="38">
        <v>39.020000000000003</v>
      </c>
      <c r="AH40" s="38">
        <v>39.68</v>
      </c>
      <c r="AI40" s="38">
        <v>41.99</v>
      </c>
      <c r="AJ40" s="38">
        <v>44.36</v>
      </c>
      <c r="AK40" s="38">
        <v>46.89</v>
      </c>
      <c r="AL40" s="38">
        <v>48.93</v>
      </c>
      <c r="AM40" s="38">
        <v>49.11</v>
      </c>
      <c r="AN40" s="38">
        <v>46.41</v>
      </c>
      <c r="AO40" s="38">
        <v>41.11</v>
      </c>
      <c r="AP40" s="38">
        <v>39.44</v>
      </c>
      <c r="AQ40" s="38">
        <v>38.56</v>
      </c>
      <c r="AR40" s="38">
        <v>38.68</v>
      </c>
      <c r="AS40" s="38">
        <v>39.64</v>
      </c>
      <c r="AT40" s="38">
        <v>42.22</v>
      </c>
      <c r="AU40" s="38">
        <v>46.2</v>
      </c>
      <c r="AV40" s="38">
        <v>48.1</v>
      </c>
      <c r="AW40" s="38">
        <v>48.46</v>
      </c>
      <c r="AX40" s="38">
        <v>48.52</v>
      </c>
      <c r="AY40" s="38">
        <v>46.06</v>
      </c>
      <c r="BA40" s="37">
        <v>57.83</v>
      </c>
      <c r="BB40" s="38">
        <v>1.3006</v>
      </c>
    </row>
    <row r="41" spans="1:54" x14ac:dyDescent="0.35">
      <c r="A41" s="2">
        <f t="shared" si="0"/>
        <v>43879</v>
      </c>
      <c r="B41" t="s">
        <v>83</v>
      </c>
      <c r="C41" s="32">
        <v>43879</v>
      </c>
      <c r="D41" s="38">
        <v>22.33</v>
      </c>
      <c r="E41" s="38">
        <v>22.16</v>
      </c>
      <c r="F41" s="38">
        <v>23.05</v>
      </c>
      <c r="G41" s="38">
        <v>24.42</v>
      </c>
      <c r="H41" s="38">
        <v>24.86</v>
      </c>
      <c r="I41" s="38">
        <v>24.99</v>
      </c>
      <c r="J41" s="38">
        <v>25.99</v>
      </c>
      <c r="K41" s="38">
        <v>28.88</v>
      </c>
      <c r="L41" s="38">
        <v>36.68</v>
      </c>
      <c r="M41" s="38">
        <v>39.93</v>
      </c>
      <c r="N41" s="38">
        <v>41.36</v>
      </c>
      <c r="O41" s="38">
        <v>41.59</v>
      </c>
      <c r="P41" s="38">
        <v>38.36</v>
      </c>
      <c r="Q41" s="38">
        <v>35.71</v>
      </c>
      <c r="R41" s="38">
        <v>34.29</v>
      </c>
      <c r="S41" s="38">
        <v>33.799999999999997</v>
      </c>
      <c r="T41" s="38">
        <v>33.64</v>
      </c>
      <c r="U41" s="38">
        <v>34.21</v>
      </c>
      <c r="V41" s="38">
        <v>35.75</v>
      </c>
      <c r="W41" s="38">
        <v>38.770000000000003</v>
      </c>
      <c r="X41" s="38">
        <v>41.3</v>
      </c>
      <c r="Y41" s="38">
        <v>43.57</v>
      </c>
      <c r="Z41" s="38">
        <v>47.06</v>
      </c>
      <c r="AA41" s="38">
        <v>46.35</v>
      </c>
      <c r="AB41" s="38">
        <v>42.95</v>
      </c>
      <c r="AC41" s="38">
        <v>39.22</v>
      </c>
      <c r="AD41" s="38">
        <v>38.39</v>
      </c>
      <c r="AE41" s="38">
        <v>38.19</v>
      </c>
      <c r="AF41" s="38">
        <v>38.21</v>
      </c>
      <c r="AG41" s="38">
        <v>38.65</v>
      </c>
      <c r="AH41" s="38">
        <v>39.31</v>
      </c>
      <c r="AI41" s="38">
        <v>41.55</v>
      </c>
      <c r="AJ41" s="38">
        <v>43.89</v>
      </c>
      <c r="AK41" s="38">
        <v>46.42</v>
      </c>
      <c r="AL41" s="38">
        <v>48.46</v>
      </c>
      <c r="AM41" s="38">
        <v>48.64</v>
      </c>
      <c r="AN41" s="38">
        <v>45.94</v>
      </c>
      <c r="AO41" s="38">
        <v>40.64</v>
      </c>
      <c r="AP41" s="38">
        <v>38.97</v>
      </c>
      <c r="AQ41" s="38">
        <v>38.090000000000003</v>
      </c>
      <c r="AR41" s="38">
        <v>38.21</v>
      </c>
      <c r="AS41" s="38">
        <v>39.17</v>
      </c>
      <c r="AT41" s="38">
        <v>41.75</v>
      </c>
      <c r="AU41" s="38">
        <v>45.77</v>
      </c>
      <c r="AV41" s="38">
        <v>47.67</v>
      </c>
      <c r="AW41" s="38">
        <v>48.03</v>
      </c>
      <c r="AX41" s="38">
        <v>48.09</v>
      </c>
      <c r="AY41" s="38">
        <v>45.63</v>
      </c>
      <c r="BA41" s="37">
        <v>57.35</v>
      </c>
      <c r="BB41" s="38">
        <v>1.3037000000000001</v>
      </c>
    </row>
    <row r="42" spans="1:54" x14ac:dyDescent="0.35">
      <c r="A42" s="2">
        <f t="shared" si="0"/>
        <v>43880</v>
      </c>
      <c r="B42" t="s">
        <v>84</v>
      </c>
      <c r="C42" s="32">
        <v>43880</v>
      </c>
      <c r="D42" s="38">
        <v>23.04</v>
      </c>
      <c r="E42" s="38">
        <v>22.52</v>
      </c>
      <c r="F42" s="38">
        <v>23.27</v>
      </c>
      <c r="G42" s="38">
        <v>24.27</v>
      </c>
      <c r="H42" s="38">
        <v>24.66</v>
      </c>
      <c r="I42" s="38">
        <v>24.87</v>
      </c>
      <c r="J42" s="38">
        <v>25.96</v>
      </c>
      <c r="K42" s="38">
        <v>28.81</v>
      </c>
      <c r="L42" s="38">
        <v>36.340000000000003</v>
      </c>
      <c r="M42" s="38">
        <v>39.590000000000003</v>
      </c>
      <c r="N42" s="38">
        <v>40.83</v>
      </c>
      <c r="O42" s="38">
        <v>41.06</v>
      </c>
      <c r="P42" s="38">
        <v>37.83</v>
      </c>
      <c r="Q42" s="38">
        <v>35.340000000000003</v>
      </c>
      <c r="R42" s="38">
        <v>34.03</v>
      </c>
      <c r="S42" s="38">
        <v>33.54</v>
      </c>
      <c r="T42" s="38">
        <v>33.380000000000003</v>
      </c>
      <c r="U42" s="38">
        <v>33.950000000000003</v>
      </c>
      <c r="V42" s="38">
        <v>35.49</v>
      </c>
      <c r="W42" s="38">
        <v>38.44</v>
      </c>
      <c r="X42" s="38">
        <v>40.97</v>
      </c>
      <c r="Y42" s="38">
        <v>43.24</v>
      </c>
      <c r="Z42" s="38">
        <v>46.73</v>
      </c>
      <c r="AA42" s="38">
        <v>46.02</v>
      </c>
      <c r="AB42" s="38">
        <v>42.62</v>
      </c>
      <c r="AC42" s="38">
        <v>39</v>
      </c>
      <c r="AD42" s="38">
        <v>38.17</v>
      </c>
      <c r="AE42" s="38">
        <v>37.97</v>
      </c>
      <c r="AF42" s="38">
        <v>37.99</v>
      </c>
      <c r="AG42" s="38">
        <v>38.43</v>
      </c>
      <c r="AH42" s="38">
        <v>39.090000000000003</v>
      </c>
      <c r="AI42" s="38">
        <v>41.4</v>
      </c>
      <c r="AJ42" s="38">
        <v>43.77</v>
      </c>
      <c r="AK42" s="38">
        <v>46.3</v>
      </c>
      <c r="AL42" s="38">
        <v>48.34</v>
      </c>
      <c r="AM42" s="38">
        <v>48.52</v>
      </c>
      <c r="AN42" s="38">
        <v>45.82</v>
      </c>
      <c r="AO42" s="38">
        <v>40.72</v>
      </c>
      <c r="AP42" s="38">
        <v>39.200000000000003</v>
      </c>
      <c r="AQ42" s="38">
        <v>38.42</v>
      </c>
      <c r="AR42" s="38">
        <v>38.64</v>
      </c>
      <c r="AS42" s="38">
        <v>39.6</v>
      </c>
      <c r="AT42" s="38">
        <v>42.18</v>
      </c>
      <c r="AU42" s="38">
        <v>46.05</v>
      </c>
      <c r="AV42" s="38">
        <v>47.85</v>
      </c>
      <c r="AW42" s="38">
        <v>48.21</v>
      </c>
      <c r="AX42" s="38">
        <v>48.27</v>
      </c>
      <c r="AY42" s="38">
        <v>45.81</v>
      </c>
      <c r="BA42" s="37">
        <v>59.72</v>
      </c>
      <c r="BB42" s="38">
        <v>1.2950999999999999</v>
      </c>
    </row>
    <row r="43" spans="1:54" x14ac:dyDescent="0.35">
      <c r="A43" s="2">
        <f t="shared" si="0"/>
        <v>43881</v>
      </c>
      <c r="B43" t="s">
        <v>85</v>
      </c>
      <c r="C43" s="32">
        <v>43881</v>
      </c>
      <c r="D43" s="38">
        <v>23.14</v>
      </c>
      <c r="E43" s="38">
        <v>22.52</v>
      </c>
      <c r="F43" s="38">
        <v>23.18</v>
      </c>
      <c r="G43" s="38">
        <v>24.17</v>
      </c>
      <c r="H43" s="38">
        <v>24.48</v>
      </c>
      <c r="I43" s="38">
        <v>24.73</v>
      </c>
      <c r="J43" s="38">
        <v>25.72</v>
      </c>
      <c r="K43" s="38">
        <v>28.49</v>
      </c>
      <c r="L43" s="38">
        <v>36</v>
      </c>
      <c r="M43" s="38">
        <v>39.25</v>
      </c>
      <c r="N43" s="38">
        <v>40.49</v>
      </c>
      <c r="O43" s="38">
        <v>40.72</v>
      </c>
      <c r="P43" s="38">
        <v>37.49</v>
      </c>
      <c r="Q43" s="38">
        <v>35</v>
      </c>
      <c r="R43" s="38">
        <v>33.69</v>
      </c>
      <c r="S43" s="38">
        <v>33.200000000000003</v>
      </c>
      <c r="T43" s="38">
        <v>33.04</v>
      </c>
      <c r="U43" s="38">
        <v>33.61</v>
      </c>
      <c r="V43" s="38">
        <v>35.15</v>
      </c>
      <c r="W43" s="38">
        <v>38.090000000000003</v>
      </c>
      <c r="X43" s="38">
        <v>40.619999999999997</v>
      </c>
      <c r="Y43" s="38">
        <v>42.89</v>
      </c>
      <c r="Z43" s="38">
        <v>46.38</v>
      </c>
      <c r="AA43" s="38">
        <v>45.67</v>
      </c>
      <c r="AB43" s="38">
        <v>42.24</v>
      </c>
      <c r="AC43" s="38">
        <v>38.71</v>
      </c>
      <c r="AD43" s="38">
        <v>37.93</v>
      </c>
      <c r="AE43" s="38">
        <v>37.729999999999997</v>
      </c>
      <c r="AF43" s="38">
        <v>37.75</v>
      </c>
      <c r="AG43" s="38">
        <v>38.19</v>
      </c>
      <c r="AH43" s="38">
        <v>38.85</v>
      </c>
      <c r="AI43" s="38">
        <v>41.1</v>
      </c>
      <c r="AJ43" s="38">
        <v>43.47</v>
      </c>
      <c r="AK43" s="38">
        <v>46</v>
      </c>
      <c r="AL43" s="38">
        <v>48.04</v>
      </c>
      <c r="AM43" s="38">
        <v>48.22</v>
      </c>
      <c r="AN43" s="38">
        <v>45.52</v>
      </c>
      <c r="AO43" s="38">
        <v>40.42</v>
      </c>
      <c r="AP43" s="38">
        <v>38.83</v>
      </c>
      <c r="AQ43" s="38">
        <v>37.99</v>
      </c>
      <c r="AR43" s="38">
        <v>38.21</v>
      </c>
      <c r="AS43" s="38">
        <v>39.17</v>
      </c>
      <c r="AT43" s="38">
        <v>41.78</v>
      </c>
      <c r="AU43" s="38">
        <v>45.59</v>
      </c>
      <c r="AV43" s="38">
        <v>47.38</v>
      </c>
      <c r="AW43" s="38">
        <v>47.74</v>
      </c>
      <c r="AX43" s="38">
        <v>47.8</v>
      </c>
      <c r="AY43" s="38">
        <v>45.34</v>
      </c>
      <c r="BA43" s="37">
        <v>59.72</v>
      </c>
      <c r="BB43" s="38">
        <v>1.2881</v>
      </c>
    </row>
    <row r="44" spans="1:54" x14ac:dyDescent="0.35">
      <c r="A44" s="2">
        <f t="shared" si="0"/>
        <v>43882</v>
      </c>
      <c r="B44" t="s">
        <v>86</v>
      </c>
      <c r="C44" s="32">
        <v>43882</v>
      </c>
      <c r="D44" s="38">
        <v>22.92</v>
      </c>
      <c r="E44" s="38">
        <v>22.07</v>
      </c>
      <c r="F44" s="38">
        <v>22.76</v>
      </c>
      <c r="G44" s="38">
        <v>23.71</v>
      </c>
      <c r="H44" s="38">
        <v>23.96</v>
      </c>
      <c r="I44" s="38">
        <v>24.42</v>
      </c>
      <c r="J44" s="38">
        <v>25.43</v>
      </c>
      <c r="K44" s="38">
        <v>28.08</v>
      </c>
      <c r="L44" s="38">
        <v>35.520000000000003</v>
      </c>
      <c r="M44" s="38">
        <v>38.770000000000003</v>
      </c>
      <c r="N44" s="38">
        <v>40.01</v>
      </c>
      <c r="O44" s="38">
        <v>40.24</v>
      </c>
      <c r="P44" s="38">
        <v>37.01</v>
      </c>
      <c r="Q44" s="38">
        <v>34.42</v>
      </c>
      <c r="R44" s="38">
        <v>33.11</v>
      </c>
      <c r="S44" s="38">
        <v>32.619999999999997</v>
      </c>
      <c r="T44" s="38">
        <v>32.46</v>
      </c>
      <c r="U44" s="38">
        <v>33.03</v>
      </c>
      <c r="V44" s="38">
        <v>34.57</v>
      </c>
      <c r="W44" s="38">
        <v>37.630000000000003</v>
      </c>
      <c r="X44" s="38">
        <v>40.200000000000003</v>
      </c>
      <c r="Y44" s="38">
        <v>42.54</v>
      </c>
      <c r="Z44" s="38">
        <v>46.03</v>
      </c>
      <c r="AA44" s="38">
        <v>45.32</v>
      </c>
      <c r="AB44" s="38">
        <v>41.89</v>
      </c>
      <c r="AC44" s="38">
        <v>38.1</v>
      </c>
      <c r="AD44" s="38">
        <v>37.17</v>
      </c>
      <c r="AE44" s="38">
        <v>36.97</v>
      </c>
      <c r="AF44" s="38">
        <v>36.99</v>
      </c>
      <c r="AG44" s="38">
        <v>37.43</v>
      </c>
      <c r="AH44" s="38">
        <v>38.090000000000003</v>
      </c>
      <c r="AI44" s="38">
        <v>40.5</v>
      </c>
      <c r="AJ44" s="38">
        <v>42.99</v>
      </c>
      <c r="AK44" s="38">
        <v>45.59</v>
      </c>
      <c r="AL44" s="38">
        <v>47.63</v>
      </c>
      <c r="AM44" s="38">
        <v>47.81</v>
      </c>
      <c r="AN44" s="38">
        <v>45.11</v>
      </c>
      <c r="AO44" s="38">
        <v>40.01</v>
      </c>
      <c r="AP44" s="38">
        <v>38.42</v>
      </c>
      <c r="AQ44" s="38">
        <v>37.58</v>
      </c>
      <c r="AR44" s="38">
        <v>37.799999999999997</v>
      </c>
      <c r="AS44" s="38">
        <v>38.76</v>
      </c>
      <c r="AT44" s="38">
        <v>41.36</v>
      </c>
      <c r="AU44" s="38">
        <v>45.38</v>
      </c>
      <c r="AV44" s="38">
        <v>47.17</v>
      </c>
      <c r="AW44" s="38">
        <v>47.53</v>
      </c>
      <c r="AX44" s="38">
        <v>47.59</v>
      </c>
      <c r="AY44" s="38">
        <v>45.13</v>
      </c>
      <c r="BA44" s="37">
        <v>58.6</v>
      </c>
      <c r="BB44" s="38">
        <v>1.2962</v>
      </c>
    </row>
    <row r="45" spans="1:54" x14ac:dyDescent="0.35">
      <c r="A45" s="2">
        <f t="shared" si="0"/>
        <v>43885</v>
      </c>
      <c r="B45" t="s">
        <v>87</v>
      </c>
      <c r="C45" s="32">
        <v>43885</v>
      </c>
      <c r="D45" s="38">
        <v>22.58</v>
      </c>
      <c r="E45" s="38">
        <v>21.27</v>
      </c>
      <c r="F45" s="38">
        <v>21.83</v>
      </c>
      <c r="G45" s="38">
        <v>22.64</v>
      </c>
      <c r="H45" s="38">
        <v>22.95</v>
      </c>
      <c r="I45" s="38">
        <v>23.25</v>
      </c>
      <c r="J45" s="38">
        <v>24.2</v>
      </c>
      <c r="K45" s="38">
        <v>26.75</v>
      </c>
      <c r="L45" s="38">
        <v>33.89</v>
      </c>
      <c r="M45" s="38">
        <v>37.11</v>
      </c>
      <c r="N45" s="38">
        <v>38.270000000000003</v>
      </c>
      <c r="O45" s="38">
        <v>38.49</v>
      </c>
      <c r="P45" s="38">
        <v>35.26</v>
      </c>
      <c r="Q45" s="38">
        <v>32.92</v>
      </c>
      <c r="R45" s="38">
        <v>31.7</v>
      </c>
      <c r="S45" s="38">
        <v>31.24</v>
      </c>
      <c r="T45" s="38">
        <v>31.1</v>
      </c>
      <c r="U45" s="38">
        <v>31.69</v>
      </c>
      <c r="V45" s="38">
        <v>33.229999999999997</v>
      </c>
      <c r="W45" s="38">
        <v>36.28</v>
      </c>
      <c r="X45" s="38">
        <v>38.86</v>
      </c>
      <c r="Y45" s="38">
        <v>41.21</v>
      </c>
      <c r="Z45" s="38">
        <v>44.7</v>
      </c>
      <c r="AA45" s="38">
        <v>43.99</v>
      </c>
      <c r="AB45" s="38">
        <v>40.64</v>
      </c>
      <c r="AC45" s="38">
        <v>36.909999999999997</v>
      </c>
      <c r="AD45" s="38">
        <v>35.99</v>
      </c>
      <c r="AE45" s="38">
        <v>35.799999999999997</v>
      </c>
      <c r="AF45" s="38">
        <v>35.83</v>
      </c>
      <c r="AG45" s="38">
        <v>36.28</v>
      </c>
      <c r="AH45" s="38">
        <v>36.950000000000003</v>
      </c>
      <c r="AI45" s="38">
        <v>39.479999999999997</v>
      </c>
      <c r="AJ45" s="38">
        <v>41.98</v>
      </c>
      <c r="AK45" s="38">
        <v>44.59</v>
      </c>
      <c r="AL45" s="38">
        <v>46.62</v>
      </c>
      <c r="AM45" s="38">
        <v>46.79</v>
      </c>
      <c r="AN45" s="38">
        <v>44.09</v>
      </c>
      <c r="AO45" s="38">
        <v>38.97</v>
      </c>
      <c r="AP45" s="38">
        <v>37.39</v>
      </c>
      <c r="AQ45" s="38">
        <v>36.56</v>
      </c>
      <c r="AR45" s="38">
        <v>36.79</v>
      </c>
      <c r="AS45" s="38">
        <v>37.75</v>
      </c>
      <c r="AT45" s="38">
        <v>40.35</v>
      </c>
      <c r="AU45" s="38">
        <v>44.37</v>
      </c>
      <c r="AV45" s="38">
        <v>46.16</v>
      </c>
      <c r="AW45" s="38">
        <v>46.52</v>
      </c>
      <c r="AX45" s="38">
        <v>46.58</v>
      </c>
      <c r="AY45" s="38">
        <v>44.12</v>
      </c>
      <c r="BA45" s="37">
        <v>56.04</v>
      </c>
      <c r="BB45" s="38">
        <v>1.2924</v>
      </c>
    </row>
    <row r="46" spans="1:54" x14ac:dyDescent="0.35">
      <c r="A46" s="2">
        <f t="shared" si="0"/>
        <v>43886</v>
      </c>
      <c r="B46" t="s">
        <v>88</v>
      </c>
      <c r="C46" s="32">
        <v>43886</v>
      </c>
      <c r="D46" s="38">
        <v>22.54</v>
      </c>
      <c r="E46" s="38">
        <v>21.06</v>
      </c>
      <c r="F46" s="38">
        <v>21.42</v>
      </c>
      <c r="G46" s="38">
        <v>22.22</v>
      </c>
      <c r="H46" s="38">
        <v>22.47</v>
      </c>
      <c r="I46" s="38">
        <v>22.75</v>
      </c>
      <c r="J46" s="38">
        <v>23.7</v>
      </c>
      <c r="K46" s="38">
        <v>26.4</v>
      </c>
      <c r="L46" s="38">
        <v>33.61</v>
      </c>
      <c r="M46" s="38">
        <v>36.700000000000003</v>
      </c>
      <c r="N46" s="38">
        <v>37.799999999999997</v>
      </c>
      <c r="O46" s="38">
        <v>38.090000000000003</v>
      </c>
      <c r="P46" s="38">
        <v>35.24</v>
      </c>
      <c r="Q46" s="38">
        <v>32.549999999999997</v>
      </c>
      <c r="R46" s="38">
        <v>31.27</v>
      </c>
      <c r="S46" s="38">
        <v>30.81</v>
      </c>
      <c r="T46" s="38">
        <v>30.6</v>
      </c>
      <c r="U46" s="38">
        <v>31.28</v>
      </c>
      <c r="V46" s="38">
        <v>32.880000000000003</v>
      </c>
      <c r="W46" s="38">
        <v>36.020000000000003</v>
      </c>
      <c r="X46" s="38">
        <v>38.6</v>
      </c>
      <c r="Y46" s="38">
        <v>40.950000000000003</v>
      </c>
      <c r="Z46" s="38">
        <v>44.44</v>
      </c>
      <c r="AA46" s="38">
        <v>43.73</v>
      </c>
      <c r="AB46" s="38">
        <v>40.380000000000003</v>
      </c>
      <c r="AC46" s="38">
        <v>36.53</v>
      </c>
      <c r="AD46" s="38">
        <v>35.61</v>
      </c>
      <c r="AE46" s="38">
        <v>35.42</v>
      </c>
      <c r="AF46" s="38">
        <v>35.450000000000003</v>
      </c>
      <c r="AG46" s="38">
        <v>35.9</v>
      </c>
      <c r="AH46" s="38">
        <v>36.57</v>
      </c>
      <c r="AI46" s="38">
        <v>39.17</v>
      </c>
      <c r="AJ46" s="38">
        <v>41.67</v>
      </c>
      <c r="AK46" s="38">
        <v>44.28</v>
      </c>
      <c r="AL46" s="38">
        <v>46.31</v>
      </c>
      <c r="AM46" s="38">
        <v>46.48</v>
      </c>
      <c r="AN46" s="38">
        <v>43.78</v>
      </c>
      <c r="AO46" s="38">
        <v>38.659999999999997</v>
      </c>
      <c r="AP46" s="38">
        <v>37.08</v>
      </c>
      <c r="AQ46" s="38">
        <v>36.25</v>
      </c>
      <c r="AR46" s="38">
        <v>36.479999999999997</v>
      </c>
      <c r="AS46" s="38">
        <v>37.44</v>
      </c>
      <c r="AT46" s="38">
        <v>40.04</v>
      </c>
      <c r="AU46" s="38">
        <v>44.06</v>
      </c>
      <c r="AV46" s="38">
        <v>45.85</v>
      </c>
      <c r="AW46" s="38">
        <v>46.21</v>
      </c>
      <c r="AX46" s="38">
        <v>46.27</v>
      </c>
      <c r="AY46" s="38">
        <v>43.81</v>
      </c>
      <c r="BA46" s="37">
        <v>56.71</v>
      </c>
      <c r="BB46" s="38">
        <v>1.3016000000000001</v>
      </c>
    </row>
    <row r="47" spans="1:54" x14ac:dyDescent="0.35">
      <c r="A47" s="2">
        <f t="shared" si="0"/>
        <v>43887</v>
      </c>
      <c r="B47" t="s">
        <v>89</v>
      </c>
      <c r="C47" s="32">
        <v>43887</v>
      </c>
      <c r="D47" s="38">
        <v>23.06</v>
      </c>
      <c r="E47" s="38">
        <v>21.47</v>
      </c>
      <c r="F47" s="38">
        <v>21.79</v>
      </c>
      <c r="G47" s="38">
        <v>22.5</v>
      </c>
      <c r="H47" s="38">
        <v>22.77</v>
      </c>
      <c r="I47" s="38">
        <v>22.97</v>
      </c>
      <c r="J47" s="38">
        <v>23.97</v>
      </c>
      <c r="K47" s="38">
        <v>26.69</v>
      </c>
      <c r="L47" s="38">
        <v>33.799999999999997</v>
      </c>
      <c r="M47" s="38">
        <v>36.83</v>
      </c>
      <c r="N47" s="38">
        <v>37.93</v>
      </c>
      <c r="O47" s="38">
        <v>38.36</v>
      </c>
      <c r="P47" s="38">
        <v>35.659999999999997</v>
      </c>
      <c r="Q47" s="38">
        <v>33.06</v>
      </c>
      <c r="R47" s="38">
        <v>31.81</v>
      </c>
      <c r="S47" s="38">
        <v>31.21</v>
      </c>
      <c r="T47" s="38">
        <v>30.96</v>
      </c>
      <c r="U47" s="38">
        <v>31.64</v>
      </c>
      <c r="V47" s="38">
        <v>33.24</v>
      </c>
      <c r="W47" s="38">
        <v>36.380000000000003</v>
      </c>
      <c r="X47" s="38">
        <v>38.96</v>
      </c>
      <c r="Y47" s="38">
        <v>41.31</v>
      </c>
      <c r="Z47" s="38">
        <v>44.8</v>
      </c>
      <c r="AA47" s="38">
        <v>44.09</v>
      </c>
      <c r="AB47" s="38">
        <v>40.74</v>
      </c>
      <c r="AC47" s="38">
        <v>36.94</v>
      </c>
      <c r="AD47" s="38">
        <v>36.020000000000003</v>
      </c>
      <c r="AE47" s="38">
        <v>35.83</v>
      </c>
      <c r="AF47" s="38">
        <v>35.86</v>
      </c>
      <c r="AG47" s="38">
        <v>36.31</v>
      </c>
      <c r="AH47" s="38">
        <v>36.979999999999997</v>
      </c>
      <c r="AI47" s="38">
        <v>39.58</v>
      </c>
      <c r="AJ47" s="38">
        <v>42.08</v>
      </c>
      <c r="AK47" s="38">
        <v>44.72</v>
      </c>
      <c r="AL47" s="38">
        <v>46.78</v>
      </c>
      <c r="AM47" s="38">
        <v>46.95</v>
      </c>
      <c r="AN47" s="38">
        <v>44.25</v>
      </c>
      <c r="AO47" s="38">
        <v>39.119999999999997</v>
      </c>
      <c r="AP47" s="38">
        <v>37.54</v>
      </c>
      <c r="AQ47" s="38">
        <v>36.71</v>
      </c>
      <c r="AR47" s="38">
        <v>36.94</v>
      </c>
      <c r="AS47" s="38">
        <v>37.9</v>
      </c>
      <c r="AT47" s="38">
        <v>40.5</v>
      </c>
      <c r="AU47" s="38">
        <v>44.51</v>
      </c>
      <c r="AV47" s="38">
        <v>46.3</v>
      </c>
      <c r="AW47" s="38">
        <v>46.66</v>
      </c>
      <c r="AX47" s="38">
        <v>46.72</v>
      </c>
      <c r="AY47" s="38">
        <v>44.26</v>
      </c>
      <c r="BA47" s="37">
        <v>54.96</v>
      </c>
      <c r="BB47" s="38">
        <v>1.2917000000000001</v>
      </c>
    </row>
    <row r="48" spans="1:54" x14ac:dyDescent="0.35">
      <c r="A48" s="2">
        <f t="shared" si="0"/>
        <v>43888</v>
      </c>
      <c r="B48" t="s">
        <v>90</v>
      </c>
      <c r="C48" s="32">
        <v>43888</v>
      </c>
      <c r="D48" s="38">
        <v>22.93</v>
      </c>
      <c r="E48" s="38">
        <v>21.18</v>
      </c>
      <c r="F48" s="38">
        <v>21.38</v>
      </c>
      <c r="G48" s="38">
        <v>22.06</v>
      </c>
      <c r="H48" s="38">
        <v>22.26</v>
      </c>
      <c r="I48" s="38">
        <v>22.46</v>
      </c>
      <c r="J48" s="38">
        <v>23.76</v>
      </c>
      <c r="K48" s="38">
        <v>26.43</v>
      </c>
      <c r="L48" s="38">
        <v>33.549999999999997</v>
      </c>
      <c r="M48" s="38">
        <v>36.58</v>
      </c>
      <c r="N48" s="38">
        <v>37.630000000000003</v>
      </c>
      <c r="O48" s="38">
        <v>38.06</v>
      </c>
      <c r="P48" s="38">
        <v>35.46</v>
      </c>
      <c r="Q48" s="38">
        <v>32.979999999999997</v>
      </c>
      <c r="R48" s="38">
        <v>31.43</v>
      </c>
      <c r="S48" s="38">
        <v>30.63</v>
      </c>
      <c r="T48" s="38">
        <v>30.38</v>
      </c>
      <c r="U48" s="38">
        <v>31.06</v>
      </c>
      <c r="V48" s="38">
        <v>32.72</v>
      </c>
      <c r="W48" s="38">
        <v>35.92</v>
      </c>
      <c r="X48" s="38">
        <v>38.549999999999997</v>
      </c>
      <c r="Y48" s="38">
        <v>40.9</v>
      </c>
      <c r="Z48" s="38">
        <v>44.39</v>
      </c>
      <c r="AA48" s="38">
        <v>43.68</v>
      </c>
      <c r="AB48" s="38">
        <v>40.32</v>
      </c>
      <c r="AC48" s="38">
        <v>36.46</v>
      </c>
      <c r="AD48" s="38">
        <v>35.520000000000003</v>
      </c>
      <c r="AE48" s="38">
        <v>35.33</v>
      </c>
      <c r="AF48" s="38">
        <v>35.36</v>
      </c>
      <c r="AG48" s="38">
        <v>35.81</v>
      </c>
      <c r="AH48" s="38">
        <v>36.479999999999997</v>
      </c>
      <c r="AI48" s="38">
        <v>39.200000000000003</v>
      </c>
      <c r="AJ48" s="38">
        <v>41.8</v>
      </c>
      <c r="AK48" s="38">
        <v>44.54</v>
      </c>
      <c r="AL48" s="38">
        <v>46.6</v>
      </c>
      <c r="AM48" s="38">
        <v>46.76</v>
      </c>
      <c r="AN48" s="38">
        <v>44.06</v>
      </c>
      <c r="AO48" s="38">
        <v>39.03</v>
      </c>
      <c r="AP48" s="38">
        <v>37.450000000000003</v>
      </c>
      <c r="AQ48" s="38">
        <v>36.619999999999997</v>
      </c>
      <c r="AR48" s="38">
        <v>36.85</v>
      </c>
      <c r="AS48" s="38">
        <v>37.81</v>
      </c>
      <c r="AT48" s="38">
        <v>40.409999999999997</v>
      </c>
      <c r="AU48" s="38">
        <v>44.27</v>
      </c>
      <c r="AV48" s="38">
        <v>46.06</v>
      </c>
      <c r="AW48" s="38">
        <v>46.42</v>
      </c>
      <c r="AX48" s="38">
        <v>46.48</v>
      </c>
      <c r="AY48" s="38">
        <v>44.02</v>
      </c>
      <c r="BA48" s="37">
        <v>52.19</v>
      </c>
      <c r="BB48" s="38">
        <v>1.2873000000000001</v>
      </c>
    </row>
    <row r="49" spans="1:54" x14ac:dyDescent="0.35">
      <c r="A49" s="2">
        <f t="shared" si="0"/>
        <v>43889</v>
      </c>
      <c r="B49" t="s">
        <v>91</v>
      </c>
      <c r="C49" s="32">
        <v>43889</v>
      </c>
      <c r="D49" s="38">
        <v>21.7</v>
      </c>
      <c r="E49" s="38">
        <v>21.85</v>
      </c>
      <c r="F49" s="38">
        <v>22.6</v>
      </c>
      <c r="G49" s="38">
        <v>22.76</v>
      </c>
      <c r="H49" s="38">
        <v>22.96</v>
      </c>
      <c r="I49" s="38">
        <v>24.06</v>
      </c>
      <c r="J49" s="38">
        <v>26.69</v>
      </c>
      <c r="K49" s="38">
        <v>33.86</v>
      </c>
      <c r="L49" s="38">
        <v>36.909999999999997</v>
      </c>
      <c r="M49" s="38">
        <v>37.92</v>
      </c>
      <c r="N49" s="38">
        <v>38.35</v>
      </c>
      <c r="O49" s="38">
        <v>35.75</v>
      </c>
      <c r="P49" s="38">
        <v>33.19</v>
      </c>
      <c r="Q49" s="38">
        <v>31.64</v>
      </c>
      <c r="R49" s="38">
        <v>30.84</v>
      </c>
      <c r="S49" s="38">
        <v>30.6</v>
      </c>
      <c r="T49" s="38">
        <v>31.3</v>
      </c>
      <c r="U49" s="38">
        <v>32.979999999999997</v>
      </c>
      <c r="V49" s="38">
        <v>36.28</v>
      </c>
      <c r="W49" s="38">
        <v>38.909999999999997</v>
      </c>
      <c r="X49" s="38">
        <v>41.26</v>
      </c>
      <c r="Y49" s="38">
        <v>44.75</v>
      </c>
      <c r="Z49" s="38">
        <v>44.04</v>
      </c>
      <c r="AA49" s="38">
        <v>40.61</v>
      </c>
      <c r="AB49" s="38">
        <v>36.69</v>
      </c>
      <c r="AC49" s="38">
        <v>35.75</v>
      </c>
      <c r="AD49" s="38">
        <v>35.56</v>
      </c>
      <c r="AE49" s="38">
        <v>35.590000000000003</v>
      </c>
      <c r="AF49" s="38">
        <v>36.04</v>
      </c>
      <c r="AG49" s="38">
        <v>36.71</v>
      </c>
      <c r="AH49" s="38">
        <v>39.409999999999997</v>
      </c>
      <c r="AI49" s="38">
        <v>42.01</v>
      </c>
      <c r="AJ49" s="38">
        <v>44.75</v>
      </c>
      <c r="AK49" s="38">
        <v>46.81</v>
      </c>
      <c r="AL49" s="38">
        <v>46.97</v>
      </c>
      <c r="AM49" s="38">
        <v>44.27</v>
      </c>
      <c r="AN49" s="38">
        <v>39.25</v>
      </c>
      <c r="AO49" s="38">
        <v>37.67</v>
      </c>
      <c r="AP49" s="38">
        <v>36.840000000000003</v>
      </c>
      <c r="AQ49" s="38">
        <v>37.07</v>
      </c>
      <c r="AR49" s="38">
        <v>38.03</v>
      </c>
      <c r="AS49" s="38">
        <v>40.630000000000003</v>
      </c>
      <c r="AT49" s="38">
        <v>44.49</v>
      </c>
      <c r="AU49" s="38">
        <v>46.28</v>
      </c>
      <c r="AV49" s="38">
        <v>46.64</v>
      </c>
      <c r="AW49" s="38">
        <v>46.7</v>
      </c>
      <c r="AX49" s="38">
        <v>44.24</v>
      </c>
      <c r="AY49" s="38">
        <v>41.66</v>
      </c>
      <c r="BA49" s="37">
        <v>51.31</v>
      </c>
      <c r="BB49" s="38">
        <v>1.2776000000000001</v>
      </c>
    </row>
    <row r="50" spans="1:54" x14ac:dyDescent="0.35">
      <c r="A50" s="2">
        <f t="shared" si="0"/>
        <v>43892</v>
      </c>
      <c r="B50" t="s">
        <v>92</v>
      </c>
      <c r="C50" s="32">
        <v>43892</v>
      </c>
      <c r="D50" s="38">
        <v>22.38</v>
      </c>
      <c r="E50" s="38">
        <v>22.43</v>
      </c>
      <c r="F50" s="38">
        <v>22.98</v>
      </c>
      <c r="G50" s="38">
        <v>23.26</v>
      </c>
      <c r="H50" s="38">
        <v>23.46</v>
      </c>
      <c r="I50" s="38">
        <v>24.66</v>
      </c>
      <c r="J50" s="38">
        <v>27.51</v>
      </c>
      <c r="K50" s="38">
        <v>34.76</v>
      </c>
      <c r="L50" s="38">
        <v>37.67</v>
      </c>
      <c r="M50" s="38">
        <v>38.68</v>
      </c>
      <c r="N50" s="38">
        <v>39.11</v>
      </c>
      <c r="O50" s="38">
        <v>36.51</v>
      </c>
      <c r="P50" s="38">
        <v>33.950000000000003</v>
      </c>
      <c r="Q50" s="38">
        <v>32.4</v>
      </c>
      <c r="R50" s="38">
        <v>31.6</v>
      </c>
      <c r="S50" s="38">
        <v>31.36</v>
      </c>
      <c r="T50" s="38">
        <v>32.06</v>
      </c>
      <c r="U50" s="38">
        <v>33.74</v>
      </c>
      <c r="V50" s="38">
        <v>37.04</v>
      </c>
      <c r="W50" s="38">
        <v>39.67</v>
      </c>
      <c r="X50" s="38">
        <v>42.02</v>
      </c>
      <c r="Y50" s="38">
        <v>45.51</v>
      </c>
      <c r="Z50" s="38">
        <v>44.8</v>
      </c>
      <c r="AA50" s="38">
        <v>41.37</v>
      </c>
      <c r="AB50" s="38">
        <v>37.450000000000003</v>
      </c>
      <c r="AC50" s="38">
        <v>36.51</v>
      </c>
      <c r="AD50" s="38">
        <v>36.32</v>
      </c>
      <c r="AE50" s="38">
        <v>36.35</v>
      </c>
      <c r="AF50" s="38">
        <v>36.799999999999997</v>
      </c>
      <c r="AG50" s="38">
        <v>37.47</v>
      </c>
      <c r="AH50" s="38">
        <v>40.17</v>
      </c>
      <c r="AI50" s="38">
        <v>42.77</v>
      </c>
      <c r="AJ50" s="38">
        <v>45.51</v>
      </c>
      <c r="AK50" s="38">
        <v>47.57</v>
      </c>
      <c r="AL50" s="38">
        <v>47.73</v>
      </c>
      <c r="AM50" s="38">
        <v>45.03</v>
      </c>
      <c r="AN50" s="38">
        <v>39.68</v>
      </c>
      <c r="AO50" s="38">
        <v>38.1</v>
      </c>
      <c r="AP50" s="38">
        <v>37.270000000000003</v>
      </c>
      <c r="AQ50" s="38">
        <v>37.5</v>
      </c>
      <c r="AR50" s="38">
        <v>38.46</v>
      </c>
      <c r="AS50" s="38">
        <v>41.06</v>
      </c>
      <c r="AT50" s="38">
        <v>45.26</v>
      </c>
      <c r="AU50" s="38">
        <v>47.05</v>
      </c>
      <c r="AV50" s="38">
        <v>47.41</v>
      </c>
      <c r="AW50" s="38">
        <v>47.47</v>
      </c>
      <c r="AX50" s="38">
        <v>45.01</v>
      </c>
      <c r="AY50" s="38">
        <v>42.43</v>
      </c>
      <c r="BA50" s="37">
        <v>52.52</v>
      </c>
      <c r="BB50" s="38">
        <v>1.2747999999999999</v>
      </c>
    </row>
    <row r="51" spans="1:54" x14ac:dyDescent="0.35">
      <c r="A51" s="2">
        <f t="shared" si="0"/>
        <v>43893</v>
      </c>
      <c r="B51" t="s">
        <v>93</v>
      </c>
      <c r="C51" s="32">
        <v>43893</v>
      </c>
      <c r="D51" s="38">
        <v>23.2</v>
      </c>
      <c r="E51" s="38">
        <v>23.34</v>
      </c>
      <c r="F51" s="38">
        <v>23.91</v>
      </c>
      <c r="G51" s="38">
        <v>24.04</v>
      </c>
      <c r="H51" s="38">
        <v>24.35</v>
      </c>
      <c r="I51" s="38">
        <v>25.4</v>
      </c>
      <c r="J51" s="38">
        <v>28.36</v>
      </c>
      <c r="K51" s="38">
        <v>36.24</v>
      </c>
      <c r="L51" s="38">
        <v>39.119999999999997</v>
      </c>
      <c r="M51" s="38">
        <v>40.21</v>
      </c>
      <c r="N51" s="38">
        <v>40.64</v>
      </c>
      <c r="O51" s="38">
        <v>38.049999999999997</v>
      </c>
      <c r="P51" s="38">
        <v>35.049999999999997</v>
      </c>
      <c r="Q51" s="38">
        <v>33.5</v>
      </c>
      <c r="R51" s="38">
        <v>32.700000000000003</v>
      </c>
      <c r="S51" s="38">
        <v>32.46</v>
      </c>
      <c r="T51" s="38">
        <v>33.159999999999997</v>
      </c>
      <c r="U51" s="38">
        <v>34.83</v>
      </c>
      <c r="V51" s="38">
        <v>38.270000000000003</v>
      </c>
      <c r="W51" s="38">
        <v>40.9</v>
      </c>
      <c r="X51" s="38">
        <v>43.25</v>
      </c>
      <c r="Y51" s="38">
        <v>46.74</v>
      </c>
      <c r="Z51" s="38">
        <v>46.03</v>
      </c>
      <c r="AA51" s="38">
        <v>42.48</v>
      </c>
      <c r="AB51" s="38">
        <v>38.340000000000003</v>
      </c>
      <c r="AC51" s="38">
        <v>37.4</v>
      </c>
      <c r="AD51" s="38">
        <v>37.21</v>
      </c>
      <c r="AE51" s="38">
        <v>37.24</v>
      </c>
      <c r="AF51" s="38">
        <v>37.69</v>
      </c>
      <c r="AG51" s="38">
        <v>38.36</v>
      </c>
      <c r="AH51" s="38">
        <v>41.23</v>
      </c>
      <c r="AI51" s="38">
        <v>43.83</v>
      </c>
      <c r="AJ51" s="38">
        <v>46.57</v>
      </c>
      <c r="AK51" s="38">
        <v>48.63</v>
      </c>
      <c r="AL51" s="38">
        <v>48.79</v>
      </c>
      <c r="AM51" s="38">
        <v>46.09</v>
      </c>
      <c r="AN51" s="38">
        <v>40.840000000000003</v>
      </c>
      <c r="AO51" s="38">
        <v>39.26</v>
      </c>
      <c r="AP51" s="38">
        <v>38.43</v>
      </c>
      <c r="AQ51" s="38">
        <v>38.659999999999997</v>
      </c>
      <c r="AR51" s="38">
        <v>39.619999999999997</v>
      </c>
      <c r="AS51" s="38">
        <v>42.22</v>
      </c>
      <c r="AT51" s="38">
        <v>46.42</v>
      </c>
      <c r="AU51" s="38">
        <v>48.21</v>
      </c>
      <c r="AV51" s="38">
        <v>48.57</v>
      </c>
      <c r="AW51" s="38">
        <v>48.63</v>
      </c>
      <c r="AX51" s="38">
        <v>46.17</v>
      </c>
      <c r="AY51" s="38">
        <v>43.59</v>
      </c>
      <c r="BA51" s="37">
        <v>52.24</v>
      </c>
      <c r="BB51" s="38">
        <v>1.2819</v>
      </c>
    </row>
    <row r="52" spans="1:54" x14ac:dyDescent="0.35">
      <c r="A52" s="2">
        <f t="shared" si="0"/>
        <v>43894</v>
      </c>
      <c r="B52" t="s">
        <v>94</v>
      </c>
      <c r="C52" s="32">
        <v>43894</v>
      </c>
      <c r="D52" s="38">
        <v>22.39</v>
      </c>
      <c r="E52" s="38">
        <v>22.64</v>
      </c>
      <c r="F52" s="38">
        <v>23.13</v>
      </c>
      <c r="G52" s="38">
        <v>23.46</v>
      </c>
      <c r="H52" s="38">
        <v>23.74</v>
      </c>
      <c r="I52" s="38">
        <v>25</v>
      </c>
      <c r="J52" s="38">
        <v>28.13</v>
      </c>
      <c r="K52" s="38">
        <v>35.880000000000003</v>
      </c>
      <c r="L52" s="38">
        <v>38.78</v>
      </c>
      <c r="M52" s="38">
        <v>39.869999999999997</v>
      </c>
      <c r="N52" s="38">
        <v>40.299999999999997</v>
      </c>
      <c r="O52" s="38">
        <v>37.81</v>
      </c>
      <c r="P52" s="38">
        <v>34.89</v>
      </c>
      <c r="Q52" s="38">
        <v>33.409999999999997</v>
      </c>
      <c r="R52" s="38">
        <v>32.61</v>
      </c>
      <c r="S52" s="38">
        <v>32.369999999999997</v>
      </c>
      <c r="T52" s="38">
        <v>33.119999999999997</v>
      </c>
      <c r="U52" s="38">
        <v>34.840000000000003</v>
      </c>
      <c r="V52" s="38">
        <v>38.22</v>
      </c>
      <c r="W52" s="38">
        <v>40.85</v>
      </c>
      <c r="X52" s="38">
        <v>43.2</v>
      </c>
      <c r="Y52" s="38">
        <v>46.7</v>
      </c>
      <c r="Z52" s="38">
        <v>45.99</v>
      </c>
      <c r="AA52" s="38">
        <v>42.44</v>
      </c>
      <c r="AB52" s="38">
        <v>38.4</v>
      </c>
      <c r="AC52" s="38">
        <v>37.46</v>
      </c>
      <c r="AD52" s="38">
        <v>37.270000000000003</v>
      </c>
      <c r="AE52" s="38">
        <v>37.299999999999997</v>
      </c>
      <c r="AF52" s="38">
        <v>37.81</v>
      </c>
      <c r="AG52" s="38">
        <v>38.53</v>
      </c>
      <c r="AH52" s="38">
        <v>41.44</v>
      </c>
      <c r="AI52" s="38">
        <v>44.04</v>
      </c>
      <c r="AJ52" s="38">
        <v>46.78</v>
      </c>
      <c r="AK52" s="38">
        <v>48.84</v>
      </c>
      <c r="AL52" s="38">
        <v>49</v>
      </c>
      <c r="AM52" s="38">
        <v>46.35</v>
      </c>
      <c r="AN52" s="38">
        <v>41.15</v>
      </c>
      <c r="AO52" s="38">
        <v>39.57</v>
      </c>
      <c r="AP52" s="38">
        <v>38.74</v>
      </c>
      <c r="AQ52" s="38">
        <v>38.97</v>
      </c>
      <c r="AR52" s="38">
        <v>39.93</v>
      </c>
      <c r="AS52" s="38">
        <v>42.5</v>
      </c>
      <c r="AT52" s="38">
        <v>46.67</v>
      </c>
      <c r="AU52" s="38">
        <v>48.43</v>
      </c>
      <c r="AV52" s="38">
        <v>48.79</v>
      </c>
      <c r="AW52" s="38">
        <v>48.85</v>
      </c>
      <c r="AX52" s="38">
        <v>46.39</v>
      </c>
      <c r="AY52" s="38">
        <v>43.81</v>
      </c>
      <c r="BA52" s="37">
        <v>51.86</v>
      </c>
      <c r="BB52" s="38">
        <v>1.2821</v>
      </c>
    </row>
    <row r="53" spans="1:54" x14ac:dyDescent="0.35">
      <c r="A53" s="2">
        <f t="shared" si="0"/>
        <v>43895</v>
      </c>
      <c r="B53" t="s">
        <v>95</v>
      </c>
      <c r="C53" s="32">
        <v>43895</v>
      </c>
      <c r="D53" s="38">
        <v>22.35</v>
      </c>
      <c r="E53" s="38">
        <v>22.43</v>
      </c>
      <c r="F53" s="38">
        <v>22.77</v>
      </c>
      <c r="G53" s="38">
        <v>22.94</v>
      </c>
      <c r="H53" s="38">
        <v>23.36</v>
      </c>
      <c r="I53" s="38">
        <v>24.75</v>
      </c>
      <c r="J53" s="38">
        <v>27.7</v>
      </c>
      <c r="K53" s="38">
        <v>35.35</v>
      </c>
      <c r="L53" s="38">
        <v>38.35</v>
      </c>
      <c r="M53" s="38">
        <v>39.65</v>
      </c>
      <c r="N53" s="38">
        <v>39.840000000000003</v>
      </c>
      <c r="O53" s="38">
        <v>37.35</v>
      </c>
      <c r="P53" s="38">
        <v>34.479999999999997</v>
      </c>
      <c r="Q53" s="38">
        <v>33</v>
      </c>
      <c r="R53" s="38">
        <v>32.200000000000003</v>
      </c>
      <c r="S53" s="38">
        <v>31.96</v>
      </c>
      <c r="T53" s="38">
        <v>32.700000000000003</v>
      </c>
      <c r="U53" s="38">
        <v>34.43</v>
      </c>
      <c r="V53" s="38">
        <v>37.81</v>
      </c>
      <c r="W53" s="38">
        <v>40.44</v>
      </c>
      <c r="X53" s="38">
        <v>42.79</v>
      </c>
      <c r="Y53" s="38">
        <v>46.29</v>
      </c>
      <c r="Z53" s="38">
        <v>45.71</v>
      </c>
      <c r="AA53" s="38">
        <v>42.16</v>
      </c>
      <c r="AB53" s="38">
        <v>38.19</v>
      </c>
      <c r="AC53" s="38">
        <v>37.25</v>
      </c>
      <c r="AD53" s="38">
        <v>37.06</v>
      </c>
      <c r="AE53" s="38">
        <v>37.090000000000003</v>
      </c>
      <c r="AF53" s="38">
        <v>37.549999999999997</v>
      </c>
      <c r="AG53" s="38">
        <v>38.22</v>
      </c>
      <c r="AH53" s="38">
        <v>41.04</v>
      </c>
      <c r="AI53" s="38">
        <v>43.64</v>
      </c>
      <c r="AJ53" s="38">
        <v>46.38</v>
      </c>
      <c r="AK53" s="38">
        <v>48.44</v>
      </c>
      <c r="AL53" s="38">
        <v>48.6</v>
      </c>
      <c r="AM53" s="38">
        <v>45.95</v>
      </c>
      <c r="AN53" s="38">
        <v>40.75</v>
      </c>
      <c r="AO53" s="38">
        <v>39.17</v>
      </c>
      <c r="AP53" s="38">
        <v>38.340000000000003</v>
      </c>
      <c r="AQ53" s="38">
        <v>38.57</v>
      </c>
      <c r="AR53" s="38">
        <v>39.53</v>
      </c>
      <c r="AS53" s="38">
        <v>42.15</v>
      </c>
      <c r="AT53" s="38">
        <v>46.37</v>
      </c>
      <c r="AU53" s="38">
        <v>48.13</v>
      </c>
      <c r="AV53" s="38">
        <v>48.49</v>
      </c>
      <c r="AW53" s="38">
        <v>48.55</v>
      </c>
      <c r="AX53" s="38">
        <v>46.09</v>
      </c>
      <c r="AY53" s="38">
        <v>43.51</v>
      </c>
      <c r="BA53" s="37">
        <v>51.29</v>
      </c>
      <c r="BB53" s="38">
        <v>1.2922</v>
      </c>
    </row>
    <row r="54" spans="1:54" x14ac:dyDescent="0.35">
      <c r="A54" s="2">
        <f t="shared" si="0"/>
        <v>43896</v>
      </c>
      <c r="B54" t="s">
        <v>96</v>
      </c>
      <c r="C54" s="32">
        <v>43896</v>
      </c>
      <c r="D54" s="38">
        <v>21.85</v>
      </c>
      <c r="E54" s="38">
        <v>21.88</v>
      </c>
      <c r="F54" s="38">
        <v>22.25</v>
      </c>
      <c r="G54" s="38">
        <v>22.38</v>
      </c>
      <c r="H54" s="38">
        <v>22.8</v>
      </c>
      <c r="I54" s="38">
        <v>24.18</v>
      </c>
      <c r="J54" s="38">
        <v>26.78</v>
      </c>
      <c r="K54" s="38">
        <v>34.380000000000003</v>
      </c>
      <c r="L54" s="38">
        <v>37.61</v>
      </c>
      <c r="M54" s="38">
        <v>39.04</v>
      </c>
      <c r="N54" s="38">
        <v>38.65</v>
      </c>
      <c r="O54" s="38">
        <v>36.39</v>
      </c>
      <c r="P54" s="38">
        <v>33.880000000000003</v>
      </c>
      <c r="Q54" s="38">
        <v>31.86</v>
      </c>
      <c r="R54" s="38">
        <v>31.06</v>
      </c>
      <c r="S54" s="38">
        <v>30.82</v>
      </c>
      <c r="T54" s="38">
        <v>31.56</v>
      </c>
      <c r="U54" s="38">
        <v>33.36</v>
      </c>
      <c r="V54" s="38">
        <v>36.89</v>
      </c>
      <c r="W54" s="38">
        <v>39.520000000000003</v>
      </c>
      <c r="X54" s="38">
        <v>41.87</v>
      </c>
      <c r="Y54" s="38">
        <v>45.37</v>
      </c>
      <c r="Z54" s="38">
        <v>44.79</v>
      </c>
      <c r="AA54" s="38">
        <v>41.24</v>
      </c>
      <c r="AB54" s="38">
        <v>37.200000000000003</v>
      </c>
      <c r="AC54" s="38">
        <v>36.26</v>
      </c>
      <c r="AD54" s="38">
        <v>36.07</v>
      </c>
      <c r="AE54" s="38">
        <v>36.1</v>
      </c>
      <c r="AF54" s="38">
        <v>36.56</v>
      </c>
      <c r="AG54" s="38">
        <v>37.270000000000003</v>
      </c>
      <c r="AH54" s="38">
        <v>40.17</v>
      </c>
      <c r="AI54" s="38">
        <v>42.77</v>
      </c>
      <c r="AJ54" s="38">
        <v>45.51</v>
      </c>
      <c r="AK54" s="38">
        <v>47.57</v>
      </c>
      <c r="AL54" s="38">
        <v>47.73</v>
      </c>
      <c r="AM54" s="38">
        <v>45.08</v>
      </c>
      <c r="AN54" s="38">
        <v>39.880000000000003</v>
      </c>
      <c r="AO54" s="38">
        <v>38.299999999999997</v>
      </c>
      <c r="AP54" s="38">
        <v>37.47</v>
      </c>
      <c r="AQ54" s="38">
        <v>37.700000000000003</v>
      </c>
      <c r="AR54" s="38">
        <v>38.659999999999997</v>
      </c>
      <c r="AS54" s="38">
        <v>41.28</v>
      </c>
      <c r="AT54" s="38">
        <v>45.5</v>
      </c>
      <c r="AU54" s="38">
        <v>47.26</v>
      </c>
      <c r="AV54" s="38">
        <v>47.62</v>
      </c>
      <c r="AW54" s="38">
        <v>47.68</v>
      </c>
      <c r="AX54" s="38">
        <v>45.22</v>
      </c>
      <c r="AY54" s="38">
        <v>42.64</v>
      </c>
      <c r="BA54" s="37">
        <v>45.6</v>
      </c>
      <c r="BB54" s="38">
        <v>1.3028999999999999</v>
      </c>
    </row>
    <row r="55" spans="1:54" x14ac:dyDescent="0.35">
      <c r="A55" s="2">
        <f t="shared" si="0"/>
        <v>43899</v>
      </c>
      <c r="B55" t="s">
        <v>97</v>
      </c>
      <c r="C55" s="32">
        <v>43899</v>
      </c>
      <c r="D55" s="38">
        <v>21.62</v>
      </c>
      <c r="E55" s="38">
        <v>21.65</v>
      </c>
      <c r="F55" s="38">
        <v>21.96</v>
      </c>
      <c r="G55" s="38">
        <v>22.11</v>
      </c>
      <c r="H55" s="38">
        <v>22.49</v>
      </c>
      <c r="I55" s="38">
        <v>23.65</v>
      </c>
      <c r="J55" s="38">
        <v>25.96</v>
      </c>
      <c r="K55" s="38">
        <v>33.200000000000003</v>
      </c>
      <c r="L55" s="38">
        <v>36.08</v>
      </c>
      <c r="M55" s="38">
        <v>37.18</v>
      </c>
      <c r="N55" s="38">
        <v>37.409999999999997</v>
      </c>
      <c r="O55" s="38">
        <v>34.950000000000003</v>
      </c>
      <c r="P55" s="38">
        <v>32.6</v>
      </c>
      <c r="Q55" s="38">
        <v>30.58</v>
      </c>
      <c r="R55" s="38">
        <v>29.78</v>
      </c>
      <c r="S55" s="38">
        <v>29.44</v>
      </c>
      <c r="T55" s="38">
        <v>30.18</v>
      </c>
      <c r="U55" s="38">
        <v>31.85</v>
      </c>
      <c r="V55" s="38">
        <v>35.21</v>
      </c>
      <c r="W55" s="38">
        <v>37.68</v>
      </c>
      <c r="X55" s="38">
        <v>40.03</v>
      </c>
      <c r="Y55" s="38">
        <v>43.53</v>
      </c>
      <c r="Z55" s="38">
        <v>42.95</v>
      </c>
      <c r="AA55" s="38">
        <v>39.43</v>
      </c>
      <c r="AB55" s="38">
        <v>35.520000000000003</v>
      </c>
      <c r="AC55" s="38">
        <v>34.65</v>
      </c>
      <c r="AD55" s="38">
        <v>34.46</v>
      </c>
      <c r="AE55" s="38">
        <v>34.49</v>
      </c>
      <c r="AF55" s="38">
        <v>34.950000000000003</v>
      </c>
      <c r="AG55" s="38">
        <v>35.659999999999997</v>
      </c>
      <c r="AH55" s="38">
        <v>38.56</v>
      </c>
      <c r="AI55" s="38">
        <v>41.16</v>
      </c>
      <c r="AJ55" s="38">
        <v>43.9</v>
      </c>
      <c r="AK55" s="38">
        <v>45.96</v>
      </c>
      <c r="AL55" s="38">
        <v>46.12</v>
      </c>
      <c r="AM55" s="38">
        <v>43.73</v>
      </c>
      <c r="AN55" s="38">
        <v>38.53</v>
      </c>
      <c r="AO55" s="38">
        <v>36.950000000000003</v>
      </c>
      <c r="AP55" s="38">
        <v>36.119999999999997</v>
      </c>
      <c r="AQ55" s="38">
        <v>36.35</v>
      </c>
      <c r="AR55" s="38">
        <v>37.31</v>
      </c>
      <c r="AS55" s="38">
        <v>39.93</v>
      </c>
      <c r="AT55" s="38">
        <v>44.24</v>
      </c>
      <c r="AU55" s="38">
        <v>46.1</v>
      </c>
      <c r="AV55" s="38">
        <v>46.46</v>
      </c>
      <c r="AW55" s="38">
        <v>46.52</v>
      </c>
      <c r="AX55" s="38">
        <v>44.06</v>
      </c>
      <c r="AY55" s="38">
        <v>41.4</v>
      </c>
      <c r="BA55" s="37">
        <v>35.33</v>
      </c>
      <c r="BB55" s="38">
        <v>1.3109999999999999</v>
      </c>
    </row>
    <row r="56" spans="1:54" x14ac:dyDescent="0.35">
      <c r="A56" s="2">
        <f t="shared" si="0"/>
        <v>43900</v>
      </c>
      <c r="B56" t="s">
        <v>98</v>
      </c>
      <c r="C56" s="32">
        <v>43900</v>
      </c>
      <c r="D56" s="38">
        <v>23.01</v>
      </c>
      <c r="E56" s="38">
        <v>22.71</v>
      </c>
      <c r="F56" s="38">
        <v>23.06</v>
      </c>
      <c r="G56" s="38">
        <v>23.25</v>
      </c>
      <c r="H56" s="38">
        <v>23.7</v>
      </c>
      <c r="I56" s="38">
        <v>24.95</v>
      </c>
      <c r="J56" s="38">
        <v>27.36</v>
      </c>
      <c r="K56" s="38">
        <v>34.64</v>
      </c>
      <c r="L56" s="38">
        <v>37.49</v>
      </c>
      <c r="M56" s="38">
        <v>38.479999999999997</v>
      </c>
      <c r="N56" s="38">
        <v>39.08</v>
      </c>
      <c r="O56" s="38">
        <v>36.49</v>
      </c>
      <c r="P56" s="38">
        <v>33.64</v>
      </c>
      <c r="Q56" s="38">
        <v>31.5</v>
      </c>
      <c r="R56" s="38">
        <v>30.66</v>
      </c>
      <c r="S56" s="38">
        <v>30.32</v>
      </c>
      <c r="T56" s="38">
        <v>31.06</v>
      </c>
      <c r="U56" s="38">
        <v>32.729999999999997</v>
      </c>
      <c r="V56" s="38">
        <v>36.24</v>
      </c>
      <c r="W56" s="38">
        <v>38.71</v>
      </c>
      <c r="X56" s="38">
        <v>41.06</v>
      </c>
      <c r="Y56" s="38">
        <v>44.56</v>
      </c>
      <c r="Z56" s="38">
        <v>43.98</v>
      </c>
      <c r="AA56" s="38">
        <v>40.46</v>
      </c>
      <c r="AB56" s="38">
        <v>36.549999999999997</v>
      </c>
      <c r="AC56" s="38">
        <v>35.68</v>
      </c>
      <c r="AD56" s="38">
        <v>35.49</v>
      </c>
      <c r="AE56" s="38">
        <v>35.520000000000003</v>
      </c>
      <c r="AF56" s="38">
        <v>35.979999999999997</v>
      </c>
      <c r="AG56" s="38">
        <v>36.69</v>
      </c>
      <c r="AH56" s="38">
        <v>39.590000000000003</v>
      </c>
      <c r="AI56" s="38">
        <v>42.19</v>
      </c>
      <c r="AJ56" s="38">
        <v>44.93</v>
      </c>
      <c r="AK56" s="38">
        <v>46.99</v>
      </c>
      <c r="AL56" s="38">
        <v>47.15</v>
      </c>
      <c r="AM56" s="38">
        <v>44.76</v>
      </c>
      <c r="AN56" s="38">
        <v>39.56</v>
      </c>
      <c r="AO56" s="38">
        <v>37.979999999999997</v>
      </c>
      <c r="AP56" s="38">
        <v>37.15</v>
      </c>
      <c r="AQ56" s="38">
        <v>37.380000000000003</v>
      </c>
      <c r="AR56" s="38">
        <v>38.340000000000003</v>
      </c>
      <c r="AS56" s="38">
        <v>40.96</v>
      </c>
      <c r="AT56" s="38">
        <v>45.27</v>
      </c>
      <c r="AU56" s="38">
        <v>47.13</v>
      </c>
      <c r="AV56" s="38">
        <v>47.49</v>
      </c>
      <c r="AW56" s="38">
        <v>47.55</v>
      </c>
      <c r="AX56" s="38">
        <v>45.09</v>
      </c>
      <c r="AY56" s="38">
        <v>42.43</v>
      </c>
      <c r="BA56" s="37">
        <v>35.57</v>
      </c>
      <c r="BB56" s="38">
        <v>1.2931999999999999</v>
      </c>
    </row>
    <row r="57" spans="1:54" x14ac:dyDescent="0.35">
      <c r="A57" s="2">
        <f t="shared" si="0"/>
        <v>43901</v>
      </c>
      <c r="B57" t="s">
        <v>99</v>
      </c>
      <c r="C57" s="32">
        <v>43901</v>
      </c>
      <c r="D57" s="38">
        <v>24.18</v>
      </c>
      <c r="E57" s="38">
        <v>23.87</v>
      </c>
      <c r="F57" s="38">
        <v>24.22</v>
      </c>
      <c r="G57" s="38">
        <v>24.14</v>
      </c>
      <c r="H57" s="38">
        <v>24.43</v>
      </c>
      <c r="I57" s="38">
        <v>25.76</v>
      </c>
      <c r="J57" s="38">
        <v>27.79</v>
      </c>
      <c r="K57" s="38">
        <v>34.83</v>
      </c>
      <c r="L57" s="38">
        <v>37.61</v>
      </c>
      <c r="M57" s="38">
        <v>38.76</v>
      </c>
      <c r="N57" s="38">
        <v>38.99</v>
      </c>
      <c r="O57" s="38">
        <v>36.549999999999997</v>
      </c>
      <c r="P57" s="38">
        <v>33.75</v>
      </c>
      <c r="Q57" s="38">
        <v>31.56</v>
      </c>
      <c r="R57" s="38">
        <v>30.72</v>
      </c>
      <c r="S57" s="38">
        <v>30.38</v>
      </c>
      <c r="T57" s="38">
        <v>31.12</v>
      </c>
      <c r="U57" s="38">
        <v>32.770000000000003</v>
      </c>
      <c r="V57" s="38">
        <v>36.24</v>
      </c>
      <c r="W57" s="38">
        <v>38.69</v>
      </c>
      <c r="X57" s="38">
        <v>41.02</v>
      </c>
      <c r="Y57" s="38">
        <v>44.49</v>
      </c>
      <c r="Z57" s="38">
        <v>43.84</v>
      </c>
      <c r="AA57" s="38">
        <v>40.24</v>
      </c>
      <c r="AB57" s="38">
        <v>36.159999999999997</v>
      </c>
      <c r="AC57" s="38">
        <v>35.119999999999997</v>
      </c>
      <c r="AD57" s="38">
        <v>34.93</v>
      </c>
      <c r="AE57" s="38">
        <v>34.96</v>
      </c>
      <c r="AF57" s="38">
        <v>35.42</v>
      </c>
      <c r="AG57" s="38">
        <v>36.130000000000003</v>
      </c>
      <c r="AH57" s="38">
        <v>39.03</v>
      </c>
      <c r="AI57" s="38">
        <v>41.63</v>
      </c>
      <c r="AJ57" s="38">
        <v>44.37</v>
      </c>
      <c r="AK57" s="38">
        <v>46.43</v>
      </c>
      <c r="AL57" s="38">
        <v>46.59</v>
      </c>
      <c r="AM57" s="38">
        <v>44.2</v>
      </c>
      <c r="AN57" s="38">
        <v>39</v>
      </c>
      <c r="AO57" s="38">
        <v>37.42</v>
      </c>
      <c r="AP57" s="38">
        <v>36.590000000000003</v>
      </c>
      <c r="AQ57" s="38">
        <v>36.82</v>
      </c>
      <c r="AR57" s="38">
        <v>37.78</v>
      </c>
      <c r="AS57" s="38">
        <v>40.4</v>
      </c>
      <c r="AT57" s="38">
        <v>44.71</v>
      </c>
      <c r="AU57" s="38">
        <v>46.57</v>
      </c>
      <c r="AV57" s="38">
        <v>46.93</v>
      </c>
      <c r="AW57" s="38">
        <v>46.99</v>
      </c>
      <c r="AX57" s="38">
        <v>44.53</v>
      </c>
      <c r="AY57" s="38">
        <v>41.87</v>
      </c>
      <c r="BA57" s="37">
        <v>34.450000000000003</v>
      </c>
      <c r="BB57" s="38">
        <v>1.2887</v>
      </c>
    </row>
    <row r="58" spans="1:54" x14ac:dyDescent="0.35">
      <c r="A58" s="2">
        <f t="shared" si="0"/>
        <v>43902</v>
      </c>
      <c r="B58" t="s">
        <v>100</v>
      </c>
      <c r="C58" s="32">
        <v>43902</v>
      </c>
      <c r="D58" s="38">
        <v>24.03</v>
      </c>
      <c r="E58" s="38">
        <v>23.9</v>
      </c>
      <c r="F58" s="38">
        <v>24.09</v>
      </c>
      <c r="G58" s="38">
        <v>24.26</v>
      </c>
      <c r="H58" s="38">
        <v>24.57</v>
      </c>
      <c r="I58" s="38">
        <v>25.52</v>
      </c>
      <c r="J58" s="38">
        <v>27.12</v>
      </c>
      <c r="K58" s="38">
        <v>33.6</v>
      </c>
      <c r="L58" s="38">
        <v>37.020000000000003</v>
      </c>
      <c r="M58" s="38">
        <v>38.01</v>
      </c>
      <c r="N58" s="38">
        <v>38.5</v>
      </c>
      <c r="O58" s="38">
        <v>36</v>
      </c>
      <c r="P58" s="38">
        <v>33.19</v>
      </c>
      <c r="Q58" s="38">
        <v>30.88</v>
      </c>
      <c r="R58" s="38">
        <v>29.96</v>
      </c>
      <c r="S58" s="38">
        <v>29.58</v>
      </c>
      <c r="T58" s="38">
        <v>30.26</v>
      </c>
      <c r="U58" s="38">
        <v>31.84</v>
      </c>
      <c r="V58" s="38">
        <v>35.229999999999997</v>
      </c>
      <c r="W58" s="38">
        <v>37.68</v>
      </c>
      <c r="X58" s="38">
        <v>40.01</v>
      </c>
      <c r="Y58" s="38">
        <v>43.48</v>
      </c>
      <c r="Z58" s="38">
        <v>42.95</v>
      </c>
      <c r="AA58" s="38">
        <v>39.5</v>
      </c>
      <c r="AB58" s="38">
        <v>35.619999999999997</v>
      </c>
      <c r="AC58" s="38">
        <v>34.69</v>
      </c>
      <c r="AD58" s="38">
        <v>34.5</v>
      </c>
      <c r="AE58" s="38">
        <v>34.53</v>
      </c>
      <c r="AF58" s="38">
        <v>34.99</v>
      </c>
      <c r="AG58" s="38">
        <v>35.700000000000003</v>
      </c>
      <c r="AH58" s="38">
        <v>38.6</v>
      </c>
      <c r="AI58" s="38">
        <v>41.2</v>
      </c>
      <c r="AJ58" s="38">
        <v>43.93</v>
      </c>
      <c r="AK58" s="38">
        <v>45.98</v>
      </c>
      <c r="AL58" s="38">
        <v>46.13</v>
      </c>
      <c r="AM58" s="38">
        <v>43.73</v>
      </c>
      <c r="AN58" s="38">
        <v>38.520000000000003</v>
      </c>
      <c r="AO58" s="38">
        <v>36.93</v>
      </c>
      <c r="AP58" s="38">
        <v>36.08</v>
      </c>
      <c r="AQ58" s="38">
        <v>36.31</v>
      </c>
      <c r="AR58" s="38">
        <v>37.270000000000003</v>
      </c>
      <c r="AS58" s="38">
        <v>39.89</v>
      </c>
      <c r="AT58" s="38">
        <v>44.2</v>
      </c>
      <c r="AU58" s="38">
        <v>46.06</v>
      </c>
      <c r="AV58" s="38">
        <v>46.42</v>
      </c>
      <c r="AW58" s="38">
        <v>46.48</v>
      </c>
      <c r="AX58" s="38">
        <v>44.02</v>
      </c>
      <c r="AY58" s="38">
        <v>41.36</v>
      </c>
      <c r="BA58" s="37">
        <v>31.02</v>
      </c>
      <c r="BB58" s="38">
        <v>1.254</v>
      </c>
    </row>
    <row r="59" spans="1:54" x14ac:dyDescent="0.35">
      <c r="A59" s="2">
        <f t="shared" si="0"/>
        <v>43903</v>
      </c>
      <c r="B59" t="s">
        <v>101</v>
      </c>
      <c r="C59" s="32">
        <v>43903</v>
      </c>
      <c r="D59" s="38">
        <v>23.98</v>
      </c>
      <c r="E59" s="38">
        <v>23.73</v>
      </c>
      <c r="F59" s="38">
        <v>23.99</v>
      </c>
      <c r="G59" s="38">
        <v>24.01</v>
      </c>
      <c r="H59" s="38">
        <v>24.59</v>
      </c>
      <c r="I59" s="38">
        <v>25.79</v>
      </c>
      <c r="J59" s="38">
        <v>27.79</v>
      </c>
      <c r="K59" s="38">
        <v>34.44</v>
      </c>
      <c r="L59" s="38">
        <v>37.68</v>
      </c>
      <c r="M59" s="38">
        <v>38.65</v>
      </c>
      <c r="N59" s="38">
        <v>39.06</v>
      </c>
      <c r="O59" s="38">
        <v>36.520000000000003</v>
      </c>
      <c r="P59" s="38">
        <v>33.92</v>
      </c>
      <c r="Q59" s="38">
        <v>31.68</v>
      </c>
      <c r="R59" s="38">
        <v>30.78</v>
      </c>
      <c r="S59" s="38">
        <v>30.42</v>
      </c>
      <c r="T59" s="38">
        <v>31.09</v>
      </c>
      <c r="U59" s="38">
        <v>32.659999999999997</v>
      </c>
      <c r="V59" s="38">
        <v>36.06</v>
      </c>
      <c r="W59" s="38">
        <v>38.5</v>
      </c>
      <c r="X59" s="38">
        <v>40.82</v>
      </c>
      <c r="Y59" s="38">
        <v>44.28</v>
      </c>
      <c r="Z59" s="38">
        <v>43.73</v>
      </c>
      <c r="AA59" s="38">
        <v>40.270000000000003</v>
      </c>
      <c r="AB59" s="38">
        <v>36.43</v>
      </c>
      <c r="AC59" s="38">
        <v>35.5</v>
      </c>
      <c r="AD59" s="38">
        <v>35.31</v>
      </c>
      <c r="AE59" s="38">
        <v>35.340000000000003</v>
      </c>
      <c r="AF59" s="38">
        <v>35.799999999999997</v>
      </c>
      <c r="AG59" s="38">
        <v>36.51</v>
      </c>
      <c r="AH59" s="38">
        <v>39.409999999999997</v>
      </c>
      <c r="AI59" s="38">
        <v>42.01</v>
      </c>
      <c r="AJ59" s="38">
        <v>44.73</v>
      </c>
      <c r="AK59" s="38">
        <v>46.78</v>
      </c>
      <c r="AL59" s="38">
        <v>46.93</v>
      </c>
      <c r="AM59" s="38">
        <v>44.53</v>
      </c>
      <c r="AN59" s="38">
        <v>39.29</v>
      </c>
      <c r="AO59" s="38">
        <v>37.700000000000003</v>
      </c>
      <c r="AP59" s="38">
        <v>36.85</v>
      </c>
      <c r="AQ59" s="38">
        <v>37.08</v>
      </c>
      <c r="AR59" s="38">
        <v>38.04</v>
      </c>
      <c r="AS59" s="38">
        <v>40.659999999999997</v>
      </c>
      <c r="AT59" s="38">
        <v>44.97</v>
      </c>
      <c r="AU59" s="38">
        <v>46.83</v>
      </c>
      <c r="AV59" s="38">
        <v>47.19</v>
      </c>
      <c r="AW59" s="38">
        <v>47.25</v>
      </c>
      <c r="AX59" s="38">
        <v>44.79</v>
      </c>
      <c r="AY59" s="38">
        <v>42.13</v>
      </c>
      <c r="BA59" s="37">
        <v>32.25</v>
      </c>
      <c r="BB59" s="38">
        <v>1.2405999999999999</v>
      </c>
    </row>
    <row r="60" spans="1:54" x14ac:dyDescent="0.35">
      <c r="A60" s="2">
        <f t="shared" si="0"/>
        <v>43906</v>
      </c>
      <c r="B60" t="s">
        <v>102</v>
      </c>
      <c r="C60" s="32">
        <v>43906</v>
      </c>
      <c r="D60" s="38">
        <v>22.97</v>
      </c>
      <c r="E60" s="38">
        <v>22.78</v>
      </c>
      <c r="F60" s="38">
        <v>23.05</v>
      </c>
      <c r="G60" s="38">
        <v>23.37</v>
      </c>
      <c r="H60" s="38">
        <v>23.87</v>
      </c>
      <c r="I60" s="38">
        <v>25.17</v>
      </c>
      <c r="J60" s="38">
        <v>27.22</v>
      </c>
      <c r="K60" s="38">
        <v>34.26</v>
      </c>
      <c r="L60" s="38">
        <v>37.35</v>
      </c>
      <c r="M60" s="38">
        <v>38.24</v>
      </c>
      <c r="N60" s="38">
        <v>38.729999999999997</v>
      </c>
      <c r="O60" s="38">
        <v>36.26</v>
      </c>
      <c r="P60" s="38">
        <v>33.57</v>
      </c>
      <c r="Q60" s="38">
        <v>31.26</v>
      </c>
      <c r="R60" s="38">
        <v>30.32</v>
      </c>
      <c r="S60" s="38">
        <v>29.92</v>
      </c>
      <c r="T60" s="38">
        <v>30.55</v>
      </c>
      <c r="U60" s="38">
        <v>32.049999999999997</v>
      </c>
      <c r="V60" s="38">
        <v>35.46</v>
      </c>
      <c r="W60" s="38">
        <v>37.94</v>
      </c>
      <c r="X60" s="38">
        <v>40.26</v>
      </c>
      <c r="Y60" s="38">
        <v>43.72</v>
      </c>
      <c r="Z60" s="38">
        <v>43.17</v>
      </c>
      <c r="AA60" s="38">
        <v>39.65</v>
      </c>
      <c r="AB60" s="38">
        <v>35.75</v>
      </c>
      <c r="AC60" s="38">
        <v>34.770000000000003</v>
      </c>
      <c r="AD60" s="38">
        <v>34.58</v>
      </c>
      <c r="AE60" s="38">
        <v>34.61</v>
      </c>
      <c r="AF60" s="38">
        <v>35.07</v>
      </c>
      <c r="AG60" s="38">
        <v>35.83</v>
      </c>
      <c r="AH60" s="38">
        <v>38.78</v>
      </c>
      <c r="AI60" s="38">
        <v>41.44</v>
      </c>
      <c r="AJ60" s="38">
        <v>44.16</v>
      </c>
      <c r="AK60" s="38">
        <v>46.21</v>
      </c>
      <c r="AL60" s="38">
        <v>46.36</v>
      </c>
      <c r="AM60" s="38">
        <v>43.96</v>
      </c>
      <c r="AN60" s="38">
        <v>38.76</v>
      </c>
      <c r="AO60" s="38">
        <v>37.21</v>
      </c>
      <c r="AP60" s="38">
        <v>36.36</v>
      </c>
      <c r="AQ60" s="38">
        <v>36.590000000000003</v>
      </c>
      <c r="AR60" s="38">
        <v>37.549999999999997</v>
      </c>
      <c r="AS60" s="38">
        <v>40.17</v>
      </c>
      <c r="AT60" s="38">
        <v>44.48</v>
      </c>
      <c r="AU60" s="38">
        <v>46.34</v>
      </c>
      <c r="AV60" s="38">
        <v>46.7</v>
      </c>
      <c r="AW60" s="38">
        <v>46.76</v>
      </c>
      <c r="AX60" s="38">
        <v>44.3</v>
      </c>
      <c r="AY60" s="38">
        <v>41.64</v>
      </c>
      <c r="BA60" s="37">
        <v>27.98</v>
      </c>
      <c r="BB60" s="38">
        <v>1.2277</v>
      </c>
    </row>
    <row r="61" spans="1:54" x14ac:dyDescent="0.35">
      <c r="A61" s="2">
        <f t="shared" si="0"/>
        <v>43907</v>
      </c>
      <c r="B61" t="s">
        <v>103</v>
      </c>
      <c r="C61" s="32">
        <v>43907</v>
      </c>
      <c r="D61" s="38">
        <v>22.36</v>
      </c>
      <c r="E61" s="38">
        <v>22.31</v>
      </c>
      <c r="F61" s="38">
        <v>22.46</v>
      </c>
      <c r="G61" s="38">
        <v>22.66</v>
      </c>
      <c r="H61" s="38">
        <v>23.12</v>
      </c>
      <c r="I61" s="38">
        <v>24.5</v>
      </c>
      <c r="J61" s="38">
        <v>26.78</v>
      </c>
      <c r="K61" s="38">
        <v>33.53</v>
      </c>
      <c r="L61" s="38">
        <v>36.47</v>
      </c>
      <c r="M61" s="38">
        <v>37.68</v>
      </c>
      <c r="N61" s="38">
        <v>37.979999999999997</v>
      </c>
      <c r="O61" s="38">
        <v>35.549999999999997</v>
      </c>
      <c r="P61" s="38">
        <v>33.020000000000003</v>
      </c>
      <c r="Q61" s="38">
        <v>30.87</v>
      </c>
      <c r="R61" s="38">
        <v>29.93</v>
      </c>
      <c r="S61" s="38">
        <v>29.53</v>
      </c>
      <c r="T61" s="38">
        <v>30.16</v>
      </c>
      <c r="U61" s="38">
        <v>31.66</v>
      </c>
      <c r="V61" s="38">
        <v>35.090000000000003</v>
      </c>
      <c r="W61" s="38">
        <v>37.57</v>
      </c>
      <c r="X61" s="38">
        <v>39.89</v>
      </c>
      <c r="Y61" s="38">
        <v>43.35</v>
      </c>
      <c r="Z61" s="38">
        <v>42.8</v>
      </c>
      <c r="AA61" s="38">
        <v>39.28</v>
      </c>
      <c r="AB61" s="38">
        <v>35.380000000000003</v>
      </c>
      <c r="AC61" s="38">
        <v>34.4</v>
      </c>
      <c r="AD61" s="38">
        <v>34.21</v>
      </c>
      <c r="AE61" s="38">
        <v>34.24</v>
      </c>
      <c r="AF61" s="38">
        <v>34.700000000000003</v>
      </c>
      <c r="AG61" s="38">
        <v>35.46</v>
      </c>
      <c r="AH61" s="38">
        <v>38.409999999999997</v>
      </c>
      <c r="AI61" s="38">
        <v>41.07</v>
      </c>
      <c r="AJ61" s="38">
        <v>43.79</v>
      </c>
      <c r="AK61" s="38">
        <v>45.89</v>
      </c>
      <c r="AL61" s="38">
        <v>46.09</v>
      </c>
      <c r="AM61" s="38">
        <v>43.74</v>
      </c>
      <c r="AN61" s="38">
        <v>38.659999999999997</v>
      </c>
      <c r="AO61" s="38">
        <v>37.11</v>
      </c>
      <c r="AP61" s="38">
        <v>36.26</v>
      </c>
      <c r="AQ61" s="38">
        <v>36.49</v>
      </c>
      <c r="AR61" s="38">
        <v>37.450000000000003</v>
      </c>
      <c r="AS61" s="38">
        <v>39.94</v>
      </c>
      <c r="AT61" s="38">
        <v>44.04</v>
      </c>
      <c r="AU61" s="38">
        <v>45.85</v>
      </c>
      <c r="AV61" s="38">
        <v>46.16</v>
      </c>
      <c r="AW61" s="38">
        <v>46.22</v>
      </c>
      <c r="AX61" s="38">
        <v>43.76</v>
      </c>
      <c r="AY61" s="38">
        <v>41.1</v>
      </c>
      <c r="BA61" s="37">
        <v>27.97</v>
      </c>
      <c r="BB61" s="38">
        <v>1.2016</v>
      </c>
    </row>
    <row r="62" spans="1:54" x14ac:dyDescent="0.35">
      <c r="A62" s="2">
        <f t="shared" si="0"/>
        <v>43908</v>
      </c>
      <c r="B62" t="s">
        <v>104</v>
      </c>
      <c r="C62" s="32">
        <v>43908</v>
      </c>
      <c r="D62" s="38">
        <v>22.16</v>
      </c>
      <c r="E62" s="38">
        <v>21.93</v>
      </c>
      <c r="F62" s="38">
        <v>22.18</v>
      </c>
      <c r="G62" s="38">
        <v>22.41</v>
      </c>
      <c r="H62" s="38">
        <v>22.75</v>
      </c>
      <c r="I62" s="38">
        <v>24.25</v>
      </c>
      <c r="J62" s="38">
        <v>26.25</v>
      </c>
      <c r="K62" s="38">
        <v>32.94</v>
      </c>
      <c r="L62" s="38">
        <v>35.9</v>
      </c>
      <c r="M62" s="38">
        <v>36.880000000000003</v>
      </c>
      <c r="N62" s="38">
        <v>37.1</v>
      </c>
      <c r="O62" s="38">
        <v>34.700000000000003</v>
      </c>
      <c r="P62" s="38">
        <v>32.15</v>
      </c>
      <c r="Q62" s="38">
        <v>29.94</v>
      </c>
      <c r="R62" s="38">
        <v>29</v>
      </c>
      <c r="S62" s="38">
        <v>28.6</v>
      </c>
      <c r="T62" s="38">
        <v>29.23</v>
      </c>
      <c r="U62" s="38">
        <v>30.85</v>
      </c>
      <c r="V62" s="38">
        <v>34.340000000000003</v>
      </c>
      <c r="W62" s="38">
        <v>36.82</v>
      </c>
      <c r="X62" s="38">
        <v>39.14</v>
      </c>
      <c r="Y62" s="38">
        <v>42.6</v>
      </c>
      <c r="Z62" s="38">
        <v>42.05</v>
      </c>
      <c r="AA62" s="38">
        <v>38.57</v>
      </c>
      <c r="AB62" s="38">
        <v>34.729999999999997</v>
      </c>
      <c r="AC62" s="38">
        <v>33.799999999999997</v>
      </c>
      <c r="AD62" s="38">
        <v>33.61</v>
      </c>
      <c r="AE62" s="38">
        <v>33.64</v>
      </c>
      <c r="AF62" s="38">
        <v>34.1</v>
      </c>
      <c r="AG62" s="38">
        <v>34.86</v>
      </c>
      <c r="AH62" s="38">
        <v>37.81</v>
      </c>
      <c r="AI62" s="38">
        <v>40.47</v>
      </c>
      <c r="AJ62" s="38">
        <v>43.19</v>
      </c>
      <c r="AK62" s="38">
        <v>45.29</v>
      </c>
      <c r="AL62" s="38">
        <v>45.49</v>
      </c>
      <c r="AM62" s="38">
        <v>43.14</v>
      </c>
      <c r="AN62" s="38">
        <v>38.06</v>
      </c>
      <c r="AO62" s="38">
        <v>36.51</v>
      </c>
      <c r="AP62" s="38">
        <v>35.659999999999997</v>
      </c>
      <c r="AQ62" s="38">
        <v>35.89</v>
      </c>
      <c r="AR62" s="38">
        <v>36.85</v>
      </c>
      <c r="AS62" s="38">
        <v>39.520000000000003</v>
      </c>
      <c r="AT62" s="38">
        <v>43.84</v>
      </c>
      <c r="AU62" s="38">
        <v>45.78</v>
      </c>
      <c r="AV62" s="38">
        <v>46.09</v>
      </c>
      <c r="AW62" s="38">
        <v>46.2</v>
      </c>
      <c r="AX62" s="38">
        <v>43.79</v>
      </c>
      <c r="AY62" s="38">
        <v>41.18</v>
      </c>
      <c r="BA62" s="37">
        <v>22.79</v>
      </c>
      <c r="BB62" s="38">
        <v>1.1762999999999999</v>
      </c>
    </row>
    <row r="63" spans="1:54" x14ac:dyDescent="0.35">
      <c r="A63" s="2">
        <f t="shared" si="0"/>
        <v>43909</v>
      </c>
      <c r="B63" t="s">
        <v>105</v>
      </c>
      <c r="C63" s="32">
        <v>43909</v>
      </c>
      <c r="D63" s="38">
        <v>23.16</v>
      </c>
      <c r="E63" s="38">
        <v>22.7</v>
      </c>
      <c r="F63" s="38">
        <v>22.93</v>
      </c>
      <c r="G63" s="38">
        <v>23.06</v>
      </c>
      <c r="H63" s="38">
        <v>23.51</v>
      </c>
      <c r="I63" s="38">
        <v>24.66</v>
      </c>
      <c r="J63" s="38">
        <v>26.66</v>
      </c>
      <c r="K63" s="38">
        <v>32.99</v>
      </c>
      <c r="L63" s="38">
        <v>35.659999999999997</v>
      </c>
      <c r="M63" s="38">
        <v>36.93</v>
      </c>
      <c r="N63" s="38">
        <v>37.22</v>
      </c>
      <c r="O63" s="38">
        <v>34.82</v>
      </c>
      <c r="P63" s="38">
        <v>32.15</v>
      </c>
      <c r="Q63" s="38">
        <v>29.89</v>
      </c>
      <c r="R63" s="38">
        <v>28.86</v>
      </c>
      <c r="S63" s="38">
        <v>28.46</v>
      </c>
      <c r="T63" s="38">
        <v>29.1</v>
      </c>
      <c r="U63" s="38">
        <v>30.77</v>
      </c>
      <c r="V63" s="38">
        <v>34.340000000000003</v>
      </c>
      <c r="W63" s="38">
        <v>36.9</v>
      </c>
      <c r="X63" s="38">
        <v>39.25</v>
      </c>
      <c r="Y63" s="38">
        <v>42.71</v>
      </c>
      <c r="Z63" s="38">
        <v>42.16</v>
      </c>
      <c r="AA63" s="38">
        <v>38.58</v>
      </c>
      <c r="AB63" s="38">
        <v>34.64</v>
      </c>
      <c r="AC63" s="38">
        <v>33.61</v>
      </c>
      <c r="AD63" s="38">
        <v>33.42</v>
      </c>
      <c r="AE63" s="38">
        <v>33.450000000000003</v>
      </c>
      <c r="AF63" s="38">
        <v>33.909999999999997</v>
      </c>
      <c r="AG63" s="38">
        <v>34.799999999999997</v>
      </c>
      <c r="AH63" s="38">
        <v>37.880000000000003</v>
      </c>
      <c r="AI63" s="38">
        <v>40.67</v>
      </c>
      <c r="AJ63" s="38">
        <v>43.39</v>
      </c>
      <c r="AK63" s="38">
        <v>45.49</v>
      </c>
      <c r="AL63" s="38">
        <v>45.69</v>
      </c>
      <c r="AM63" s="38">
        <v>43.46</v>
      </c>
      <c r="AN63" s="38">
        <v>38.53</v>
      </c>
      <c r="AO63" s="38">
        <v>37.08</v>
      </c>
      <c r="AP63" s="38">
        <v>36.229999999999997</v>
      </c>
      <c r="AQ63" s="38">
        <v>36.46</v>
      </c>
      <c r="AR63" s="38">
        <v>37.409999999999997</v>
      </c>
      <c r="AS63" s="38">
        <v>40</v>
      </c>
      <c r="AT63" s="38">
        <v>44.23</v>
      </c>
      <c r="AU63" s="38">
        <v>46.1</v>
      </c>
      <c r="AV63" s="38">
        <v>46.34</v>
      </c>
      <c r="AW63" s="38">
        <v>46.44</v>
      </c>
      <c r="AX63" s="38">
        <v>44.02</v>
      </c>
      <c r="AY63" s="38">
        <v>41.4</v>
      </c>
      <c r="BA63" s="37">
        <v>23.98</v>
      </c>
      <c r="BB63" s="38">
        <v>1.1657999999999999</v>
      </c>
    </row>
    <row r="64" spans="1:54" x14ac:dyDescent="0.35">
      <c r="A64" s="2">
        <f t="shared" si="0"/>
        <v>43910</v>
      </c>
      <c r="B64" t="s">
        <v>106</v>
      </c>
      <c r="C64" s="32">
        <v>43910</v>
      </c>
      <c r="D64" s="38">
        <v>22.24</v>
      </c>
      <c r="E64" s="38">
        <v>21.54</v>
      </c>
      <c r="F64" s="38">
        <v>21.94</v>
      </c>
      <c r="G64" s="38">
        <v>22.2</v>
      </c>
      <c r="H64" s="38">
        <v>22.58</v>
      </c>
      <c r="I64" s="38">
        <v>23.83</v>
      </c>
      <c r="J64" s="38">
        <v>26.16</v>
      </c>
      <c r="K64" s="38">
        <v>32.65</v>
      </c>
      <c r="L64" s="38">
        <v>35.46</v>
      </c>
      <c r="M64" s="38">
        <v>36.75</v>
      </c>
      <c r="N64" s="38">
        <v>37.119999999999997</v>
      </c>
      <c r="O64" s="38">
        <v>34.26</v>
      </c>
      <c r="P64" s="38">
        <v>31.71</v>
      </c>
      <c r="Q64" s="38">
        <v>29.79</v>
      </c>
      <c r="R64" s="38">
        <v>28.95</v>
      </c>
      <c r="S64" s="38">
        <v>28.59</v>
      </c>
      <c r="T64" s="38">
        <v>29.24</v>
      </c>
      <c r="U64" s="38">
        <v>30.9</v>
      </c>
      <c r="V64" s="38">
        <v>34.549999999999997</v>
      </c>
      <c r="W64" s="38">
        <v>37.21</v>
      </c>
      <c r="X64" s="38">
        <v>39.56</v>
      </c>
      <c r="Y64" s="38">
        <v>43.02</v>
      </c>
      <c r="Z64" s="38">
        <v>42.47</v>
      </c>
      <c r="AA64" s="38">
        <v>38.96</v>
      </c>
      <c r="AB64" s="38">
        <v>35.03</v>
      </c>
      <c r="AC64" s="38">
        <v>34.08</v>
      </c>
      <c r="AD64" s="38">
        <v>33.89</v>
      </c>
      <c r="AE64" s="38">
        <v>33.92</v>
      </c>
      <c r="AF64" s="38">
        <v>34.380000000000003</v>
      </c>
      <c r="AG64" s="38">
        <v>35.270000000000003</v>
      </c>
      <c r="AH64" s="38">
        <v>38.35</v>
      </c>
      <c r="AI64" s="38">
        <v>41.14</v>
      </c>
      <c r="AJ64" s="38">
        <v>43.86</v>
      </c>
      <c r="AK64" s="38">
        <v>45.93</v>
      </c>
      <c r="AL64" s="38">
        <v>46.1</v>
      </c>
      <c r="AM64" s="38">
        <v>43.84</v>
      </c>
      <c r="AN64" s="38">
        <v>38.909999999999997</v>
      </c>
      <c r="AO64" s="38">
        <v>37.43</v>
      </c>
      <c r="AP64" s="38">
        <v>36.549999999999997</v>
      </c>
      <c r="AQ64" s="38">
        <v>36.75</v>
      </c>
      <c r="AR64" s="38">
        <v>37.69</v>
      </c>
      <c r="AS64" s="38">
        <v>40.28</v>
      </c>
      <c r="AT64" s="38">
        <v>44.54</v>
      </c>
      <c r="AU64" s="38">
        <v>46.41</v>
      </c>
      <c r="AV64" s="38">
        <v>46.65</v>
      </c>
      <c r="AW64" s="38">
        <v>46.75</v>
      </c>
      <c r="AX64" s="38">
        <v>44.33</v>
      </c>
      <c r="AY64" s="38">
        <v>41.71</v>
      </c>
      <c r="BA64" s="37">
        <v>25.55</v>
      </c>
      <c r="BB64" s="38">
        <v>1.1740999999999999</v>
      </c>
    </row>
    <row r="65" spans="1:54" x14ac:dyDescent="0.35">
      <c r="A65" s="2">
        <f t="shared" si="0"/>
        <v>43913</v>
      </c>
      <c r="B65" t="s">
        <v>107</v>
      </c>
      <c r="C65" s="32">
        <v>43913</v>
      </c>
      <c r="D65" s="38">
        <v>21.62</v>
      </c>
      <c r="E65" s="38">
        <v>20.8</v>
      </c>
      <c r="F65" s="38">
        <v>21.21</v>
      </c>
      <c r="G65" s="38">
        <v>21.61</v>
      </c>
      <c r="H65" s="38">
        <v>22.06</v>
      </c>
      <c r="I65" s="38">
        <v>23.59</v>
      </c>
      <c r="J65" s="38">
        <v>26.08</v>
      </c>
      <c r="K65" s="38">
        <v>32.69</v>
      </c>
      <c r="L65" s="38">
        <v>35.5</v>
      </c>
      <c r="M65" s="38">
        <v>36.85</v>
      </c>
      <c r="N65" s="38">
        <v>37.22</v>
      </c>
      <c r="O65" s="38">
        <v>34.36</v>
      </c>
      <c r="P65" s="38">
        <v>31.49</v>
      </c>
      <c r="Q65" s="38">
        <v>29.57</v>
      </c>
      <c r="R65" s="38">
        <v>28.73</v>
      </c>
      <c r="S65" s="38">
        <v>28.5</v>
      </c>
      <c r="T65" s="38">
        <v>29.15</v>
      </c>
      <c r="U65" s="38">
        <v>30.82</v>
      </c>
      <c r="V65" s="38">
        <v>34.47</v>
      </c>
      <c r="W65" s="38">
        <v>37.130000000000003</v>
      </c>
      <c r="X65" s="38">
        <v>39.479999999999997</v>
      </c>
      <c r="Y65" s="38">
        <v>42.9</v>
      </c>
      <c r="Z65" s="38">
        <v>42.35</v>
      </c>
      <c r="AA65" s="38">
        <v>38.869999999999997</v>
      </c>
      <c r="AB65" s="38">
        <v>34.94</v>
      </c>
      <c r="AC65" s="38">
        <v>34.08</v>
      </c>
      <c r="AD65" s="38">
        <v>33.89</v>
      </c>
      <c r="AE65" s="38">
        <v>34</v>
      </c>
      <c r="AF65" s="38">
        <v>34.46</v>
      </c>
      <c r="AG65" s="38">
        <v>35.35</v>
      </c>
      <c r="AH65" s="38">
        <v>38.43</v>
      </c>
      <c r="AI65" s="38">
        <v>41.22</v>
      </c>
      <c r="AJ65" s="38">
        <v>43.94</v>
      </c>
      <c r="AK65" s="38">
        <v>46.01</v>
      </c>
      <c r="AL65" s="38">
        <v>46.18</v>
      </c>
      <c r="AM65" s="38">
        <v>43.92</v>
      </c>
      <c r="AN65" s="38">
        <v>38.99</v>
      </c>
      <c r="AO65" s="38">
        <v>37.51</v>
      </c>
      <c r="AP65" s="38">
        <v>36.630000000000003</v>
      </c>
      <c r="AQ65" s="38">
        <v>36.83</v>
      </c>
      <c r="AR65" s="38">
        <v>37.770000000000003</v>
      </c>
      <c r="AS65" s="38">
        <v>40.36</v>
      </c>
      <c r="AT65" s="38">
        <v>44.62</v>
      </c>
      <c r="AU65" s="38">
        <v>46.49</v>
      </c>
      <c r="AV65" s="38">
        <v>46.73</v>
      </c>
      <c r="AW65" s="38">
        <v>46.83</v>
      </c>
      <c r="AX65" s="38">
        <v>44.41</v>
      </c>
      <c r="AY65" s="38">
        <v>41.79</v>
      </c>
      <c r="BA65" s="37">
        <v>23.75</v>
      </c>
      <c r="BB65" s="38">
        <v>1.1492</v>
      </c>
    </row>
    <row r="66" spans="1:54" x14ac:dyDescent="0.35">
      <c r="A66" s="2">
        <f t="shared" si="0"/>
        <v>43914</v>
      </c>
      <c r="B66" t="s">
        <v>108</v>
      </c>
      <c r="C66" s="32">
        <v>43914</v>
      </c>
      <c r="D66" s="38">
        <v>21.59</v>
      </c>
      <c r="E66" s="38">
        <v>20.6</v>
      </c>
      <c r="F66" s="38">
        <v>21</v>
      </c>
      <c r="G66" s="38">
        <v>21.34</v>
      </c>
      <c r="H66" s="38">
        <v>21.82</v>
      </c>
      <c r="I66" s="38">
        <v>23.29</v>
      </c>
      <c r="J66" s="38">
        <v>26.09</v>
      </c>
      <c r="K66" s="38">
        <v>32.700000000000003</v>
      </c>
      <c r="L66" s="38">
        <v>35.71</v>
      </c>
      <c r="M66" s="38">
        <v>37.119999999999997</v>
      </c>
      <c r="N66" s="38">
        <v>37.39</v>
      </c>
      <c r="O66" s="38">
        <v>34.64</v>
      </c>
      <c r="P66" s="38">
        <v>31.89</v>
      </c>
      <c r="Q66" s="38">
        <v>30.01</v>
      </c>
      <c r="R66" s="38">
        <v>29.17</v>
      </c>
      <c r="S66" s="38">
        <v>28.99</v>
      </c>
      <c r="T66" s="38">
        <v>29.64</v>
      </c>
      <c r="U66" s="38">
        <v>31.37</v>
      </c>
      <c r="V66" s="38">
        <v>35.130000000000003</v>
      </c>
      <c r="W66" s="38">
        <v>37.79</v>
      </c>
      <c r="X66" s="38">
        <v>40.14</v>
      </c>
      <c r="Y66" s="38">
        <v>43.56</v>
      </c>
      <c r="Z66" s="38">
        <v>42.96</v>
      </c>
      <c r="AA66" s="38">
        <v>39.4</v>
      </c>
      <c r="AB66" s="38">
        <v>35.39</v>
      </c>
      <c r="AC66" s="38">
        <v>34.53</v>
      </c>
      <c r="AD66" s="38">
        <v>34.340000000000003</v>
      </c>
      <c r="AE66" s="38">
        <v>34.450000000000003</v>
      </c>
      <c r="AF66" s="38">
        <v>34.909999999999997</v>
      </c>
      <c r="AG66" s="38">
        <v>35.799999999999997</v>
      </c>
      <c r="AH66" s="38">
        <v>38.89</v>
      </c>
      <c r="AI66" s="38">
        <v>41.68</v>
      </c>
      <c r="AJ66" s="38">
        <v>44.4</v>
      </c>
      <c r="AK66" s="38">
        <v>46.47</v>
      </c>
      <c r="AL66" s="38">
        <v>46.64</v>
      </c>
      <c r="AM66" s="38">
        <v>44.38</v>
      </c>
      <c r="AN66" s="38">
        <v>39.450000000000003</v>
      </c>
      <c r="AO66" s="38">
        <v>37.97</v>
      </c>
      <c r="AP66" s="38">
        <v>37.090000000000003</v>
      </c>
      <c r="AQ66" s="38">
        <v>37.29</v>
      </c>
      <c r="AR66" s="38">
        <v>38.229999999999997</v>
      </c>
      <c r="AS66" s="38">
        <v>40.82</v>
      </c>
      <c r="AT66" s="38">
        <v>45.08</v>
      </c>
      <c r="AU66" s="38">
        <v>46.95</v>
      </c>
      <c r="AV66" s="38">
        <v>47.19</v>
      </c>
      <c r="AW66" s="38">
        <v>47.29</v>
      </c>
      <c r="AX66" s="38">
        <v>44.87</v>
      </c>
      <c r="AY66" s="38">
        <v>42.25</v>
      </c>
      <c r="BA66" s="37">
        <v>24.5</v>
      </c>
      <c r="BB66" s="38">
        <v>1.1772</v>
      </c>
    </row>
    <row r="67" spans="1:54" x14ac:dyDescent="0.35">
      <c r="A67" s="2">
        <f t="shared" si="0"/>
        <v>43915</v>
      </c>
      <c r="B67" t="s">
        <v>109</v>
      </c>
      <c r="C67" s="32">
        <v>43915</v>
      </c>
      <c r="D67" s="38">
        <v>20.65</v>
      </c>
      <c r="E67" s="38">
        <v>19.920000000000002</v>
      </c>
      <c r="F67" s="38">
        <v>20.57</v>
      </c>
      <c r="G67" s="38">
        <v>20.98</v>
      </c>
      <c r="H67" s="38">
        <v>21.9</v>
      </c>
      <c r="I67" s="38">
        <v>23.38</v>
      </c>
      <c r="J67" s="38">
        <v>26.19</v>
      </c>
      <c r="K67" s="38">
        <v>32.880000000000003</v>
      </c>
      <c r="L67" s="38">
        <v>35.99</v>
      </c>
      <c r="M67" s="38">
        <v>37.36</v>
      </c>
      <c r="N67" s="38">
        <v>37.65</v>
      </c>
      <c r="O67" s="38">
        <v>34.9</v>
      </c>
      <c r="P67" s="38">
        <v>32.44</v>
      </c>
      <c r="Q67" s="38">
        <v>30.65</v>
      </c>
      <c r="R67" s="38">
        <v>29.81</v>
      </c>
      <c r="S67" s="38">
        <v>29.63</v>
      </c>
      <c r="T67" s="38">
        <v>30.28</v>
      </c>
      <c r="U67" s="38">
        <v>32.090000000000003</v>
      </c>
      <c r="V67" s="38">
        <v>35.65</v>
      </c>
      <c r="W67" s="38">
        <v>38.31</v>
      </c>
      <c r="X67" s="38">
        <v>40.659999999999997</v>
      </c>
      <c r="Y67" s="38">
        <v>44.08</v>
      </c>
      <c r="Z67" s="38">
        <v>43.48</v>
      </c>
      <c r="AA67" s="38">
        <v>39.92</v>
      </c>
      <c r="AB67" s="38">
        <v>36.1</v>
      </c>
      <c r="AC67" s="38">
        <v>35.24</v>
      </c>
      <c r="AD67" s="38">
        <v>35.049999999999997</v>
      </c>
      <c r="AE67" s="38">
        <v>35.159999999999997</v>
      </c>
      <c r="AF67" s="38">
        <v>35.619999999999997</v>
      </c>
      <c r="AG67" s="38">
        <v>36.51</v>
      </c>
      <c r="AH67" s="38">
        <v>39.549999999999997</v>
      </c>
      <c r="AI67" s="38">
        <v>42.34</v>
      </c>
      <c r="AJ67" s="38">
        <v>45.06</v>
      </c>
      <c r="AK67" s="38">
        <v>47.13</v>
      </c>
      <c r="AL67" s="38">
        <v>47.3</v>
      </c>
      <c r="AM67" s="38">
        <v>45.04</v>
      </c>
      <c r="AN67" s="38">
        <v>40.090000000000003</v>
      </c>
      <c r="AO67" s="38">
        <v>38.61</v>
      </c>
      <c r="AP67" s="38">
        <v>37.729999999999997</v>
      </c>
      <c r="AQ67" s="38">
        <v>37.93</v>
      </c>
      <c r="AR67" s="38">
        <v>38.869999999999997</v>
      </c>
      <c r="AS67" s="38">
        <v>41.46</v>
      </c>
      <c r="AT67" s="38">
        <v>45.72</v>
      </c>
      <c r="AU67" s="38">
        <v>47.59</v>
      </c>
      <c r="AV67" s="38">
        <v>47.83</v>
      </c>
      <c r="AW67" s="38">
        <v>47.93</v>
      </c>
      <c r="AX67" s="38">
        <v>45.51</v>
      </c>
      <c r="AY67" s="38">
        <v>42.89</v>
      </c>
      <c r="BA67" s="37">
        <v>25.62</v>
      </c>
      <c r="BB67" s="38">
        <v>1.1760999999999999</v>
      </c>
    </row>
    <row r="68" spans="1:54" x14ac:dyDescent="0.35">
      <c r="A68" s="2">
        <f t="shared" si="0"/>
        <v>43916</v>
      </c>
      <c r="B68" t="s">
        <v>110</v>
      </c>
      <c r="C68" s="32">
        <v>43916</v>
      </c>
      <c r="D68" s="38">
        <v>19.850000000000001</v>
      </c>
      <c r="E68" s="38">
        <v>19.170000000000002</v>
      </c>
      <c r="F68" s="38">
        <v>19.86</v>
      </c>
      <c r="G68" s="38">
        <v>20.38</v>
      </c>
      <c r="H68" s="38">
        <v>21.37</v>
      </c>
      <c r="I68" s="38">
        <v>22.82</v>
      </c>
      <c r="J68" s="38">
        <v>25.77</v>
      </c>
      <c r="K68" s="38">
        <v>32.630000000000003</v>
      </c>
      <c r="L68" s="38">
        <v>35.57</v>
      </c>
      <c r="M68" s="38">
        <v>36.5</v>
      </c>
      <c r="N68" s="38">
        <v>36.85</v>
      </c>
      <c r="O68" s="38">
        <v>35.119999999999997</v>
      </c>
      <c r="P68" s="38">
        <v>31.99</v>
      </c>
      <c r="Q68" s="38">
        <v>30.12</v>
      </c>
      <c r="R68" s="38">
        <v>29.28</v>
      </c>
      <c r="S68" s="38">
        <v>29.04</v>
      </c>
      <c r="T68" s="38">
        <v>29.69</v>
      </c>
      <c r="U68" s="38">
        <v>31.5</v>
      </c>
      <c r="V68" s="38">
        <v>35.25</v>
      </c>
      <c r="W68" s="38">
        <v>37.909999999999997</v>
      </c>
      <c r="X68" s="38">
        <v>40.26</v>
      </c>
      <c r="Y68" s="38">
        <v>43.68</v>
      </c>
      <c r="Z68" s="38">
        <v>43.08</v>
      </c>
      <c r="AA68" s="38">
        <v>39.520000000000003</v>
      </c>
      <c r="AB68" s="38">
        <v>35.700000000000003</v>
      </c>
      <c r="AC68" s="38">
        <v>34.840000000000003</v>
      </c>
      <c r="AD68" s="38">
        <v>34.65</v>
      </c>
      <c r="AE68" s="38">
        <v>34.53</v>
      </c>
      <c r="AF68" s="38">
        <v>34.99</v>
      </c>
      <c r="AG68" s="38">
        <v>35.880000000000003</v>
      </c>
      <c r="AH68" s="38">
        <v>39.04</v>
      </c>
      <c r="AI68" s="38">
        <v>41.83</v>
      </c>
      <c r="AJ68" s="38">
        <v>44.55</v>
      </c>
      <c r="AK68" s="38">
        <v>46.62</v>
      </c>
      <c r="AL68" s="38">
        <v>46.79</v>
      </c>
      <c r="AM68" s="38">
        <v>44.53</v>
      </c>
      <c r="AN68" s="38">
        <v>39.69</v>
      </c>
      <c r="AO68" s="38">
        <v>38.21</v>
      </c>
      <c r="AP68" s="38">
        <v>37.33</v>
      </c>
      <c r="AQ68" s="38">
        <v>37.53</v>
      </c>
      <c r="AR68" s="38">
        <v>38.479999999999997</v>
      </c>
      <c r="AS68" s="38">
        <v>41.07</v>
      </c>
      <c r="AT68" s="38">
        <v>45.33</v>
      </c>
      <c r="AU68" s="38">
        <v>47.2</v>
      </c>
      <c r="AV68" s="38">
        <v>47.44</v>
      </c>
      <c r="AW68" s="38">
        <v>47.54</v>
      </c>
      <c r="AX68" s="38">
        <v>45.12</v>
      </c>
      <c r="AY68" s="38">
        <v>42.5</v>
      </c>
      <c r="BA68" s="37">
        <v>23.55</v>
      </c>
      <c r="BB68" s="38">
        <v>1.2135</v>
      </c>
    </row>
    <row r="69" spans="1:54" x14ac:dyDescent="0.35">
      <c r="A69" s="2">
        <f t="shared" si="0"/>
        <v>43917</v>
      </c>
      <c r="B69" t="s">
        <v>111</v>
      </c>
      <c r="C69" s="32">
        <v>43917</v>
      </c>
      <c r="D69" s="38">
        <v>18.46</v>
      </c>
      <c r="E69" s="38">
        <v>17.899999999999999</v>
      </c>
      <c r="F69" s="38">
        <v>18.66</v>
      </c>
      <c r="G69" s="38">
        <v>19.059999999999999</v>
      </c>
      <c r="H69" s="38">
        <v>20.309999999999999</v>
      </c>
      <c r="I69" s="38">
        <v>21.71</v>
      </c>
      <c r="J69" s="38">
        <v>24.51</v>
      </c>
      <c r="K69" s="38">
        <v>31.29</v>
      </c>
      <c r="L69" s="38">
        <v>34.159999999999997</v>
      </c>
      <c r="M69" s="38">
        <v>35.18</v>
      </c>
      <c r="N69" s="38">
        <v>35.6</v>
      </c>
      <c r="O69" s="38">
        <v>33.97</v>
      </c>
      <c r="P69" s="38">
        <v>30.99</v>
      </c>
      <c r="Q69" s="38">
        <v>29.14</v>
      </c>
      <c r="R69" s="38">
        <v>28.3</v>
      </c>
      <c r="S69" s="38">
        <v>28.06</v>
      </c>
      <c r="T69" s="38">
        <v>28.71</v>
      </c>
      <c r="U69" s="38">
        <v>30.52</v>
      </c>
      <c r="V69" s="38">
        <v>34.21</v>
      </c>
      <c r="W69" s="38">
        <v>36.869999999999997</v>
      </c>
      <c r="X69" s="38">
        <v>39.22</v>
      </c>
      <c r="Y69" s="38">
        <v>42.73</v>
      </c>
      <c r="Z69" s="38">
        <v>42.23</v>
      </c>
      <c r="AA69" s="38">
        <v>38.78</v>
      </c>
      <c r="AB69" s="38">
        <v>35.14</v>
      </c>
      <c r="AC69" s="38">
        <v>34.28</v>
      </c>
      <c r="AD69" s="38">
        <v>34.090000000000003</v>
      </c>
      <c r="AE69" s="38">
        <v>33.369999999999997</v>
      </c>
      <c r="AF69" s="38">
        <v>33.549999999999997</v>
      </c>
      <c r="AG69" s="38">
        <v>34.44</v>
      </c>
      <c r="AH69" s="38">
        <v>37.9</v>
      </c>
      <c r="AI69" s="38">
        <v>40.869999999999997</v>
      </c>
      <c r="AJ69" s="38">
        <v>43.61</v>
      </c>
      <c r="AK69" s="38">
        <v>45.68</v>
      </c>
      <c r="AL69" s="38">
        <v>45.85</v>
      </c>
      <c r="AM69" s="38">
        <v>43.59</v>
      </c>
      <c r="AN69" s="38">
        <v>38.85</v>
      </c>
      <c r="AO69" s="38">
        <v>37.369999999999997</v>
      </c>
      <c r="AP69" s="38">
        <v>36.49</v>
      </c>
      <c r="AQ69" s="38">
        <v>36.69</v>
      </c>
      <c r="AR69" s="38">
        <v>37.64</v>
      </c>
      <c r="AS69" s="38">
        <v>40.229999999999997</v>
      </c>
      <c r="AT69" s="38">
        <v>44.49</v>
      </c>
      <c r="AU69" s="38">
        <v>46.36</v>
      </c>
      <c r="AV69" s="38">
        <v>46.6</v>
      </c>
      <c r="AW69" s="38">
        <v>46.7</v>
      </c>
      <c r="AX69" s="38">
        <v>44.28</v>
      </c>
      <c r="AY69" s="38">
        <v>41.66</v>
      </c>
      <c r="BA69" s="37">
        <v>22.39</v>
      </c>
      <c r="BB69" s="38">
        <v>1.2359</v>
      </c>
    </row>
    <row r="70" spans="1:54" x14ac:dyDescent="0.35">
      <c r="A70" s="2">
        <f t="shared" si="0"/>
        <v>43920</v>
      </c>
      <c r="B70" t="s">
        <v>112</v>
      </c>
      <c r="C70" s="32">
        <v>43920</v>
      </c>
      <c r="D70" s="38">
        <v>17</v>
      </c>
      <c r="E70" s="38">
        <v>16.420000000000002</v>
      </c>
      <c r="F70" s="38">
        <v>17.23</v>
      </c>
      <c r="G70" s="38">
        <v>17.71</v>
      </c>
      <c r="H70" s="38">
        <v>18.91</v>
      </c>
      <c r="I70" s="38">
        <v>20.46</v>
      </c>
      <c r="J70" s="38">
        <v>23.24</v>
      </c>
      <c r="K70" s="38">
        <v>30.13</v>
      </c>
      <c r="L70" s="38">
        <v>33.020000000000003</v>
      </c>
      <c r="M70" s="38">
        <v>34.01</v>
      </c>
      <c r="N70" s="38">
        <v>34.46</v>
      </c>
      <c r="O70" s="38">
        <v>32.880000000000003</v>
      </c>
      <c r="P70" s="38">
        <v>29.9</v>
      </c>
      <c r="Q70" s="38">
        <v>28.09</v>
      </c>
      <c r="R70" s="38">
        <v>27.3</v>
      </c>
      <c r="S70" s="38">
        <v>27.06</v>
      </c>
      <c r="T70" s="38">
        <v>27.72</v>
      </c>
      <c r="U70" s="38">
        <v>29.53</v>
      </c>
      <c r="V70" s="38">
        <v>33.29</v>
      </c>
      <c r="W70" s="38">
        <v>35.950000000000003</v>
      </c>
      <c r="X70" s="38">
        <v>38.299999999999997</v>
      </c>
      <c r="Y70" s="38">
        <v>41.81</v>
      </c>
      <c r="Z70" s="38">
        <v>41.34</v>
      </c>
      <c r="AA70" s="38">
        <v>37.92</v>
      </c>
      <c r="AB70" s="38">
        <v>34.31</v>
      </c>
      <c r="AC70" s="38">
        <v>33.51</v>
      </c>
      <c r="AD70" s="38">
        <v>33.369999999999997</v>
      </c>
      <c r="AE70" s="38">
        <v>32.729999999999997</v>
      </c>
      <c r="AF70" s="38">
        <v>32.99</v>
      </c>
      <c r="AG70" s="38">
        <v>33.93</v>
      </c>
      <c r="AH70" s="38">
        <v>37.409999999999997</v>
      </c>
      <c r="AI70" s="38">
        <v>40.409999999999997</v>
      </c>
      <c r="AJ70" s="38">
        <v>43.19</v>
      </c>
      <c r="AK70" s="38">
        <v>45.24</v>
      </c>
      <c r="AL70" s="38">
        <v>45.37</v>
      </c>
      <c r="AM70" s="38">
        <v>43.08</v>
      </c>
      <c r="AN70" s="38">
        <v>38.26</v>
      </c>
      <c r="AO70" s="38">
        <v>36.74</v>
      </c>
      <c r="AP70" s="38">
        <v>35.840000000000003</v>
      </c>
      <c r="AQ70" s="38">
        <v>36.03</v>
      </c>
      <c r="AR70" s="38">
        <v>36.97</v>
      </c>
      <c r="AS70" s="38">
        <v>39.65</v>
      </c>
      <c r="AT70" s="38">
        <v>44.01</v>
      </c>
      <c r="AU70" s="38">
        <v>45.96</v>
      </c>
      <c r="AV70" s="38">
        <v>46.27</v>
      </c>
      <c r="AW70" s="38">
        <v>46.37</v>
      </c>
      <c r="AX70" s="38">
        <v>43.95</v>
      </c>
      <c r="AY70" s="38">
        <v>41.33</v>
      </c>
      <c r="BA70" s="37">
        <v>19.190000000000001</v>
      </c>
      <c r="BB70" s="38">
        <v>1.2416</v>
      </c>
    </row>
    <row r="71" spans="1:54" x14ac:dyDescent="0.35">
      <c r="A71" s="2">
        <f t="shared" si="0"/>
        <v>43921</v>
      </c>
      <c r="B71" t="s">
        <v>113</v>
      </c>
      <c r="C71" s="32">
        <v>43921</v>
      </c>
      <c r="D71" s="38">
        <v>16.329999999999998</v>
      </c>
      <c r="E71" s="38">
        <v>17.22</v>
      </c>
      <c r="F71" s="38">
        <v>18.02</v>
      </c>
      <c r="G71" s="38">
        <v>19.21</v>
      </c>
      <c r="H71" s="38">
        <v>20.71</v>
      </c>
      <c r="I71" s="38">
        <v>23.48</v>
      </c>
      <c r="J71" s="38">
        <v>30.32</v>
      </c>
      <c r="K71" s="38">
        <v>33.51</v>
      </c>
      <c r="L71" s="38">
        <v>34.51</v>
      </c>
      <c r="M71" s="38">
        <v>34.9</v>
      </c>
      <c r="N71" s="38">
        <v>33.200000000000003</v>
      </c>
      <c r="O71" s="38">
        <v>30.26</v>
      </c>
      <c r="P71" s="38">
        <v>28.5</v>
      </c>
      <c r="Q71" s="38">
        <v>27.71</v>
      </c>
      <c r="R71" s="38">
        <v>27.4</v>
      </c>
      <c r="S71" s="38">
        <v>28.06</v>
      </c>
      <c r="T71" s="38">
        <v>29.83</v>
      </c>
      <c r="U71" s="38">
        <v>33.56</v>
      </c>
      <c r="V71" s="38">
        <v>36.200000000000003</v>
      </c>
      <c r="W71" s="38">
        <v>38.549999999999997</v>
      </c>
      <c r="X71" s="38">
        <v>42.06</v>
      </c>
      <c r="Y71" s="38">
        <v>41.59</v>
      </c>
      <c r="Z71" s="38">
        <v>38.1</v>
      </c>
      <c r="AA71" s="38">
        <v>34.42</v>
      </c>
      <c r="AB71" s="38">
        <v>33.619999999999997</v>
      </c>
      <c r="AC71" s="38">
        <v>33.479999999999997</v>
      </c>
      <c r="AD71" s="38">
        <v>32.840000000000003</v>
      </c>
      <c r="AE71" s="38">
        <v>33.1</v>
      </c>
      <c r="AF71" s="38">
        <v>34.04</v>
      </c>
      <c r="AG71" s="38">
        <v>37.520000000000003</v>
      </c>
      <c r="AH71" s="38">
        <v>40.520000000000003</v>
      </c>
      <c r="AI71" s="38">
        <v>43.3</v>
      </c>
      <c r="AJ71" s="38">
        <v>45.35</v>
      </c>
      <c r="AK71" s="38">
        <v>45.48</v>
      </c>
      <c r="AL71" s="38">
        <v>43.19</v>
      </c>
      <c r="AM71" s="38">
        <v>38.369999999999997</v>
      </c>
      <c r="AN71" s="38">
        <v>36.85</v>
      </c>
      <c r="AO71" s="38">
        <v>35.950000000000003</v>
      </c>
      <c r="AP71" s="38">
        <v>36.14</v>
      </c>
      <c r="AQ71" s="38">
        <v>37.08</v>
      </c>
      <c r="AR71" s="38">
        <v>39.76</v>
      </c>
      <c r="AS71" s="38">
        <v>44.12</v>
      </c>
      <c r="AT71" s="38">
        <v>46.07</v>
      </c>
      <c r="AU71" s="38">
        <v>46.38</v>
      </c>
      <c r="AV71" s="38">
        <v>46.48</v>
      </c>
      <c r="AW71" s="38">
        <v>44.06</v>
      </c>
      <c r="AX71" s="38">
        <v>41.44</v>
      </c>
      <c r="AY71" s="38">
        <v>37.44</v>
      </c>
      <c r="BA71" s="37">
        <v>14.85</v>
      </c>
      <c r="BB71" s="38">
        <v>1.2403</v>
      </c>
    </row>
    <row r="72" spans="1:54" x14ac:dyDescent="0.35">
      <c r="A72" s="2">
        <f t="shared" si="0"/>
        <v>43922</v>
      </c>
      <c r="B72" t="s">
        <v>114</v>
      </c>
      <c r="C72" s="32">
        <v>43922</v>
      </c>
      <c r="D72" s="38">
        <v>16.04</v>
      </c>
      <c r="E72" s="38">
        <v>16.86</v>
      </c>
      <c r="F72" s="38">
        <v>17.77</v>
      </c>
      <c r="G72" s="38">
        <v>18.86</v>
      </c>
      <c r="H72" s="38">
        <v>20.45</v>
      </c>
      <c r="I72" s="38">
        <v>23.21</v>
      </c>
      <c r="J72" s="38">
        <v>30.16</v>
      </c>
      <c r="K72" s="38">
        <v>33.4</v>
      </c>
      <c r="L72" s="38">
        <v>34.450000000000003</v>
      </c>
      <c r="M72" s="38">
        <v>34.82</v>
      </c>
      <c r="N72" s="38">
        <v>33.049999999999997</v>
      </c>
      <c r="O72" s="38">
        <v>30.35</v>
      </c>
      <c r="P72" s="38">
        <v>28.43</v>
      </c>
      <c r="Q72" s="38">
        <v>27.6</v>
      </c>
      <c r="R72" s="38">
        <v>27.25</v>
      </c>
      <c r="S72" s="38">
        <v>27.9</v>
      </c>
      <c r="T72" s="38">
        <v>29.67</v>
      </c>
      <c r="U72" s="38">
        <v>33.369999999999997</v>
      </c>
      <c r="V72" s="38">
        <v>36.01</v>
      </c>
      <c r="W72" s="38">
        <v>38.380000000000003</v>
      </c>
      <c r="X72" s="38">
        <v>41.92</v>
      </c>
      <c r="Y72" s="38">
        <v>41.48</v>
      </c>
      <c r="Z72" s="38">
        <v>38.03</v>
      </c>
      <c r="AA72" s="38">
        <v>34.369999999999997</v>
      </c>
      <c r="AB72" s="38">
        <v>33.6</v>
      </c>
      <c r="AC72" s="38">
        <v>33.49</v>
      </c>
      <c r="AD72" s="38">
        <v>32.880000000000003</v>
      </c>
      <c r="AE72" s="38">
        <v>33.14</v>
      </c>
      <c r="AF72" s="38">
        <v>34.08</v>
      </c>
      <c r="AG72" s="38">
        <v>37.369999999999997</v>
      </c>
      <c r="AH72" s="38">
        <v>40.369999999999997</v>
      </c>
      <c r="AI72" s="38">
        <v>43.15</v>
      </c>
      <c r="AJ72" s="38">
        <v>45.2</v>
      </c>
      <c r="AK72" s="38">
        <v>45.33</v>
      </c>
      <c r="AL72" s="38">
        <v>43.04</v>
      </c>
      <c r="AM72" s="38">
        <v>38.35</v>
      </c>
      <c r="AN72" s="38">
        <v>36.83</v>
      </c>
      <c r="AO72" s="38">
        <v>35.93</v>
      </c>
      <c r="AP72" s="38">
        <v>36.119999999999997</v>
      </c>
      <c r="AQ72" s="38">
        <v>37.06</v>
      </c>
      <c r="AR72" s="38">
        <v>39.74</v>
      </c>
      <c r="AS72" s="38">
        <v>44.1</v>
      </c>
      <c r="AT72" s="38">
        <v>46.05</v>
      </c>
      <c r="AU72" s="38">
        <v>46.36</v>
      </c>
      <c r="AV72" s="38">
        <v>46.46</v>
      </c>
      <c r="AW72" s="38">
        <v>44.04</v>
      </c>
      <c r="AX72" s="38">
        <v>41.56</v>
      </c>
      <c r="AY72" s="38">
        <v>37.71</v>
      </c>
      <c r="BA72" s="37">
        <v>14.97</v>
      </c>
      <c r="BB72" s="38">
        <v>1.2423999999999999</v>
      </c>
    </row>
    <row r="73" spans="1:54" x14ac:dyDescent="0.35">
      <c r="A73" s="2">
        <f t="shared" si="0"/>
        <v>43923</v>
      </c>
      <c r="B73" t="s">
        <v>115</v>
      </c>
      <c r="C73" s="32">
        <v>43923</v>
      </c>
      <c r="D73" s="38">
        <v>16.28</v>
      </c>
      <c r="E73" s="38">
        <v>17.149999999999999</v>
      </c>
      <c r="F73" s="38">
        <v>17.97</v>
      </c>
      <c r="G73" s="38">
        <v>19.100000000000001</v>
      </c>
      <c r="H73" s="38">
        <v>20.78</v>
      </c>
      <c r="I73" s="38">
        <v>23.68</v>
      </c>
      <c r="J73" s="38">
        <v>30.67</v>
      </c>
      <c r="K73" s="38">
        <v>34.06</v>
      </c>
      <c r="L73" s="38">
        <v>35.22</v>
      </c>
      <c r="M73" s="38">
        <v>35.56</v>
      </c>
      <c r="N73" s="38">
        <v>33.770000000000003</v>
      </c>
      <c r="O73" s="38">
        <v>30.93</v>
      </c>
      <c r="P73" s="38">
        <v>28.89</v>
      </c>
      <c r="Q73" s="38">
        <v>27.9</v>
      </c>
      <c r="R73" s="38">
        <v>27.55</v>
      </c>
      <c r="S73" s="38">
        <v>28.2</v>
      </c>
      <c r="T73" s="38">
        <v>30.01</v>
      </c>
      <c r="U73" s="38">
        <v>33.64</v>
      </c>
      <c r="V73" s="38">
        <v>36.28</v>
      </c>
      <c r="W73" s="38">
        <v>38.65</v>
      </c>
      <c r="X73" s="38">
        <v>42.27</v>
      </c>
      <c r="Y73" s="38">
        <v>41.92</v>
      </c>
      <c r="Z73" s="38">
        <v>38.54</v>
      </c>
      <c r="AA73" s="38">
        <v>34.729999999999997</v>
      </c>
      <c r="AB73" s="38">
        <v>33.81</v>
      </c>
      <c r="AC73" s="38">
        <v>33.6</v>
      </c>
      <c r="AD73" s="38">
        <v>32.99</v>
      </c>
      <c r="AE73" s="38">
        <v>33.25</v>
      </c>
      <c r="AF73" s="38">
        <v>34.26</v>
      </c>
      <c r="AG73" s="38">
        <v>37.65</v>
      </c>
      <c r="AH73" s="38">
        <v>40.65</v>
      </c>
      <c r="AI73" s="38">
        <v>43.43</v>
      </c>
      <c r="AJ73" s="38">
        <v>45.48</v>
      </c>
      <c r="AK73" s="38">
        <v>45.61</v>
      </c>
      <c r="AL73" s="38">
        <v>43.32</v>
      </c>
      <c r="AM73" s="38">
        <v>38.51</v>
      </c>
      <c r="AN73" s="38">
        <v>36.99</v>
      </c>
      <c r="AO73" s="38">
        <v>36.090000000000003</v>
      </c>
      <c r="AP73" s="38">
        <v>36.28</v>
      </c>
      <c r="AQ73" s="38">
        <v>37.22</v>
      </c>
      <c r="AR73" s="38">
        <v>39.9</v>
      </c>
      <c r="AS73" s="38">
        <v>44.26</v>
      </c>
      <c r="AT73" s="38">
        <v>46.21</v>
      </c>
      <c r="AU73" s="38">
        <v>46.52</v>
      </c>
      <c r="AV73" s="38">
        <v>46.62</v>
      </c>
      <c r="AW73" s="38">
        <v>44.2</v>
      </c>
      <c r="AX73" s="38">
        <v>41.72</v>
      </c>
      <c r="AY73" s="38">
        <v>37.869999999999997</v>
      </c>
      <c r="BA73" s="37">
        <v>20.239999999999998</v>
      </c>
      <c r="BB73" s="38">
        <v>1.2377</v>
      </c>
    </row>
    <row r="74" spans="1:54" x14ac:dyDescent="0.35">
      <c r="A74" s="2">
        <f t="shared" si="0"/>
        <v>43924</v>
      </c>
      <c r="B74" t="s">
        <v>116</v>
      </c>
      <c r="C74" s="32">
        <v>43924</v>
      </c>
      <c r="D74" s="38">
        <v>16.22</v>
      </c>
      <c r="E74" s="38">
        <v>17.260000000000002</v>
      </c>
      <c r="F74" s="38">
        <v>18.2</v>
      </c>
      <c r="G74" s="38">
        <v>19.45</v>
      </c>
      <c r="H74" s="38">
        <v>21.36</v>
      </c>
      <c r="I74" s="38">
        <v>24.26</v>
      </c>
      <c r="J74" s="38">
        <v>31.48</v>
      </c>
      <c r="K74" s="38">
        <v>34.46</v>
      </c>
      <c r="L74" s="38">
        <v>35.72</v>
      </c>
      <c r="M74" s="38">
        <v>36.200000000000003</v>
      </c>
      <c r="N74" s="38">
        <v>34.44</v>
      </c>
      <c r="O74" s="38">
        <v>31.66</v>
      </c>
      <c r="P74" s="38">
        <v>29.61</v>
      </c>
      <c r="Q74" s="38">
        <v>28.67</v>
      </c>
      <c r="R74" s="38">
        <v>28.32</v>
      </c>
      <c r="S74" s="38">
        <v>28.97</v>
      </c>
      <c r="T74" s="38">
        <v>30.79</v>
      </c>
      <c r="U74" s="38">
        <v>34.42</v>
      </c>
      <c r="V74" s="38">
        <v>37.06</v>
      </c>
      <c r="W74" s="38">
        <v>39.43</v>
      </c>
      <c r="X74" s="38">
        <v>42.87</v>
      </c>
      <c r="Y74" s="38">
        <v>42.52</v>
      </c>
      <c r="Z74" s="38">
        <v>39.14</v>
      </c>
      <c r="AA74" s="38">
        <v>35.340000000000003</v>
      </c>
      <c r="AB74" s="38">
        <v>34.42</v>
      </c>
      <c r="AC74" s="38">
        <v>34.21</v>
      </c>
      <c r="AD74" s="38">
        <v>33.6</v>
      </c>
      <c r="AE74" s="38">
        <v>33.86</v>
      </c>
      <c r="AF74" s="38">
        <v>34.869999999999997</v>
      </c>
      <c r="AG74" s="38">
        <v>38.270000000000003</v>
      </c>
      <c r="AH74" s="38">
        <v>41.27</v>
      </c>
      <c r="AI74" s="38">
        <v>44.05</v>
      </c>
      <c r="AJ74" s="38">
        <v>46.1</v>
      </c>
      <c r="AK74" s="38">
        <v>46.23</v>
      </c>
      <c r="AL74" s="38">
        <v>43.85</v>
      </c>
      <c r="AM74" s="38">
        <v>38.9</v>
      </c>
      <c r="AN74" s="38">
        <v>37.159999999999997</v>
      </c>
      <c r="AO74" s="38">
        <v>36.26</v>
      </c>
      <c r="AP74" s="38">
        <v>36.450000000000003</v>
      </c>
      <c r="AQ74" s="38">
        <v>37.39</v>
      </c>
      <c r="AR74" s="38">
        <v>40.119999999999997</v>
      </c>
      <c r="AS74" s="38">
        <v>44.57</v>
      </c>
      <c r="AT74" s="38">
        <v>46.49</v>
      </c>
      <c r="AU74" s="38">
        <v>46.77</v>
      </c>
      <c r="AV74" s="38">
        <v>46.84</v>
      </c>
      <c r="AW74" s="38">
        <v>44.39</v>
      </c>
      <c r="AX74" s="38">
        <v>41.85</v>
      </c>
      <c r="AY74" s="38">
        <v>37.94</v>
      </c>
      <c r="BA74" s="37">
        <v>24.33</v>
      </c>
      <c r="BB74" s="38">
        <v>1.2258</v>
      </c>
    </row>
    <row r="75" spans="1:54" x14ac:dyDescent="0.35">
      <c r="A75" s="2">
        <f t="shared" si="0"/>
        <v>43927</v>
      </c>
      <c r="B75" t="s">
        <v>117</v>
      </c>
      <c r="C75" s="32">
        <v>43927</v>
      </c>
      <c r="D75" s="38">
        <v>16.98</v>
      </c>
      <c r="E75" s="38">
        <v>17.95</v>
      </c>
      <c r="F75" s="38">
        <v>19.04</v>
      </c>
      <c r="G75" s="38">
        <v>20.48</v>
      </c>
      <c r="H75" s="38">
        <v>22.44</v>
      </c>
      <c r="I75" s="38">
        <v>25.44</v>
      </c>
      <c r="J75" s="38">
        <v>32.700000000000003</v>
      </c>
      <c r="K75" s="38">
        <v>35.75</v>
      </c>
      <c r="L75" s="38">
        <v>37.090000000000003</v>
      </c>
      <c r="M75" s="38">
        <v>37.549999999999997</v>
      </c>
      <c r="N75" s="38">
        <v>35.78</v>
      </c>
      <c r="O75" s="38">
        <v>32.89</v>
      </c>
      <c r="P75" s="38">
        <v>30.84</v>
      </c>
      <c r="Q75" s="38">
        <v>29.92</v>
      </c>
      <c r="R75" s="38">
        <v>29.59</v>
      </c>
      <c r="S75" s="38">
        <v>30.26</v>
      </c>
      <c r="T75" s="38">
        <v>31.96</v>
      </c>
      <c r="U75" s="38">
        <v>35.44</v>
      </c>
      <c r="V75" s="38">
        <v>38.020000000000003</v>
      </c>
      <c r="W75" s="38">
        <v>40.31</v>
      </c>
      <c r="X75" s="38">
        <v>43.75</v>
      </c>
      <c r="Y75" s="38">
        <v>43.4</v>
      </c>
      <c r="Z75" s="38">
        <v>40.020000000000003</v>
      </c>
      <c r="AA75" s="38">
        <v>36.14</v>
      </c>
      <c r="AB75" s="38">
        <v>35.14</v>
      </c>
      <c r="AC75" s="38">
        <v>34.85</v>
      </c>
      <c r="AD75" s="38">
        <v>34.159999999999997</v>
      </c>
      <c r="AE75" s="38">
        <v>34.42</v>
      </c>
      <c r="AF75" s="38">
        <v>35.43</v>
      </c>
      <c r="AG75" s="38">
        <v>38.83</v>
      </c>
      <c r="AH75" s="38">
        <v>41.84</v>
      </c>
      <c r="AI75" s="38">
        <v>44.65</v>
      </c>
      <c r="AJ75" s="38">
        <v>46.75</v>
      </c>
      <c r="AK75" s="38">
        <v>46.93</v>
      </c>
      <c r="AL75" s="38">
        <v>44.6</v>
      </c>
      <c r="AM75" s="38">
        <v>39.65</v>
      </c>
      <c r="AN75" s="38">
        <v>37.909999999999997</v>
      </c>
      <c r="AO75" s="38">
        <v>37.01</v>
      </c>
      <c r="AP75" s="38">
        <v>37.200000000000003</v>
      </c>
      <c r="AQ75" s="38">
        <v>38.14</v>
      </c>
      <c r="AR75" s="38">
        <v>40.869999999999997</v>
      </c>
      <c r="AS75" s="38">
        <v>45.32</v>
      </c>
      <c r="AT75" s="38">
        <v>47.24</v>
      </c>
      <c r="AU75" s="38">
        <v>47.52</v>
      </c>
      <c r="AV75" s="38">
        <v>47.59</v>
      </c>
      <c r="AW75" s="38">
        <v>45.14</v>
      </c>
      <c r="AX75" s="38">
        <v>42.6</v>
      </c>
      <c r="AY75" s="38">
        <v>38.69</v>
      </c>
      <c r="BA75" s="37">
        <v>22.58</v>
      </c>
      <c r="BB75" s="38">
        <v>1.2255</v>
      </c>
    </row>
    <row r="76" spans="1:54" x14ac:dyDescent="0.35">
      <c r="A76" s="2">
        <f t="shared" si="0"/>
        <v>43928</v>
      </c>
      <c r="B76" t="s">
        <v>118</v>
      </c>
      <c r="C76" s="32">
        <v>43928</v>
      </c>
      <c r="D76" s="38">
        <v>17.079999999999998</v>
      </c>
      <c r="E76" s="38">
        <v>18.04</v>
      </c>
      <c r="F76" s="38">
        <v>19.190000000000001</v>
      </c>
      <c r="G76" s="38">
        <v>20.59</v>
      </c>
      <c r="H76" s="38">
        <v>22.61</v>
      </c>
      <c r="I76" s="38">
        <v>25.65</v>
      </c>
      <c r="J76" s="38">
        <v>33.01</v>
      </c>
      <c r="K76" s="38">
        <v>36.1</v>
      </c>
      <c r="L76" s="38">
        <v>37.39</v>
      </c>
      <c r="M76" s="38">
        <v>37.81</v>
      </c>
      <c r="N76" s="38">
        <v>35.979999999999997</v>
      </c>
      <c r="O76" s="38">
        <v>32.909999999999997</v>
      </c>
      <c r="P76" s="38">
        <v>30.81</v>
      </c>
      <c r="Q76" s="38">
        <v>29.88</v>
      </c>
      <c r="R76" s="38">
        <v>29.55</v>
      </c>
      <c r="S76" s="38">
        <v>30.27</v>
      </c>
      <c r="T76" s="38">
        <v>32.06</v>
      </c>
      <c r="U76" s="38">
        <v>35.630000000000003</v>
      </c>
      <c r="V76" s="38">
        <v>38.21</v>
      </c>
      <c r="W76" s="38">
        <v>40.5</v>
      </c>
      <c r="X76" s="38">
        <v>43.97</v>
      </c>
      <c r="Y76" s="38">
        <v>43.65</v>
      </c>
      <c r="Z76" s="38">
        <v>40.270000000000003</v>
      </c>
      <c r="AA76" s="38">
        <v>36.39</v>
      </c>
      <c r="AB76" s="38">
        <v>35.39</v>
      </c>
      <c r="AC76" s="38">
        <v>35.1</v>
      </c>
      <c r="AD76" s="38">
        <v>34.409999999999997</v>
      </c>
      <c r="AE76" s="38">
        <v>34.72</v>
      </c>
      <c r="AF76" s="38">
        <v>35.82</v>
      </c>
      <c r="AG76" s="38">
        <v>39.26</v>
      </c>
      <c r="AH76" s="38">
        <v>42.34</v>
      </c>
      <c r="AI76" s="38">
        <v>45.21</v>
      </c>
      <c r="AJ76" s="38">
        <v>47.31</v>
      </c>
      <c r="AK76" s="38">
        <v>47.49</v>
      </c>
      <c r="AL76" s="38">
        <v>45.22</v>
      </c>
      <c r="AM76" s="38">
        <v>40.22</v>
      </c>
      <c r="AN76" s="38">
        <v>38.51</v>
      </c>
      <c r="AO76" s="38">
        <v>37.61</v>
      </c>
      <c r="AP76" s="38">
        <v>37.799999999999997</v>
      </c>
      <c r="AQ76" s="38">
        <v>38.74</v>
      </c>
      <c r="AR76" s="38">
        <v>41.47</v>
      </c>
      <c r="AS76" s="38">
        <v>45.92</v>
      </c>
      <c r="AT76" s="38">
        <v>47.84</v>
      </c>
      <c r="AU76" s="38">
        <v>48.12</v>
      </c>
      <c r="AV76" s="38">
        <v>48.19</v>
      </c>
      <c r="AW76" s="38">
        <v>45.74</v>
      </c>
      <c r="AX76" s="38">
        <v>43.2</v>
      </c>
      <c r="AY76" s="38">
        <v>39.29</v>
      </c>
      <c r="BA76" s="37">
        <v>22.1</v>
      </c>
      <c r="BB76" s="38">
        <v>1.2303999999999999</v>
      </c>
    </row>
    <row r="77" spans="1:54" x14ac:dyDescent="0.35">
      <c r="A77" s="2">
        <f t="shared" ref="A77:A140" si="1">+A72+7</f>
        <v>43929</v>
      </c>
      <c r="B77" t="s">
        <v>119</v>
      </c>
      <c r="C77" s="32">
        <v>43929</v>
      </c>
      <c r="D77" s="38">
        <v>16.87</v>
      </c>
      <c r="E77" s="38">
        <v>17.670000000000002</v>
      </c>
      <c r="F77" s="38">
        <v>18.77</v>
      </c>
      <c r="G77" s="38">
        <v>20.100000000000001</v>
      </c>
      <c r="H77" s="38">
        <v>22</v>
      </c>
      <c r="I77" s="38">
        <v>24.98</v>
      </c>
      <c r="J77" s="38">
        <v>32.380000000000003</v>
      </c>
      <c r="K77" s="38">
        <v>35.53</v>
      </c>
      <c r="L77" s="38">
        <v>36.950000000000003</v>
      </c>
      <c r="M77" s="38">
        <v>37.35</v>
      </c>
      <c r="N77" s="38">
        <v>34.86</v>
      </c>
      <c r="O77" s="38">
        <v>32.28</v>
      </c>
      <c r="P77" s="38">
        <v>30.29</v>
      </c>
      <c r="Q77" s="38">
        <v>29.48</v>
      </c>
      <c r="R77" s="38">
        <v>29.26</v>
      </c>
      <c r="S77" s="38">
        <v>30.06</v>
      </c>
      <c r="T77" s="38">
        <v>31.94</v>
      </c>
      <c r="U77" s="38">
        <v>35.380000000000003</v>
      </c>
      <c r="V77" s="38">
        <v>38.01</v>
      </c>
      <c r="W77" s="38">
        <v>40.32</v>
      </c>
      <c r="X77" s="38">
        <v>43.82</v>
      </c>
      <c r="Y77" s="38">
        <v>43.53</v>
      </c>
      <c r="Z77" s="38">
        <v>40.049999999999997</v>
      </c>
      <c r="AA77" s="38">
        <v>36.11</v>
      </c>
      <c r="AB77" s="38">
        <v>35.090000000000003</v>
      </c>
      <c r="AC77" s="38">
        <v>34.770000000000003</v>
      </c>
      <c r="AD77" s="38">
        <v>34.08</v>
      </c>
      <c r="AE77" s="38">
        <v>34.47</v>
      </c>
      <c r="AF77" s="38">
        <v>35.630000000000003</v>
      </c>
      <c r="AG77" s="38">
        <v>39.07</v>
      </c>
      <c r="AH77" s="38">
        <v>42.15</v>
      </c>
      <c r="AI77" s="38">
        <v>45.02</v>
      </c>
      <c r="AJ77" s="38">
        <v>47.12</v>
      </c>
      <c r="AK77" s="38">
        <v>47.26</v>
      </c>
      <c r="AL77" s="38">
        <v>44.96</v>
      </c>
      <c r="AM77" s="38">
        <v>39.909999999999997</v>
      </c>
      <c r="AN77" s="38">
        <v>38.159999999999997</v>
      </c>
      <c r="AO77" s="38">
        <v>37.22</v>
      </c>
      <c r="AP77" s="38">
        <v>37.409999999999997</v>
      </c>
      <c r="AQ77" s="38">
        <v>38.35</v>
      </c>
      <c r="AR77" s="38">
        <v>41.08</v>
      </c>
      <c r="AS77" s="38">
        <v>45.59</v>
      </c>
      <c r="AT77" s="38">
        <v>47.55</v>
      </c>
      <c r="AU77" s="38">
        <v>47.88</v>
      </c>
      <c r="AV77" s="38">
        <v>48.01</v>
      </c>
      <c r="AW77" s="38">
        <v>45.56</v>
      </c>
      <c r="AX77" s="38">
        <v>43.02</v>
      </c>
      <c r="AY77" s="38">
        <v>39.11</v>
      </c>
      <c r="BA77" s="37">
        <v>25.22</v>
      </c>
      <c r="BB77" s="38">
        <v>1.2379</v>
      </c>
    </row>
    <row r="78" spans="1:54" x14ac:dyDescent="0.35">
      <c r="A78" s="2">
        <f t="shared" si="1"/>
        <v>43930</v>
      </c>
      <c r="B78" t="s">
        <v>120</v>
      </c>
      <c r="C78" s="32">
        <v>43930</v>
      </c>
      <c r="D78" s="38">
        <v>16.86</v>
      </c>
      <c r="E78" s="38">
        <v>17.71</v>
      </c>
      <c r="F78" s="38">
        <v>18.670000000000002</v>
      </c>
      <c r="G78" s="38">
        <v>20.079999999999998</v>
      </c>
      <c r="H78" s="38">
        <v>22.26</v>
      </c>
      <c r="I78" s="38">
        <v>25.22</v>
      </c>
      <c r="J78" s="38">
        <v>32.479999999999997</v>
      </c>
      <c r="K78" s="38">
        <v>35.729999999999997</v>
      </c>
      <c r="L78" s="38">
        <v>37.19</v>
      </c>
      <c r="M78" s="38">
        <v>37.65</v>
      </c>
      <c r="N78" s="38">
        <v>35.18</v>
      </c>
      <c r="O78" s="38">
        <v>32.630000000000003</v>
      </c>
      <c r="P78" s="38">
        <v>30.65</v>
      </c>
      <c r="Q78" s="38">
        <v>29.84</v>
      </c>
      <c r="R78" s="38">
        <v>29.62</v>
      </c>
      <c r="S78" s="38">
        <v>30.42</v>
      </c>
      <c r="T78" s="38">
        <v>32.299999999999997</v>
      </c>
      <c r="U78" s="38">
        <v>35.74</v>
      </c>
      <c r="V78" s="38">
        <v>38.369999999999997</v>
      </c>
      <c r="W78" s="38">
        <v>40.68</v>
      </c>
      <c r="X78" s="38">
        <v>44.18</v>
      </c>
      <c r="Y78" s="38">
        <v>43.8</v>
      </c>
      <c r="Z78" s="38">
        <v>40.18</v>
      </c>
      <c r="AA78" s="38">
        <v>36.06</v>
      </c>
      <c r="AB78" s="38">
        <v>34.979999999999997</v>
      </c>
      <c r="AC78" s="38">
        <v>34.659999999999997</v>
      </c>
      <c r="AD78" s="38">
        <v>33.97</v>
      </c>
      <c r="AE78" s="38">
        <v>34.4</v>
      </c>
      <c r="AF78" s="38">
        <v>35.61</v>
      </c>
      <c r="AG78" s="38">
        <v>39.07</v>
      </c>
      <c r="AH78" s="38">
        <v>42.2</v>
      </c>
      <c r="AI78" s="38">
        <v>45.07</v>
      </c>
      <c r="AJ78" s="38">
        <v>47.17</v>
      </c>
      <c r="AK78" s="38">
        <v>47.27</v>
      </c>
      <c r="AL78" s="38">
        <v>44.97</v>
      </c>
      <c r="AM78" s="38">
        <v>39.92</v>
      </c>
      <c r="AN78" s="38">
        <v>38.17</v>
      </c>
      <c r="AO78" s="38">
        <v>37.229999999999997</v>
      </c>
      <c r="AP78" s="38">
        <v>37.39</v>
      </c>
      <c r="AQ78" s="38">
        <v>38.25</v>
      </c>
      <c r="AR78" s="38">
        <v>40.93</v>
      </c>
      <c r="AS78" s="38">
        <v>45.39</v>
      </c>
      <c r="AT78" s="38">
        <v>47.35</v>
      </c>
      <c r="AU78" s="38">
        <v>47.68</v>
      </c>
      <c r="AV78" s="38">
        <v>47.81</v>
      </c>
      <c r="AW78" s="38">
        <v>45.36</v>
      </c>
      <c r="AX78" s="38">
        <v>42.82</v>
      </c>
      <c r="AY78" s="38">
        <v>38.909999999999997</v>
      </c>
      <c r="BA78" s="37">
        <v>20.23</v>
      </c>
      <c r="BB78" s="38">
        <v>1.2470000000000001</v>
      </c>
    </row>
    <row r="79" spans="1:54" x14ac:dyDescent="0.35">
      <c r="A79" s="2">
        <f t="shared" si="1"/>
        <v>43931</v>
      </c>
      <c r="B79" t="s">
        <v>121</v>
      </c>
      <c r="C79" s="32">
        <v>43931</v>
      </c>
      <c r="D79" s="38" t="e">
        <v>#N/A</v>
      </c>
      <c r="E79" s="38" t="e">
        <v>#N/A</v>
      </c>
      <c r="F79" s="38" t="e">
        <v>#N/A</v>
      </c>
      <c r="G79" s="38" t="e">
        <v>#N/A</v>
      </c>
      <c r="H79" s="38" t="e">
        <v>#N/A</v>
      </c>
      <c r="I79" s="38" t="e">
        <v>#N/A</v>
      </c>
      <c r="J79" s="38" t="e">
        <v>#N/A</v>
      </c>
      <c r="K79" s="38" t="e">
        <v>#N/A</v>
      </c>
      <c r="L79" s="38" t="e">
        <v>#N/A</v>
      </c>
      <c r="M79" s="38" t="e">
        <v>#N/A</v>
      </c>
      <c r="N79" s="38" t="e">
        <v>#N/A</v>
      </c>
      <c r="O79" s="38" t="e">
        <v>#N/A</v>
      </c>
      <c r="P79" s="38" t="e">
        <v>#N/A</v>
      </c>
      <c r="Q79" s="38" t="e">
        <v>#N/A</v>
      </c>
      <c r="R79" s="38" t="e">
        <v>#N/A</v>
      </c>
      <c r="S79" s="38" t="e">
        <v>#N/A</v>
      </c>
      <c r="T79" s="38" t="e">
        <v>#N/A</v>
      </c>
      <c r="U79" s="38" t="e">
        <v>#N/A</v>
      </c>
      <c r="V79" s="38" t="e">
        <v>#N/A</v>
      </c>
      <c r="W79" s="38" t="e">
        <v>#N/A</v>
      </c>
      <c r="X79" s="38" t="e">
        <v>#N/A</v>
      </c>
      <c r="Y79" s="38" t="e">
        <v>#N/A</v>
      </c>
      <c r="Z79" s="38" t="e">
        <v>#N/A</v>
      </c>
      <c r="AA79" s="38" t="e">
        <v>#N/A</v>
      </c>
      <c r="AB79" s="38" t="e">
        <v>#N/A</v>
      </c>
      <c r="AC79" s="38" t="e">
        <v>#N/A</v>
      </c>
      <c r="AD79" s="38" t="e">
        <v>#N/A</v>
      </c>
      <c r="AE79" s="38" t="e">
        <v>#N/A</v>
      </c>
      <c r="AF79" s="38" t="e">
        <v>#N/A</v>
      </c>
      <c r="AG79" s="38" t="e">
        <v>#N/A</v>
      </c>
      <c r="AH79" s="38" t="e">
        <v>#N/A</v>
      </c>
      <c r="AI79" s="38" t="e">
        <v>#N/A</v>
      </c>
      <c r="AJ79" s="38" t="e">
        <v>#N/A</v>
      </c>
      <c r="AK79" s="38" t="e">
        <v>#N/A</v>
      </c>
      <c r="AL79" s="38" t="e">
        <v>#N/A</v>
      </c>
      <c r="AM79" s="38" t="e">
        <v>#N/A</v>
      </c>
      <c r="AN79" s="38" t="e">
        <v>#N/A</v>
      </c>
      <c r="AO79" s="38" t="e">
        <v>#N/A</v>
      </c>
      <c r="AP79" s="38" t="e">
        <v>#N/A</v>
      </c>
      <c r="AQ79" s="38" t="e">
        <v>#N/A</v>
      </c>
      <c r="AR79" s="38" t="e">
        <v>#N/A</v>
      </c>
      <c r="AS79" s="38" t="e">
        <v>#N/A</v>
      </c>
      <c r="AT79" s="38" t="e">
        <v>#N/A</v>
      </c>
      <c r="AU79" s="38" t="e">
        <v>#N/A</v>
      </c>
      <c r="AV79" s="38" t="e">
        <v>#N/A</v>
      </c>
      <c r="AW79" s="38" t="e">
        <v>#N/A</v>
      </c>
      <c r="AX79" s="38" t="e">
        <v>#N/A</v>
      </c>
      <c r="AY79" s="38" t="e">
        <v>#N/A</v>
      </c>
      <c r="BA79" s="37" t="e">
        <v>#N/A</v>
      </c>
      <c r="BB79" s="38" t="e">
        <v>#N/A</v>
      </c>
    </row>
    <row r="80" spans="1:54" x14ac:dyDescent="0.35">
      <c r="A80" s="2">
        <f t="shared" si="1"/>
        <v>43934</v>
      </c>
      <c r="B80" t="s">
        <v>122</v>
      </c>
      <c r="C80" s="32">
        <v>43934</v>
      </c>
      <c r="D80" s="38">
        <v>16.86</v>
      </c>
      <c r="E80" s="38">
        <v>17.71</v>
      </c>
      <c r="F80" s="38">
        <v>18.670000000000002</v>
      </c>
      <c r="G80" s="38">
        <v>20.079999999999998</v>
      </c>
      <c r="H80" s="38">
        <v>22.26</v>
      </c>
      <c r="I80" s="38">
        <v>25.22</v>
      </c>
      <c r="J80" s="38">
        <v>32.479999999999997</v>
      </c>
      <c r="K80" s="38">
        <v>35.729999999999997</v>
      </c>
      <c r="L80" s="38">
        <v>37.19</v>
      </c>
      <c r="M80" s="38">
        <v>37.65</v>
      </c>
      <c r="N80" s="38">
        <v>35.18</v>
      </c>
      <c r="O80" s="38">
        <v>32.630000000000003</v>
      </c>
      <c r="P80" s="38">
        <v>30.65</v>
      </c>
      <c r="Q80" s="38">
        <v>29.84</v>
      </c>
      <c r="R80" s="38">
        <v>29.62</v>
      </c>
      <c r="S80" s="38">
        <v>30.42</v>
      </c>
      <c r="T80" s="38">
        <v>32.299999999999997</v>
      </c>
      <c r="U80" s="38">
        <v>35.74</v>
      </c>
      <c r="V80" s="38">
        <v>38.369999999999997</v>
      </c>
      <c r="W80" s="38">
        <v>40.68</v>
      </c>
      <c r="X80" s="38">
        <v>44.18</v>
      </c>
      <c r="Y80" s="38">
        <v>43.8</v>
      </c>
      <c r="Z80" s="38">
        <v>40.18</v>
      </c>
      <c r="AA80" s="38">
        <v>36.06</v>
      </c>
      <c r="AB80" s="38">
        <v>34.979999999999997</v>
      </c>
      <c r="AC80" s="38">
        <v>34.659999999999997</v>
      </c>
      <c r="AD80" s="38">
        <v>33.97</v>
      </c>
      <c r="AE80" s="38">
        <v>34.4</v>
      </c>
      <c r="AF80" s="38">
        <v>35.61</v>
      </c>
      <c r="AG80" s="38">
        <v>39.07</v>
      </c>
      <c r="AH80" s="38">
        <v>42.2</v>
      </c>
      <c r="AI80" s="38">
        <v>45.07</v>
      </c>
      <c r="AJ80" s="38">
        <v>47.17</v>
      </c>
      <c r="AK80" s="38">
        <v>47.27</v>
      </c>
      <c r="AL80" s="38">
        <v>44.97</v>
      </c>
      <c r="AM80" s="38">
        <v>39.92</v>
      </c>
      <c r="AN80" s="38">
        <v>38.17</v>
      </c>
      <c r="AO80" s="38">
        <v>37.229999999999997</v>
      </c>
      <c r="AP80" s="38">
        <v>37.39</v>
      </c>
      <c r="AQ80" s="38">
        <v>38.25</v>
      </c>
      <c r="AR80" s="38">
        <v>40.93</v>
      </c>
      <c r="AS80" s="38">
        <v>45.39</v>
      </c>
      <c r="AT80" s="38">
        <v>47.35</v>
      </c>
      <c r="AU80" s="38">
        <v>47.68</v>
      </c>
      <c r="AV80" s="38">
        <v>47.81</v>
      </c>
      <c r="AW80" s="38">
        <v>45.36</v>
      </c>
      <c r="AX80" s="38">
        <v>42.82</v>
      </c>
      <c r="AY80" s="38">
        <v>38.909999999999997</v>
      </c>
      <c r="BA80" s="37" t="e">
        <v>#N/A</v>
      </c>
      <c r="BB80" s="38" t="e">
        <v>#N/A</v>
      </c>
    </row>
    <row r="81" spans="1:54" x14ac:dyDescent="0.35">
      <c r="A81" s="2">
        <f t="shared" si="1"/>
        <v>43935</v>
      </c>
      <c r="B81" t="s">
        <v>123</v>
      </c>
      <c r="C81" s="32">
        <v>43935</v>
      </c>
      <c r="D81" s="38">
        <v>15.52</v>
      </c>
      <c r="E81" s="38">
        <v>16.41</v>
      </c>
      <c r="F81" s="38">
        <v>17.34</v>
      </c>
      <c r="G81" s="38">
        <v>18.739999999999998</v>
      </c>
      <c r="H81" s="38">
        <v>20.9</v>
      </c>
      <c r="I81" s="38">
        <v>23.81</v>
      </c>
      <c r="J81" s="38">
        <v>31.34</v>
      </c>
      <c r="K81" s="38">
        <v>34.659999999999997</v>
      </c>
      <c r="L81" s="38">
        <v>36.340000000000003</v>
      </c>
      <c r="M81" s="38">
        <v>36.770000000000003</v>
      </c>
      <c r="N81" s="38">
        <v>33.770000000000003</v>
      </c>
      <c r="O81" s="38">
        <v>31.52</v>
      </c>
      <c r="P81" s="38">
        <v>29.63</v>
      </c>
      <c r="Q81" s="38">
        <v>28.89</v>
      </c>
      <c r="R81" s="38">
        <v>28.72</v>
      </c>
      <c r="S81" s="38">
        <v>29.52</v>
      </c>
      <c r="T81" s="38">
        <v>31.39</v>
      </c>
      <c r="U81" s="38">
        <v>34.82</v>
      </c>
      <c r="V81" s="38">
        <v>37.450000000000003</v>
      </c>
      <c r="W81" s="38">
        <v>39.76</v>
      </c>
      <c r="X81" s="38">
        <v>43.26</v>
      </c>
      <c r="Y81" s="38">
        <v>42.88</v>
      </c>
      <c r="Z81" s="38">
        <v>39.299999999999997</v>
      </c>
      <c r="AA81" s="38">
        <v>35.22</v>
      </c>
      <c r="AB81" s="38">
        <v>34.14</v>
      </c>
      <c r="AC81" s="38">
        <v>33.82</v>
      </c>
      <c r="AD81" s="38">
        <v>33.130000000000003</v>
      </c>
      <c r="AE81" s="38">
        <v>33.56</v>
      </c>
      <c r="AF81" s="38">
        <v>34.770000000000003</v>
      </c>
      <c r="AG81" s="38">
        <v>38.24</v>
      </c>
      <c r="AH81" s="38">
        <v>41.37</v>
      </c>
      <c r="AI81" s="38">
        <v>44.24</v>
      </c>
      <c r="AJ81" s="38">
        <v>46.34</v>
      </c>
      <c r="AK81" s="38">
        <v>46.44</v>
      </c>
      <c r="AL81" s="38">
        <v>44.14</v>
      </c>
      <c r="AM81" s="38">
        <v>39.090000000000003</v>
      </c>
      <c r="AN81" s="38">
        <v>37.340000000000003</v>
      </c>
      <c r="AO81" s="38">
        <v>36.4</v>
      </c>
      <c r="AP81" s="38">
        <v>36.56</v>
      </c>
      <c r="AQ81" s="38">
        <v>37.42</v>
      </c>
      <c r="AR81" s="38">
        <v>40.1</v>
      </c>
      <c r="AS81" s="38">
        <v>44.56</v>
      </c>
      <c r="AT81" s="38">
        <v>46.52</v>
      </c>
      <c r="AU81" s="38">
        <v>46.85</v>
      </c>
      <c r="AV81" s="38">
        <v>46.98</v>
      </c>
      <c r="AW81" s="38">
        <v>44.53</v>
      </c>
      <c r="AX81" s="38">
        <v>41.99</v>
      </c>
      <c r="AY81" s="38">
        <v>38.08</v>
      </c>
      <c r="BA81" s="37">
        <v>21.74</v>
      </c>
      <c r="BB81" s="38">
        <v>1.2594000000000001</v>
      </c>
    </row>
    <row r="82" spans="1:54" x14ac:dyDescent="0.35">
      <c r="A82" s="2">
        <f t="shared" si="1"/>
        <v>43936</v>
      </c>
      <c r="B82" t="s">
        <v>124</v>
      </c>
      <c r="C82" s="32">
        <v>43936</v>
      </c>
      <c r="D82" s="38">
        <v>14.68</v>
      </c>
      <c r="E82" s="38">
        <v>15.39</v>
      </c>
      <c r="F82" s="38">
        <v>16.37</v>
      </c>
      <c r="G82" s="38">
        <v>17.87</v>
      </c>
      <c r="H82" s="38">
        <v>20.059999999999999</v>
      </c>
      <c r="I82" s="38">
        <v>22.87</v>
      </c>
      <c r="J82" s="38">
        <v>30.43</v>
      </c>
      <c r="K82" s="38">
        <v>33.82</v>
      </c>
      <c r="L82" s="38">
        <v>35.39</v>
      </c>
      <c r="M82" s="38">
        <v>35.79</v>
      </c>
      <c r="N82" s="38">
        <v>33.369999999999997</v>
      </c>
      <c r="O82" s="38">
        <v>31.07</v>
      </c>
      <c r="P82" s="38">
        <v>29.1</v>
      </c>
      <c r="Q82" s="38">
        <v>28.33</v>
      </c>
      <c r="R82" s="38">
        <v>28.13</v>
      </c>
      <c r="S82" s="38">
        <v>28.9</v>
      </c>
      <c r="T82" s="38">
        <v>30.74</v>
      </c>
      <c r="U82" s="38">
        <v>34.22</v>
      </c>
      <c r="V82" s="38">
        <v>36.909999999999997</v>
      </c>
      <c r="W82" s="38">
        <v>39.24</v>
      </c>
      <c r="X82" s="38">
        <v>42.77</v>
      </c>
      <c r="Y82" s="38">
        <v>42.42</v>
      </c>
      <c r="Z82" s="38">
        <v>38.869999999999997</v>
      </c>
      <c r="AA82" s="38">
        <v>34.82</v>
      </c>
      <c r="AB82" s="38">
        <v>33.74</v>
      </c>
      <c r="AC82" s="38">
        <v>33.42</v>
      </c>
      <c r="AD82" s="38">
        <v>32.69</v>
      </c>
      <c r="AE82" s="38">
        <v>33.119999999999997</v>
      </c>
      <c r="AF82" s="38">
        <v>34.33</v>
      </c>
      <c r="AG82" s="38">
        <v>37.83</v>
      </c>
      <c r="AH82" s="38">
        <v>40.99</v>
      </c>
      <c r="AI82" s="38">
        <v>43.86</v>
      </c>
      <c r="AJ82" s="38">
        <v>45.96</v>
      </c>
      <c r="AK82" s="38">
        <v>46.06</v>
      </c>
      <c r="AL82" s="38">
        <v>43.76</v>
      </c>
      <c r="AM82" s="38">
        <v>38.71</v>
      </c>
      <c r="AN82" s="38">
        <v>36.96</v>
      </c>
      <c r="AO82" s="38">
        <v>36.020000000000003</v>
      </c>
      <c r="AP82" s="38">
        <v>36.18</v>
      </c>
      <c r="AQ82" s="38">
        <v>37.04</v>
      </c>
      <c r="AR82" s="38">
        <v>39.72</v>
      </c>
      <c r="AS82" s="38">
        <v>44.18</v>
      </c>
      <c r="AT82" s="38">
        <v>46.14</v>
      </c>
      <c r="AU82" s="38">
        <v>46.47</v>
      </c>
      <c r="AV82" s="38">
        <v>46.6</v>
      </c>
      <c r="AW82" s="38">
        <v>44.15</v>
      </c>
      <c r="AX82" s="38">
        <v>41.65</v>
      </c>
      <c r="AY82" s="38">
        <v>37.799999999999997</v>
      </c>
      <c r="BA82" s="37">
        <v>19.8</v>
      </c>
      <c r="BB82" s="38">
        <v>1.2498</v>
      </c>
    </row>
    <row r="83" spans="1:54" x14ac:dyDescent="0.35">
      <c r="A83" s="2">
        <f t="shared" si="1"/>
        <v>43937</v>
      </c>
      <c r="B83" t="s">
        <v>125</v>
      </c>
      <c r="C83" s="32">
        <v>43937</v>
      </c>
      <c r="D83" s="38">
        <v>15.2</v>
      </c>
      <c r="E83" s="38">
        <v>15.98</v>
      </c>
      <c r="F83" s="38">
        <v>17.010000000000002</v>
      </c>
      <c r="G83" s="38">
        <v>18.440000000000001</v>
      </c>
      <c r="H83" s="38">
        <v>20.72</v>
      </c>
      <c r="I83" s="38">
        <v>23.77</v>
      </c>
      <c r="J83" s="38">
        <v>31.65</v>
      </c>
      <c r="K83" s="38">
        <v>35.14</v>
      </c>
      <c r="L83" s="38">
        <v>36.659999999999997</v>
      </c>
      <c r="M83" s="38">
        <v>37.049999999999997</v>
      </c>
      <c r="N83" s="38">
        <v>34.57</v>
      </c>
      <c r="O83" s="38">
        <v>32.119999999999997</v>
      </c>
      <c r="P83" s="38">
        <v>30.05</v>
      </c>
      <c r="Q83" s="38">
        <v>29.18</v>
      </c>
      <c r="R83" s="38">
        <v>28.91</v>
      </c>
      <c r="S83" s="38">
        <v>29.66</v>
      </c>
      <c r="T83" s="38">
        <v>31.45</v>
      </c>
      <c r="U83" s="38">
        <v>34.93</v>
      </c>
      <c r="V83" s="38">
        <v>37.57</v>
      </c>
      <c r="W83" s="38">
        <v>39.89</v>
      </c>
      <c r="X83" s="38">
        <v>43.42</v>
      </c>
      <c r="Y83" s="38">
        <v>43.07</v>
      </c>
      <c r="Z83" s="38">
        <v>39.42</v>
      </c>
      <c r="AA83" s="38">
        <v>35.44</v>
      </c>
      <c r="AB83" s="38">
        <v>34.26</v>
      </c>
      <c r="AC83" s="38">
        <v>33.869999999999997</v>
      </c>
      <c r="AD83" s="38">
        <v>33.14</v>
      </c>
      <c r="AE83" s="38">
        <v>33.57</v>
      </c>
      <c r="AF83" s="38">
        <v>34.770000000000003</v>
      </c>
      <c r="AG83" s="38">
        <v>38.380000000000003</v>
      </c>
      <c r="AH83" s="38">
        <v>41.53</v>
      </c>
      <c r="AI83" s="38">
        <v>44.4</v>
      </c>
      <c r="AJ83" s="38">
        <v>46.46</v>
      </c>
      <c r="AK83" s="38">
        <v>46.52</v>
      </c>
      <c r="AL83" s="38">
        <v>44.06</v>
      </c>
      <c r="AM83" s="38">
        <v>38.950000000000003</v>
      </c>
      <c r="AN83" s="38">
        <v>37</v>
      </c>
      <c r="AO83" s="38">
        <v>36.06</v>
      </c>
      <c r="AP83" s="38">
        <v>36.24</v>
      </c>
      <c r="AQ83" s="38">
        <v>37.18</v>
      </c>
      <c r="AR83" s="38">
        <v>39.94</v>
      </c>
      <c r="AS83" s="38">
        <v>44.53</v>
      </c>
      <c r="AT83" s="38">
        <v>46.62</v>
      </c>
      <c r="AU83" s="38">
        <v>46.98</v>
      </c>
      <c r="AV83" s="38">
        <v>47.08</v>
      </c>
      <c r="AW83" s="38">
        <v>44.6</v>
      </c>
      <c r="AX83" s="38">
        <v>42.06</v>
      </c>
      <c r="AY83" s="38">
        <v>38.159999999999997</v>
      </c>
      <c r="BA83" s="37">
        <v>18.690000000000001</v>
      </c>
      <c r="BB83" s="38">
        <v>1.2451000000000001</v>
      </c>
    </row>
    <row r="84" spans="1:54" x14ac:dyDescent="0.35">
      <c r="A84" s="2">
        <f t="shared" si="1"/>
        <v>43938</v>
      </c>
      <c r="B84" t="s">
        <v>126</v>
      </c>
      <c r="C84" s="32">
        <v>43938</v>
      </c>
      <c r="D84" s="38">
        <v>15.36</v>
      </c>
      <c r="E84" s="38">
        <v>16.34</v>
      </c>
      <c r="F84" s="38">
        <v>17.53</v>
      </c>
      <c r="G84" s="38">
        <v>18.940000000000001</v>
      </c>
      <c r="H84" s="38">
        <v>21.06</v>
      </c>
      <c r="I84" s="38">
        <v>24.63</v>
      </c>
      <c r="J84" s="38">
        <v>32.659999999999997</v>
      </c>
      <c r="K84" s="38">
        <v>36.07</v>
      </c>
      <c r="L84" s="38">
        <v>37.57</v>
      </c>
      <c r="M84" s="38">
        <v>37.83</v>
      </c>
      <c r="N84" s="38">
        <v>35.81</v>
      </c>
      <c r="O84" s="38">
        <v>33.07</v>
      </c>
      <c r="P84" s="38">
        <v>30.81</v>
      </c>
      <c r="Q84" s="38">
        <v>29.87</v>
      </c>
      <c r="R84" s="38">
        <v>29.55</v>
      </c>
      <c r="S84" s="38">
        <v>30.3</v>
      </c>
      <c r="T84" s="38">
        <v>32.090000000000003</v>
      </c>
      <c r="U84" s="38">
        <v>35.67</v>
      </c>
      <c r="V84" s="38">
        <v>38.42</v>
      </c>
      <c r="W84" s="38">
        <v>40.85</v>
      </c>
      <c r="X84" s="38">
        <v>44.38</v>
      </c>
      <c r="Y84" s="38">
        <v>43.97</v>
      </c>
      <c r="Z84" s="38">
        <v>40.1</v>
      </c>
      <c r="AA84" s="38">
        <v>35.97</v>
      </c>
      <c r="AB84" s="38">
        <v>34.630000000000003</v>
      </c>
      <c r="AC84" s="38">
        <v>34.08</v>
      </c>
      <c r="AD84" s="38">
        <v>33.35</v>
      </c>
      <c r="AE84" s="38">
        <v>33.799999999999997</v>
      </c>
      <c r="AF84" s="38">
        <v>35.020000000000003</v>
      </c>
      <c r="AG84" s="38">
        <v>38.89</v>
      </c>
      <c r="AH84" s="38">
        <v>42.04</v>
      </c>
      <c r="AI84" s="38">
        <v>44.91</v>
      </c>
      <c r="AJ84" s="38">
        <v>46.97</v>
      </c>
      <c r="AK84" s="38">
        <v>47.03</v>
      </c>
      <c r="AL84" s="38">
        <v>44.53</v>
      </c>
      <c r="AM84" s="38">
        <v>39.380000000000003</v>
      </c>
      <c r="AN84" s="38">
        <v>37.380000000000003</v>
      </c>
      <c r="AO84" s="38">
        <v>36.4</v>
      </c>
      <c r="AP84" s="38">
        <v>36.58</v>
      </c>
      <c r="AQ84" s="38">
        <v>37.520000000000003</v>
      </c>
      <c r="AR84" s="38">
        <v>40.28</v>
      </c>
      <c r="AS84" s="38">
        <v>44.87</v>
      </c>
      <c r="AT84" s="38">
        <v>46.96</v>
      </c>
      <c r="AU84" s="38">
        <v>47.32</v>
      </c>
      <c r="AV84" s="38">
        <v>47.42</v>
      </c>
      <c r="AW84" s="38">
        <v>44.94</v>
      </c>
      <c r="AX84" s="38">
        <v>42.4</v>
      </c>
      <c r="AY84" s="38">
        <v>38.4</v>
      </c>
      <c r="BA84" s="37">
        <v>19.75</v>
      </c>
      <c r="BB84" s="38">
        <v>1.2504</v>
      </c>
    </row>
    <row r="85" spans="1:54" x14ac:dyDescent="0.35">
      <c r="A85" s="2">
        <f t="shared" si="1"/>
        <v>43941</v>
      </c>
      <c r="B85" t="s">
        <v>127</v>
      </c>
      <c r="C85" s="32">
        <v>43941</v>
      </c>
      <c r="D85" s="38">
        <v>13.8</v>
      </c>
      <c r="E85" s="38">
        <v>15.81</v>
      </c>
      <c r="F85" s="38">
        <v>17.18</v>
      </c>
      <c r="G85" s="38">
        <v>18.66</v>
      </c>
      <c r="H85" s="38">
        <v>20.81</v>
      </c>
      <c r="I85" s="38">
        <v>24.28</v>
      </c>
      <c r="J85" s="38">
        <v>32.53</v>
      </c>
      <c r="K85" s="38">
        <v>36.090000000000003</v>
      </c>
      <c r="L85" s="38">
        <v>37.22</v>
      </c>
      <c r="M85" s="38">
        <v>37.58</v>
      </c>
      <c r="N85" s="38">
        <v>35.56</v>
      </c>
      <c r="O85" s="38">
        <v>32.94</v>
      </c>
      <c r="P85" s="38">
        <v>30.7</v>
      </c>
      <c r="Q85" s="38">
        <v>29.77</v>
      </c>
      <c r="R85" s="38">
        <v>29.4</v>
      </c>
      <c r="S85" s="38">
        <v>30.09</v>
      </c>
      <c r="T85" s="38">
        <v>31.83</v>
      </c>
      <c r="U85" s="38">
        <v>35.22</v>
      </c>
      <c r="V85" s="38">
        <v>37.97</v>
      </c>
      <c r="W85" s="38">
        <v>40.4</v>
      </c>
      <c r="X85" s="38">
        <v>44.03</v>
      </c>
      <c r="Y85" s="38">
        <v>43.68</v>
      </c>
      <c r="Z85" s="38">
        <v>39.92</v>
      </c>
      <c r="AA85" s="38">
        <v>35.9</v>
      </c>
      <c r="AB85" s="38">
        <v>34.6</v>
      </c>
      <c r="AC85" s="38">
        <v>34.049999999999997</v>
      </c>
      <c r="AD85" s="38">
        <v>33.32</v>
      </c>
      <c r="AE85" s="38">
        <v>33.770000000000003</v>
      </c>
      <c r="AF85" s="38">
        <v>34.99</v>
      </c>
      <c r="AG85" s="38">
        <v>38.86</v>
      </c>
      <c r="AH85" s="38">
        <v>42.01</v>
      </c>
      <c r="AI85" s="38">
        <v>44.88</v>
      </c>
      <c r="AJ85" s="38">
        <v>46.94</v>
      </c>
      <c r="AK85" s="38">
        <v>47</v>
      </c>
      <c r="AL85" s="38">
        <v>44.5</v>
      </c>
      <c r="AM85" s="38">
        <v>39.35</v>
      </c>
      <c r="AN85" s="38">
        <v>37.35</v>
      </c>
      <c r="AO85" s="38">
        <v>36.369999999999997</v>
      </c>
      <c r="AP85" s="38">
        <v>36.549999999999997</v>
      </c>
      <c r="AQ85" s="38">
        <v>37.49</v>
      </c>
      <c r="AR85" s="38">
        <v>40.25</v>
      </c>
      <c r="AS85" s="38">
        <v>44.84</v>
      </c>
      <c r="AT85" s="38">
        <v>46.93</v>
      </c>
      <c r="AU85" s="38">
        <v>47.29</v>
      </c>
      <c r="AV85" s="38">
        <v>47.39</v>
      </c>
      <c r="AW85" s="38">
        <v>44.91</v>
      </c>
      <c r="AX85" s="38">
        <v>42.37</v>
      </c>
      <c r="AY85" s="38">
        <v>38.369999999999997</v>
      </c>
      <c r="BA85" s="37">
        <v>17.36</v>
      </c>
      <c r="BB85" s="38">
        <v>1.2473000000000001</v>
      </c>
    </row>
    <row r="86" spans="1:54" x14ac:dyDescent="0.35">
      <c r="A86" s="2">
        <f t="shared" si="1"/>
        <v>43942</v>
      </c>
      <c r="B86" t="s">
        <v>128</v>
      </c>
      <c r="C86" s="32">
        <v>43942</v>
      </c>
      <c r="D86" s="38">
        <v>13.99</v>
      </c>
      <c r="E86" s="38">
        <v>15.7</v>
      </c>
      <c r="F86" s="38">
        <v>17.149999999999999</v>
      </c>
      <c r="G86" s="38">
        <v>18.48</v>
      </c>
      <c r="H86" s="38">
        <v>20.58</v>
      </c>
      <c r="I86" s="38">
        <v>23.66</v>
      </c>
      <c r="J86" s="38">
        <v>32.159999999999997</v>
      </c>
      <c r="K86" s="38">
        <v>35.659999999999997</v>
      </c>
      <c r="L86" s="38">
        <v>36.799999999999997</v>
      </c>
      <c r="M86" s="38">
        <v>37.1</v>
      </c>
      <c r="N86" s="38">
        <v>35.07</v>
      </c>
      <c r="O86" s="38">
        <v>32.31</v>
      </c>
      <c r="P86" s="38">
        <v>30.01</v>
      </c>
      <c r="Q86" s="38">
        <v>29.15</v>
      </c>
      <c r="R86" s="38">
        <v>28.85</v>
      </c>
      <c r="S86" s="38">
        <v>29.59</v>
      </c>
      <c r="T86" s="38">
        <v>31.33</v>
      </c>
      <c r="U86" s="38">
        <v>34.72</v>
      </c>
      <c r="V86" s="38">
        <v>37.409999999999997</v>
      </c>
      <c r="W86" s="38">
        <v>39.79</v>
      </c>
      <c r="X86" s="38">
        <v>43.31</v>
      </c>
      <c r="Y86" s="38">
        <v>42.96</v>
      </c>
      <c r="Z86" s="38">
        <v>39.200000000000003</v>
      </c>
      <c r="AA86" s="38">
        <v>35.18</v>
      </c>
      <c r="AB86" s="38">
        <v>33.880000000000003</v>
      </c>
      <c r="AC86" s="38">
        <v>33.33</v>
      </c>
      <c r="AD86" s="38">
        <v>32.6</v>
      </c>
      <c r="AE86" s="38">
        <v>33.04</v>
      </c>
      <c r="AF86" s="38">
        <v>34.25</v>
      </c>
      <c r="AG86" s="38">
        <v>38.1</v>
      </c>
      <c r="AH86" s="38">
        <v>41.23</v>
      </c>
      <c r="AI86" s="38">
        <v>44.1</v>
      </c>
      <c r="AJ86" s="38">
        <v>46.16</v>
      </c>
      <c r="AK86" s="38">
        <v>46.22</v>
      </c>
      <c r="AL86" s="38">
        <v>43.64</v>
      </c>
      <c r="AM86" s="38">
        <v>38.4</v>
      </c>
      <c r="AN86" s="38">
        <v>36.33</v>
      </c>
      <c r="AO86" s="38">
        <v>35.35</v>
      </c>
      <c r="AP86" s="38">
        <v>35.549999999999997</v>
      </c>
      <c r="AQ86" s="38">
        <v>36.64</v>
      </c>
      <c r="AR86" s="38">
        <v>39.590000000000003</v>
      </c>
      <c r="AS86" s="38">
        <v>44.28</v>
      </c>
      <c r="AT86" s="38">
        <v>46.46</v>
      </c>
      <c r="AU86" s="38">
        <v>46.82</v>
      </c>
      <c r="AV86" s="38">
        <v>46.92</v>
      </c>
      <c r="AW86" s="38">
        <v>44.44</v>
      </c>
      <c r="AX86" s="38">
        <v>41.9</v>
      </c>
      <c r="AY86" s="38">
        <v>37.9</v>
      </c>
      <c r="BA86" s="37">
        <v>9.1199999999999992</v>
      </c>
      <c r="BB86" s="38">
        <v>1.2273000000000001</v>
      </c>
    </row>
    <row r="87" spans="1:54" x14ac:dyDescent="0.35">
      <c r="A87" s="2">
        <f t="shared" si="1"/>
        <v>43943</v>
      </c>
      <c r="B87" t="s">
        <v>129</v>
      </c>
      <c r="C87" s="32">
        <v>43943</v>
      </c>
      <c r="D87" s="38">
        <v>14.43</v>
      </c>
      <c r="E87" s="38">
        <v>15.3</v>
      </c>
      <c r="F87" s="38">
        <v>16.8</v>
      </c>
      <c r="G87" s="38">
        <v>18.16</v>
      </c>
      <c r="H87" s="38">
        <v>20.18</v>
      </c>
      <c r="I87" s="38">
        <v>23.22</v>
      </c>
      <c r="J87" s="38">
        <v>31.62</v>
      </c>
      <c r="K87" s="38">
        <v>35</v>
      </c>
      <c r="L87" s="38">
        <v>36.299999999999997</v>
      </c>
      <c r="M87" s="38">
        <v>36.450000000000003</v>
      </c>
      <c r="N87" s="38">
        <v>34.46</v>
      </c>
      <c r="O87" s="38">
        <v>31.69</v>
      </c>
      <c r="P87" s="38">
        <v>29.39</v>
      </c>
      <c r="Q87" s="38">
        <v>28.53</v>
      </c>
      <c r="R87" s="38">
        <v>28.23</v>
      </c>
      <c r="S87" s="38">
        <v>28.91</v>
      </c>
      <c r="T87" s="38">
        <v>30.63</v>
      </c>
      <c r="U87" s="38">
        <v>34.020000000000003</v>
      </c>
      <c r="V87" s="38">
        <v>36.71</v>
      </c>
      <c r="W87" s="38">
        <v>39.090000000000003</v>
      </c>
      <c r="X87" s="38">
        <v>42.57</v>
      </c>
      <c r="Y87" s="38">
        <v>42.22</v>
      </c>
      <c r="Z87" s="38">
        <v>38.46</v>
      </c>
      <c r="AA87" s="38">
        <v>34.44</v>
      </c>
      <c r="AB87" s="38">
        <v>33.14</v>
      </c>
      <c r="AC87" s="38">
        <v>32.590000000000003</v>
      </c>
      <c r="AD87" s="38">
        <v>31.86</v>
      </c>
      <c r="AE87" s="38">
        <v>32.229999999999997</v>
      </c>
      <c r="AF87" s="38">
        <v>33.35</v>
      </c>
      <c r="AG87" s="38">
        <v>37.14</v>
      </c>
      <c r="AH87" s="38">
        <v>40.19</v>
      </c>
      <c r="AI87" s="38">
        <v>42.95</v>
      </c>
      <c r="AJ87" s="38">
        <v>44.96</v>
      </c>
      <c r="AK87" s="38">
        <v>45.02</v>
      </c>
      <c r="AL87" s="38">
        <v>42.54</v>
      </c>
      <c r="AM87" s="38">
        <v>37.450000000000003</v>
      </c>
      <c r="AN87" s="38">
        <v>35.44</v>
      </c>
      <c r="AO87" s="38">
        <v>34.46</v>
      </c>
      <c r="AP87" s="38">
        <v>34.659999999999997</v>
      </c>
      <c r="AQ87" s="38">
        <v>35.75</v>
      </c>
      <c r="AR87" s="38">
        <v>38.700000000000003</v>
      </c>
      <c r="AS87" s="38">
        <v>43.39</v>
      </c>
      <c r="AT87" s="38">
        <v>45.57</v>
      </c>
      <c r="AU87" s="38">
        <v>45.93</v>
      </c>
      <c r="AV87" s="38">
        <v>46.03</v>
      </c>
      <c r="AW87" s="38">
        <v>43.55</v>
      </c>
      <c r="AX87" s="38">
        <v>41.01</v>
      </c>
      <c r="AY87" s="38">
        <v>37.01</v>
      </c>
      <c r="BA87" s="37">
        <v>13.77</v>
      </c>
      <c r="BB87" s="38">
        <v>1.2329000000000001</v>
      </c>
    </row>
    <row r="88" spans="1:54" x14ac:dyDescent="0.35">
      <c r="A88" s="2">
        <f t="shared" si="1"/>
        <v>43944</v>
      </c>
      <c r="B88" t="s">
        <v>130</v>
      </c>
      <c r="C88" s="32">
        <v>43944</v>
      </c>
      <c r="D88" s="38">
        <v>13.82</v>
      </c>
      <c r="E88" s="38">
        <v>14.54</v>
      </c>
      <c r="F88" s="38">
        <v>16.07</v>
      </c>
      <c r="G88" s="38">
        <v>17.45</v>
      </c>
      <c r="H88" s="38">
        <v>19.43</v>
      </c>
      <c r="I88" s="38">
        <v>22.54</v>
      </c>
      <c r="J88" s="38">
        <v>31.22</v>
      </c>
      <c r="K88" s="38">
        <v>34.6</v>
      </c>
      <c r="L88" s="38">
        <v>36.01</v>
      </c>
      <c r="M88" s="38">
        <v>36.17</v>
      </c>
      <c r="N88" s="38">
        <v>34.19</v>
      </c>
      <c r="O88" s="38">
        <v>31.29</v>
      </c>
      <c r="P88" s="38">
        <v>29</v>
      </c>
      <c r="Q88" s="38">
        <v>28.13</v>
      </c>
      <c r="R88" s="38">
        <v>27.83</v>
      </c>
      <c r="S88" s="38">
        <v>28.56</v>
      </c>
      <c r="T88" s="38">
        <v>30.34</v>
      </c>
      <c r="U88" s="38">
        <v>33.770000000000003</v>
      </c>
      <c r="V88" s="38">
        <v>36.5</v>
      </c>
      <c r="W88" s="38">
        <v>38.880000000000003</v>
      </c>
      <c r="X88" s="38">
        <v>42.39</v>
      </c>
      <c r="Y88" s="38">
        <v>42.05</v>
      </c>
      <c r="Z88" s="38">
        <v>38.29</v>
      </c>
      <c r="AA88" s="38">
        <v>34.270000000000003</v>
      </c>
      <c r="AB88" s="38">
        <v>32.97</v>
      </c>
      <c r="AC88" s="38">
        <v>32.42</v>
      </c>
      <c r="AD88" s="38">
        <v>31.69</v>
      </c>
      <c r="AE88" s="38">
        <v>32.159999999999997</v>
      </c>
      <c r="AF88" s="38">
        <v>33.42</v>
      </c>
      <c r="AG88" s="38">
        <v>37.21</v>
      </c>
      <c r="AH88" s="38">
        <v>40.26</v>
      </c>
      <c r="AI88" s="38">
        <v>43.02</v>
      </c>
      <c r="AJ88" s="38">
        <v>45.03</v>
      </c>
      <c r="AK88" s="38">
        <v>45.09</v>
      </c>
      <c r="AL88" s="38">
        <v>42.61</v>
      </c>
      <c r="AM88" s="38">
        <v>37.520000000000003</v>
      </c>
      <c r="AN88" s="38">
        <v>35.51</v>
      </c>
      <c r="AO88" s="38">
        <v>34.53</v>
      </c>
      <c r="AP88" s="38">
        <v>34.729999999999997</v>
      </c>
      <c r="AQ88" s="38">
        <v>35.82</v>
      </c>
      <c r="AR88" s="38">
        <v>38.770000000000003</v>
      </c>
      <c r="AS88" s="38">
        <v>43.46</v>
      </c>
      <c r="AT88" s="38">
        <v>45.64</v>
      </c>
      <c r="AU88" s="38">
        <v>46</v>
      </c>
      <c r="AV88" s="38">
        <v>46.1</v>
      </c>
      <c r="AW88" s="38">
        <v>43.62</v>
      </c>
      <c r="AX88" s="38">
        <v>41.08</v>
      </c>
      <c r="AY88" s="38">
        <v>37.08</v>
      </c>
      <c r="BA88" s="37">
        <v>15.06</v>
      </c>
      <c r="BB88" s="38">
        <v>1.2385999999999999</v>
      </c>
    </row>
    <row r="89" spans="1:54" x14ac:dyDescent="0.35">
      <c r="A89" s="2">
        <f t="shared" si="1"/>
        <v>43945</v>
      </c>
      <c r="B89" t="s">
        <v>131</v>
      </c>
      <c r="C89" s="32">
        <v>43945</v>
      </c>
      <c r="D89" s="38">
        <v>12.76</v>
      </c>
      <c r="E89" s="38">
        <v>13.74</v>
      </c>
      <c r="F89" s="38">
        <v>15.29</v>
      </c>
      <c r="G89" s="38">
        <v>16.79</v>
      </c>
      <c r="H89" s="38">
        <v>18.989999999999998</v>
      </c>
      <c r="I89" s="38">
        <v>22.09</v>
      </c>
      <c r="J89" s="38">
        <v>30.77</v>
      </c>
      <c r="K89" s="38">
        <v>34.29</v>
      </c>
      <c r="L89" s="38">
        <v>35.83</v>
      </c>
      <c r="M89" s="38">
        <v>35.92</v>
      </c>
      <c r="N89" s="38">
        <v>33.770000000000003</v>
      </c>
      <c r="O89" s="38">
        <v>30.81</v>
      </c>
      <c r="P89" s="38">
        <v>28.6</v>
      </c>
      <c r="Q89" s="38">
        <v>27.76</v>
      </c>
      <c r="R89" s="38">
        <v>27.53</v>
      </c>
      <c r="S89" s="38">
        <v>28.34</v>
      </c>
      <c r="T89" s="38">
        <v>30.26</v>
      </c>
      <c r="U89" s="38">
        <v>33.76</v>
      </c>
      <c r="V89" s="38">
        <v>36.450000000000003</v>
      </c>
      <c r="W89" s="38">
        <v>38.68</v>
      </c>
      <c r="X89" s="38">
        <v>42.08</v>
      </c>
      <c r="Y89" s="38">
        <v>41.82</v>
      </c>
      <c r="Z89" s="38">
        <v>38.17</v>
      </c>
      <c r="AA89" s="38">
        <v>34.159999999999997</v>
      </c>
      <c r="AB89" s="38">
        <v>32.86</v>
      </c>
      <c r="AC89" s="38">
        <v>32.31</v>
      </c>
      <c r="AD89" s="38">
        <v>31.58</v>
      </c>
      <c r="AE89" s="38">
        <v>32.049999999999997</v>
      </c>
      <c r="AF89" s="38">
        <v>33.31</v>
      </c>
      <c r="AG89" s="38">
        <v>37.15</v>
      </c>
      <c r="AH89" s="38">
        <v>40.200000000000003</v>
      </c>
      <c r="AI89" s="38">
        <v>42.96</v>
      </c>
      <c r="AJ89" s="38">
        <v>44.92</v>
      </c>
      <c r="AK89" s="38">
        <v>44.98</v>
      </c>
      <c r="AL89" s="38">
        <v>42.5</v>
      </c>
      <c r="AM89" s="38">
        <v>37.409999999999997</v>
      </c>
      <c r="AN89" s="38">
        <v>35.4</v>
      </c>
      <c r="AO89" s="38">
        <v>34.42</v>
      </c>
      <c r="AP89" s="38">
        <v>34.619999999999997</v>
      </c>
      <c r="AQ89" s="38">
        <v>35.71</v>
      </c>
      <c r="AR89" s="38">
        <v>38.659999999999997</v>
      </c>
      <c r="AS89" s="38">
        <v>43.35</v>
      </c>
      <c r="AT89" s="38">
        <v>45.53</v>
      </c>
      <c r="AU89" s="38">
        <v>45.89</v>
      </c>
      <c r="AV89" s="38">
        <v>45.99</v>
      </c>
      <c r="AW89" s="38">
        <v>43.51</v>
      </c>
      <c r="AX89" s="38">
        <v>40.97</v>
      </c>
      <c r="AY89" s="38">
        <v>36.97</v>
      </c>
      <c r="BA89" s="37">
        <v>15.87</v>
      </c>
      <c r="BB89" s="38">
        <v>1.2338</v>
      </c>
    </row>
    <row r="90" spans="1:54" x14ac:dyDescent="0.35">
      <c r="A90" s="2">
        <f t="shared" si="1"/>
        <v>43948</v>
      </c>
      <c r="B90" t="s">
        <v>132</v>
      </c>
      <c r="C90" s="32">
        <v>43948</v>
      </c>
      <c r="D90" s="38">
        <v>13.14</v>
      </c>
      <c r="E90" s="38">
        <v>13.95</v>
      </c>
      <c r="F90" s="38">
        <v>15.48</v>
      </c>
      <c r="G90" s="38">
        <v>16.989999999999998</v>
      </c>
      <c r="H90" s="38">
        <v>19.100000000000001</v>
      </c>
      <c r="I90" s="38">
        <v>22.01</v>
      </c>
      <c r="J90" s="38">
        <v>30.59</v>
      </c>
      <c r="K90" s="38">
        <v>34.04</v>
      </c>
      <c r="L90" s="38">
        <v>35.5</v>
      </c>
      <c r="M90" s="38">
        <v>35.49</v>
      </c>
      <c r="N90" s="38">
        <v>33.25</v>
      </c>
      <c r="O90" s="38">
        <v>30.38</v>
      </c>
      <c r="P90" s="38">
        <v>28.34</v>
      </c>
      <c r="Q90" s="38">
        <v>27.58</v>
      </c>
      <c r="R90" s="38">
        <v>27.35</v>
      </c>
      <c r="S90" s="38">
        <v>28.16</v>
      </c>
      <c r="T90" s="38">
        <v>30</v>
      </c>
      <c r="U90" s="38">
        <v>33.51</v>
      </c>
      <c r="V90" s="38">
        <v>36.11</v>
      </c>
      <c r="W90" s="38">
        <v>38.32</v>
      </c>
      <c r="X90" s="38">
        <v>41.72</v>
      </c>
      <c r="Y90" s="38">
        <v>41.46</v>
      </c>
      <c r="Z90" s="38">
        <v>37.74</v>
      </c>
      <c r="AA90" s="38">
        <v>33.659999999999997</v>
      </c>
      <c r="AB90" s="38">
        <v>32.31</v>
      </c>
      <c r="AC90" s="38">
        <v>31.76</v>
      </c>
      <c r="AD90" s="38">
        <v>31.03</v>
      </c>
      <c r="AE90" s="38">
        <v>31.5</v>
      </c>
      <c r="AF90" s="38">
        <v>32.76</v>
      </c>
      <c r="AG90" s="38">
        <v>36.68</v>
      </c>
      <c r="AH90" s="38">
        <v>39.79</v>
      </c>
      <c r="AI90" s="38">
        <v>42.55</v>
      </c>
      <c r="AJ90" s="38">
        <v>44.51</v>
      </c>
      <c r="AK90" s="38">
        <v>44.57</v>
      </c>
      <c r="AL90" s="38">
        <v>42.09</v>
      </c>
      <c r="AM90" s="38">
        <v>37</v>
      </c>
      <c r="AN90" s="38">
        <v>34.99</v>
      </c>
      <c r="AO90" s="38">
        <v>34.01</v>
      </c>
      <c r="AP90" s="38">
        <v>34.21</v>
      </c>
      <c r="AQ90" s="38">
        <v>35.299999999999997</v>
      </c>
      <c r="AR90" s="38">
        <v>38.25</v>
      </c>
      <c r="AS90" s="38">
        <v>42.94</v>
      </c>
      <c r="AT90" s="38">
        <v>45.12</v>
      </c>
      <c r="AU90" s="38">
        <v>45.48</v>
      </c>
      <c r="AV90" s="38">
        <v>45.58</v>
      </c>
      <c r="AW90" s="38">
        <v>43.1</v>
      </c>
      <c r="AX90" s="38">
        <v>40.56</v>
      </c>
      <c r="AY90" s="38">
        <v>36.56</v>
      </c>
      <c r="BA90" s="37">
        <v>15.17</v>
      </c>
      <c r="BB90" s="38">
        <v>1.2408999999999999</v>
      </c>
    </row>
    <row r="91" spans="1:54" x14ac:dyDescent="0.35">
      <c r="A91" s="2">
        <f t="shared" si="1"/>
        <v>43949</v>
      </c>
      <c r="B91" t="s">
        <v>133</v>
      </c>
      <c r="C91" s="32">
        <v>43949</v>
      </c>
      <c r="D91" s="38">
        <v>13.83</v>
      </c>
      <c r="E91" s="38">
        <v>14.42</v>
      </c>
      <c r="F91" s="38">
        <v>15.82</v>
      </c>
      <c r="G91" s="38">
        <v>17.329999999999998</v>
      </c>
      <c r="H91" s="38">
        <v>19.36</v>
      </c>
      <c r="I91" s="38">
        <v>22.11</v>
      </c>
      <c r="J91" s="38">
        <v>30.37</v>
      </c>
      <c r="K91" s="38">
        <v>33.86</v>
      </c>
      <c r="L91" s="38">
        <v>35.43</v>
      </c>
      <c r="M91" s="38">
        <v>35.46</v>
      </c>
      <c r="N91" s="38">
        <v>33.18</v>
      </c>
      <c r="O91" s="38">
        <v>30.26</v>
      </c>
      <c r="P91" s="38">
        <v>28.22</v>
      </c>
      <c r="Q91" s="38">
        <v>27.43</v>
      </c>
      <c r="R91" s="38">
        <v>27.17</v>
      </c>
      <c r="S91" s="38">
        <v>27.98</v>
      </c>
      <c r="T91" s="38">
        <v>29.82</v>
      </c>
      <c r="U91" s="38">
        <v>33.31</v>
      </c>
      <c r="V91" s="38">
        <v>35.909999999999997</v>
      </c>
      <c r="W91" s="38">
        <v>38.119999999999997</v>
      </c>
      <c r="X91" s="38">
        <v>41.57</v>
      </c>
      <c r="Y91" s="38">
        <v>41.36</v>
      </c>
      <c r="Z91" s="38">
        <v>37.729999999999997</v>
      </c>
      <c r="AA91" s="38">
        <v>33.67</v>
      </c>
      <c r="AB91" s="38">
        <v>32.409999999999997</v>
      </c>
      <c r="AC91" s="38">
        <v>31.91</v>
      </c>
      <c r="AD91" s="38">
        <v>31.23</v>
      </c>
      <c r="AE91" s="38">
        <v>31.7</v>
      </c>
      <c r="AF91" s="38">
        <v>32.96</v>
      </c>
      <c r="AG91" s="38">
        <v>36.93</v>
      </c>
      <c r="AH91" s="38">
        <v>40.04</v>
      </c>
      <c r="AI91" s="38">
        <v>42.8</v>
      </c>
      <c r="AJ91" s="38">
        <v>44.76</v>
      </c>
      <c r="AK91" s="38">
        <v>44.82</v>
      </c>
      <c r="AL91" s="38">
        <v>42.34</v>
      </c>
      <c r="AM91" s="38">
        <v>37.25</v>
      </c>
      <c r="AN91" s="38">
        <v>35.24</v>
      </c>
      <c r="AO91" s="38">
        <v>34.26</v>
      </c>
      <c r="AP91" s="38">
        <v>34.46</v>
      </c>
      <c r="AQ91" s="38">
        <v>35.549999999999997</v>
      </c>
      <c r="AR91" s="38">
        <v>38.5</v>
      </c>
      <c r="AS91" s="38">
        <v>43.19</v>
      </c>
      <c r="AT91" s="38">
        <v>45.37</v>
      </c>
      <c r="AU91" s="38">
        <v>45.73</v>
      </c>
      <c r="AV91" s="38">
        <v>45.83</v>
      </c>
      <c r="AW91" s="38">
        <v>43.35</v>
      </c>
      <c r="AX91" s="38">
        <v>40.81</v>
      </c>
      <c r="AY91" s="38">
        <v>36.81</v>
      </c>
      <c r="BA91" s="37">
        <v>15.6</v>
      </c>
      <c r="BB91" s="38">
        <v>1.2436</v>
      </c>
    </row>
    <row r="92" spans="1:54" x14ac:dyDescent="0.35">
      <c r="A92" s="2">
        <f t="shared" si="1"/>
        <v>43950</v>
      </c>
      <c r="B92" t="s">
        <v>134</v>
      </c>
      <c r="C92" s="32">
        <v>43950</v>
      </c>
      <c r="D92" s="38">
        <v>13.24</v>
      </c>
      <c r="E92" s="38">
        <v>13.98</v>
      </c>
      <c r="F92" s="38">
        <v>15.43</v>
      </c>
      <c r="G92" s="38">
        <v>16.920000000000002</v>
      </c>
      <c r="H92" s="38">
        <v>19.079999999999998</v>
      </c>
      <c r="I92" s="38">
        <v>21.84</v>
      </c>
      <c r="J92" s="38">
        <v>30.44</v>
      </c>
      <c r="K92" s="38">
        <v>33.67</v>
      </c>
      <c r="L92" s="38">
        <v>35.64</v>
      </c>
      <c r="M92" s="38">
        <v>35.49</v>
      </c>
      <c r="N92" s="38">
        <v>32.770000000000003</v>
      </c>
      <c r="O92" s="38">
        <v>29.95</v>
      </c>
      <c r="P92" s="38">
        <v>28.02</v>
      </c>
      <c r="Q92" s="38">
        <v>27.31</v>
      </c>
      <c r="R92" s="38">
        <v>27</v>
      </c>
      <c r="S92" s="38">
        <v>27.78</v>
      </c>
      <c r="T92" s="38">
        <v>29.56</v>
      </c>
      <c r="U92" s="38">
        <v>33.04</v>
      </c>
      <c r="V92" s="38">
        <v>35.64</v>
      </c>
      <c r="W92" s="38">
        <v>37.82</v>
      </c>
      <c r="X92" s="38">
        <v>41.24</v>
      </c>
      <c r="Y92" s="38">
        <v>41</v>
      </c>
      <c r="Z92" s="38">
        <v>37.340000000000003</v>
      </c>
      <c r="AA92" s="38">
        <v>33.22</v>
      </c>
      <c r="AB92" s="38">
        <v>31.93</v>
      </c>
      <c r="AC92" s="38">
        <v>31.43</v>
      </c>
      <c r="AD92" s="38">
        <v>30.75</v>
      </c>
      <c r="AE92" s="38">
        <v>31.22</v>
      </c>
      <c r="AF92" s="38">
        <v>32.479999999999997</v>
      </c>
      <c r="AG92" s="38">
        <v>36.450000000000003</v>
      </c>
      <c r="AH92" s="38">
        <v>39.549999999999997</v>
      </c>
      <c r="AI92" s="38">
        <v>42.26</v>
      </c>
      <c r="AJ92" s="38">
        <v>44.16</v>
      </c>
      <c r="AK92" s="38">
        <v>44.22</v>
      </c>
      <c r="AL92" s="38">
        <v>41.74</v>
      </c>
      <c r="AM92" s="38">
        <v>36.65</v>
      </c>
      <c r="AN92" s="38">
        <v>34.64</v>
      </c>
      <c r="AO92" s="38">
        <v>33.659999999999997</v>
      </c>
      <c r="AP92" s="38">
        <v>33.86</v>
      </c>
      <c r="AQ92" s="38">
        <v>34.950000000000003</v>
      </c>
      <c r="AR92" s="38">
        <v>37.909999999999997</v>
      </c>
      <c r="AS92" s="38">
        <v>42.6</v>
      </c>
      <c r="AT92" s="38">
        <v>44.86</v>
      </c>
      <c r="AU92" s="38">
        <v>45.21</v>
      </c>
      <c r="AV92" s="38">
        <v>45.31</v>
      </c>
      <c r="AW92" s="38">
        <v>42.77</v>
      </c>
      <c r="AX92" s="38">
        <v>40.159999999999997</v>
      </c>
      <c r="AY92" s="38">
        <v>36.090000000000003</v>
      </c>
      <c r="BA92" s="37">
        <v>17.86</v>
      </c>
      <c r="BB92" s="38">
        <v>1.2436</v>
      </c>
    </row>
    <row r="93" spans="1:54" x14ac:dyDescent="0.35">
      <c r="A93" s="2">
        <f t="shared" si="1"/>
        <v>43951</v>
      </c>
      <c r="B93" t="s">
        <v>135</v>
      </c>
      <c r="C93" s="32">
        <v>43951</v>
      </c>
      <c r="D93" s="38">
        <v>13.87</v>
      </c>
      <c r="E93" s="38">
        <v>15.37</v>
      </c>
      <c r="F93" s="38">
        <v>16.829999999999998</v>
      </c>
      <c r="G93" s="38">
        <v>19.09</v>
      </c>
      <c r="H93" s="38">
        <v>21.87</v>
      </c>
      <c r="I93" s="38">
        <v>30.47</v>
      </c>
      <c r="J93" s="38">
        <v>33.79</v>
      </c>
      <c r="K93" s="38">
        <v>35.21</v>
      </c>
      <c r="L93" s="38">
        <v>35.4</v>
      </c>
      <c r="M93" s="38">
        <v>33.06</v>
      </c>
      <c r="N93" s="38">
        <v>30.26</v>
      </c>
      <c r="O93" s="38">
        <v>28.29</v>
      </c>
      <c r="P93" s="38">
        <v>27.53</v>
      </c>
      <c r="Q93" s="38">
        <v>27.17</v>
      </c>
      <c r="R93" s="38">
        <v>27.88</v>
      </c>
      <c r="S93" s="38">
        <v>29.59</v>
      </c>
      <c r="T93" s="38">
        <v>32.96</v>
      </c>
      <c r="U93" s="38">
        <v>35.54</v>
      </c>
      <c r="V93" s="38">
        <v>37.71</v>
      </c>
      <c r="W93" s="38">
        <v>41.13</v>
      </c>
      <c r="X93" s="38">
        <v>40.89</v>
      </c>
      <c r="Y93" s="38">
        <v>37.25</v>
      </c>
      <c r="Z93" s="38">
        <v>33.159999999999997</v>
      </c>
      <c r="AA93" s="38">
        <v>31.89</v>
      </c>
      <c r="AB93" s="38">
        <v>31.39</v>
      </c>
      <c r="AC93" s="38">
        <v>30.71</v>
      </c>
      <c r="AD93" s="38">
        <v>31.18</v>
      </c>
      <c r="AE93" s="38">
        <v>32.44</v>
      </c>
      <c r="AF93" s="38">
        <v>36.409999999999997</v>
      </c>
      <c r="AG93" s="38">
        <v>39.54</v>
      </c>
      <c r="AH93" s="38">
        <v>42.25</v>
      </c>
      <c r="AI93" s="38">
        <v>44.05</v>
      </c>
      <c r="AJ93" s="38">
        <v>44.02</v>
      </c>
      <c r="AK93" s="38">
        <v>41.48</v>
      </c>
      <c r="AL93" s="38">
        <v>36.380000000000003</v>
      </c>
      <c r="AM93" s="38">
        <v>34.340000000000003</v>
      </c>
      <c r="AN93" s="38">
        <v>33.33</v>
      </c>
      <c r="AO93" s="38">
        <v>33.5</v>
      </c>
      <c r="AP93" s="38">
        <v>34.56</v>
      </c>
      <c r="AQ93" s="38">
        <v>37.49</v>
      </c>
      <c r="AR93" s="38">
        <v>42.15</v>
      </c>
      <c r="AS93" s="38">
        <v>44.4</v>
      </c>
      <c r="AT93" s="38">
        <v>44.75</v>
      </c>
      <c r="AU93" s="38">
        <v>44.83</v>
      </c>
      <c r="AV93" s="38">
        <v>42.29</v>
      </c>
      <c r="AW93" s="38">
        <v>39.68</v>
      </c>
      <c r="AX93" s="38">
        <v>35.61</v>
      </c>
      <c r="AY93" s="38">
        <v>35.29</v>
      </c>
      <c r="BA93" s="37">
        <v>18.11</v>
      </c>
      <c r="BB93" s="38">
        <v>1.2613000000000001</v>
      </c>
    </row>
    <row r="94" spans="1:54" x14ac:dyDescent="0.35">
      <c r="A94" s="2">
        <f t="shared" si="1"/>
        <v>43952</v>
      </c>
      <c r="B94" t="s">
        <v>136</v>
      </c>
      <c r="C94" s="32">
        <v>43952</v>
      </c>
      <c r="D94" s="38">
        <v>13.28</v>
      </c>
      <c r="E94" s="38">
        <v>14.89</v>
      </c>
      <c r="F94" s="38">
        <v>16.440000000000001</v>
      </c>
      <c r="G94" s="38">
        <v>18.84</v>
      </c>
      <c r="H94" s="38">
        <v>21.61</v>
      </c>
      <c r="I94" s="38">
        <v>30.11</v>
      </c>
      <c r="J94" s="38">
        <v>33.479999999999997</v>
      </c>
      <c r="K94" s="38">
        <v>34.97</v>
      </c>
      <c r="L94" s="38">
        <v>35.229999999999997</v>
      </c>
      <c r="M94" s="38">
        <v>32.86</v>
      </c>
      <c r="N94" s="38">
        <v>30.05</v>
      </c>
      <c r="O94" s="38">
        <v>28.08</v>
      </c>
      <c r="P94" s="38">
        <v>27.3</v>
      </c>
      <c r="Q94" s="38">
        <v>26.94</v>
      </c>
      <c r="R94" s="38">
        <v>27.65</v>
      </c>
      <c r="S94" s="38">
        <v>29.36</v>
      </c>
      <c r="T94" s="38">
        <v>32.729999999999997</v>
      </c>
      <c r="U94" s="38">
        <v>35.31</v>
      </c>
      <c r="V94" s="38">
        <v>37.479999999999997</v>
      </c>
      <c r="W94" s="38">
        <v>40.9</v>
      </c>
      <c r="X94" s="38">
        <v>40.659999999999997</v>
      </c>
      <c r="Y94" s="38">
        <v>37.020000000000003</v>
      </c>
      <c r="Z94" s="38">
        <v>32.93</v>
      </c>
      <c r="AA94" s="38">
        <v>31.66</v>
      </c>
      <c r="AB94" s="38">
        <v>31.16</v>
      </c>
      <c r="AC94" s="38">
        <v>30.48</v>
      </c>
      <c r="AD94" s="38">
        <v>30.95</v>
      </c>
      <c r="AE94" s="38">
        <v>32.21</v>
      </c>
      <c r="AF94" s="38">
        <v>36.18</v>
      </c>
      <c r="AG94" s="38">
        <v>39.31</v>
      </c>
      <c r="AH94" s="38">
        <v>42.02</v>
      </c>
      <c r="AI94" s="38">
        <v>43.82</v>
      </c>
      <c r="AJ94" s="38">
        <v>43.79</v>
      </c>
      <c r="AK94" s="38">
        <v>41.25</v>
      </c>
      <c r="AL94" s="38">
        <v>36.15</v>
      </c>
      <c r="AM94" s="38">
        <v>34.11</v>
      </c>
      <c r="AN94" s="38">
        <v>33.1</v>
      </c>
      <c r="AO94" s="38">
        <v>33.270000000000003</v>
      </c>
      <c r="AP94" s="38">
        <v>34.33</v>
      </c>
      <c r="AQ94" s="38">
        <v>37.26</v>
      </c>
      <c r="AR94" s="38">
        <v>41.92</v>
      </c>
      <c r="AS94" s="38">
        <v>44.17</v>
      </c>
      <c r="AT94" s="38">
        <v>44.52</v>
      </c>
      <c r="AU94" s="38">
        <v>44.6</v>
      </c>
      <c r="AV94" s="38">
        <v>42.06</v>
      </c>
      <c r="AW94" s="38">
        <v>39.450000000000003</v>
      </c>
      <c r="AX94" s="38">
        <v>35.380000000000003</v>
      </c>
      <c r="AY94" s="38">
        <v>35.06</v>
      </c>
      <c r="BA94" s="37">
        <v>18.489999999999998</v>
      </c>
      <c r="BB94" s="38">
        <v>1.2546999999999999</v>
      </c>
    </row>
    <row r="95" spans="1:54" x14ac:dyDescent="0.35">
      <c r="A95" s="2">
        <f t="shared" si="1"/>
        <v>43955</v>
      </c>
      <c r="B95" t="s">
        <v>137</v>
      </c>
      <c r="C95" s="32">
        <v>43955</v>
      </c>
      <c r="D95" s="38">
        <v>13.81</v>
      </c>
      <c r="E95" s="38">
        <v>15.16</v>
      </c>
      <c r="F95" s="38">
        <v>16.55</v>
      </c>
      <c r="G95" s="38">
        <v>18.8</v>
      </c>
      <c r="H95" s="38">
        <v>21.7</v>
      </c>
      <c r="I95" s="38">
        <v>30.23</v>
      </c>
      <c r="J95" s="38">
        <v>33.58</v>
      </c>
      <c r="K95" s="38">
        <v>35.04</v>
      </c>
      <c r="L95" s="38">
        <v>35.299999999999997</v>
      </c>
      <c r="M95" s="38">
        <v>32.93</v>
      </c>
      <c r="N95" s="38">
        <v>30.12</v>
      </c>
      <c r="O95" s="38">
        <v>28.15</v>
      </c>
      <c r="P95" s="38">
        <v>27.37</v>
      </c>
      <c r="Q95" s="38">
        <v>27.01</v>
      </c>
      <c r="R95" s="38">
        <v>27.72</v>
      </c>
      <c r="S95" s="38">
        <v>29.43</v>
      </c>
      <c r="T95" s="38">
        <v>32.799999999999997</v>
      </c>
      <c r="U95" s="38">
        <v>35.380000000000003</v>
      </c>
      <c r="V95" s="38">
        <v>37.549999999999997</v>
      </c>
      <c r="W95" s="38">
        <v>40.97</v>
      </c>
      <c r="X95" s="38">
        <v>40.729999999999997</v>
      </c>
      <c r="Y95" s="38">
        <v>37.090000000000003</v>
      </c>
      <c r="Z95" s="38">
        <v>33</v>
      </c>
      <c r="AA95" s="38">
        <v>31.73</v>
      </c>
      <c r="AB95" s="38">
        <v>31.23</v>
      </c>
      <c r="AC95" s="38">
        <v>30.55</v>
      </c>
      <c r="AD95" s="38">
        <v>31.02</v>
      </c>
      <c r="AE95" s="38">
        <v>32.25</v>
      </c>
      <c r="AF95" s="38">
        <v>36.18</v>
      </c>
      <c r="AG95" s="38">
        <v>39.270000000000003</v>
      </c>
      <c r="AH95" s="38">
        <v>41.98</v>
      </c>
      <c r="AI95" s="38">
        <v>43.78</v>
      </c>
      <c r="AJ95" s="38">
        <v>43.75</v>
      </c>
      <c r="AK95" s="38">
        <v>41.21</v>
      </c>
      <c r="AL95" s="38">
        <v>36.19</v>
      </c>
      <c r="AM95" s="38">
        <v>34.18</v>
      </c>
      <c r="AN95" s="38">
        <v>33.200000000000003</v>
      </c>
      <c r="AO95" s="38">
        <v>33.369999999999997</v>
      </c>
      <c r="AP95" s="38">
        <v>34.43</v>
      </c>
      <c r="AQ95" s="38">
        <v>37.36</v>
      </c>
      <c r="AR95" s="38">
        <v>42.02</v>
      </c>
      <c r="AS95" s="38">
        <v>44.27</v>
      </c>
      <c r="AT95" s="38">
        <v>44.62</v>
      </c>
      <c r="AU95" s="38">
        <v>44.7</v>
      </c>
      <c r="AV95" s="38">
        <v>42.16</v>
      </c>
      <c r="AW95" s="38">
        <v>39.549999999999997</v>
      </c>
      <c r="AX95" s="38">
        <v>35.479999999999997</v>
      </c>
      <c r="AY95" s="38">
        <v>35.159999999999997</v>
      </c>
      <c r="BA95" s="37">
        <v>20.399999999999999</v>
      </c>
      <c r="BB95" s="38">
        <v>1.2421</v>
      </c>
    </row>
    <row r="96" spans="1:54" x14ac:dyDescent="0.35">
      <c r="A96" s="2">
        <f t="shared" si="1"/>
        <v>43956</v>
      </c>
      <c r="B96" t="s">
        <v>138</v>
      </c>
      <c r="C96" s="32">
        <v>43956</v>
      </c>
      <c r="D96" s="38">
        <v>13.59</v>
      </c>
      <c r="E96" s="38">
        <v>14.79</v>
      </c>
      <c r="F96" s="38">
        <v>16.29</v>
      </c>
      <c r="G96" s="38">
        <v>18.649999999999999</v>
      </c>
      <c r="H96" s="38">
        <v>21.61</v>
      </c>
      <c r="I96" s="38">
        <v>30.31</v>
      </c>
      <c r="J96" s="38">
        <v>33.659999999999997</v>
      </c>
      <c r="K96" s="38">
        <v>35.06</v>
      </c>
      <c r="L96" s="38">
        <v>35.32</v>
      </c>
      <c r="M96" s="38">
        <v>32.93</v>
      </c>
      <c r="N96" s="38">
        <v>30.12</v>
      </c>
      <c r="O96" s="38">
        <v>28.15</v>
      </c>
      <c r="P96" s="38">
        <v>27.33</v>
      </c>
      <c r="Q96" s="38">
        <v>26.97</v>
      </c>
      <c r="R96" s="38">
        <v>27.65</v>
      </c>
      <c r="S96" s="38">
        <v>29.33</v>
      </c>
      <c r="T96" s="38">
        <v>32.67</v>
      </c>
      <c r="U96" s="38">
        <v>35.22</v>
      </c>
      <c r="V96" s="38">
        <v>37.36</v>
      </c>
      <c r="W96" s="38">
        <v>40.770000000000003</v>
      </c>
      <c r="X96" s="38">
        <v>40.53</v>
      </c>
      <c r="Y96" s="38">
        <v>36.89</v>
      </c>
      <c r="Z96" s="38">
        <v>32.979999999999997</v>
      </c>
      <c r="AA96" s="38">
        <v>31.71</v>
      </c>
      <c r="AB96" s="38">
        <v>31.21</v>
      </c>
      <c r="AC96" s="38">
        <v>30.53</v>
      </c>
      <c r="AD96" s="38">
        <v>31</v>
      </c>
      <c r="AE96" s="38">
        <v>32.18</v>
      </c>
      <c r="AF96" s="38">
        <v>35.81</v>
      </c>
      <c r="AG96" s="38">
        <v>38.85</v>
      </c>
      <c r="AH96" s="38">
        <v>41.56</v>
      </c>
      <c r="AI96" s="38">
        <v>43.36</v>
      </c>
      <c r="AJ96" s="38">
        <v>43.33</v>
      </c>
      <c r="AK96" s="38">
        <v>40.83</v>
      </c>
      <c r="AL96" s="38">
        <v>35.9</v>
      </c>
      <c r="AM96" s="38">
        <v>33.92</v>
      </c>
      <c r="AN96" s="38">
        <v>32.94</v>
      </c>
      <c r="AO96" s="38">
        <v>33.11</v>
      </c>
      <c r="AP96" s="38">
        <v>34.17</v>
      </c>
      <c r="AQ96" s="38">
        <v>37.1</v>
      </c>
      <c r="AR96" s="38">
        <v>41.76</v>
      </c>
      <c r="AS96" s="38">
        <v>44.01</v>
      </c>
      <c r="AT96" s="38">
        <v>44.36</v>
      </c>
      <c r="AU96" s="38">
        <v>44.4</v>
      </c>
      <c r="AV96" s="38">
        <v>41.82</v>
      </c>
      <c r="AW96" s="38">
        <v>39.17</v>
      </c>
      <c r="AX96" s="38">
        <v>35.1</v>
      </c>
      <c r="AY96" s="38">
        <v>34.78</v>
      </c>
      <c r="BA96" s="37">
        <v>25.46</v>
      </c>
      <c r="BB96" s="38">
        <v>1.2454000000000001</v>
      </c>
    </row>
    <row r="97" spans="1:54" x14ac:dyDescent="0.35">
      <c r="A97" s="2">
        <f t="shared" si="1"/>
        <v>43957</v>
      </c>
      <c r="B97" t="s">
        <v>139</v>
      </c>
      <c r="C97" s="32">
        <v>43957</v>
      </c>
      <c r="D97" s="38">
        <v>13.67</v>
      </c>
      <c r="E97" s="38">
        <v>14.79</v>
      </c>
      <c r="F97" s="38">
        <v>16.329999999999998</v>
      </c>
      <c r="G97" s="38">
        <v>18.829999999999998</v>
      </c>
      <c r="H97" s="38">
        <v>21.85</v>
      </c>
      <c r="I97" s="38">
        <v>30.61</v>
      </c>
      <c r="J97" s="38">
        <v>34.06</v>
      </c>
      <c r="K97" s="38">
        <v>35.54</v>
      </c>
      <c r="L97" s="38">
        <v>35.96</v>
      </c>
      <c r="M97" s="38">
        <v>33.520000000000003</v>
      </c>
      <c r="N97" s="38">
        <v>30.44</v>
      </c>
      <c r="O97" s="38">
        <v>28.45</v>
      </c>
      <c r="P97" s="38">
        <v>27.66</v>
      </c>
      <c r="Q97" s="38">
        <v>27.33</v>
      </c>
      <c r="R97" s="38">
        <v>28.01</v>
      </c>
      <c r="S97" s="38">
        <v>29.72</v>
      </c>
      <c r="T97" s="38">
        <v>33.200000000000003</v>
      </c>
      <c r="U97" s="38">
        <v>35.79</v>
      </c>
      <c r="V97" s="38">
        <v>37.94</v>
      </c>
      <c r="W97" s="38">
        <v>41.31</v>
      </c>
      <c r="X97" s="38">
        <v>41.04</v>
      </c>
      <c r="Y97" s="38">
        <v>37.340000000000003</v>
      </c>
      <c r="Z97" s="38">
        <v>33.31</v>
      </c>
      <c r="AA97" s="38">
        <v>32</v>
      </c>
      <c r="AB97" s="38">
        <v>31.5</v>
      </c>
      <c r="AC97" s="38">
        <v>30.82</v>
      </c>
      <c r="AD97" s="38">
        <v>31.29</v>
      </c>
      <c r="AE97" s="38">
        <v>32.47</v>
      </c>
      <c r="AF97" s="38">
        <v>36.1</v>
      </c>
      <c r="AG97" s="38">
        <v>39.14</v>
      </c>
      <c r="AH97" s="38">
        <v>41.85</v>
      </c>
      <c r="AI97" s="38">
        <v>43.68</v>
      </c>
      <c r="AJ97" s="38">
        <v>43.68</v>
      </c>
      <c r="AK97" s="38">
        <v>41.18</v>
      </c>
      <c r="AL97" s="38">
        <v>36.25</v>
      </c>
      <c r="AM97" s="38">
        <v>34.270000000000003</v>
      </c>
      <c r="AN97" s="38">
        <v>33.29</v>
      </c>
      <c r="AO97" s="38">
        <v>33.46</v>
      </c>
      <c r="AP97" s="38">
        <v>34.520000000000003</v>
      </c>
      <c r="AQ97" s="38">
        <v>37.450000000000003</v>
      </c>
      <c r="AR97" s="38">
        <v>42.11</v>
      </c>
      <c r="AS97" s="38">
        <v>44.36</v>
      </c>
      <c r="AT97" s="38">
        <v>44.71</v>
      </c>
      <c r="AU97" s="38">
        <v>44.75</v>
      </c>
      <c r="AV97" s="38">
        <v>42.17</v>
      </c>
      <c r="AW97" s="38">
        <v>39.520000000000003</v>
      </c>
      <c r="AX97" s="38">
        <v>35.450000000000003</v>
      </c>
      <c r="AY97" s="38">
        <v>35.130000000000003</v>
      </c>
      <c r="BA97" s="37">
        <v>24.2</v>
      </c>
      <c r="BB97" s="38">
        <v>1.2362</v>
      </c>
    </row>
    <row r="98" spans="1:54" x14ac:dyDescent="0.35">
      <c r="A98" s="2">
        <f t="shared" si="1"/>
        <v>43958</v>
      </c>
      <c r="B98" t="s">
        <v>140</v>
      </c>
      <c r="C98" s="32">
        <v>43958</v>
      </c>
      <c r="D98" s="38">
        <v>13.98</v>
      </c>
      <c r="E98" s="38">
        <v>15.07</v>
      </c>
      <c r="F98" s="38">
        <v>16.59</v>
      </c>
      <c r="G98" s="38">
        <v>19.2</v>
      </c>
      <c r="H98" s="38">
        <v>22.25</v>
      </c>
      <c r="I98" s="38">
        <v>31.2</v>
      </c>
      <c r="J98" s="38">
        <v>34.81</v>
      </c>
      <c r="K98" s="38">
        <v>36.17</v>
      </c>
      <c r="L98" s="38">
        <v>36.590000000000003</v>
      </c>
      <c r="M98" s="38">
        <v>34.1</v>
      </c>
      <c r="N98" s="38">
        <v>30.99</v>
      </c>
      <c r="O98" s="38">
        <v>29</v>
      </c>
      <c r="P98" s="38">
        <v>28.18</v>
      </c>
      <c r="Q98" s="38">
        <v>27.84</v>
      </c>
      <c r="R98" s="38">
        <v>28.52</v>
      </c>
      <c r="S98" s="38">
        <v>30.22</v>
      </c>
      <c r="T98" s="38">
        <v>33.659999999999997</v>
      </c>
      <c r="U98" s="38">
        <v>36.24</v>
      </c>
      <c r="V98" s="38">
        <v>38.369999999999997</v>
      </c>
      <c r="W98" s="38">
        <v>41.72</v>
      </c>
      <c r="X98" s="38">
        <v>41.43</v>
      </c>
      <c r="Y98" s="38">
        <v>37.69</v>
      </c>
      <c r="Z98" s="38">
        <v>33.630000000000003</v>
      </c>
      <c r="AA98" s="38">
        <v>32.299999999999997</v>
      </c>
      <c r="AB98" s="38">
        <v>31.78</v>
      </c>
      <c r="AC98" s="38">
        <v>31.08</v>
      </c>
      <c r="AD98" s="38">
        <v>31.52</v>
      </c>
      <c r="AE98" s="38">
        <v>32.659999999999997</v>
      </c>
      <c r="AF98" s="38">
        <v>36.29</v>
      </c>
      <c r="AG98" s="38">
        <v>39.33</v>
      </c>
      <c r="AH98" s="38">
        <v>42.04</v>
      </c>
      <c r="AI98" s="38">
        <v>43.87</v>
      </c>
      <c r="AJ98" s="38">
        <v>43.87</v>
      </c>
      <c r="AK98" s="38">
        <v>41.37</v>
      </c>
      <c r="AL98" s="38">
        <v>36.380000000000003</v>
      </c>
      <c r="AM98" s="38">
        <v>34.4</v>
      </c>
      <c r="AN98" s="38">
        <v>33.42</v>
      </c>
      <c r="AO98" s="38">
        <v>33.590000000000003</v>
      </c>
      <c r="AP98" s="38">
        <v>34.65</v>
      </c>
      <c r="AQ98" s="38">
        <v>37.58</v>
      </c>
      <c r="AR98" s="38">
        <v>42.24</v>
      </c>
      <c r="AS98" s="38">
        <v>44.49</v>
      </c>
      <c r="AT98" s="38">
        <v>44.84</v>
      </c>
      <c r="AU98" s="38">
        <v>44.88</v>
      </c>
      <c r="AV98" s="38">
        <v>42.3</v>
      </c>
      <c r="AW98" s="38">
        <v>39.65</v>
      </c>
      <c r="AX98" s="38">
        <v>35.58</v>
      </c>
      <c r="AY98" s="38">
        <v>35.26</v>
      </c>
      <c r="BA98" s="37">
        <v>24.23</v>
      </c>
      <c r="BB98" s="38">
        <v>1.2286999999999999</v>
      </c>
    </row>
    <row r="99" spans="1:54" x14ac:dyDescent="0.35">
      <c r="A99" s="2">
        <f t="shared" si="1"/>
        <v>43959</v>
      </c>
      <c r="B99" t="s">
        <v>141</v>
      </c>
      <c r="C99" s="32">
        <v>43959</v>
      </c>
      <c r="D99" s="38">
        <v>13.98</v>
      </c>
      <c r="E99" s="38">
        <v>15.07</v>
      </c>
      <c r="F99" s="38">
        <v>16.59</v>
      </c>
      <c r="G99" s="38">
        <v>19.2</v>
      </c>
      <c r="H99" s="38">
        <v>22.25</v>
      </c>
      <c r="I99" s="38">
        <v>31.2</v>
      </c>
      <c r="J99" s="38">
        <v>34.81</v>
      </c>
      <c r="K99" s="38">
        <v>36.17</v>
      </c>
      <c r="L99" s="38">
        <v>36.590000000000003</v>
      </c>
      <c r="M99" s="38">
        <v>34.1</v>
      </c>
      <c r="N99" s="38">
        <v>30.99</v>
      </c>
      <c r="O99" s="38">
        <v>29</v>
      </c>
      <c r="P99" s="38">
        <v>28.18</v>
      </c>
      <c r="Q99" s="38">
        <v>27.84</v>
      </c>
      <c r="R99" s="38">
        <v>28.52</v>
      </c>
      <c r="S99" s="38">
        <v>30.22</v>
      </c>
      <c r="T99" s="38">
        <v>33.659999999999997</v>
      </c>
      <c r="U99" s="38">
        <v>36.24</v>
      </c>
      <c r="V99" s="38">
        <v>38.369999999999997</v>
      </c>
      <c r="W99" s="38">
        <v>41.72</v>
      </c>
      <c r="X99" s="38">
        <v>41.43</v>
      </c>
      <c r="Y99" s="38">
        <v>37.69</v>
      </c>
      <c r="Z99" s="38">
        <v>33.630000000000003</v>
      </c>
      <c r="AA99" s="38">
        <v>32.299999999999997</v>
      </c>
      <c r="AB99" s="38">
        <v>31.78</v>
      </c>
      <c r="AC99" s="38">
        <v>31.08</v>
      </c>
      <c r="AD99" s="38">
        <v>31.52</v>
      </c>
      <c r="AE99" s="38">
        <v>32.659999999999997</v>
      </c>
      <c r="AF99" s="38">
        <v>36.29</v>
      </c>
      <c r="AG99" s="38">
        <v>39.33</v>
      </c>
      <c r="AH99" s="38">
        <v>42.04</v>
      </c>
      <c r="AI99" s="38">
        <v>43.87</v>
      </c>
      <c r="AJ99" s="38">
        <v>43.87</v>
      </c>
      <c r="AK99" s="38">
        <v>41.37</v>
      </c>
      <c r="AL99" s="38">
        <v>36.380000000000003</v>
      </c>
      <c r="AM99" s="38">
        <v>34.4</v>
      </c>
      <c r="AN99" s="38">
        <v>33.42</v>
      </c>
      <c r="AO99" s="38">
        <v>33.590000000000003</v>
      </c>
      <c r="AP99" s="38">
        <v>34.65</v>
      </c>
      <c r="AQ99" s="38">
        <v>37.58</v>
      </c>
      <c r="AR99" s="38">
        <v>42.24</v>
      </c>
      <c r="AS99" s="38">
        <v>44.49</v>
      </c>
      <c r="AT99" s="38">
        <v>44.84</v>
      </c>
      <c r="AU99" s="38">
        <v>44.88</v>
      </c>
      <c r="AV99" s="38">
        <v>42.3</v>
      </c>
      <c r="AW99" s="38">
        <v>39.65</v>
      </c>
      <c r="AX99" s="38">
        <v>35.58</v>
      </c>
      <c r="AY99" s="38">
        <v>35.26</v>
      </c>
      <c r="BA99" s="37" t="e">
        <v>#N/A</v>
      </c>
      <c r="BB99" s="38" t="e">
        <v>#N/A</v>
      </c>
    </row>
    <row r="100" spans="1:54" x14ac:dyDescent="0.35">
      <c r="A100" s="2">
        <f t="shared" si="1"/>
        <v>43962</v>
      </c>
      <c r="B100" t="s">
        <v>142</v>
      </c>
      <c r="C100" s="32">
        <v>43962</v>
      </c>
      <c r="D100" s="38">
        <v>13.29</v>
      </c>
      <c r="E100" s="38">
        <v>14.44</v>
      </c>
      <c r="F100" s="38">
        <v>16.059999999999999</v>
      </c>
      <c r="G100" s="38">
        <v>18.79</v>
      </c>
      <c r="H100" s="38">
        <v>22.26</v>
      </c>
      <c r="I100" s="38">
        <v>31.33</v>
      </c>
      <c r="J100" s="38">
        <v>34.96</v>
      </c>
      <c r="K100" s="38">
        <v>36.299999999999997</v>
      </c>
      <c r="L100" s="38">
        <v>36.81</v>
      </c>
      <c r="M100" s="38">
        <v>34.29</v>
      </c>
      <c r="N100" s="38">
        <v>31.13</v>
      </c>
      <c r="O100" s="38">
        <v>29.14</v>
      </c>
      <c r="P100" s="38">
        <v>28.32</v>
      </c>
      <c r="Q100" s="38">
        <v>28.11</v>
      </c>
      <c r="R100" s="38">
        <v>28.88</v>
      </c>
      <c r="S100" s="38">
        <v>30.48</v>
      </c>
      <c r="T100" s="38">
        <v>33.92</v>
      </c>
      <c r="U100" s="38">
        <v>36.409999999999997</v>
      </c>
      <c r="V100" s="38">
        <v>38.54</v>
      </c>
      <c r="W100" s="38">
        <v>41.89</v>
      </c>
      <c r="X100" s="38">
        <v>41.6</v>
      </c>
      <c r="Y100" s="38">
        <v>37.92</v>
      </c>
      <c r="Z100" s="38">
        <v>33.85</v>
      </c>
      <c r="AA100" s="38">
        <v>32.520000000000003</v>
      </c>
      <c r="AB100" s="38">
        <v>32.049999999999997</v>
      </c>
      <c r="AC100" s="38">
        <v>31.35</v>
      </c>
      <c r="AD100" s="38">
        <v>31.79</v>
      </c>
      <c r="AE100" s="38">
        <v>32.96</v>
      </c>
      <c r="AF100" s="38">
        <v>36.630000000000003</v>
      </c>
      <c r="AG100" s="38">
        <v>39.67</v>
      </c>
      <c r="AH100" s="38">
        <v>42.38</v>
      </c>
      <c r="AI100" s="38">
        <v>44.21</v>
      </c>
      <c r="AJ100" s="38">
        <v>44.21</v>
      </c>
      <c r="AK100" s="38">
        <v>41.71</v>
      </c>
      <c r="AL100" s="38">
        <v>36.67</v>
      </c>
      <c r="AM100" s="38">
        <v>34.64</v>
      </c>
      <c r="AN100" s="38">
        <v>33.659999999999997</v>
      </c>
      <c r="AO100" s="38">
        <v>33.79</v>
      </c>
      <c r="AP100" s="38">
        <v>34.85</v>
      </c>
      <c r="AQ100" s="38">
        <v>37.729999999999997</v>
      </c>
      <c r="AR100" s="38">
        <v>42.35</v>
      </c>
      <c r="AS100" s="38">
        <v>44.54</v>
      </c>
      <c r="AT100" s="38">
        <v>44.89</v>
      </c>
      <c r="AU100" s="38">
        <v>44.93</v>
      </c>
      <c r="AV100" s="38">
        <v>42.35</v>
      </c>
      <c r="AW100" s="38">
        <v>39.700000000000003</v>
      </c>
      <c r="AX100" s="38">
        <v>35.630000000000003</v>
      </c>
      <c r="AY100" s="38">
        <v>35.31</v>
      </c>
      <c r="BA100" s="37">
        <v>25.53</v>
      </c>
      <c r="BB100" s="38">
        <v>1.2358</v>
      </c>
    </row>
    <row r="101" spans="1:54" x14ac:dyDescent="0.35">
      <c r="A101" s="2">
        <f t="shared" si="1"/>
        <v>43963</v>
      </c>
      <c r="B101" t="s">
        <v>143</v>
      </c>
      <c r="C101" s="32">
        <v>43963</v>
      </c>
      <c r="D101" s="38">
        <v>12.2</v>
      </c>
      <c r="E101" s="38">
        <v>13.21</v>
      </c>
      <c r="F101" s="38">
        <v>15.11</v>
      </c>
      <c r="G101" s="38">
        <v>18.059999999999999</v>
      </c>
      <c r="H101" s="38">
        <v>21.56</v>
      </c>
      <c r="I101" s="38">
        <v>30.71</v>
      </c>
      <c r="J101" s="38">
        <v>34.49</v>
      </c>
      <c r="K101" s="38">
        <v>35.83</v>
      </c>
      <c r="L101" s="38">
        <v>36.22</v>
      </c>
      <c r="M101" s="38">
        <v>33.86</v>
      </c>
      <c r="N101" s="38">
        <v>30.56</v>
      </c>
      <c r="O101" s="38">
        <v>28.5</v>
      </c>
      <c r="P101" s="38">
        <v>27.68</v>
      </c>
      <c r="Q101" s="38">
        <v>27.44</v>
      </c>
      <c r="R101" s="38">
        <v>28.21</v>
      </c>
      <c r="S101" s="38">
        <v>29.86</v>
      </c>
      <c r="T101" s="38">
        <v>33.46</v>
      </c>
      <c r="U101" s="38">
        <v>35.979999999999997</v>
      </c>
      <c r="V101" s="38">
        <v>38.119999999999997</v>
      </c>
      <c r="W101" s="38">
        <v>41.47</v>
      </c>
      <c r="X101" s="38">
        <v>41.18</v>
      </c>
      <c r="Y101" s="38">
        <v>37.5</v>
      </c>
      <c r="Z101" s="38">
        <v>33.49</v>
      </c>
      <c r="AA101" s="38">
        <v>32.22</v>
      </c>
      <c r="AB101" s="38">
        <v>31.77</v>
      </c>
      <c r="AC101" s="38">
        <v>31.07</v>
      </c>
      <c r="AD101" s="38">
        <v>31.51</v>
      </c>
      <c r="AE101" s="38">
        <v>32.68</v>
      </c>
      <c r="AF101" s="38">
        <v>36.39</v>
      </c>
      <c r="AG101" s="38">
        <v>39.47</v>
      </c>
      <c r="AH101" s="38">
        <v>42.21</v>
      </c>
      <c r="AI101" s="38">
        <v>44.04</v>
      </c>
      <c r="AJ101" s="38">
        <v>44.04</v>
      </c>
      <c r="AK101" s="38">
        <v>41.54</v>
      </c>
      <c r="AL101" s="38">
        <v>36.5</v>
      </c>
      <c r="AM101" s="38">
        <v>34.47</v>
      </c>
      <c r="AN101" s="38">
        <v>33.49</v>
      </c>
      <c r="AO101" s="38">
        <v>33.619999999999997</v>
      </c>
      <c r="AP101" s="38">
        <v>34.68</v>
      </c>
      <c r="AQ101" s="38">
        <v>37.56</v>
      </c>
      <c r="AR101" s="38">
        <v>42.23</v>
      </c>
      <c r="AS101" s="38">
        <v>44.48</v>
      </c>
      <c r="AT101" s="38">
        <v>44.88</v>
      </c>
      <c r="AU101" s="38">
        <v>44.92</v>
      </c>
      <c r="AV101" s="38">
        <v>42.34</v>
      </c>
      <c r="AW101" s="38">
        <v>39.69</v>
      </c>
      <c r="AX101" s="38">
        <v>35.619999999999997</v>
      </c>
      <c r="AY101" s="38">
        <v>35.299999999999997</v>
      </c>
      <c r="BA101" s="37">
        <v>26.67</v>
      </c>
      <c r="BB101" s="38">
        <v>1.2330000000000001</v>
      </c>
    </row>
    <row r="102" spans="1:54" x14ac:dyDescent="0.35">
      <c r="A102" s="2">
        <f t="shared" si="1"/>
        <v>43964</v>
      </c>
      <c r="B102" t="s">
        <v>144</v>
      </c>
      <c r="C102" s="32">
        <v>43964</v>
      </c>
      <c r="D102" s="38">
        <v>12.01</v>
      </c>
      <c r="E102" s="38">
        <v>12.53</v>
      </c>
      <c r="F102" s="38">
        <v>14.49</v>
      </c>
      <c r="G102" s="38">
        <v>17.510000000000002</v>
      </c>
      <c r="H102" s="38">
        <v>21.07</v>
      </c>
      <c r="I102" s="38">
        <v>30.28</v>
      </c>
      <c r="J102" s="38">
        <v>34.07</v>
      </c>
      <c r="K102" s="38">
        <v>35.549999999999997</v>
      </c>
      <c r="L102" s="38">
        <v>35.92</v>
      </c>
      <c r="M102" s="38">
        <v>33.61</v>
      </c>
      <c r="N102" s="38">
        <v>30.51</v>
      </c>
      <c r="O102" s="38">
        <v>28.59</v>
      </c>
      <c r="P102" s="38">
        <v>27.71</v>
      </c>
      <c r="Q102" s="38">
        <v>27.46</v>
      </c>
      <c r="R102" s="38">
        <v>28.23</v>
      </c>
      <c r="S102" s="38">
        <v>29.92</v>
      </c>
      <c r="T102" s="38">
        <v>33.47</v>
      </c>
      <c r="U102" s="38">
        <v>36.03</v>
      </c>
      <c r="V102" s="38">
        <v>38.17</v>
      </c>
      <c r="W102" s="38">
        <v>41.52</v>
      </c>
      <c r="X102" s="38">
        <v>41.23</v>
      </c>
      <c r="Y102" s="38">
        <v>37.549999999999997</v>
      </c>
      <c r="Z102" s="38">
        <v>33.44</v>
      </c>
      <c r="AA102" s="38">
        <v>32.17</v>
      </c>
      <c r="AB102" s="38">
        <v>31.72</v>
      </c>
      <c r="AC102" s="38">
        <v>31</v>
      </c>
      <c r="AD102" s="38">
        <v>31.33</v>
      </c>
      <c r="AE102" s="38">
        <v>32.4</v>
      </c>
      <c r="AF102" s="38">
        <v>36.01</v>
      </c>
      <c r="AG102" s="38">
        <v>39.090000000000003</v>
      </c>
      <c r="AH102" s="38">
        <v>41.83</v>
      </c>
      <c r="AI102" s="38">
        <v>43.66</v>
      </c>
      <c r="AJ102" s="38">
        <v>43.66</v>
      </c>
      <c r="AK102" s="38">
        <v>41.2</v>
      </c>
      <c r="AL102" s="38">
        <v>36.200000000000003</v>
      </c>
      <c r="AM102" s="38">
        <v>34.21</v>
      </c>
      <c r="AN102" s="38">
        <v>33.270000000000003</v>
      </c>
      <c r="AO102" s="38">
        <v>33.44</v>
      </c>
      <c r="AP102" s="38">
        <v>34.54</v>
      </c>
      <c r="AQ102" s="38">
        <v>37.46</v>
      </c>
      <c r="AR102" s="38">
        <v>42.17</v>
      </c>
      <c r="AS102" s="38">
        <v>44.42</v>
      </c>
      <c r="AT102" s="38">
        <v>44.82</v>
      </c>
      <c r="AU102" s="38">
        <v>44.86</v>
      </c>
      <c r="AV102" s="38">
        <v>42.28</v>
      </c>
      <c r="AW102" s="38">
        <v>39.630000000000003</v>
      </c>
      <c r="AX102" s="38">
        <v>35.56</v>
      </c>
      <c r="AY102" s="38">
        <v>35.24</v>
      </c>
      <c r="BA102" s="37">
        <v>27.89</v>
      </c>
      <c r="BB102" s="38">
        <v>1.2225999999999999</v>
      </c>
    </row>
    <row r="103" spans="1:54" x14ac:dyDescent="0.35">
      <c r="A103" s="2">
        <f t="shared" si="1"/>
        <v>43965</v>
      </c>
      <c r="B103" t="s">
        <v>145</v>
      </c>
      <c r="C103" s="32">
        <v>43965</v>
      </c>
      <c r="D103" s="38">
        <v>12.53</v>
      </c>
      <c r="E103" s="38">
        <v>12.91</v>
      </c>
      <c r="F103" s="38">
        <v>14.88</v>
      </c>
      <c r="G103" s="38">
        <v>17.940000000000001</v>
      </c>
      <c r="H103" s="38">
        <v>21.51</v>
      </c>
      <c r="I103" s="38">
        <v>30.75</v>
      </c>
      <c r="J103" s="38">
        <v>34.65</v>
      </c>
      <c r="K103" s="38">
        <v>36.17</v>
      </c>
      <c r="L103" s="38">
        <v>36.549999999999997</v>
      </c>
      <c r="M103" s="38">
        <v>34.24</v>
      </c>
      <c r="N103" s="38">
        <v>31.1</v>
      </c>
      <c r="O103" s="38">
        <v>29.14</v>
      </c>
      <c r="P103" s="38">
        <v>28.26</v>
      </c>
      <c r="Q103" s="38">
        <v>28.01</v>
      </c>
      <c r="R103" s="38">
        <v>28.78</v>
      </c>
      <c r="S103" s="38">
        <v>30.42</v>
      </c>
      <c r="T103" s="38">
        <v>33.93</v>
      </c>
      <c r="U103" s="38">
        <v>36.49</v>
      </c>
      <c r="V103" s="38">
        <v>38.69</v>
      </c>
      <c r="W103" s="38">
        <v>42.12</v>
      </c>
      <c r="X103" s="38">
        <v>41.91</v>
      </c>
      <c r="Y103" s="38">
        <v>38.229999999999997</v>
      </c>
      <c r="Z103" s="38">
        <v>34.090000000000003</v>
      </c>
      <c r="AA103" s="38">
        <v>32.799999999999997</v>
      </c>
      <c r="AB103" s="38">
        <v>32.299999999999997</v>
      </c>
      <c r="AC103" s="38">
        <v>31.53</v>
      </c>
      <c r="AD103" s="38">
        <v>31.81</v>
      </c>
      <c r="AE103" s="38">
        <v>32.82</v>
      </c>
      <c r="AF103" s="38">
        <v>36.409999999999997</v>
      </c>
      <c r="AG103" s="38">
        <v>39.44</v>
      </c>
      <c r="AH103" s="38">
        <v>42.13</v>
      </c>
      <c r="AI103" s="38">
        <v>43.96</v>
      </c>
      <c r="AJ103" s="38">
        <v>43.96</v>
      </c>
      <c r="AK103" s="38">
        <v>41.5</v>
      </c>
      <c r="AL103" s="38">
        <v>36.5</v>
      </c>
      <c r="AM103" s="38">
        <v>34.51</v>
      </c>
      <c r="AN103" s="38">
        <v>33.57</v>
      </c>
      <c r="AO103" s="38">
        <v>33.74</v>
      </c>
      <c r="AP103" s="38">
        <v>34.840000000000003</v>
      </c>
      <c r="AQ103" s="38">
        <v>37.76</v>
      </c>
      <c r="AR103" s="38">
        <v>42.47</v>
      </c>
      <c r="AS103" s="38">
        <v>44.72</v>
      </c>
      <c r="AT103" s="38">
        <v>45.12</v>
      </c>
      <c r="AU103" s="38">
        <v>45.16</v>
      </c>
      <c r="AV103" s="38">
        <v>42.58</v>
      </c>
      <c r="AW103" s="38">
        <v>39.93</v>
      </c>
      <c r="AX103" s="38">
        <v>35.86</v>
      </c>
      <c r="AY103" s="38">
        <v>35.54</v>
      </c>
      <c r="BA103" s="37">
        <v>29.87</v>
      </c>
      <c r="BB103" s="38">
        <v>1.2199</v>
      </c>
    </row>
    <row r="104" spans="1:54" x14ac:dyDescent="0.35">
      <c r="A104" s="2">
        <f t="shared" si="1"/>
        <v>43966</v>
      </c>
      <c r="B104" t="s">
        <v>146</v>
      </c>
      <c r="C104" s="32">
        <v>43966</v>
      </c>
      <c r="D104" s="38">
        <v>12.59</v>
      </c>
      <c r="E104" s="38">
        <v>12.92</v>
      </c>
      <c r="F104" s="38">
        <v>14.76</v>
      </c>
      <c r="G104" s="38">
        <v>17.91</v>
      </c>
      <c r="H104" s="38">
        <v>21.57</v>
      </c>
      <c r="I104" s="38">
        <v>30.94</v>
      </c>
      <c r="J104" s="38">
        <v>34.94</v>
      </c>
      <c r="K104" s="38">
        <v>36.520000000000003</v>
      </c>
      <c r="L104" s="38">
        <v>36.9</v>
      </c>
      <c r="M104" s="38">
        <v>34.39</v>
      </c>
      <c r="N104" s="38">
        <v>31.61</v>
      </c>
      <c r="O104" s="38">
        <v>29.82</v>
      </c>
      <c r="P104" s="38">
        <v>28.98</v>
      </c>
      <c r="Q104" s="38">
        <v>28.71</v>
      </c>
      <c r="R104" s="38">
        <v>29.46</v>
      </c>
      <c r="S104" s="38">
        <v>31.16</v>
      </c>
      <c r="T104" s="38">
        <v>34.76</v>
      </c>
      <c r="U104" s="38">
        <v>37.369999999999997</v>
      </c>
      <c r="V104" s="38">
        <v>39.590000000000003</v>
      </c>
      <c r="W104" s="38">
        <v>43.04</v>
      </c>
      <c r="X104" s="38">
        <v>42.87</v>
      </c>
      <c r="Y104" s="38">
        <v>39.24</v>
      </c>
      <c r="Z104" s="38">
        <v>35.06</v>
      </c>
      <c r="AA104" s="38">
        <v>33.799999999999997</v>
      </c>
      <c r="AB104" s="38">
        <v>33.340000000000003</v>
      </c>
      <c r="AC104" s="38">
        <v>32.53</v>
      </c>
      <c r="AD104" s="38">
        <v>32.81</v>
      </c>
      <c r="AE104" s="38">
        <v>33.799999999999997</v>
      </c>
      <c r="AF104" s="38">
        <v>37.409999999999997</v>
      </c>
      <c r="AG104" s="38">
        <v>40.44</v>
      </c>
      <c r="AH104" s="38">
        <v>43.13</v>
      </c>
      <c r="AI104" s="38">
        <v>44.96</v>
      </c>
      <c r="AJ104" s="38">
        <v>44.96</v>
      </c>
      <c r="AK104" s="38">
        <v>42.5</v>
      </c>
      <c r="AL104" s="38">
        <v>37.479999999999997</v>
      </c>
      <c r="AM104" s="38">
        <v>35.42</v>
      </c>
      <c r="AN104" s="38">
        <v>34.4</v>
      </c>
      <c r="AO104" s="38">
        <v>34.54</v>
      </c>
      <c r="AP104" s="38">
        <v>35.64</v>
      </c>
      <c r="AQ104" s="38">
        <v>38.56</v>
      </c>
      <c r="AR104" s="38">
        <v>43.29</v>
      </c>
      <c r="AS104" s="38">
        <v>45.55</v>
      </c>
      <c r="AT104" s="38">
        <v>45.96</v>
      </c>
      <c r="AU104" s="38">
        <v>46.01</v>
      </c>
      <c r="AV104" s="38">
        <v>43.43</v>
      </c>
      <c r="AW104" s="38">
        <v>40.78</v>
      </c>
      <c r="AX104" s="38">
        <v>36.71</v>
      </c>
      <c r="AY104" s="38">
        <v>36.39</v>
      </c>
      <c r="BA104" s="37">
        <v>30.95</v>
      </c>
      <c r="BB104" s="38">
        <v>1.2125999999999999</v>
      </c>
    </row>
    <row r="105" spans="1:54" x14ac:dyDescent="0.35">
      <c r="A105" s="2">
        <f t="shared" si="1"/>
        <v>43969</v>
      </c>
      <c r="B105" t="s">
        <v>147</v>
      </c>
      <c r="C105" s="32">
        <v>43969</v>
      </c>
      <c r="D105" s="38">
        <v>11.53</v>
      </c>
      <c r="E105" s="38">
        <v>11.95</v>
      </c>
      <c r="F105" s="38">
        <v>13.87</v>
      </c>
      <c r="G105" s="38">
        <v>17.309999999999999</v>
      </c>
      <c r="H105" s="38">
        <v>21.3</v>
      </c>
      <c r="I105" s="38">
        <v>31.03</v>
      </c>
      <c r="J105" s="38">
        <v>35.200000000000003</v>
      </c>
      <c r="K105" s="38">
        <v>36.78</v>
      </c>
      <c r="L105" s="38">
        <v>37.14</v>
      </c>
      <c r="M105" s="38">
        <v>34.64</v>
      </c>
      <c r="N105" s="38">
        <v>31.8</v>
      </c>
      <c r="O105" s="38">
        <v>29.91</v>
      </c>
      <c r="P105" s="38">
        <v>29.07</v>
      </c>
      <c r="Q105" s="38">
        <v>28.8</v>
      </c>
      <c r="R105" s="38">
        <v>29.55</v>
      </c>
      <c r="S105" s="38">
        <v>31.25</v>
      </c>
      <c r="T105" s="38">
        <v>34.92</v>
      </c>
      <c r="U105" s="38">
        <v>37.53</v>
      </c>
      <c r="V105" s="38">
        <v>39.75</v>
      </c>
      <c r="W105" s="38">
        <v>43.2</v>
      </c>
      <c r="X105" s="38">
        <v>43.03</v>
      </c>
      <c r="Y105" s="38">
        <v>39.4</v>
      </c>
      <c r="Z105" s="38">
        <v>35.32</v>
      </c>
      <c r="AA105" s="38">
        <v>34.06</v>
      </c>
      <c r="AB105" s="38">
        <v>33.6</v>
      </c>
      <c r="AC105" s="38">
        <v>32.78</v>
      </c>
      <c r="AD105" s="38">
        <v>33.049999999999997</v>
      </c>
      <c r="AE105" s="38">
        <v>34</v>
      </c>
      <c r="AF105" s="38">
        <v>37.47</v>
      </c>
      <c r="AG105" s="38">
        <v>40.44</v>
      </c>
      <c r="AH105" s="38">
        <v>43.08</v>
      </c>
      <c r="AI105" s="38">
        <v>44.83</v>
      </c>
      <c r="AJ105" s="38">
        <v>44.83</v>
      </c>
      <c r="AK105" s="38">
        <v>42.37</v>
      </c>
      <c r="AL105" s="38">
        <v>37.35</v>
      </c>
      <c r="AM105" s="38">
        <v>35.29</v>
      </c>
      <c r="AN105" s="38">
        <v>34.270000000000003</v>
      </c>
      <c r="AO105" s="38">
        <v>34.409999999999997</v>
      </c>
      <c r="AP105" s="38">
        <v>35.51</v>
      </c>
      <c r="AQ105" s="38">
        <v>38.43</v>
      </c>
      <c r="AR105" s="38">
        <v>43.16</v>
      </c>
      <c r="AS105" s="38">
        <v>45.42</v>
      </c>
      <c r="AT105" s="38">
        <v>45.83</v>
      </c>
      <c r="AU105" s="38">
        <v>45.88</v>
      </c>
      <c r="AV105" s="38">
        <v>43.3</v>
      </c>
      <c r="AW105" s="38">
        <v>40.65</v>
      </c>
      <c r="AX105" s="38">
        <v>36.58</v>
      </c>
      <c r="AY105" s="38">
        <v>36.26</v>
      </c>
      <c r="BA105" s="37">
        <v>33.299999999999997</v>
      </c>
      <c r="BB105" s="38">
        <v>1.2192000000000001</v>
      </c>
    </row>
    <row r="106" spans="1:54" x14ac:dyDescent="0.35">
      <c r="A106" s="2">
        <f t="shared" si="1"/>
        <v>43970</v>
      </c>
      <c r="B106" t="s">
        <v>148</v>
      </c>
      <c r="C106" s="32">
        <v>43970</v>
      </c>
      <c r="D106" s="38">
        <v>11.17</v>
      </c>
      <c r="E106" s="38">
        <v>11.46</v>
      </c>
      <c r="F106" s="38">
        <v>13.22</v>
      </c>
      <c r="G106" s="38">
        <v>16.7</v>
      </c>
      <c r="H106" s="38">
        <v>20.8</v>
      </c>
      <c r="I106" s="38">
        <v>30.77</v>
      </c>
      <c r="J106" s="38">
        <v>35.049999999999997</v>
      </c>
      <c r="K106" s="38">
        <v>36.840000000000003</v>
      </c>
      <c r="L106" s="38">
        <v>37.21</v>
      </c>
      <c r="M106" s="38">
        <v>34.71</v>
      </c>
      <c r="N106" s="38">
        <v>31.86</v>
      </c>
      <c r="O106" s="38">
        <v>29.97</v>
      </c>
      <c r="P106" s="38">
        <v>29.13</v>
      </c>
      <c r="Q106" s="38">
        <v>28.86</v>
      </c>
      <c r="R106" s="38">
        <v>29.64</v>
      </c>
      <c r="S106" s="38">
        <v>31.37</v>
      </c>
      <c r="T106" s="38">
        <v>35</v>
      </c>
      <c r="U106" s="38">
        <v>37.630000000000003</v>
      </c>
      <c r="V106" s="38">
        <v>39.86</v>
      </c>
      <c r="W106" s="38">
        <v>43.31</v>
      </c>
      <c r="X106" s="38">
        <v>43.14</v>
      </c>
      <c r="Y106" s="38">
        <v>39.450000000000003</v>
      </c>
      <c r="Z106" s="38">
        <v>35.32</v>
      </c>
      <c r="AA106" s="38">
        <v>34.08</v>
      </c>
      <c r="AB106" s="38">
        <v>33.619999999999997</v>
      </c>
      <c r="AC106" s="38">
        <v>32.799999999999997</v>
      </c>
      <c r="AD106" s="38">
        <v>33.07</v>
      </c>
      <c r="AE106" s="38">
        <v>34.020000000000003</v>
      </c>
      <c r="AF106" s="38">
        <v>37.54</v>
      </c>
      <c r="AG106" s="38">
        <v>40.56</v>
      </c>
      <c r="AH106" s="38">
        <v>43.26</v>
      </c>
      <c r="AI106" s="38">
        <v>45.04</v>
      </c>
      <c r="AJ106" s="38">
        <v>45.04</v>
      </c>
      <c r="AK106" s="38">
        <v>42.58</v>
      </c>
      <c r="AL106" s="38">
        <v>37.549999999999997</v>
      </c>
      <c r="AM106" s="38">
        <v>35.479999999999997</v>
      </c>
      <c r="AN106" s="38">
        <v>34.46</v>
      </c>
      <c r="AO106" s="38">
        <v>34.6</v>
      </c>
      <c r="AP106" s="38">
        <v>35.700000000000003</v>
      </c>
      <c r="AQ106" s="38">
        <v>38.619999999999997</v>
      </c>
      <c r="AR106" s="38">
        <v>43.35</v>
      </c>
      <c r="AS106" s="38">
        <v>45.61</v>
      </c>
      <c r="AT106" s="38">
        <v>46.02</v>
      </c>
      <c r="AU106" s="38">
        <v>46.07</v>
      </c>
      <c r="AV106" s="38">
        <v>43.49</v>
      </c>
      <c r="AW106" s="38">
        <v>40.840000000000003</v>
      </c>
      <c r="AX106" s="38">
        <v>36.770000000000003</v>
      </c>
      <c r="AY106" s="38">
        <v>36.450000000000003</v>
      </c>
      <c r="BA106" s="37">
        <v>33.06</v>
      </c>
      <c r="BB106" s="38">
        <v>1.2251000000000001</v>
      </c>
    </row>
    <row r="107" spans="1:54" x14ac:dyDescent="0.35">
      <c r="A107" s="2">
        <f t="shared" si="1"/>
        <v>43971</v>
      </c>
      <c r="B107" t="s">
        <v>149</v>
      </c>
      <c r="C107" s="32">
        <v>43971</v>
      </c>
      <c r="D107" s="38">
        <v>10.78</v>
      </c>
      <c r="E107" s="38">
        <v>10.98</v>
      </c>
      <c r="F107" s="38">
        <v>12.74</v>
      </c>
      <c r="G107" s="38">
        <v>16.23</v>
      </c>
      <c r="H107" s="38">
        <v>20.56</v>
      </c>
      <c r="I107" s="38">
        <v>30.58</v>
      </c>
      <c r="J107" s="38">
        <v>34.9</v>
      </c>
      <c r="K107" s="38">
        <v>36.880000000000003</v>
      </c>
      <c r="L107" s="38">
        <v>37.22</v>
      </c>
      <c r="M107" s="38">
        <v>34.82</v>
      </c>
      <c r="N107" s="38">
        <v>32.020000000000003</v>
      </c>
      <c r="O107" s="38">
        <v>30.17</v>
      </c>
      <c r="P107" s="38">
        <v>29.36</v>
      </c>
      <c r="Q107" s="38">
        <v>29.11</v>
      </c>
      <c r="R107" s="38">
        <v>29.89</v>
      </c>
      <c r="S107" s="38">
        <v>31.6</v>
      </c>
      <c r="T107" s="38">
        <v>35.200000000000003</v>
      </c>
      <c r="U107" s="38">
        <v>37.79</v>
      </c>
      <c r="V107" s="38">
        <v>40.020000000000003</v>
      </c>
      <c r="W107" s="38">
        <v>43.47</v>
      </c>
      <c r="X107" s="38">
        <v>43.3</v>
      </c>
      <c r="Y107" s="38">
        <v>39.61</v>
      </c>
      <c r="Z107" s="38">
        <v>35.39</v>
      </c>
      <c r="AA107" s="38">
        <v>34.130000000000003</v>
      </c>
      <c r="AB107" s="38">
        <v>33.67</v>
      </c>
      <c r="AC107" s="38">
        <v>32.869999999999997</v>
      </c>
      <c r="AD107" s="38">
        <v>33.14</v>
      </c>
      <c r="AE107" s="38">
        <v>34.090000000000003</v>
      </c>
      <c r="AF107" s="38">
        <v>37.71</v>
      </c>
      <c r="AG107" s="38">
        <v>40.78</v>
      </c>
      <c r="AH107" s="38">
        <v>43.48</v>
      </c>
      <c r="AI107" s="38">
        <v>45.26</v>
      </c>
      <c r="AJ107" s="38">
        <v>45.26</v>
      </c>
      <c r="AK107" s="38">
        <v>42.8</v>
      </c>
      <c r="AL107" s="38">
        <v>37.81</v>
      </c>
      <c r="AM107" s="38">
        <v>35.74</v>
      </c>
      <c r="AN107" s="38">
        <v>34.72</v>
      </c>
      <c r="AO107" s="38">
        <v>34.86</v>
      </c>
      <c r="AP107" s="38">
        <v>35.96</v>
      </c>
      <c r="AQ107" s="38">
        <v>38.880000000000003</v>
      </c>
      <c r="AR107" s="38">
        <v>43.69</v>
      </c>
      <c r="AS107" s="38">
        <v>46.02</v>
      </c>
      <c r="AT107" s="38">
        <v>46.43</v>
      </c>
      <c r="AU107" s="38">
        <v>46.48</v>
      </c>
      <c r="AV107" s="38">
        <v>43.9</v>
      </c>
      <c r="AW107" s="38">
        <v>41.25</v>
      </c>
      <c r="AX107" s="38">
        <v>37.18</v>
      </c>
      <c r="AY107" s="38">
        <v>36.86</v>
      </c>
      <c r="BA107" s="37">
        <v>34.76</v>
      </c>
      <c r="BB107" s="38">
        <v>1.2270000000000001</v>
      </c>
    </row>
    <row r="108" spans="1:54" x14ac:dyDescent="0.35">
      <c r="A108" s="2">
        <f t="shared" si="1"/>
        <v>43972</v>
      </c>
      <c r="B108" t="s">
        <v>150</v>
      </c>
      <c r="C108" s="32">
        <v>43972</v>
      </c>
      <c r="D108" s="38">
        <v>9.27</v>
      </c>
      <c r="E108" s="38">
        <v>9.49</v>
      </c>
      <c r="F108" s="38">
        <v>11.36</v>
      </c>
      <c r="G108" s="38">
        <v>14.81</v>
      </c>
      <c r="H108" s="38">
        <v>19.12</v>
      </c>
      <c r="I108" s="38">
        <v>29.35</v>
      </c>
      <c r="J108" s="38">
        <v>33.799999999999997</v>
      </c>
      <c r="K108" s="38">
        <v>35.53</v>
      </c>
      <c r="L108" s="38">
        <v>35.92</v>
      </c>
      <c r="M108" s="38">
        <v>33.93</v>
      </c>
      <c r="N108" s="38">
        <v>31.63</v>
      </c>
      <c r="O108" s="38">
        <v>29.78</v>
      </c>
      <c r="P108" s="38">
        <v>28.87</v>
      </c>
      <c r="Q108" s="38">
        <v>28.62</v>
      </c>
      <c r="R108" s="38">
        <v>29.5</v>
      </c>
      <c r="S108" s="38">
        <v>31.36</v>
      </c>
      <c r="T108" s="38">
        <v>35.15</v>
      </c>
      <c r="U108" s="38">
        <v>37.94</v>
      </c>
      <c r="V108" s="38">
        <v>40.36</v>
      </c>
      <c r="W108" s="38">
        <v>43.91</v>
      </c>
      <c r="X108" s="38">
        <v>43.74</v>
      </c>
      <c r="Y108" s="38">
        <v>40.049999999999997</v>
      </c>
      <c r="Z108" s="38">
        <v>35.700000000000003</v>
      </c>
      <c r="AA108" s="38">
        <v>34.340000000000003</v>
      </c>
      <c r="AB108" s="38">
        <v>33.83</v>
      </c>
      <c r="AC108" s="38">
        <v>33.03</v>
      </c>
      <c r="AD108" s="38">
        <v>33.299999999999997</v>
      </c>
      <c r="AE108" s="38">
        <v>34.25</v>
      </c>
      <c r="AF108" s="38">
        <v>37.869999999999997</v>
      </c>
      <c r="AG108" s="38">
        <v>40.94</v>
      </c>
      <c r="AH108" s="38">
        <v>43.64</v>
      </c>
      <c r="AI108" s="38">
        <v>45.42</v>
      </c>
      <c r="AJ108" s="38">
        <v>45.42</v>
      </c>
      <c r="AK108" s="38">
        <v>42.96</v>
      </c>
      <c r="AL108" s="38">
        <v>37.869999999999997</v>
      </c>
      <c r="AM108" s="38">
        <v>35.78</v>
      </c>
      <c r="AN108" s="38">
        <v>34.76</v>
      </c>
      <c r="AO108" s="38">
        <v>34.9</v>
      </c>
      <c r="AP108" s="38">
        <v>36</v>
      </c>
      <c r="AQ108" s="38">
        <v>38.92</v>
      </c>
      <c r="AR108" s="38">
        <v>43.73</v>
      </c>
      <c r="AS108" s="38">
        <v>46.06</v>
      </c>
      <c r="AT108" s="38">
        <v>46.47</v>
      </c>
      <c r="AU108" s="38">
        <v>46.52</v>
      </c>
      <c r="AV108" s="38">
        <v>43.94</v>
      </c>
      <c r="AW108" s="38">
        <v>41.29</v>
      </c>
      <c r="AX108" s="38">
        <v>37.22</v>
      </c>
      <c r="AY108" s="38">
        <v>36.9</v>
      </c>
      <c r="BA108" s="37">
        <v>34.78</v>
      </c>
      <c r="BB108" s="38">
        <v>1.2212000000000001</v>
      </c>
    </row>
    <row r="109" spans="1:54" x14ac:dyDescent="0.35">
      <c r="A109" s="2">
        <f t="shared" si="1"/>
        <v>43973</v>
      </c>
      <c r="B109" t="s">
        <v>151</v>
      </c>
      <c r="C109" s="32">
        <v>43973</v>
      </c>
      <c r="D109" s="38">
        <v>9.4600000000000009</v>
      </c>
      <c r="E109" s="38">
        <v>9.93</v>
      </c>
      <c r="F109" s="38">
        <v>11.65</v>
      </c>
      <c r="G109" s="38">
        <v>14.85</v>
      </c>
      <c r="H109" s="38">
        <v>18.62</v>
      </c>
      <c r="I109" s="38">
        <v>28.68</v>
      </c>
      <c r="J109" s="38">
        <v>33.07</v>
      </c>
      <c r="K109" s="38">
        <v>35.07</v>
      </c>
      <c r="L109" s="38">
        <v>35.46</v>
      </c>
      <c r="M109" s="38">
        <v>33.31</v>
      </c>
      <c r="N109" s="38">
        <v>30.97</v>
      </c>
      <c r="O109" s="38">
        <v>29.11</v>
      </c>
      <c r="P109" s="38">
        <v>28.08</v>
      </c>
      <c r="Q109" s="38">
        <v>27.8</v>
      </c>
      <c r="R109" s="38">
        <v>28.68</v>
      </c>
      <c r="S109" s="38">
        <v>30.6</v>
      </c>
      <c r="T109" s="38">
        <v>34.54</v>
      </c>
      <c r="U109" s="38">
        <v>37.43</v>
      </c>
      <c r="V109" s="38">
        <v>39.92</v>
      </c>
      <c r="W109" s="38">
        <v>43.53</v>
      </c>
      <c r="X109" s="38">
        <v>43.41</v>
      </c>
      <c r="Y109" s="38">
        <v>39.75</v>
      </c>
      <c r="Z109" s="38">
        <v>35.380000000000003</v>
      </c>
      <c r="AA109" s="38">
        <v>34</v>
      </c>
      <c r="AB109" s="38">
        <v>33.47</v>
      </c>
      <c r="AC109" s="38">
        <v>32.67</v>
      </c>
      <c r="AD109" s="38">
        <v>32.94</v>
      </c>
      <c r="AE109" s="38">
        <v>33.950000000000003</v>
      </c>
      <c r="AF109" s="38">
        <v>37.68</v>
      </c>
      <c r="AG109" s="38">
        <v>40.81</v>
      </c>
      <c r="AH109" s="38">
        <v>43.51</v>
      </c>
      <c r="AI109" s="38">
        <v>45.29</v>
      </c>
      <c r="AJ109" s="38">
        <v>45.29</v>
      </c>
      <c r="AK109" s="38">
        <v>42.83</v>
      </c>
      <c r="AL109" s="38">
        <v>37.590000000000003</v>
      </c>
      <c r="AM109" s="38">
        <v>35.4</v>
      </c>
      <c r="AN109" s="38">
        <v>34.35</v>
      </c>
      <c r="AO109" s="38">
        <v>34.49</v>
      </c>
      <c r="AP109" s="38">
        <v>35.590000000000003</v>
      </c>
      <c r="AQ109" s="38">
        <v>38.51</v>
      </c>
      <c r="AR109" s="38">
        <v>43.32</v>
      </c>
      <c r="AS109" s="38">
        <v>45.65</v>
      </c>
      <c r="AT109" s="38">
        <v>46.06</v>
      </c>
      <c r="AU109" s="38">
        <v>46.11</v>
      </c>
      <c r="AV109" s="38">
        <v>43.53</v>
      </c>
      <c r="AW109" s="38">
        <v>40.880000000000003</v>
      </c>
      <c r="AX109" s="38">
        <v>36.81</v>
      </c>
      <c r="AY109" s="38">
        <v>36.49</v>
      </c>
      <c r="BA109" s="37">
        <v>33.799999999999997</v>
      </c>
      <c r="BB109" s="38">
        <v>1.2190000000000001</v>
      </c>
    </row>
    <row r="110" spans="1:54" x14ac:dyDescent="0.35">
      <c r="A110" s="2">
        <f t="shared" si="1"/>
        <v>43976</v>
      </c>
      <c r="B110" t="s">
        <v>152</v>
      </c>
      <c r="C110" s="32">
        <v>43976</v>
      </c>
      <c r="D110" s="38">
        <v>9.4600000000000009</v>
      </c>
      <c r="E110" s="38">
        <v>9.93</v>
      </c>
      <c r="F110" s="38">
        <v>11.65</v>
      </c>
      <c r="G110" s="38">
        <v>14.85</v>
      </c>
      <c r="H110" s="38">
        <v>18.62</v>
      </c>
      <c r="I110" s="38">
        <v>28.68</v>
      </c>
      <c r="J110" s="38">
        <v>33.07</v>
      </c>
      <c r="K110" s="38">
        <v>35.07</v>
      </c>
      <c r="L110" s="38">
        <v>35.46</v>
      </c>
      <c r="M110" s="38">
        <v>33.31</v>
      </c>
      <c r="N110" s="38">
        <v>30.97</v>
      </c>
      <c r="O110" s="38">
        <v>29.11</v>
      </c>
      <c r="P110" s="38">
        <v>28.08</v>
      </c>
      <c r="Q110" s="38">
        <v>27.8</v>
      </c>
      <c r="R110" s="38">
        <v>28.68</v>
      </c>
      <c r="S110" s="38">
        <v>30.6</v>
      </c>
      <c r="T110" s="38">
        <v>34.54</v>
      </c>
      <c r="U110" s="38">
        <v>37.43</v>
      </c>
      <c r="V110" s="38">
        <v>39.92</v>
      </c>
      <c r="W110" s="38">
        <v>43.53</v>
      </c>
      <c r="X110" s="38">
        <v>43.41</v>
      </c>
      <c r="Y110" s="38">
        <v>39.75</v>
      </c>
      <c r="Z110" s="38">
        <v>35.380000000000003</v>
      </c>
      <c r="AA110" s="38">
        <v>34</v>
      </c>
      <c r="AB110" s="38">
        <v>33.47</v>
      </c>
      <c r="AC110" s="38">
        <v>32.67</v>
      </c>
      <c r="AD110" s="38">
        <v>32.94</v>
      </c>
      <c r="AE110" s="38">
        <v>33.950000000000003</v>
      </c>
      <c r="AF110" s="38">
        <v>37.68</v>
      </c>
      <c r="AG110" s="38">
        <v>40.81</v>
      </c>
      <c r="AH110" s="38">
        <v>43.51</v>
      </c>
      <c r="AI110" s="38">
        <v>45.29</v>
      </c>
      <c r="AJ110" s="38">
        <v>45.29</v>
      </c>
      <c r="AK110" s="38">
        <v>42.83</v>
      </c>
      <c r="AL110" s="38">
        <v>37.590000000000003</v>
      </c>
      <c r="AM110" s="38">
        <v>35.4</v>
      </c>
      <c r="AN110" s="38">
        <v>34.35</v>
      </c>
      <c r="AO110" s="38">
        <v>34.49</v>
      </c>
      <c r="AP110" s="38">
        <v>35.590000000000003</v>
      </c>
      <c r="AQ110" s="38">
        <v>38.51</v>
      </c>
      <c r="AR110" s="38">
        <v>43.32</v>
      </c>
      <c r="AS110" s="38">
        <v>45.65</v>
      </c>
      <c r="AT110" s="38">
        <v>46.06</v>
      </c>
      <c r="AU110" s="38">
        <v>46.11</v>
      </c>
      <c r="AV110" s="38">
        <v>43.53</v>
      </c>
      <c r="AW110" s="38">
        <v>40.880000000000003</v>
      </c>
      <c r="AX110" s="38">
        <v>36.81</v>
      </c>
      <c r="AY110" s="38">
        <v>36.49</v>
      </c>
      <c r="BA110" s="37" t="e">
        <v>#N/A</v>
      </c>
      <c r="BB110" s="38" t="e">
        <v>#N/A</v>
      </c>
    </row>
    <row r="111" spans="1:54" x14ac:dyDescent="0.35">
      <c r="A111" s="2">
        <f t="shared" si="1"/>
        <v>43977</v>
      </c>
      <c r="B111" t="s">
        <v>153</v>
      </c>
      <c r="C111" s="32">
        <v>43977</v>
      </c>
      <c r="D111" s="38">
        <v>9.82</v>
      </c>
      <c r="E111" s="38">
        <v>10.050000000000001</v>
      </c>
      <c r="F111" s="38">
        <v>11.88</v>
      </c>
      <c r="G111" s="38">
        <v>14.97</v>
      </c>
      <c r="H111" s="38">
        <v>19.260000000000002</v>
      </c>
      <c r="I111" s="38">
        <v>29.54</v>
      </c>
      <c r="J111" s="38">
        <v>33.65</v>
      </c>
      <c r="K111" s="38">
        <v>35.6</v>
      </c>
      <c r="L111" s="38">
        <v>35.97</v>
      </c>
      <c r="M111" s="38">
        <v>33.74</v>
      </c>
      <c r="N111" s="38">
        <v>31.33</v>
      </c>
      <c r="O111" s="38">
        <v>29.45</v>
      </c>
      <c r="P111" s="38">
        <v>28.37</v>
      </c>
      <c r="Q111" s="38">
        <v>28.09</v>
      </c>
      <c r="R111" s="38">
        <v>28.97</v>
      </c>
      <c r="S111" s="38">
        <v>30.89</v>
      </c>
      <c r="T111" s="38">
        <v>34.83</v>
      </c>
      <c r="U111" s="38">
        <v>37.72</v>
      </c>
      <c r="V111" s="38">
        <v>40.21</v>
      </c>
      <c r="W111" s="38">
        <v>43.82</v>
      </c>
      <c r="X111" s="38">
        <v>43.7</v>
      </c>
      <c r="Y111" s="38">
        <v>40.04</v>
      </c>
      <c r="Z111" s="38">
        <v>35.64</v>
      </c>
      <c r="AA111" s="38">
        <v>34.229999999999997</v>
      </c>
      <c r="AB111" s="38">
        <v>33.67</v>
      </c>
      <c r="AC111" s="38">
        <v>32.869999999999997</v>
      </c>
      <c r="AD111" s="38">
        <v>33.130000000000003</v>
      </c>
      <c r="AE111" s="38">
        <v>34.049999999999997</v>
      </c>
      <c r="AF111" s="38">
        <v>37.69</v>
      </c>
      <c r="AG111" s="38">
        <v>40.74</v>
      </c>
      <c r="AH111" s="38">
        <v>43.41</v>
      </c>
      <c r="AI111" s="38">
        <v>45.19</v>
      </c>
      <c r="AJ111" s="38">
        <v>45.19</v>
      </c>
      <c r="AK111" s="38">
        <v>42.73</v>
      </c>
      <c r="AL111" s="38">
        <v>37.520000000000003</v>
      </c>
      <c r="AM111" s="38">
        <v>35.36</v>
      </c>
      <c r="AN111" s="38">
        <v>34.340000000000003</v>
      </c>
      <c r="AO111" s="38">
        <v>34.51</v>
      </c>
      <c r="AP111" s="38">
        <v>35.64</v>
      </c>
      <c r="AQ111" s="38">
        <v>38.590000000000003</v>
      </c>
      <c r="AR111" s="38">
        <v>43.43</v>
      </c>
      <c r="AS111" s="38">
        <v>45.79</v>
      </c>
      <c r="AT111" s="38">
        <v>46.23</v>
      </c>
      <c r="AU111" s="38">
        <v>46.28</v>
      </c>
      <c r="AV111" s="38">
        <v>43.7</v>
      </c>
      <c r="AW111" s="38">
        <v>41.05</v>
      </c>
      <c r="AX111" s="38">
        <v>36.979999999999997</v>
      </c>
      <c r="AY111" s="38">
        <v>36.659999999999997</v>
      </c>
      <c r="BA111" s="37">
        <v>33.950000000000003</v>
      </c>
      <c r="BB111" s="38">
        <v>1.2363</v>
      </c>
    </row>
    <row r="112" spans="1:54" x14ac:dyDescent="0.35">
      <c r="A112" s="2">
        <f t="shared" si="1"/>
        <v>43978</v>
      </c>
      <c r="B112" t="s">
        <v>154</v>
      </c>
      <c r="C112" s="32">
        <v>43978</v>
      </c>
      <c r="D112" s="38">
        <v>8.8800000000000008</v>
      </c>
      <c r="E112" s="38">
        <v>9.23</v>
      </c>
      <c r="F112" s="38">
        <v>11.13</v>
      </c>
      <c r="G112" s="38">
        <v>14.33</v>
      </c>
      <c r="H112" s="38">
        <v>18.66</v>
      </c>
      <c r="I112" s="38">
        <v>28.98</v>
      </c>
      <c r="J112" s="38">
        <v>33.229999999999997</v>
      </c>
      <c r="K112" s="38">
        <v>35.21</v>
      </c>
      <c r="L112" s="38">
        <v>35.57</v>
      </c>
      <c r="M112" s="38">
        <v>33.340000000000003</v>
      </c>
      <c r="N112" s="38">
        <v>30.89</v>
      </c>
      <c r="O112" s="38">
        <v>28.98</v>
      </c>
      <c r="P112" s="38">
        <v>27.96</v>
      </c>
      <c r="Q112" s="38">
        <v>27.83</v>
      </c>
      <c r="R112" s="38">
        <v>28.75</v>
      </c>
      <c r="S112" s="38">
        <v>30.72</v>
      </c>
      <c r="T112" s="38">
        <v>34.71</v>
      </c>
      <c r="U112" s="38">
        <v>37.630000000000003</v>
      </c>
      <c r="V112" s="38">
        <v>40.119999999999997</v>
      </c>
      <c r="W112" s="38">
        <v>43.73</v>
      </c>
      <c r="X112" s="38">
        <v>43.61</v>
      </c>
      <c r="Y112" s="38">
        <v>39.950000000000003</v>
      </c>
      <c r="Z112" s="38">
        <v>35.520000000000003</v>
      </c>
      <c r="AA112" s="38">
        <v>34.090000000000003</v>
      </c>
      <c r="AB112" s="38">
        <v>33.53</v>
      </c>
      <c r="AC112" s="38">
        <v>32.770000000000003</v>
      </c>
      <c r="AD112" s="38">
        <v>33.049999999999997</v>
      </c>
      <c r="AE112" s="38">
        <v>33.99</v>
      </c>
      <c r="AF112" s="38">
        <v>37.65</v>
      </c>
      <c r="AG112" s="38">
        <v>40.700000000000003</v>
      </c>
      <c r="AH112" s="38">
        <v>43.37</v>
      </c>
      <c r="AI112" s="38">
        <v>45.15</v>
      </c>
      <c r="AJ112" s="38">
        <v>45.15</v>
      </c>
      <c r="AK112" s="38">
        <v>42.65</v>
      </c>
      <c r="AL112" s="38">
        <v>37.4</v>
      </c>
      <c r="AM112" s="38">
        <v>35.200000000000003</v>
      </c>
      <c r="AN112" s="38">
        <v>34.14</v>
      </c>
      <c r="AO112" s="38">
        <v>34.29</v>
      </c>
      <c r="AP112" s="38">
        <v>35.42</v>
      </c>
      <c r="AQ112" s="38">
        <v>38.369999999999997</v>
      </c>
      <c r="AR112" s="38">
        <v>43.23</v>
      </c>
      <c r="AS112" s="38">
        <v>45.61</v>
      </c>
      <c r="AT112" s="38">
        <v>46.07</v>
      </c>
      <c r="AU112" s="38">
        <v>46.12</v>
      </c>
      <c r="AV112" s="38">
        <v>43.54</v>
      </c>
      <c r="AW112" s="38">
        <v>40.89</v>
      </c>
      <c r="AX112" s="38">
        <v>36.82</v>
      </c>
      <c r="AY112" s="38">
        <v>36.5</v>
      </c>
      <c r="BA112" s="37">
        <v>32.729999999999997</v>
      </c>
      <c r="BB112" s="38">
        <v>1.2217</v>
      </c>
    </row>
    <row r="113" spans="1:54" x14ac:dyDescent="0.35">
      <c r="A113" s="2">
        <f t="shared" si="1"/>
        <v>43979</v>
      </c>
      <c r="B113" t="s">
        <v>155</v>
      </c>
      <c r="C113" s="32">
        <v>43979</v>
      </c>
      <c r="D113" s="38">
        <v>8.34</v>
      </c>
      <c r="E113" s="38">
        <v>8.77</v>
      </c>
      <c r="F113" s="38">
        <v>10.69</v>
      </c>
      <c r="G113" s="38">
        <v>14.08</v>
      </c>
      <c r="H113" s="38">
        <v>18.399999999999999</v>
      </c>
      <c r="I113" s="38">
        <v>28.67</v>
      </c>
      <c r="J113" s="38">
        <v>32.950000000000003</v>
      </c>
      <c r="K113" s="38">
        <v>34.9</v>
      </c>
      <c r="L113" s="38">
        <v>35.229999999999997</v>
      </c>
      <c r="M113" s="38">
        <v>33</v>
      </c>
      <c r="N113" s="38">
        <v>30.36</v>
      </c>
      <c r="O113" s="38">
        <v>28.35</v>
      </c>
      <c r="P113" s="38">
        <v>27.28</v>
      </c>
      <c r="Q113" s="38">
        <v>27.15</v>
      </c>
      <c r="R113" s="38">
        <v>28.07</v>
      </c>
      <c r="S113" s="38">
        <v>30.04</v>
      </c>
      <c r="T113" s="38">
        <v>34.1</v>
      </c>
      <c r="U113" s="38">
        <v>37.090000000000003</v>
      </c>
      <c r="V113" s="38">
        <v>39.65</v>
      </c>
      <c r="W113" s="38">
        <v>43.31</v>
      </c>
      <c r="X113" s="38">
        <v>43.23</v>
      </c>
      <c r="Y113" s="38">
        <v>39.61</v>
      </c>
      <c r="Z113" s="38">
        <v>35.229999999999997</v>
      </c>
      <c r="AA113" s="38">
        <v>33.840000000000003</v>
      </c>
      <c r="AB113" s="38">
        <v>33.28</v>
      </c>
      <c r="AC113" s="38">
        <v>32.520000000000003</v>
      </c>
      <c r="AD113" s="38">
        <v>32.799999999999997</v>
      </c>
      <c r="AE113" s="38">
        <v>33.74</v>
      </c>
      <c r="AF113" s="38">
        <v>37.4</v>
      </c>
      <c r="AG113" s="38">
        <v>40.450000000000003</v>
      </c>
      <c r="AH113" s="38">
        <v>43.12</v>
      </c>
      <c r="AI113" s="38">
        <v>44.9</v>
      </c>
      <c r="AJ113" s="38">
        <v>44.9</v>
      </c>
      <c r="AK113" s="38">
        <v>42.4</v>
      </c>
      <c r="AL113" s="38">
        <v>37.15</v>
      </c>
      <c r="AM113" s="38">
        <v>34.950000000000003</v>
      </c>
      <c r="AN113" s="38">
        <v>33.89</v>
      </c>
      <c r="AO113" s="38">
        <v>34.04</v>
      </c>
      <c r="AP113" s="38">
        <v>35.17</v>
      </c>
      <c r="AQ113" s="38">
        <v>38.049999999999997</v>
      </c>
      <c r="AR113" s="38">
        <v>42.86</v>
      </c>
      <c r="AS113" s="38">
        <v>45.19</v>
      </c>
      <c r="AT113" s="38">
        <v>45.61</v>
      </c>
      <c r="AU113" s="38">
        <v>45.66</v>
      </c>
      <c r="AV113" s="38">
        <v>43.08</v>
      </c>
      <c r="AW113" s="38">
        <v>40.43</v>
      </c>
      <c r="AX113" s="38">
        <v>36.36</v>
      </c>
      <c r="AY113" s="38">
        <v>36.04</v>
      </c>
      <c r="BA113" s="37">
        <v>33.979999999999997</v>
      </c>
      <c r="BB113" s="38">
        <v>1.2323</v>
      </c>
    </row>
    <row r="114" spans="1:54" x14ac:dyDescent="0.35">
      <c r="A114" s="2">
        <f t="shared" si="1"/>
        <v>43980</v>
      </c>
      <c r="B114" t="s">
        <v>156</v>
      </c>
      <c r="C114" s="32">
        <v>43980</v>
      </c>
      <c r="D114" s="38">
        <v>9.6300000000000008</v>
      </c>
      <c r="E114" s="38">
        <v>11.3</v>
      </c>
      <c r="F114" s="38">
        <v>14.63</v>
      </c>
      <c r="G114" s="38">
        <v>18.760000000000002</v>
      </c>
      <c r="H114" s="38">
        <v>28.82</v>
      </c>
      <c r="I114" s="38">
        <v>33.03</v>
      </c>
      <c r="J114" s="38">
        <v>34.93</v>
      </c>
      <c r="K114" s="38">
        <v>35.57</v>
      </c>
      <c r="L114" s="38">
        <v>33.229999999999997</v>
      </c>
      <c r="M114" s="38">
        <v>30.53</v>
      </c>
      <c r="N114" s="38">
        <v>28.5</v>
      </c>
      <c r="O114" s="38">
        <v>27.39</v>
      </c>
      <c r="P114" s="38">
        <v>27.17</v>
      </c>
      <c r="Q114" s="38">
        <v>28.09</v>
      </c>
      <c r="R114" s="38">
        <v>30.06</v>
      </c>
      <c r="S114" s="38">
        <v>34.11</v>
      </c>
      <c r="T114" s="38">
        <v>37.07</v>
      </c>
      <c r="U114" s="38">
        <v>39.61</v>
      </c>
      <c r="V114" s="38">
        <v>43.27</v>
      </c>
      <c r="W114" s="38">
        <v>43.19</v>
      </c>
      <c r="X114" s="38">
        <v>39.520000000000003</v>
      </c>
      <c r="Y114" s="38">
        <v>35.06</v>
      </c>
      <c r="Z114" s="38">
        <v>33.64</v>
      </c>
      <c r="AA114" s="38">
        <v>33.049999999999997</v>
      </c>
      <c r="AB114" s="38">
        <v>32.29</v>
      </c>
      <c r="AC114" s="38">
        <v>32.57</v>
      </c>
      <c r="AD114" s="38">
        <v>33.51</v>
      </c>
      <c r="AE114" s="38">
        <v>37.229999999999997</v>
      </c>
      <c r="AF114" s="38">
        <v>40.32</v>
      </c>
      <c r="AG114" s="38">
        <v>43.02</v>
      </c>
      <c r="AH114" s="38">
        <v>44.8</v>
      </c>
      <c r="AI114" s="38">
        <v>44.8</v>
      </c>
      <c r="AJ114" s="38">
        <v>42.3</v>
      </c>
      <c r="AK114" s="38">
        <v>37.049999999999997</v>
      </c>
      <c r="AL114" s="38">
        <v>34.85</v>
      </c>
      <c r="AM114" s="38">
        <v>33.79</v>
      </c>
      <c r="AN114" s="38">
        <v>33.94</v>
      </c>
      <c r="AO114" s="38">
        <v>35.07</v>
      </c>
      <c r="AP114" s="38">
        <v>37.950000000000003</v>
      </c>
      <c r="AQ114" s="38">
        <v>42.76</v>
      </c>
      <c r="AR114" s="38">
        <v>45.09</v>
      </c>
      <c r="AS114" s="38">
        <v>45.51</v>
      </c>
      <c r="AT114" s="38">
        <v>45.56</v>
      </c>
      <c r="AU114" s="38">
        <v>42.98</v>
      </c>
      <c r="AV114" s="38">
        <v>40.33</v>
      </c>
      <c r="AW114" s="38">
        <v>36.26</v>
      </c>
      <c r="AX114" s="38">
        <v>35.94</v>
      </c>
      <c r="AY114" s="38">
        <v>35.78</v>
      </c>
      <c r="BA114" s="37">
        <v>34.15</v>
      </c>
      <c r="BB114" s="38">
        <v>1.2367999999999999</v>
      </c>
    </row>
    <row r="115" spans="1:54" x14ac:dyDescent="0.35">
      <c r="A115" s="2">
        <f t="shared" si="1"/>
        <v>43983</v>
      </c>
      <c r="B115" t="s">
        <v>157</v>
      </c>
      <c r="C115" s="32">
        <v>43983</v>
      </c>
      <c r="D115" s="38">
        <v>8.7899999999999991</v>
      </c>
      <c r="E115" s="38">
        <v>10.55</v>
      </c>
      <c r="F115" s="38">
        <v>13.69</v>
      </c>
      <c r="G115" s="38">
        <v>17.920000000000002</v>
      </c>
      <c r="H115" s="38">
        <v>28.04</v>
      </c>
      <c r="I115" s="38">
        <v>32.4</v>
      </c>
      <c r="J115" s="38">
        <v>34.619999999999997</v>
      </c>
      <c r="K115" s="38">
        <v>35</v>
      </c>
      <c r="L115" s="38">
        <v>32.549999999999997</v>
      </c>
      <c r="M115" s="38">
        <v>29.83</v>
      </c>
      <c r="N115" s="38">
        <v>27.88</v>
      </c>
      <c r="O115" s="38">
        <v>26.79</v>
      </c>
      <c r="P115" s="38">
        <v>26.62</v>
      </c>
      <c r="Q115" s="38">
        <v>27.59</v>
      </c>
      <c r="R115" s="38">
        <v>29.61</v>
      </c>
      <c r="S115" s="38">
        <v>33.700000000000003</v>
      </c>
      <c r="T115" s="38">
        <v>36.69</v>
      </c>
      <c r="U115" s="38">
        <v>39.229999999999997</v>
      </c>
      <c r="V115" s="38">
        <v>42.89</v>
      </c>
      <c r="W115" s="38">
        <v>42.81</v>
      </c>
      <c r="X115" s="38">
        <v>39.19</v>
      </c>
      <c r="Y115" s="38">
        <v>34.78</v>
      </c>
      <c r="Z115" s="38">
        <v>33.36</v>
      </c>
      <c r="AA115" s="38">
        <v>32.770000000000003</v>
      </c>
      <c r="AB115" s="38">
        <v>32.01</v>
      </c>
      <c r="AC115" s="38">
        <v>32.29</v>
      </c>
      <c r="AD115" s="38">
        <v>33.229999999999997</v>
      </c>
      <c r="AE115" s="38">
        <v>36.950000000000003</v>
      </c>
      <c r="AF115" s="38">
        <v>40.04</v>
      </c>
      <c r="AG115" s="38">
        <v>42.74</v>
      </c>
      <c r="AH115" s="38">
        <v>44.52</v>
      </c>
      <c r="AI115" s="38">
        <v>44.52</v>
      </c>
      <c r="AJ115" s="38">
        <v>42.02</v>
      </c>
      <c r="AK115" s="38">
        <v>36.770000000000003</v>
      </c>
      <c r="AL115" s="38">
        <v>34.57</v>
      </c>
      <c r="AM115" s="38">
        <v>33.51</v>
      </c>
      <c r="AN115" s="38">
        <v>33.659999999999997</v>
      </c>
      <c r="AO115" s="38">
        <v>34.79</v>
      </c>
      <c r="AP115" s="38">
        <v>37.67</v>
      </c>
      <c r="AQ115" s="38">
        <v>42.48</v>
      </c>
      <c r="AR115" s="38">
        <v>44.81</v>
      </c>
      <c r="AS115" s="38">
        <v>45.23</v>
      </c>
      <c r="AT115" s="38">
        <v>45.28</v>
      </c>
      <c r="AU115" s="38">
        <v>42.7</v>
      </c>
      <c r="AV115" s="38">
        <v>40.049999999999997</v>
      </c>
      <c r="AW115" s="38">
        <v>35.979999999999997</v>
      </c>
      <c r="AX115" s="38">
        <v>35.659999999999997</v>
      </c>
      <c r="AY115" s="38">
        <v>35.5</v>
      </c>
      <c r="BA115" s="37">
        <v>36.74</v>
      </c>
      <c r="BB115" s="38">
        <v>1.2481</v>
      </c>
    </row>
    <row r="116" spans="1:54" x14ac:dyDescent="0.35">
      <c r="A116" s="2">
        <f t="shared" si="1"/>
        <v>43984</v>
      </c>
      <c r="B116" t="s">
        <v>158</v>
      </c>
      <c r="C116" s="32">
        <v>43984</v>
      </c>
      <c r="D116" s="38">
        <v>10.91</v>
      </c>
      <c r="E116" s="38">
        <v>12.46</v>
      </c>
      <c r="F116" s="38">
        <v>15.26</v>
      </c>
      <c r="G116" s="38">
        <v>19.190000000000001</v>
      </c>
      <c r="H116" s="38">
        <v>29.06</v>
      </c>
      <c r="I116" s="38">
        <v>32.950000000000003</v>
      </c>
      <c r="J116" s="38">
        <v>35</v>
      </c>
      <c r="K116" s="38">
        <v>35.47</v>
      </c>
      <c r="L116" s="38">
        <v>32.840000000000003</v>
      </c>
      <c r="M116" s="38">
        <v>30.27</v>
      </c>
      <c r="N116" s="38">
        <v>28.43</v>
      </c>
      <c r="O116" s="38">
        <v>27.34</v>
      </c>
      <c r="P116" s="38">
        <v>27.13</v>
      </c>
      <c r="Q116" s="38">
        <v>28.1</v>
      </c>
      <c r="R116" s="38">
        <v>30.17</v>
      </c>
      <c r="S116" s="38">
        <v>34.229999999999997</v>
      </c>
      <c r="T116" s="38">
        <v>37.17</v>
      </c>
      <c r="U116" s="38">
        <v>39.64</v>
      </c>
      <c r="V116" s="38">
        <v>43.24</v>
      </c>
      <c r="W116" s="38">
        <v>43.16</v>
      </c>
      <c r="X116" s="38">
        <v>39.54</v>
      </c>
      <c r="Y116" s="38">
        <v>35.130000000000003</v>
      </c>
      <c r="Z116" s="38">
        <v>33.71</v>
      </c>
      <c r="AA116" s="38">
        <v>33.119999999999997</v>
      </c>
      <c r="AB116" s="38">
        <v>32.36</v>
      </c>
      <c r="AC116" s="38">
        <v>32.700000000000003</v>
      </c>
      <c r="AD116" s="38">
        <v>33.75</v>
      </c>
      <c r="AE116" s="38">
        <v>37.54</v>
      </c>
      <c r="AF116" s="38">
        <v>40.630000000000003</v>
      </c>
      <c r="AG116" s="38">
        <v>43.33</v>
      </c>
      <c r="AH116" s="38">
        <v>45.11</v>
      </c>
      <c r="AI116" s="38">
        <v>45.11</v>
      </c>
      <c r="AJ116" s="38">
        <v>42.56</v>
      </c>
      <c r="AK116" s="38">
        <v>37.26</v>
      </c>
      <c r="AL116" s="38">
        <v>35.01</v>
      </c>
      <c r="AM116" s="38">
        <v>33.950000000000003</v>
      </c>
      <c r="AN116" s="38">
        <v>34.1</v>
      </c>
      <c r="AO116" s="38">
        <v>35.229999999999997</v>
      </c>
      <c r="AP116" s="38">
        <v>38.11</v>
      </c>
      <c r="AQ116" s="38">
        <v>42.92</v>
      </c>
      <c r="AR116" s="38">
        <v>45.25</v>
      </c>
      <c r="AS116" s="38">
        <v>45.67</v>
      </c>
      <c r="AT116" s="38">
        <v>45.72</v>
      </c>
      <c r="AU116" s="38">
        <v>43.14</v>
      </c>
      <c r="AV116" s="38">
        <v>40.49</v>
      </c>
      <c r="AW116" s="38">
        <v>36.42</v>
      </c>
      <c r="AX116" s="38">
        <v>36.1</v>
      </c>
      <c r="AY116" s="38">
        <v>35.94</v>
      </c>
      <c r="BA116" s="37">
        <v>37.72</v>
      </c>
      <c r="BB116" s="38">
        <v>1.2557</v>
      </c>
    </row>
    <row r="117" spans="1:54" x14ac:dyDescent="0.35">
      <c r="A117" s="2">
        <f t="shared" si="1"/>
        <v>43985</v>
      </c>
      <c r="B117" t="s">
        <v>159</v>
      </c>
      <c r="C117" s="32">
        <v>43985</v>
      </c>
      <c r="D117" s="38">
        <v>12.15</v>
      </c>
      <c r="E117" s="38">
        <v>13.61</v>
      </c>
      <c r="F117" s="38">
        <v>16.420000000000002</v>
      </c>
      <c r="G117" s="38">
        <v>19.95</v>
      </c>
      <c r="H117" s="38">
        <v>29.44</v>
      </c>
      <c r="I117" s="38">
        <v>32.950000000000003</v>
      </c>
      <c r="J117" s="38">
        <v>34.85</v>
      </c>
      <c r="K117" s="38">
        <v>35.299999999999997</v>
      </c>
      <c r="L117" s="38">
        <v>32.92</v>
      </c>
      <c r="M117" s="38">
        <v>30.02</v>
      </c>
      <c r="N117" s="38">
        <v>28.82</v>
      </c>
      <c r="O117" s="38">
        <v>27.87</v>
      </c>
      <c r="P117" s="38">
        <v>27.28</v>
      </c>
      <c r="Q117" s="38">
        <v>28.25</v>
      </c>
      <c r="R117" s="38">
        <v>30.32</v>
      </c>
      <c r="S117" s="38">
        <v>34.5</v>
      </c>
      <c r="T117" s="38">
        <v>37.44</v>
      </c>
      <c r="U117" s="38">
        <v>39.9</v>
      </c>
      <c r="V117" s="38">
        <v>43.5</v>
      </c>
      <c r="W117" s="38">
        <v>43.42</v>
      </c>
      <c r="X117" s="38">
        <v>39.79</v>
      </c>
      <c r="Y117" s="38">
        <v>35.369999999999997</v>
      </c>
      <c r="Z117" s="38">
        <v>33.950000000000003</v>
      </c>
      <c r="AA117" s="38">
        <v>33.36</v>
      </c>
      <c r="AB117" s="38">
        <v>32.53</v>
      </c>
      <c r="AC117" s="38">
        <v>32.869999999999997</v>
      </c>
      <c r="AD117" s="38">
        <v>33.909999999999997</v>
      </c>
      <c r="AE117" s="38">
        <v>37.68</v>
      </c>
      <c r="AF117" s="38">
        <v>40.770000000000003</v>
      </c>
      <c r="AG117" s="38">
        <v>43.47</v>
      </c>
      <c r="AH117" s="38">
        <v>45.25</v>
      </c>
      <c r="AI117" s="38">
        <v>45.25</v>
      </c>
      <c r="AJ117" s="38">
        <v>42.7</v>
      </c>
      <c r="AK117" s="38">
        <v>37.450000000000003</v>
      </c>
      <c r="AL117" s="38">
        <v>35.200000000000003</v>
      </c>
      <c r="AM117" s="38">
        <v>34.14</v>
      </c>
      <c r="AN117" s="38">
        <v>34.29</v>
      </c>
      <c r="AO117" s="38">
        <v>35.42</v>
      </c>
      <c r="AP117" s="38">
        <v>38.409999999999997</v>
      </c>
      <c r="AQ117" s="38">
        <v>43.28</v>
      </c>
      <c r="AR117" s="38">
        <v>45.61</v>
      </c>
      <c r="AS117" s="38">
        <v>46.03</v>
      </c>
      <c r="AT117" s="38">
        <v>46.08</v>
      </c>
      <c r="AU117" s="38">
        <v>43.5</v>
      </c>
      <c r="AV117" s="38">
        <v>40.85</v>
      </c>
      <c r="AW117" s="38">
        <v>36.78</v>
      </c>
      <c r="AX117" s="38">
        <v>36.46</v>
      </c>
      <c r="AY117" s="38">
        <v>36.299999999999997</v>
      </c>
      <c r="BA117" s="37">
        <v>37.979999999999997</v>
      </c>
      <c r="BB117" s="38">
        <v>1.2597</v>
      </c>
    </row>
    <row r="118" spans="1:54" x14ac:dyDescent="0.35">
      <c r="A118" s="2">
        <f t="shared" si="1"/>
        <v>43986</v>
      </c>
      <c r="B118" t="s">
        <v>160</v>
      </c>
      <c r="C118" s="32">
        <v>43986</v>
      </c>
      <c r="D118" s="38">
        <v>12.79</v>
      </c>
      <c r="E118" s="38">
        <v>14.05</v>
      </c>
      <c r="F118" s="38">
        <v>16.89</v>
      </c>
      <c r="G118" s="38">
        <v>20.34</v>
      </c>
      <c r="H118" s="38">
        <v>29.63</v>
      </c>
      <c r="I118" s="38">
        <v>33.69</v>
      </c>
      <c r="J118" s="38">
        <v>35.31</v>
      </c>
      <c r="K118" s="38">
        <v>35.68</v>
      </c>
      <c r="L118" s="38">
        <v>33.340000000000003</v>
      </c>
      <c r="M118" s="38">
        <v>30.39</v>
      </c>
      <c r="N118" s="38">
        <v>29.44</v>
      </c>
      <c r="O118" s="38">
        <v>28.4</v>
      </c>
      <c r="P118" s="38">
        <v>27.76</v>
      </c>
      <c r="Q118" s="38">
        <v>28.73</v>
      </c>
      <c r="R118" s="38">
        <v>30.8</v>
      </c>
      <c r="S118" s="38">
        <v>34.909999999999997</v>
      </c>
      <c r="T118" s="38">
        <v>37.79</v>
      </c>
      <c r="U118" s="38">
        <v>40.25</v>
      </c>
      <c r="V118" s="38">
        <v>43.85</v>
      </c>
      <c r="W118" s="38">
        <v>43.77</v>
      </c>
      <c r="X118" s="38">
        <v>40.14</v>
      </c>
      <c r="Y118" s="38">
        <v>35.72</v>
      </c>
      <c r="Z118" s="38">
        <v>34.299999999999997</v>
      </c>
      <c r="AA118" s="38">
        <v>33.71</v>
      </c>
      <c r="AB118" s="38">
        <v>32.880000000000003</v>
      </c>
      <c r="AC118" s="38">
        <v>33.22</v>
      </c>
      <c r="AD118" s="38">
        <v>34.26</v>
      </c>
      <c r="AE118" s="38">
        <v>37.81</v>
      </c>
      <c r="AF118" s="38">
        <v>40.9</v>
      </c>
      <c r="AG118" s="38">
        <v>43.6</v>
      </c>
      <c r="AH118" s="38">
        <v>45.38</v>
      </c>
      <c r="AI118" s="38">
        <v>45.38</v>
      </c>
      <c r="AJ118" s="38">
        <v>42.83</v>
      </c>
      <c r="AK118" s="38">
        <v>37.799999999999997</v>
      </c>
      <c r="AL118" s="38">
        <v>35.549999999999997</v>
      </c>
      <c r="AM118" s="38">
        <v>34.49</v>
      </c>
      <c r="AN118" s="38">
        <v>34.64</v>
      </c>
      <c r="AO118" s="38">
        <v>35.770000000000003</v>
      </c>
      <c r="AP118" s="38">
        <v>38.76</v>
      </c>
      <c r="AQ118" s="38">
        <v>43.63</v>
      </c>
      <c r="AR118" s="38">
        <v>45.96</v>
      </c>
      <c r="AS118" s="38">
        <v>46.38</v>
      </c>
      <c r="AT118" s="38">
        <v>46.43</v>
      </c>
      <c r="AU118" s="38">
        <v>43.85</v>
      </c>
      <c r="AV118" s="38">
        <v>41.2</v>
      </c>
      <c r="AW118" s="38">
        <v>37.130000000000003</v>
      </c>
      <c r="AX118" s="38">
        <v>36.81</v>
      </c>
      <c r="AY118" s="38">
        <v>36.65</v>
      </c>
      <c r="BA118" s="37">
        <v>38.409999999999997</v>
      </c>
      <c r="BB118" s="38">
        <v>1.2606999999999999</v>
      </c>
    </row>
    <row r="119" spans="1:54" x14ac:dyDescent="0.35">
      <c r="A119" s="2">
        <f t="shared" si="1"/>
        <v>43987</v>
      </c>
      <c r="B119" t="s">
        <v>161</v>
      </c>
      <c r="C119" s="32">
        <v>43987</v>
      </c>
      <c r="D119" s="38">
        <v>13.89</v>
      </c>
      <c r="E119" s="38">
        <v>15.13</v>
      </c>
      <c r="F119" s="38">
        <v>17.75</v>
      </c>
      <c r="G119" s="38">
        <v>21.13</v>
      </c>
      <c r="H119" s="38">
        <v>30.49</v>
      </c>
      <c r="I119" s="38">
        <v>34.49</v>
      </c>
      <c r="J119" s="38">
        <v>36.19</v>
      </c>
      <c r="K119" s="38">
        <v>36.53</v>
      </c>
      <c r="L119" s="38">
        <v>34.21</v>
      </c>
      <c r="M119" s="38">
        <v>31.21</v>
      </c>
      <c r="N119" s="38">
        <v>30.2</v>
      </c>
      <c r="O119" s="38">
        <v>29.08</v>
      </c>
      <c r="P119" s="38">
        <v>28.35</v>
      </c>
      <c r="Q119" s="38">
        <v>29.24</v>
      </c>
      <c r="R119" s="38">
        <v>31.11</v>
      </c>
      <c r="S119" s="38">
        <v>35.08</v>
      </c>
      <c r="T119" s="38">
        <v>37.86</v>
      </c>
      <c r="U119" s="38">
        <v>40.32</v>
      </c>
      <c r="V119" s="38">
        <v>43.92</v>
      </c>
      <c r="W119" s="38">
        <v>43.84</v>
      </c>
      <c r="X119" s="38">
        <v>40.21</v>
      </c>
      <c r="Y119" s="38">
        <v>35.9</v>
      </c>
      <c r="Z119" s="38">
        <v>34.479999999999997</v>
      </c>
      <c r="AA119" s="38">
        <v>33.94</v>
      </c>
      <c r="AB119" s="38">
        <v>33.18</v>
      </c>
      <c r="AC119" s="38">
        <v>33.58</v>
      </c>
      <c r="AD119" s="38">
        <v>34.68</v>
      </c>
      <c r="AE119" s="38">
        <v>38.29</v>
      </c>
      <c r="AF119" s="38">
        <v>41.38</v>
      </c>
      <c r="AG119" s="38">
        <v>44.06</v>
      </c>
      <c r="AH119" s="38">
        <v>45.79</v>
      </c>
      <c r="AI119" s="38">
        <v>45.74</v>
      </c>
      <c r="AJ119" s="38">
        <v>43.19</v>
      </c>
      <c r="AK119" s="38">
        <v>38.14</v>
      </c>
      <c r="AL119" s="38">
        <v>35.89</v>
      </c>
      <c r="AM119" s="38">
        <v>34.83</v>
      </c>
      <c r="AN119" s="38">
        <v>34.979999999999997</v>
      </c>
      <c r="AO119" s="38">
        <v>36.11</v>
      </c>
      <c r="AP119" s="38">
        <v>39.1</v>
      </c>
      <c r="AQ119" s="38">
        <v>43.99</v>
      </c>
      <c r="AR119" s="38">
        <v>46.32</v>
      </c>
      <c r="AS119" s="38">
        <v>46.69</v>
      </c>
      <c r="AT119" s="38">
        <v>46.69</v>
      </c>
      <c r="AU119" s="38">
        <v>44.06</v>
      </c>
      <c r="AV119" s="38">
        <v>41.36</v>
      </c>
      <c r="AW119" s="38">
        <v>37.24</v>
      </c>
      <c r="AX119" s="38">
        <v>36.869999999999997</v>
      </c>
      <c r="AY119" s="38">
        <v>36.659999999999997</v>
      </c>
      <c r="BA119" s="37">
        <v>41</v>
      </c>
      <c r="BB119" s="38">
        <v>1.2725</v>
      </c>
    </row>
    <row r="120" spans="1:54" x14ac:dyDescent="0.35">
      <c r="A120" s="2">
        <f t="shared" si="1"/>
        <v>43990</v>
      </c>
      <c r="B120" t="s">
        <v>162</v>
      </c>
      <c r="C120" s="32">
        <v>43990</v>
      </c>
      <c r="D120" s="38">
        <v>12.76</v>
      </c>
      <c r="E120" s="38">
        <v>14.23</v>
      </c>
      <c r="F120" s="38">
        <v>16.989999999999998</v>
      </c>
      <c r="G120" s="38">
        <v>20.5</v>
      </c>
      <c r="H120" s="38">
        <v>29.62</v>
      </c>
      <c r="I120" s="38">
        <v>33.799999999999997</v>
      </c>
      <c r="J120" s="38">
        <v>35.799999999999997</v>
      </c>
      <c r="K120" s="38">
        <v>35.67</v>
      </c>
      <c r="L120" s="38">
        <v>33.19</v>
      </c>
      <c r="M120" s="38">
        <v>30.39</v>
      </c>
      <c r="N120" s="38">
        <v>29.73</v>
      </c>
      <c r="O120" s="38">
        <v>28.67</v>
      </c>
      <c r="P120" s="38">
        <v>27.94</v>
      </c>
      <c r="Q120" s="38">
        <v>28.79</v>
      </c>
      <c r="R120" s="38">
        <v>30.64</v>
      </c>
      <c r="S120" s="38">
        <v>34.71</v>
      </c>
      <c r="T120" s="38">
        <v>37.630000000000003</v>
      </c>
      <c r="U120" s="38">
        <v>40.19</v>
      </c>
      <c r="V120" s="38">
        <v>43.79</v>
      </c>
      <c r="W120" s="38">
        <v>43.71</v>
      </c>
      <c r="X120" s="38">
        <v>40.08</v>
      </c>
      <c r="Y120" s="38">
        <v>35.68</v>
      </c>
      <c r="Z120" s="38">
        <v>34.26</v>
      </c>
      <c r="AA120" s="38">
        <v>33.72</v>
      </c>
      <c r="AB120" s="38">
        <v>32.96</v>
      </c>
      <c r="AC120" s="38">
        <v>33.36</v>
      </c>
      <c r="AD120" s="38">
        <v>34.479999999999997</v>
      </c>
      <c r="AE120" s="38">
        <v>38.090000000000003</v>
      </c>
      <c r="AF120" s="38">
        <v>41.18</v>
      </c>
      <c r="AG120" s="38">
        <v>43.86</v>
      </c>
      <c r="AH120" s="38">
        <v>45.59</v>
      </c>
      <c r="AI120" s="38">
        <v>45.54</v>
      </c>
      <c r="AJ120" s="38">
        <v>42.99</v>
      </c>
      <c r="AK120" s="38">
        <v>37.94</v>
      </c>
      <c r="AL120" s="38">
        <v>35.69</v>
      </c>
      <c r="AM120" s="38">
        <v>34.630000000000003</v>
      </c>
      <c r="AN120" s="38">
        <v>34.78</v>
      </c>
      <c r="AO120" s="38">
        <v>35.909999999999997</v>
      </c>
      <c r="AP120" s="38">
        <v>38.9</v>
      </c>
      <c r="AQ120" s="38">
        <v>43.79</v>
      </c>
      <c r="AR120" s="38">
        <v>46.12</v>
      </c>
      <c r="AS120" s="38">
        <v>46.49</v>
      </c>
      <c r="AT120" s="38">
        <v>46.49</v>
      </c>
      <c r="AU120" s="38">
        <v>43.86</v>
      </c>
      <c r="AV120" s="38">
        <v>41.16</v>
      </c>
      <c r="AW120" s="38">
        <v>37.04</v>
      </c>
      <c r="AX120" s="38">
        <v>36.67</v>
      </c>
      <c r="AY120" s="38">
        <v>36.46</v>
      </c>
      <c r="BA120" s="37">
        <v>39.659999999999997</v>
      </c>
      <c r="BB120" s="38">
        <v>1.2698</v>
      </c>
    </row>
    <row r="121" spans="1:54" x14ac:dyDescent="0.35">
      <c r="A121" s="2">
        <f t="shared" si="1"/>
        <v>43991</v>
      </c>
      <c r="B121" t="s">
        <v>163</v>
      </c>
      <c r="C121" s="32">
        <v>43991</v>
      </c>
      <c r="D121" s="38">
        <v>11.64</v>
      </c>
      <c r="E121" s="38">
        <v>13.12</v>
      </c>
      <c r="F121" s="38">
        <v>15.98</v>
      </c>
      <c r="G121" s="38">
        <v>19.61</v>
      </c>
      <c r="H121" s="38">
        <v>29.21</v>
      </c>
      <c r="I121" s="38">
        <v>33.119999999999997</v>
      </c>
      <c r="J121" s="38">
        <v>35.159999999999997</v>
      </c>
      <c r="K121" s="38">
        <v>35.18</v>
      </c>
      <c r="L121" s="38">
        <v>32.85</v>
      </c>
      <c r="M121" s="38">
        <v>30.18</v>
      </c>
      <c r="N121" s="38">
        <v>28.96</v>
      </c>
      <c r="O121" s="38">
        <v>28.14</v>
      </c>
      <c r="P121" s="38">
        <v>27.42</v>
      </c>
      <c r="Q121" s="38">
        <v>28.19</v>
      </c>
      <c r="R121" s="38">
        <v>29.97</v>
      </c>
      <c r="S121" s="38">
        <v>33.950000000000003</v>
      </c>
      <c r="T121" s="38">
        <v>36.82</v>
      </c>
      <c r="U121" s="38">
        <v>39.380000000000003</v>
      </c>
      <c r="V121" s="38">
        <v>42.98</v>
      </c>
      <c r="W121" s="38">
        <v>42.9</v>
      </c>
      <c r="X121" s="38">
        <v>39.28</v>
      </c>
      <c r="Y121" s="38">
        <v>34.94</v>
      </c>
      <c r="Z121" s="38">
        <v>33.590000000000003</v>
      </c>
      <c r="AA121" s="38">
        <v>33.119999999999997</v>
      </c>
      <c r="AB121" s="38">
        <v>32.43</v>
      </c>
      <c r="AC121" s="38">
        <v>32.93</v>
      </c>
      <c r="AD121" s="38">
        <v>34.14</v>
      </c>
      <c r="AE121" s="38">
        <v>37.83</v>
      </c>
      <c r="AF121" s="38">
        <v>40.950000000000003</v>
      </c>
      <c r="AG121" s="38">
        <v>43.63</v>
      </c>
      <c r="AH121" s="38">
        <v>45.36</v>
      </c>
      <c r="AI121" s="38">
        <v>45.31</v>
      </c>
      <c r="AJ121" s="38">
        <v>42.76</v>
      </c>
      <c r="AK121" s="38">
        <v>37.71</v>
      </c>
      <c r="AL121" s="38">
        <v>35.46</v>
      </c>
      <c r="AM121" s="38">
        <v>34.4</v>
      </c>
      <c r="AN121" s="38">
        <v>34.549999999999997</v>
      </c>
      <c r="AO121" s="38">
        <v>35.68</v>
      </c>
      <c r="AP121" s="38">
        <v>38.67</v>
      </c>
      <c r="AQ121" s="38">
        <v>43.56</v>
      </c>
      <c r="AR121" s="38">
        <v>45.89</v>
      </c>
      <c r="AS121" s="38">
        <v>46.26</v>
      </c>
      <c r="AT121" s="38">
        <v>46.26</v>
      </c>
      <c r="AU121" s="38">
        <v>43.63</v>
      </c>
      <c r="AV121" s="38">
        <v>40.93</v>
      </c>
      <c r="AW121" s="38">
        <v>36.83</v>
      </c>
      <c r="AX121" s="38">
        <v>36.46</v>
      </c>
      <c r="AY121" s="38">
        <v>36.25</v>
      </c>
      <c r="BA121" s="37">
        <v>40.450000000000003</v>
      </c>
      <c r="BB121" s="38">
        <v>1.2722</v>
      </c>
    </row>
    <row r="122" spans="1:54" x14ac:dyDescent="0.35">
      <c r="A122" s="2">
        <f t="shared" si="1"/>
        <v>43992</v>
      </c>
      <c r="B122" t="s">
        <v>164</v>
      </c>
      <c r="C122" s="32">
        <v>43992</v>
      </c>
      <c r="D122" s="38">
        <v>11.86</v>
      </c>
      <c r="E122" s="38">
        <v>13.02</v>
      </c>
      <c r="F122" s="38">
        <v>15.94</v>
      </c>
      <c r="G122" s="38">
        <v>19.559999999999999</v>
      </c>
      <c r="H122" s="38">
        <v>29.39</v>
      </c>
      <c r="I122" s="38">
        <v>33.39</v>
      </c>
      <c r="J122" s="38">
        <v>35.270000000000003</v>
      </c>
      <c r="K122" s="38">
        <v>35.43</v>
      </c>
      <c r="L122" s="38">
        <v>33.03</v>
      </c>
      <c r="M122" s="38">
        <v>30.36</v>
      </c>
      <c r="N122" s="38">
        <v>29.16</v>
      </c>
      <c r="O122" s="38">
        <v>28.44</v>
      </c>
      <c r="P122" s="38">
        <v>27.77</v>
      </c>
      <c r="Q122" s="38">
        <v>28.54</v>
      </c>
      <c r="R122" s="38">
        <v>30.32</v>
      </c>
      <c r="S122" s="38">
        <v>34.1</v>
      </c>
      <c r="T122" s="38">
        <v>36.86</v>
      </c>
      <c r="U122" s="38">
        <v>39.42</v>
      </c>
      <c r="V122" s="38">
        <v>43.02</v>
      </c>
      <c r="W122" s="38">
        <v>42.94</v>
      </c>
      <c r="X122" s="38">
        <v>39.32</v>
      </c>
      <c r="Y122" s="38">
        <v>35.15</v>
      </c>
      <c r="Z122" s="38">
        <v>33.799999999999997</v>
      </c>
      <c r="AA122" s="38">
        <v>33.33</v>
      </c>
      <c r="AB122" s="38">
        <v>32.64</v>
      </c>
      <c r="AC122" s="38">
        <v>33.14</v>
      </c>
      <c r="AD122" s="38">
        <v>34.35</v>
      </c>
      <c r="AE122" s="38">
        <v>37.869999999999997</v>
      </c>
      <c r="AF122" s="38">
        <v>40.99</v>
      </c>
      <c r="AG122" s="38">
        <v>43.67</v>
      </c>
      <c r="AH122" s="38">
        <v>45.4</v>
      </c>
      <c r="AI122" s="38">
        <v>45.35</v>
      </c>
      <c r="AJ122" s="38">
        <v>42.8</v>
      </c>
      <c r="AK122" s="38">
        <v>37.5</v>
      </c>
      <c r="AL122" s="38">
        <v>35.25</v>
      </c>
      <c r="AM122" s="38">
        <v>34.19</v>
      </c>
      <c r="AN122" s="38">
        <v>34.340000000000003</v>
      </c>
      <c r="AO122" s="38">
        <v>35.47</v>
      </c>
      <c r="AP122" s="38">
        <v>38.46</v>
      </c>
      <c r="AQ122" s="38">
        <v>43.73</v>
      </c>
      <c r="AR122" s="38">
        <v>46.15</v>
      </c>
      <c r="AS122" s="38">
        <v>46.52</v>
      </c>
      <c r="AT122" s="38">
        <v>46.52</v>
      </c>
      <c r="AU122" s="38">
        <v>43.89</v>
      </c>
      <c r="AV122" s="38">
        <v>41.19</v>
      </c>
      <c r="AW122" s="38">
        <v>37.090000000000003</v>
      </c>
      <c r="AX122" s="38">
        <v>36.72</v>
      </c>
      <c r="AY122" s="38">
        <v>36.51</v>
      </c>
      <c r="BA122" s="37">
        <v>41.18</v>
      </c>
      <c r="BB122" s="38">
        <v>1.2755000000000001</v>
      </c>
    </row>
    <row r="123" spans="1:54" x14ac:dyDescent="0.35">
      <c r="A123" s="2">
        <f t="shared" si="1"/>
        <v>43993</v>
      </c>
      <c r="B123" t="s">
        <v>165</v>
      </c>
      <c r="C123" s="32">
        <v>43993</v>
      </c>
      <c r="D123" s="38">
        <v>12.71</v>
      </c>
      <c r="E123" s="38">
        <v>13.48</v>
      </c>
      <c r="F123" s="38">
        <v>16.440000000000001</v>
      </c>
      <c r="G123" s="38">
        <v>19.850000000000001</v>
      </c>
      <c r="H123" s="38">
        <v>29.42</v>
      </c>
      <c r="I123" s="38">
        <v>33.42</v>
      </c>
      <c r="J123" s="38">
        <v>35.15</v>
      </c>
      <c r="K123" s="38">
        <v>35.36</v>
      </c>
      <c r="L123" s="38">
        <v>32.96</v>
      </c>
      <c r="M123" s="38">
        <v>30.2</v>
      </c>
      <c r="N123" s="38">
        <v>28.93</v>
      </c>
      <c r="O123" s="38">
        <v>28.21</v>
      </c>
      <c r="P123" s="38">
        <v>27.54</v>
      </c>
      <c r="Q123" s="38">
        <v>28.31</v>
      </c>
      <c r="R123" s="38">
        <v>30.09</v>
      </c>
      <c r="S123" s="38">
        <v>34.130000000000003</v>
      </c>
      <c r="T123" s="38">
        <v>36.89</v>
      </c>
      <c r="U123" s="38">
        <v>39.450000000000003</v>
      </c>
      <c r="V123" s="38">
        <v>43.05</v>
      </c>
      <c r="W123" s="38">
        <v>42.97</v>
      </c>
      <c r="X123" s="38">
        <v>39.35</v>
      </c>
      <c r="Y123" s="38">
        <v>35.18</v>
      </c>
      <c r="Z123" s="38">
        <v>33.83</v>
      </c>
      <c r="AA123" s="38">
        <v>33.36</v>
      </c>
      <c r="AB123" s="38">
        <v>32.67</v>
      </c>
      <c r="AC123" s="38">
        <v>33.17</v>
      </c>
      <c r="AD123" s="38">
        <v>34.380000000000003</v>
      </c>
      <c r="AE123" s="38">
        <v>37.82</v>
      </c>
      <c r="AF123" s="38">
        <v>40.94</v>
      </c>
      <c r="AG123" s="38">
        <v>43.62</v>
      </c>
      <c r="AH123" s="38">
        <v>45.35</v>
      </c>
      <c r="AI123" s="38">
        <v>45.3</v>
      </c>
      <c r="AJ123" s="38">
        <v>42.75</v>
      </c>
      <c r="AK123" s="38">
        <v>37.380000000000003</v>
      </c>
      <c r="AL123" s="38">
        <v>35.130000000000003</v>
      </c>
      <c r="AM123" s="38">
        <v>34.07</v>
      </c>
      <c r="AN123" s="38">
        <v>34.22</v>
      </c>
      <c r="AO123" s="38">
        <v>35.35</v>
      </c>
      <c r="AP123" s="38">
        <v>38.340000000000003</v>
      </c>
      <c r="AQ123" s="38">
        <v>43.61</v>
      </c>
      <c r="AR123" s="38">
        <v>46.03</v>
      </c>
      <c r="AS123" s="38">
        <v>46.4</v>
      </c>
      <c r="AT123" s="38">
        <v>46.4</v>
      </c>
      <c r="AU123" s="38">
        <v>43.77</v>
      </c>
      <c r="AV123" s="38">
        <v>41.07</v>
      </c>
      <c r="AW123" s="38">
        <v>36.97</v>
      </c>
      <c r="AX123" s="38">
        <v>36.6</v>
      </c>
      <c r="AY123" s="38">
        <v>36.39</v>
      </c>
      <c r="BA123" s="37">
        <v>37.76</v>
      </c>
      <c r="BB123" s="38">
        <v>1.2645</v>
      </c>
    </row>
    <row r="124" spans="1:54" x14ac:dyDescent="0.35">
      <c r="A124" s="2">
        <f t="shared" si="1"/>
        <v>43994</v>
      </c>
      <c r="B124" t="s">
        <v>166</v>
      </c>
      <c r="C124" s="32">
        <v>43994</v>
      </c>
      <c r="D124" s="38">
        <v>13.96</v>
      </c>
      <c r="E124" s="38">
        <v>14.47</v>
      </c>
      <c r="F124" s="38">
        <v>17.13</v>
      </c>
      <c r="G124" s="38">
        <v>20.13</v>
      </c>
      <c r="H124" s="38">
        <v>29.32</v>
      </c>
      <c r="I124" s="38">
        <v>33.32</v>
      </c>
      <c r="J124" s="38">
        <v>34.89</v>
      </c>
      <c r="K124" s="38">
        <v>35.14</v>
      </c>
      <c r="L124" s="38">
        <v>32.75</v>
      </c>
      <c r="M124" s="38">
        <v>30.08</v>
      </c>
      <c r="N124" s="38">
        <v>28.87</v>
      </c>
      <c r="O124" s="38">
        <v>28.15</v>
      </c>
      <c r="P124" s="38">
        <v>27.48</v>
      </c>
      <c r="Q124" s="38">
        <v>28.25</v>
      </c>
      <c r="R124" s="38">
        <v>30.03</v>
      </c>
      <c r="S124" s="38">
        <v>34.159999999999997</v>
      </c>
      <c r="T124" s="38">
        <v>36.92</v>
      </c>
      <c r="U124" s="38">
        <v>39.450000000000003</v>
      </c>
      <c r="V124" s="38">
        <v>43.02</v>
      </c>
      <c r="W124" s="38">
        <v>42.94</v>
      </c>
      <c r="X124" s="38">
        <v>39.32</v>
      </c>
      <c r="Y124" s="38">
        <v>35.21</v>
      </c>
      <c r="Z124" s="38">
        <v>33.86</v>
      </c>
      <c r="AA124" s="38">
        <v>33.39</v>
      </c>
      <c r="AB124" s="38">
        <v>32.700000000000003</v>
      </c>
      <c r="AC124" s="38">
        <v>33.200000000000003</v>
      </c>
      <c r="AD124" s="38">
        <v>34.409999999999997</v>
      </c>
      <c r="AE124" s="38">
        <v>37.979999999999997</v>
      </c>
      <c r="AF124" s="38">
        <v>41.2</v>
      </c>
      <c r="AG124" s="38">
        <v>43.88</v>
      </c>
      <c r="AH124" s="38">
        <v>45.61</v>
      </c>
      <c r="AI124" s="38">
        <v>45.56</v>
      </c>
      <c r="AJ124" s="38">
        <v>43.01</v>
      </c>
      <c r="AK124" s="38">
        <v>37.479999999999997</v>
      </c>
      <c r="AL124" s="38">
        <v>35.119999999999997</v>
      </c>
      <c r="AM124" s="38">
        <v>34.06</v>
      </c>
      <c r="AN124" s="38">
        <v>34.21</v>
      </c>
      <c r="AO124" s="38">
        <v>35.340000000000003</v>
      </c>
      <c r="AP124" s="38">
        <v>38.33</v>
      </c>
      <c r="AQ124" s="38">
        <v>43.6</v>
      </c>
      <c r="AR124" s="38">
        <v>46.02</v>
      </c>
      <c r="AS124" s="38">
        <v>46.39</v>
      </c>
      <c r="AT124" s="38">
        <v>46.39</v>
      </c>
      <c r="AU124" s="38">
        <v>43.76</v>
      </c>
      <c r="AV124" s="38">
        <v>41.06</v>
      </c>
      <c r="AW124" s="38">
        <v>36.96</v>
      </c>
      <c r="AX124" s="38">
        <v>36.590000000000003</v>
      </c>
      <c r="AY124" s="38">
        <v>36.380000000000003</v>
      </c>
      <c r="BA124" s="37">
        <v>38.54</v>
      </c>
      <c r="BB124" s="38">
        <v>1.2539</v>
      </c>
    </row>
    <row r="125" spans="1:54" x14ac:dyDescent="0.35">
      <c r="A125" s="2">
        <f t="shared" si="1"/>
        <v>43997</v>
      </c>
      <c r="B125" t="s">
        <v>167</v>
      </c>
      <c r="C125" s="32">
        <v>43997</v>
      </c>
      <c r="D125" s="38">
        <v>14.34</v>
      </c>
      <c r="E125" s="38">
        <v>14.77</v>
      </c>
      <c r="F125" s="38">
        <v>17.38</v>
      </c>
      <c r="G125" s="38">
        <v>20.3</v>
      </c>
      <c r="H125" s="38">
        <v>29.1</v>
      </c>
      <c r="I125" s="38">
        <v>32.799999999999997</v>
      </c>
      <c r="J125" s="38">
        <v>34.56</v>
      </c>
      <c r="K125" s="38">
        <v>34.92</v>
      </c>
      <c r="L125" s="38">
        <v>32.53</v>
      </c>
      <c r="M125" s="38">
        <v>29.77</v>
      </c>
      <c r="N125" s="38">
        <v>28.52</v>
      </c>
      <c r="O125" s="38">
        <v>27.8</v>
      </c>
      <c r="P125" s="38">
        <v>27.13</v>
      </c>
      <c r="Q125" s="38">
        <v>27.9</v>
      </c>
      <c r="R125" s="38">
        <v>29.68</v>
      </c>
      <c r="S125" s="38">
        <v>33.909999999999997</v>
      </c>
      <c r="T125" s="38">
        <v>36.700000000000003</v>
      </c>
      <c r="U125" s="38">
        <v>39.229999999999997</v>
      </c>
      <c r="V125" s="38">
        <v>42.8</v>
      </c>
      <c r="W125" s="38">
        <v>42.72</v>
      </c>
      <c r="X125" s="38">
        <v>39.1</v>
      </c>
      <c r="Y125" s="38">
        <v>34.93</v>
      </c>
      <c r="Z125" s="38">
        <v>33.58</v>
      </c>
      <c r="AA125" s="38">
        <v>33.11</v>
      </c>
      <c r="AB125" s="38">
        <v>32.42</v>
      </c>
      <c r="AC125" s="38">
        <v>32.92</v>
      </c>
      <c r="AD125" s="38">
        <v>34.090000000000003</v>
      </c>
      <c r="AE125" s="38">
        <v>37.659999999999997</v>
      </c>
      <c r="AF125" s="38">
        <v>40.880000000000003</v>
      </c>
      <c r="AG125" s="38">
        <v>43.56</v>
      </c>
      <c r="AH125" s="38">
        <v>45.29</v>
      </c>
      <c r="AI125" s="38">
        <v>45.24</v>
      </c>
      <c r="AJ125" s="38">
        <v>42.69</v>
      </c>
      <c r="AK125" s="38">
        <v>37.159999999999997</v>
      </c>
      <c r="AL125" s="38">
        <v>34.799999999999997</v>
      </c>
      <c r="AM125" s="38">
        <v>33.74</v>
      </c>
      <c r="AN125" s="38">
        <v>33.89</v>
      </c>
      <c r="AO125" s="38">
        <v>35.020000000000003</v>
      </c>
      <c r="AP125" s="38">
        <v>38.01</v>
      </c>
      <c r="AQ125" s="38">
        <v>43.28</v>
      </c>
      <c r="AR125" s="38">
        <v>45.7</v>
      </c>
      <c r="AS125" s="38">
        <v>46.07</v>
      </c>
      <c r="AT125" s="38">
        <v>46.07</v>
      </c>
      <c r="AU125" s="38">
        <v>43.44</v>
      </c>
      <c r="AV125" s="38">
        <v>40.81</v>
      </c>
      <c r="AW125" s="38">
        <v>36.770000000000003</v>
      </c>
      <c r="AX125" s="38">
        <v>36.4</v>
      </c>
      <c r="AY125" s="38">
        <v>36.19</v>
      </c>
      <c r="BA125" s="37">
        <v>39.44</v>
      </c>
      <c r="BB125" s="38">
        <v>1.2559</v>
      </c>
    </row>
    <row r="126" spans="1:54" x14ac:dyDescent="0.35">
      <c r="A126" s="2">
        <f t="shared" si="1"/>
        <v>43998</v>
      </c>
      <c r="B126" t="s">
        <v>168</v>
      </c>
      <c r="C126" s="32">
        <v>43998</v>
      </c>
      <c r="D126" s="38">
        <v>13.21</v>
      </c>
      <c r="E126" s="38">
        <v>13.62</v>
      </c>
      <c r="F126" s="38">
        <v>16.52</v>
      </c>
      <c r="G126" s="38">
        <v>19.989999999999998</v>
      </c>
      <c r="H126" s="38">
        <v>29.14</v>
      </c>
      <c r="I126" s="38">
        <v>33.119999999999997</v>
      </c>
      <c r="J126" s="38">
        <v>34.86</v>
      </c>
      <c r="K126" s="38">
        <v>35.229999999999997</v>
      </c>
      <c r="L126" s="38">
        <v>32.83</v>
      </c>
      <c r="M126" s="38">
        <v>30.05</v>
      </c>
      <c r="N126" s="38">
        <v>28.78</v>
      </c>
      <c r="O126" s="38">
        <v>28.06</v>
      </c>
      <c r="P126" s="38">
        <v>27.39</v>
      </c>
      <c r="Q126" s="38">
        <v>28.16</v>
      </c>
      <c r="R126" s="38">
        <v>29.93</v>
      </c>
      <c r="S126" s="38">
        <v>34.01</v>
      </c>
      <c r="T126" s="38">
        <v>36.83</v>
      </c>
      <c r="U126" s="38">
        <v>39.380000000000003</v>
      </c>
      <c r="V126" s="38">
        <v>42.96</v>
      </c>
      <c r="W126" s="38">
        <v>42.87</v>
      </c>
      <c r="X126" s="38">
        <v>39.25</v>
      </c>
      <c r="Y126" s="38">
        <v>35.119999999999997</v>
      </c>
      <c r="Z126" s="38">
        <v>33.770000000000003</v>
      </c>
      <c r="AA126" s="38">
        <v>33.299999999999997</v>
      </c>
      <c r="AB126" s="38">
        <v>32.61</v>
      </c>
      <c r="AC126" s="38">
        <v>33.11</v>
      </c>
      <c r="AD126" s="38">
        <v>34.28</v>
      </c>
      <c r="AE126" s="38">
        <v>37.85</v>
      </c>
      <c r="AF126" s="38">
        <v>41.07</v>
      </c>
      <c r="AG126" s="38">
        <v>43.75</v>
      </c>
      <c r="AH126" s="38">
        <v>45.48</v>
      </c>
      <c r="AI126" s="38">
        <v>45.43</v>
      </c>
      <c r="AJ126" s="38">
        <v>42.88</v>
      </c>
      <c r="AK126" s="38">
        <v>37.35</v>
      </c>
      <c r="AL126" s="38">
        <v>34.99</v>
      </c>
      <c r="AM126" s="38">
        <v>33.93</v>
      </c>
      <c r="AN126" s="38">
        <v>34.08</v>
      </c>
      <c r="AO126" s="38">
        <v>35.21</v>
      </c>
      <c r="AP126" s="38">
        <v>38.200000000000003</v>
      </c>
      <c r="AQ126" s="38">
        <v>43.47</v>
      </c>
      <c r="AR126" s="38">
        <v>45.89</v>
      </c>
      <c r="AS126" s="38">
        <v>46.26</v>
      </c>
      <c r="AT126" s="38">
        <v>46.26</v>
      </c>
      <c r="AU126" s="38">
        <v>43.63</v>
      </c>
      <c r="AV126" s="38">
        <v>41</v>
      </c>
      <c r="AW126" s="38">
        <v>36.96</v>
      </c>
      <c r="AX126" s="38">
        <v>36.590000000000003</v>
      </c>
      <c r="AY126" s="38">
        <v>36.380000000000003</v>
      </c>
      <c r="BA126" s="37">
        <v>40.75</v>
      </c>
      <c r="BB126" s="38">
        <v>1.2583</v>
      </c>
    </row>
    <row r="127" spans="1:54" x14ac:dyDescent="0.35">
      <c r="A127" s="2">
        <f t="shared" si="1"/>
        <v>43999</v>
      </c>
      <c r="B127" t="s">
        <v>169</v>
      </c>
      <c r="C127" s="32">
        <v>43999</v>
      </c>
      <c r="D127" s="38">
        <v>13.34</v>
      </c>
      <c r="E127" s="38">
        <v>13.7</v>
      </c>
      <c r="F127" s="38">
        <v>16.600000000000001</v>
      </c>
      <c r="G127" s="38">
        <v>20.18</v>
      </c>
      <c r="H127" s="38">
        <v>29.35</v>
      </c>
      <c r="I127" s="38">
        <v>33.340000000000003</v>
      </c>
      <c r="J127" s="38">
        <v>35.14</v>
      </c>
      <c r="K127" s="38">
        <v>35.61</v>
      </c>
      <c r="L127" s="38">
        <v>32.950000000000003</v>
      </c>
      <c r="M127" s="38">
        <v>30.22</v>
      </c>
      <c r="N127" s="38">
        <v>28.91</v>
      </c>
      <c r="O127" s="38">
        <v>27.81</v>
      </c>
      <c r="P127" s="38">
        <v>27.91</v>
      </c>
      <c r="Q127" s="38">
        <v>28.25</v>
      </c>
      <c r="R127" s="38">
        <v>30.02</v>
      </c>
      <c r="S127" s="38">
        <v>34.17</v>
      </c>
      <c r="T127" s="38">
        <v>37.07</v>
      </c>
      <c r="U127" s="38">
        <v>39.69</v>
      </c>
      <c r="V127" s="38">
        <v>43.31</v>
      </c>
      <c r="W127" s="38">
        <v>43.22</v>
      </c>
      <c r="X127" s="38">
        <v>39.6</v>
      </c>
      <c r="Y127" s="38">
        <v>35.39</v>
      </c>
      <c r="Z127" s="38">
        <v>33.979999999999997</v>
      </c>
      <c r="AA127" s="38">
        <v>33.46</v>
      </c>
      <c r="AB127" s="38">
        <v>32.75</v>
      </c>
      <c r="AC127" s="38">
        <v>33.229999999999997</v>
      </c>
      <c r="AD127" s="38">
        <v>34.36</v>
      </c>
      <c r="AE127" s="38">
        <v>37.89</v>
      </c>
      <c r="AF127" s="38">
        <v>41.11</v>
      </c>
      <c r="AG127" s="38">
        <v>43.79</v>
      </c>
      <c r="AH127" s="38">
        <v>45.52</v>
      </c>
      <c r="AI127" s="38">
        <v>45.47</v>
      </c>
      <c r="AJ127" s="38">
        <v>42.92</v>
      </c>
      <c r="AK127" s="38">
        <v>37.42</v>
      </c>
      <c r="AL127" s="38">
        <v>35.08</v>
      </c>
      <c r="AM127" s="38">
        <v>34.020000000000003</v>
      </c>
      <c r="AN127" s="38">
        <v>34.17</v>
      </c>
      <c r="AO127" s="38">
        <v>35.299999999999997</v>
      </c>
      <c r="AP127" s="38">
        <v>38.29</v>
      </c>
      <c r="AQ127" s="38">
        <v>43.56</v>
      </c>
      <c r="AR127" s="38">
        <v>45.98</v>
      </c>
      <c r="AS127" s="38">
        <v>46.35</v>
      </c>
      <c r="AT127" s="38">
        <v>46.35</v>
      </c>
      <c r="AU127" s="38">
        <v>43.72</v>
      </c>
      <c r="AV127" s="38">
        <v>41.09</v>
      </c>
      <c r="AW127" s="38">
        <v>37.049999999999997</v>
      </c>
      <c r="AX127" s="38">
        <v>36.68</v>
      </c>
      <c r="AY127" s="38">
        <v>36.47</v>
      </c>
      <c r="BA127" s="37">
        <v>40.47</v>
      </c>
      <c r="BB127" s="38">
        <v>1.2544999999999999</v>
      </c>
    </row>
    <row r="128" spans="1:54" x14ac:dyDescent="0.35">
      <c r="A128" s="2">
        <f t="shared" si="1"/>
        <v>44000</v>
      </c>
      <c r="B128" t="s">
        <v>170</v>
      </c>
      <c r="C128" s="32">
        <v>44000</v>
      </c>
      <c r="D128" s="38">
        <v>14.03</v>
      </c>
      <c r="E128" s="38">
        <v>14.4</v>
      </c>
      <c r="F128" s="38">
        <v>17.28</v>
      </c>
      <c r="G128" s="38">
        <v>20.99</v>
      </c>
      <c r="H128" s="38">
        <v>30.25</v>
      </c>
      <c r="I128" s="38">
        <v>34.299999999999997</v>
      </c>
      <c r="J128" s="38">
        <v>36.090000000000003</v>
      </c>
      <c r="K128" s="38">
        <v>36.630000000000003</v>
      </c>
      <c r="L128" s="38">
        <v>34.43</v>
      </c>
      <c r="M128" s="38">
        <v>31.33</v>
      </c>
      <c r="N128" s="38">
        <v>29.91</v>
      </c>
      <c r="O128" s="38">
        <v>28.86</v>
      </c>
      <c r="P128" s="38">
        <v>28.96</v>
      </c>
      <c r="Q128" s="38">
        <v>29.26</v>
      </c>
      <c r="R128" s="38">
        <v>31</v>
      </c>
      <c r="S128" s="38">
        <v>35.270000000000003</v>
      </c>
      <c r="T128" s="38">
        <v>38.17</v>
      </c>
      <c r="U128" s="38">
        <v>40.67</v>
      </c>
      <c r="V128" s="38">
        <v>44.06</v>
      </c>
      <c r="W128" s="38">
        <v>43.9</v>
      </c>
      <c r="X128" s="38">
        <v>40.28</v>
      </c>
      <c r="Y128" s="38">
        <v>36.26</v>
      </c>
      <c r="Z128" s="38">
        <v>34.950000000000003</v>
      </c>
      <c r="AA128" s="38">
        <v>34.43</v>
      </c>
      <c r="AB128" s="38">
        <v>33.72</v>
      </c>
      <c r="AC128" s="38">
        <v>34.200000000000003</v>
      </c>
      <c r="AD128" s="38">
        <v>35.22</v>
      </c>
      <c r="AE128" s="38">
        <v>38.6</v>
      </c>
      <c r="AF128" s="38">
        <v>41.71</v>
      </c>
      <c r="AG128" s="38">
        <v>44.32</v>
      </c>
      <c r="AH128" s="38">
        <v>46.05</v>
      </c>
      <c r="AI128" s="38">
        <v>46</v>
      </c>
      <c r="AJ128" s="38">
        <v>43.45</v>
      </c>
      <c r="AK128" s="38">
        <v>38.020000000000003</v>
      </c>
      <c r="AL128" s="38">
        <v>35.74</v>
      </c>
      <c r="AM128" s="38">
        <v>34.729999999999997</v>
      </c>
      <c r="AN128" s="38">
        <v>34.880000000000003</v>
      </c>
      <c r="AO128" s="38">
        <v>36.01</v>
      </c>
      <c r="AP128" s="38">
        <v>39</v>
      </c>
      <c r="AQ128" s="38">
        <v>44.26</v>
      </c>
      <c r="AR128" s="38">
        <v>46.6</v>
      </c>
      <c r="AS128" s="38">
        <v>46.89</v>
      </c>
      <c r="AT128" s="38">
        <v>46.81</v>
      </c>
      <c r="AU128" s="38">
        <v>44.18</v>
      </c>
      <c r="AV128" s="38">
        <v>41.55</v>
      </c>
      <c r="AW128" s="38">
        <v>37.340000000000003</v>
      </c>
      <c r="AX128" s="38">
        <v>36.92</v>
      </c>
      <c r="AY128" s="38">
        <v>36.71</v>
      </c>
      <c r="BA128" s="37">
        <v>41.75</v>
      </c>
      <c r="BB128" s="38">
        <v>1.242</v>
      </c>
    </row>
    <row r="129" spans="1:54" x14ac:dyDescent="0.35">
      <c r="A129" s="2">
        <f t="shared" si="1"/>
        <v>44001</v>
      </c>
      <c r="B129" t="s">
        <v>171</v>
      </c>
      <c r="C129" s="32">
        <v>44001</v>
      </c>
      <c r="D129" s="38">
        <v>14.42</v>
      </c>
      <c r="E129" s="38">
        <v>14.87</v>
      </c>
      <c r="F129" s="38">
        <v>17.73</v>
      </c>
      <c r="G129" s="38">
        <v>21.56</v>
      </c>
      <c r="H129" s="38">
        <v>31.03</v>
      </c>
      <c r="I129" s="38">
        <v>35.32</v>
      </c>
      <c r="J129" s="38">
        <v>37.03</v>
      </c>
      <c r="K129" s="38">
        <v>37.36</v>
      </c>
      <c r="L129" s="38">
        <v>35.130000000000003</v>
      </c>
      <c r="M129" s="38">
        <v>32.03</v>
      </c>
      <c r="N129" s="38">
        <v>30.71</v>
      </c>
      <c r="O129" s="38">
        <v>29.48</v>
      </c>
      <c r="P129" s="38">
        <v>29.5</v>
      </c>
      <c r="Q129" s="38">
        <v>29.8</v>
      </c>
      <c r="R129" s="38">
        <v>31.54</v>
      </c>
      <c r="S129" s="38">
        <v>35.86</v>
      </c>
      <c r="T129" s="38">
        <v>38.76</v>
      </c>
      <c r="U129" s="38">
        <v>41.26</v>
      </c>
      <c r="V129" s="38">
        <v>44.65</v>
      </c>
      <c r="W129" s="38">
        <v>44.48</v>
      </c>
      <c r="X129" s="38">
        <v>40.85</v>
      </c>
      <c r="Y129" s="38">
        <v>36.74</v>
      </c>
      <c r="Z129" s="38">
        <v>35.39</v>
      </c>
      <c r="AA129" s="38">
        <v>34.82</v>
      </c>
      <c r="AB129" s="38">
        <v>34.049999999999997</v>
      </c>
      <c r="AC129" s="38">
        <v>34.49</v>
      </c>
      <c r="AD129" s="38">
        <v>35.450000000000003</v>
      </c>
      <c r="AE129" s="38">
        <v>38.770000000000003</v>
      </c>
      <c r="AF129" s="38">
        <v>41.88</v>
      </c>
      <c r="AG129" s="38">
        <v>44.49</v>
      </c>
      <c r="AH129" s="38">
        <v>46.22</v>
      </c>
      <c r="AI129" s="38">
        <v>46.17</v>
      </c>
      <c r="AJ129" s="38">
        <v>43.62</v>
      </c>
      <c r="AK129" s="38">
        <v>38.19</v>
      </c>
      <c r="AL129" s="38">
        <v>35.94</v>
      </c>
      <c r="AM129" s="38">
        <v>34.92</v>
      </c>
      <c r="AN129" s="38">
        <v>35.07</v>
      </c>
      <c r="AO129" s="38">
        <v>36.200000000000003</v>
      </c>
      <c r="AP129" s="38">
        <v>39.19</v>
      </c>
      <c r="AQ129" s="38">
        <v>44.32</v>
      </c>
      <c r="AR129" s="38">
        <v>46.58</v>
      </c>
      <c r="AS129" s="38">
        <v>46.87</v>
      </c>
      <c r="AT129" s="38">
        <v>46.79</v>
      </c>
      <c r="AU129" s="38">
        <v>44.16</v>
      </c>
      <c r="AV129" s="38">
        <v>41.53</v>
      </c>
      <c r="AW129" s="38">
        <v>37.31</v>
      </c>
      <c r="AX129" s="38">
        <v>36.880000000000003</v>
      </c>
      <c r="AY129" s="38">
        <v>36.67</v>
      </c>
      <c r="BA129" s="37">
        <v>42.33</v>
      </c>
      <c r="BB129" s="38">
        <v>1.2361</v>
      </c>
    </row>
    <row r="130" spans="1:54" x14ac:dyDescent="0.35">
      <c r="A130" s="2">
        <f t="shared" si="1"/>
        <v>44004</v>
      </c>
      <c r="B130" t="s">
        <v>172</v>
      </c>
      <c r="C130" s="32">
        <v>44004</v>
      </c>
      <c r="D130" s="38">
        <v>13.83</v>
      </c>
      <c r="E130" s="38">
        <v>14.19</v>
      </c>
      <c r="F130" s="38">
        <v>17.100000000000001</v>
      </c>
      <c r="G130" s="38">
        <v>21.22</v>
      </c>
      <c r="H130" s="38">
        <v>30.82</v>
      </c>
      <c r="I130" s="38">
        <v>35.22</v>
      </c>
      <c r="J130" s="38">
        <v>36.81</v>
      </c>
      <c r="K130" s="38">
        <v>37.06</v>
      </c>
      <c r="L130" s="38">
        <v>34.83</v>
      </c>
      <c r="M130" s="38">
        <v>31.5</v>
      </c>
      <c r="N130" s="38">
        <v>30.16</v>
      </c>
      <c r="O130" s="38">
        <v>28.93</v>
      </c>
      <c r="P130" s="38">
        <v>28.95</v>
      </c>
      <c r="Q130" s="38">
        <v>29.25</v>
      </c>
      <c r="R130" s="38">
        <v>30.99</v>
      </c>
      <c r="S130" s="38">
        <v>35.51</v>
      </c>
      <c r="T130" s="38">
        <v>38.479999999999997</v>
      </c>
      <c r="U130" s="38">
        <v>40.98</v>
      </c>
      <c r="V130" s="38">
        <v>44.37</v>
      </c>
      <c r="W130" s="38">
        <v>44.2</v>
      </c>
      <c r="X130" s="38">
        <v>40.57</v>
      </c>
      <c r="Y130" s="38">
        <v>36.74</v>
      </c>
      <c r="Z130" s="38">
        <v>35.39</v>
      </c>
      <c r="AA130" s="38">
        <v>34.82</v>
      </c>
      <c r="AB130" s="38">
        <v>34.049999999999997</v>
      </c>
      <c r="AC130" s="38">
        <v>34.49</v>
      </c>
      <c r="AD130" s="38">
        <v>35.450000000000003</v>
      </c>
      <c r="AE130" s="38">
        <v>38.61</v>
      </c>
      <c r="AF130" s="38">
        <v>41.72</v>
      </c>
      <c r="AG130" s="38">
        <v>44.33</v>
      </c>
      <c r="AH130" s="38">
        <v>46.06</v>
      </c>
      <c r="AI130" s="38">
        <v>46.01</v>
      </c>
      <c r="AJ130" s="38">
        <v>43.46</v>
      </c>
      <c r="AK130" s="38">
        <v>38.08</v>
      </c>
      <c r="AL130" s="38">
        <v>35.83</v>
      </c>
      <c r="AM130" s="38">
        <v>34.81</v>
      </c>
      <c r="AN130" s="38">
        <v>34.96</v>
      </c>
      <c r="AO130" s="38">
        <v>36.090000000000003</v>
      </c>
      <c r="AP130" s="38">
        <v>39.08</v>
      </c>
      <c r="AQ130" s="38">
        <v>44.28</v>
      </c>
      <c r="AR130" s="38">
        <v>46.54</v>
      </c>
      <c r="AS130" s="38">
        <v>46.83</v>
      </c>
      <c r="AT130" s="38">
        <v>46.75</v>
      </c>
      <c r="AU130" s="38">
        <v>44.12</v>
      </c>
      <c r="AV130" s="38">
        <v>41.49</v>
      </c>
      <c r="AW130" s="38">
        <v>37.270000000000003</v>
      </c>
      <c r="AX130" s="38">
        <v>36.840000000000003</v>
      </c>
      <c r="AY130" s="38">
        <v>36.630000000000003</v>
      </c>
      <c r="BA130" s="37">
        <v>43.2</v>
      </c>
      <c r="BB130" s="38">
        <v>1.2447999999999999</v>
      </c>
    </row>
    <row r="131" spans="1:54" x14ac:dyDescent="0.35">
      <c r="A131" s="2">
        <f t="shared" si="1"/>
        <v>44005</v>
      </c>
      <c r="B131" t="s">
        <v>173</v>
      </c>
      <c r="C131" s="32">
        <v>44005</v>
      </c>
      <c r="D131" s="38">
        <v>15</v>
      </c>
      <c r="E131" s="38">
        <v>15.25</v>
      </c>
      <c r="F131" s="38">
        <v>17.95</v>
      </c>
      <c r="G131" s="38">
        <v>22.04</v>
      </c>
      <c r="H131" s="38">
        <v>31.44</v>
      </c>
      <c r="I131" s="38">
        <v>35.79</v>
      </c>
      <c r="J131" s="38">
        <v>37.54</v>
      </c>
      <c r="K131" s="38">
        <v>37.950000000000003</v>
      </c>
      <c r="L131" s="38">
        <v>35.39</v>
      </c>
      <c r="M131" s="38">
        <v>32.21</v>
      </c>
      <c r="N131" s="38">
        <v>30.77</v>
      </c>
      <c r="O131" s="38">
        <v>29.44</v>
      </c>
      <c r="P131" s="38">
        <v>29.46</v>
      </c>
      <c r="Q131" s="38">
        <v>29.76</v>
      </c>
      <c r="R131" s="38">
        <v>31.5</v>
      </c>
      <c r="S131" s="38">
        <v>35.909999999999997</v>
      </c>
      <c r="T131" s="38">
        <v>38.76</v>
      </c>
      <c r="U131" s="38">
        <v>41.26</v>
      </c>
      <c r="V131" s="38">
        <v>44.65</v>
      </c>
      <c r="W131" s="38">
        <v>44.48</v>
      </c>
      <c r="X131" s="38">
        <v>40.85</v>
      </c>
      <c r="Y131" s="38">
        <v>36.9</v>
      </c>
      <c r="Z131" s="38">
        <v>35.380000000000003</v>
      </c>
      <c r="AA131" s="38">
        <v>34.81</v>
      </c>
      <c r="AB131" s="38">
        <v>34.04</v>
      </c>
      <c r="AC131" s="38">
        <v>34.479999999999997</v>
      </c>
      <c r="AD131" s="38">
        <v>35.44</v>
      </c>
      <c r="AE131" s="38">
        <v>38.6</v>
      </c>
      <c r="AF131" s="38">
        <v>41.71</v>
      </c>
      <c r="AG131" s="38">
        <v>44.32</v>
      </c>
      <c r="AH131" s="38">
        <v>46.05</v>
      </c>
      <c r="AI131" s="38">
        <v>46</v>
      </c>
      <c r="AJ131" s="38">
        <v>43.45</v>
      </c>
      <c r="AK131" s="38">
        <v>38.07</v>
      </c>
      <c r="AL131" s="38">
        <v>35.82</v>
      </c>
      <c r="AM131" s="38">
        <v>34.799999999999997</v>
      </c>
      <c r="AN131" s="38">
        <v>34.950000000000003</v>
      </c>
      <c r="AO131" s="38">
        <v>36.08</v>
      </c>
      <c r="AP131" s="38">
        <v>39.07</v>
      </c>
      <c r="AQ131" s="38">
        <v>44.13</v>
      </c>
      <c r="AR131" s="38">
        <v>46.26</v>
      </c>
      <c r="AS131" s="38">
        <v>46.44</v>
      </c>
      <c r="AT131" s="38">
        <v>46.36</v>
      </c>
      <c r="AU131" s="38">
        <v>43.73</v>
      </c>
      <c r="AV131" s="38">
        <v>41.1</v>
      </c>
      <c r="AW131" s="38">
        <v>36.880000000000003</v>
      </c>
      <c r="AX131" s="38">
        <v>36.450000000000003</v>
      </c>
      <c r="AY131" s="38">
        <v>36.24</v>
      </c>
      <c r="BA131" s="37">
        <v>42.72</v>
      </c>
      <c r="BB131" s="38">
        <v>1.252</v>
      </c>
    </row>
    <row r="132" spans="1:54" x14ac:dyDescent="0.35">
      <c r="A132" s="2">
        <f t="shared" si="1"/>
        <v>44006</v>
      </c>
      <c r="B132" t="s">
        <v>174</v>
      </c>
      <c r="C132" s="32">
        <v>44006</v>
      </c>
      <c r="D132" s="38">
        <v>14.64</v>
      </c>
      <c r="E132" s="38">
        <v>15.09</v>
      </c>
      <c r="F132" s="38">
        <v>17.64</v>
      </c>
      <c r="G132" s="38">
        <v>21.52</v>
      </c>
      <c r="H132" s="38">
        <v>31.12</v>
      </c>
      <c r="I132" s="38">
        <v>35.44</v>
      </c>
      <c r="J132" s="38">
        <v>36.97</v>
      </c>
      <c r="K132" s="38">
        <v>37.520000000000003</v>
      </c>
      <c r="L132" s="38">
        <v>35.020000000000003</v>
      </c>
      <c r="M132" s="38">
        <v>31.79</v>
      </c>
      <c r="N132" s="38">
        <v>30.43</v>
      </c>
      <c r="O132" s="38">
        <v>29.11</v>
      </c>
      <c r="P132" s="38">
        <v>29.11</v>
      </c>
      <c r="Q132" s="38">
        <v>29.39</v>
      </c>
      <c r="R132" s="38">
        <v>31.1</v>
      </c>
      <c r="S132" s="38">
        <v>35.520000000000003</v>
      </c>
      <c r="T132" s="38">
        <v>38.39</v>
      </c>
      <c r="U132" s="38">
        <v>40.89</v>
      </c>
      <c r="V132" s="38">
        <v>44.28</v>
      </c>
      <c r="W132" s="38">
        <v>44.11</v>
      </c>
      <c r="X132" s="38">
        <v>40.53</v>
      </c>
      <c r="Y132" s="38">
        <v>36.619999999999997</v>
      </c>
      <c r="Z132" s="38">
        <v>35.1</v>
      </c>
      <c r="AA132" s="38">
        <v>34.53</v>
      </c>
      <c r="AB132" s="38">
        <v>33.71</v>
      </c>
      <c r="AC132" s="38">
        <v>34.119999999999997</v>
      </c>
      <c r="AD132" s="38">
        <v>35.049999999999997</v>
      </c>
      <c r="AE132" s="38">
        <v>38.159999999999997</v>
      </c>
      <c r="AF132" s="38">
        <v>41.27</v>
      </c>
      <c r="AG132" s="38">
        <v>43.88</v>
      </c>
      <c r="AH132" s="38">
        <v>45.61</v>
      </c>
      <c r="AI132" s="38">
        <v>45.63</v>
      </c>
      <c r="AJ132" s="38">
        <v>43.13</v>
      </c>
      <c r="AK132" s="38">
        <v>37.799999999999997</v>
      </c>
      <c r="AL132" s="38">
        <v>35.61</v>
      </c>
      <c r="AM132" s="38">
        <v>34.590000000000003</v>
      </c>
      <c r="AN132" s="38">
        <v>34.74</v>
      </c>
      <c r="AO132" s="38">
        <v>35.869999999999997</v>
      </c>
      <c r="AP132" s="38">
        <v>38.86</v>
      </c>
      <c r="AQ132" s="38">
        <v>43.92</v>
      </c>
      <c r="AR132" s="38">
        <v>46.05</v>
      </c>
      <c r="AS132" s="38">
        <v>46.23</v>
      </c>
      <c r="AT132" s="38">
        <v>46.15</v>
      </c>
      <c r="AU132" s="38">
        <v>43.52</v>
      </c>
      <c r="AV132" s="38">
        <v>40.89</v>
      </c>
      <c r="AW132" s="38">
        <v>36.67</v>
      </c>
      <c r="AX132" s="38">
        <v>36.24</v>
      </c>
      <c r="AY132" s="38">
        <v>36.03</v>
      </c>
      <c r="BA132" s="37">
        <v>40.4</v>
      </c>
      <c r="BB132" s="38">
        <v>1.2450000000000001</v>
      </c>
    </row>
    <row r="133" spans="1:54" x14ac:dyDescent="0.35">
      <c r="A133" s="2">
        <f t="shared" si="1"/>
        <v>44007</v>
      </c>
      <c r="B133" t="s">
        <v>175</v>
      </c>
      <c r="C133" s="32">
        <v>44007</v>
      </c>
      <c r="D133" s="38">
        <v>13.63</v>
      </c>
      <c r="E133" s="38">
        <v>14.01</v>
      </c>
      <c r="F133" s="38">
        <v>16.670000000000002</v>
      </c>
      <c r="G133" s="38">
        <v>20.76</v>
      </c>
      <c r="H133" s="38">
        <v>30.34</v>
      </c>
      <c r="I133" s="38">
        <v>34.96</v>
      </c>
      <c r="J133" s="38">
        <v>36.28</v>
      </c>
      <c r="K133" s="38">
        <v>36.840000000000003</v>
      </c>
      <c r="L133" s="38">
        <v>34.44</v>
      </c>
      <c r="M133" s="38">
        <v>31.16</v>
      </c>
      <c r="N133" s="38">
        <v>29.8</v>
      </c>
      <c r="O133" s="38">
        <v>28.48</v>
      </c>
      <c r="P133" s="38">
        <v>28.46</v>
      </c>
      <c r="Q133" s="38">
        <v>28.74</v>
      </c>
      <c r="R133" s="38">
        <v>30.41</v>
      </c>
      <c r="S133" s="38">
        <v>34.76</v>
      </c>
      <c r="T133" s="38">
        <v>37.630000000000003</v>
      </c>
      <c r="U133" s="38">
        <v>40.130000000000003</v>
      </c>
      <c r="V133" s="38">
        <v>43.52</v>
      </c>
      <c r="W133" s="38">
        <v>43.35</v>
      </c>
      <c r="X133" s="38">
        <v>39.770000000000003</v>
      </c>
      <c r="Y133" s="38">
        <v>35.89</v>
      </c>
      <c r="Z133" s="38">
        <v>34.369999999999997</v>
      </c>
      <c r="AA133" s="38">
        <v>33.799999999999997</v>
      </c>
      <c r="AB133" s="38">
        <v>32.979999999999997</v>
      </c>
      <c r="AC133" s="38">
        <v>33.5</v>
      </c>
      <c r="AD133" s="38">
        <v>34.54</v>
      </c>
      <c r="AE133" s="38">
        <v>37.76</v>
      </c>
      <c r="AF133" s="38">
        <v>40.98</v>
      </c>
      <c r="AG133" s="38">
        <v>43.59</v>
      </c>
      <c r="AH133" s="38">
        <v>45.32</v>
      </c>
      <c r="AI133" s="38">
        <v>45.34</v>
      </c>
      <c r="AJ133" s="38">
        <v>42.84</v>
      </c>
      <c r="AK133" s="38">
        <v>37.51</v>
      </c>
      <c r="AL133" s="38">
        <v>35.32</v>
      </c>
      <c r="AM133" s="38">
        <v>34.299999999999997</v>
      </c>
      <c r="AN133" s="38">
        <v>34.450000000000003</v>
      </c>
      <c r="AO133" s="38">
        <v>35.58</v>
      </c>
      <c r="AP133" s="38">
        <v>38.57</v>
      </c>
      <c r="AQ133" s="38">
        <v>43.63</v>
      </c>
      <c r="AR133" s="38">
        <v>45.76</v>
      </c>
      <c r="AS133" s="38">
        <v>45.94</v>
      </c>
      <c r="AT133" s="38">
        <v>45.86</v>
      </c>
      <c r="AU133" s="38">
        <v>43.23</v>
      </c>
      <c r="AV133" s="38">
        <v>40.72</v>
      </c>
      <c r="AW133" s="38">
        <v>36.619999999999997</v>
      </c>
      <c r="AX133" s="38">
        <v>36.19</v>
      </c>
      <c r="AY133" s="38">
        <v>35.979999999999997</v>
      </c>
      <c r="BA133" s="37">
        <v>41.18</v>
      </c>
      <c r="BB133" s="38">
        <v>1.2405999999999999</v>
      </c>
    </row>
    <row r="134" spans="1:54" x14ac:dyDescent="0.35">
      <c r="A134" s="2">
        <f t="shared" si="1"/>
        <v>44008</v>
      </c>
      <c r="B134" t="s">
        <v>176</v>
      </c>
      <c r="C134" s="32">
        <v>44008</v>
      </c>
      <c r="D134" s="38">
        <v>13.92</v>
      </c>
      <c r="E134" s="38">
        <v>14.3</v>
      </c>
      <c r="F134" s="38">
        <v>16.84</v>
      </c>
      <c r="G134" s="38">
        <v>20.74</v>
      </c>
      <c r="H134" s="38">
        <v>30.52</v>
      </c>
      <c r="I134" s="38">
        <v>34.96</v>
      </c>
      <c r="J134" s="38">
        <v>36.51</v>
      </c>
      <c r="K134" s="38">
        <v>37.18</v>
      </c>
      <c r="L134" s="38">
        <v>34.75</v>
      </c>
      <c r="M134" s="38">
        <v>31.39</v>
      </c>
      <c r="N134" s="38">
        <v>29.98</v>
      </c>
      <c r="O134" s="38">
        <v>28.66</v>
      </c>
      <c r="P134" s="38">
        <v>28.64</v>
      </c>
      <c r="Q134" s="38">
        <v>28.92</v>
      </c>
      <c r="R134" s="38">
        <v>30.64</v>
      </c>
      <c r="S134" s="38">
        <v>35.1</v>
      </c>
      <c r="T134" s="38">
        <v>38.04</v>
      </c>
      <c r="U134" s="38">
        <v>40.53</v>
      </c>
      <c r="V134" s="38">
        <v>43.92</v>
      </c>
      <c r="W134" s="38">
        <v>43.75</v>
      </c>
      <c r="X134" s="38">
        <v>40.049999999999997</v>
      </c>
      <c r="Y134" s="38">
        <v>36.07</v>
      </c>
      <c r="Z134" s="38">
        <v>34.46</v>
      </c>
      <c r="AA134" s="38">
        <v>33.89</v>
      </c>
      <c r="AB134" s="38">
        <v>33.130000000000003</v>
      </c>
      <c r="AC134" s="38">
        <v>33.71</v>
      </c>
      <c r="AD134" s="38">
        <v>34.75</v>
      </c>
      <c r="AE134" s="38">
        <v>37.96</v>
      </c>
      <c r="AF134" s="38">
        <v>41.28</v>
      </c>
      <c r="AG134" s="38">
        <v>43.89</v>
      </c>
      <c r="AH134" s="38">
        <v>45.62</v>
      </c>
      <c r="AI134" s="38">
        <v>45.64</v>
      </c>
      <c r="AJ134" s="38">
        <v>43.14</v>
      </c>
      <c r="AK134" s="38">
        <v>37.67</v>
      </c>
      <c r="AL134" s="38">
        <v>35.479999999999997</v>
      </c>
      <c r="AM134" s="38">
        <v>34.46</v>
      </c>
      <c r="AN134" s="38">
        <v>34.61</v>
      </c>
      <c r="AO134" s="38">
        <v>35.74</v>
      </c>
      <c r="AP134" s="38">
        <v>38.81</v>
      </c>
      <c r="AQ134" s="38">
        <v>43.95</v>
      </c>
      <c r="AR134" s="38">
        <v>46.17</v>
      </c>
      <c r="AS134" s="38">
        <v>46.35</v>
      </c>
      <c r="AT134" s="38">
        <v>46.27</v>
      </c>
      <c r="AU134" s="38">
        <v>43.64</v>
      </c>
      <c r="AV134" s="38">
        <v>41.13</v>
      </c>
      <c r="AW134" s="38">
        <v>37.03</v>
      </c>
      <c r="AX134" s="38">
        <v>36.6</v>
      </c>
      <c r="AY134" s="38">
        <v>36.39</v>
      </c>
      <c r="BA134" s="37">
        <v>40.97</v>
      </c>
      <c r="BB134" s="38">
        <v>1.232</v>
      </c>
    </row>
    <row r="135" spans="1:54" x14ac:dyDescent="0.35">
      <c r="A135" s="2">
        <f t="shared" si="1"/>
        <v>44011</v>
      </c>
      <c r="B135" t="s">
        <v>177</v>
      </c>
      <c r="C135" s="32">
        <v>44011</v>
      </c>
      <c r="D135" s="38">
        <v>15.97</v>
      </c>
      <c r="E135" s="38">
        <v>16.12</v>
      </c>
      <c r="F135" s="38">
        <v>18.02</v>
      </c>
      <c r="G135" s="38">
        <v>21.87</v>
      </c>
      <c r="H135" s="38">
        <v>31.37</v>
      </c>
      <c r="I135" s="38">
        <v>36.119999999999997</v>
      </c>
      <c r="J135" s="38">
        <v>37.71</v>
      </c>
      <c r="K135" s="38">
        <v>38.35</v>
      </c>
      <c r="L135" s="38">
        <v>35.92</v>
      </c>
      <c r="M135" s="38">
        <v>32.46</v>
      </c>
      <c r="N135" s="38">
        <v>31.03</v>
      </c>
      <c r="O135" s="38">
        <v>29.71</v>
      </c>
      <c r="P135" s="38">
        <v>29.79</v>
      </c>
      <c r="Q135" s="38">
        <v>30.07</v>
      </c>
      <c r="R135" s="38">
        <v>31.79</v>
      </c>
      <c r="S135" s="38">
        <v>36.270000000000003</v>
      </c>
      <c r="T135" s="38">
        <v>39.21</v>
      </c>
      <c r="U135" s="38">
        <v>41.7</v>
      </c>
      <c r="V135" s="38">
        <v>45.09</v>
      </c>
      <c r="W135" s="38">
        <v>44.92</v>
      </c>
      <c r="X135" s="38">
        <v>41.22</v>
      </c>
      <c r="Y135" s="38">
        <v>37.119999999999997</v>
      </c>
      <c r="Z135" s="38">
        <v>35.409999999999997</v>
      </c>
      <c r="AA135" s="38">
        <v>34.840000000000003</v>
      </c>
      <c r="AB135" s="38">
        <v>34.08</v>
      </c>
      <c r="AC135" s="38">
        <v>34.659999999999997</v>
      </c>
      <c r="AD135" s="38">
        <v>35.700000000000003</v>
      </c>
      <c r="AE135" s="38">
        <v>38.89</v>
      </c>
      <c r="AF135" s="38">
        <v>42.26</v>
      </c>
      <c r="AG135" s="38">
        <v>44.87</v>
      </c>
      <c r="AH135" s="38">
        <v>46.6</v>
      </c>
      <c r="AI135" s="38">
        <v>46.62</v>
      </c>
      <c r="AJ135" s="38">
        <v>44.12</v>
      </c>
      <c r="AK135" s="38">
        <v>38.64</v>
      </c>
      <c r="AL135" s="38">
        <v>36.450000000000003</v>
      </c>
      <c r="AM135" s="38">
        <v>35.43</v>
      </c>
      <c r="AN135" s="38">
        <v>35.58</v>
      </c>
      <c r="AO135" s="38">
        <v>36.71</v>
      </c>
      <c r="AP135" s="38">
        <v>39.78</v>
      </c>
      <c r="AQ135" s="38">
        <v>44.7</v>
      </c>
      <c r="AR135" s="38">
        <v>46.88</v>
      </c>
      <c r="AS135" s="38">
        <v>47.06</v>
      </c>
      <c r="AT135" s="38">
        <v>46.98</v>
      </c>
      <c r="AU135" s="38">
        <v>44.35</v>
      </c>
      <c r="AV135" s="38">
        <v>41.84</v>
      </c>
      <c r="AW135" s="38">
        <v>37.840000000000003</v>
      </c>
      <c r="AX135" s="38">
        <v>37.409999999999997</v>
      </c>
      <c r="AY135" s="38">
        <v>37.200000000000003</v>
      </c>
      <c r="BA135" s="37">
        <v>41.58</v>
      </c>
      <c r="BB135" s="38">
        <v>1.2267999999999999</v>
      </c>
    </row>
    <row r="136" spans="1:54" x14ac:dyDescent="0.35">
      <c r="A136" s="2">
        <f t="shared" si="1"/>
        <v>44012</v>
      </c>
      <c r="B136" t="s">
        <v>178</v>
      </c>
      <c r="C136" s="32">
        <v>44012</v>
      </c>
      <c r="D136" s="38">
        <v>16.22</v>
      </c>
      <c r="E136" s="38">
        <v>18.25</v>
      </c>
      <c r="F136" s="38">
        <v>21.86</v>
      </c>
      <c r="G136" s="38">
        <v>31.25</v>
      </c>
      <c r="H136" s="38">
        <v>36</v>
      </c>
      <c r="I136" s="38">
        <v>37.64</v>
      </c>
      <c r="J136" s="38">
        <v>38.08</v>
      </c>
      <c r="K136" s="38">
        <v>35.880000000000003</v>
      </c>
      <c r="L136" s="38">
        <v>32.49</v>
      </c>
      <c r="M136" s="38">
        <v>30.98</v>
      </c>
      <c r="N136" s="38">
        <v>29.66</v>
      </c>
      <c r="O136" s="38">
        <v>29.74</v>
      </c>
      <c r="P136" s="38">
        <v>30.02</v>
      </c>
      <c r="Q136" s="38">
        <v>31.68</v>
      </c>
      <c r="R136" s="38">
        <v>36.06</v>
      </c>
      <c r="S136" s="38">
        <v>38.99</v>
      </c>
      <c r="T136" s="38">
        <v>41.48</v>
      </c>
      <c r="U136" s="38">
        <v>44.87</v>
      </c>
      <c r="V136" s="38">
        <v>44.7</v>
      </c>
      <c r="W136" s="38">
        <v>41</v>
      </c>
      <c r="X136" s="38">
        <v>37.03</v>
      </c>
      <c r="Y136" s="38">
        <v>35.409999999999997</v>
      </c>
      <c r="Z136" s="38">
        <v>34.840000000000003</v>
      </c>
      <c r="AA136" s="38">
        <v>34.08</v>
      </c>
      <c r="AB136" s="38">
        <v>34.659999999999997</v>
      </c>
      <c r="AC136" s="38">
        <v>35.700000000000003</v>
      </c>
      <c r="AD136" s="38">
        <v>38.89</v>
      </c>
      <c r="AE136" s="38">
        <v>42.26</v>
      </c>
      <c r="AF136" s="38">
        <v>44.87</v>
      </c>
      <c r="AG136" s="38">
        <v>46.6</v>
      </c>
      <c r="AH136" s="38">
        <v>46.62</v>
      </c>
      <c r="AI136" s="38">
        <v>44.12</v>
      </c>
      <c r="AJ136" s="38">
        <v>38.64</v>
      </c>
      <c r="AK136" s="38">
        <v>36.450000000000003</v>
      </c>
      <c r="AL136" s="38">
        <v>35.43</v>
      </c>
      <c r="AM136" s="38">
        <v>35.58</v>
      </c>
      <c r="AN136" s="38">
        <v>36.71</v>
      </c>
      <c r="AO136" s="38">
        <v>39.78</v>
      </c>
      <c r="AP136" s="38">
        <v>44.57</v>
      </c>
      <c r="AQ136" s="38">
        <v>46.75</v>
      </c>
      <c r="AR136" s="38">
        <v>46.93</v>
      </c>
      <c r="AS136" s="38">
        <v>46.85</v>
      </c>
      <c r="AT136" s="38">
        <v>44.22</v>
      </c>
      <c r="AU136" s="38">
        <v>41.71</v>
      </c>
      <c r="AV136" s="38">
        <v>37.78</v>
      </c>
      <c r="AW136" s="38">
        <v>37.35</v>
      </c>
      <c r="AX136" s="38">
        <v>37.14</v>
      </c>
      <c r="AY136" s="38">
        <v>37.29</v>
      </c>
      <c r="BA136" s="37">
        <v>41.64</v>
      </c>
      <c r="BB136" s="38">
        <v>1.2359</v>
      </c>
    </row>
    <row r="137" spans="1:54" x14ac:dyDescent="0.35">
      <c r="A137" s="2">
        <f t="shared" si="1"/>
        <v>44013</v>
      </c>
      <c r="B137" t="s">
        <v>179</v>
      </c>
      <c r="C137" s="32">
        <v>44013</v>
      </c>
      <c r="D137" s="38">
        <v>15.72</v>
      </c>
      <c r="E137" s="38">
        <v>17.5</v>
      </c>
      <c r="F137" s="38">
        <v>21.39</v>
      </c>
      <c r="G137" s="38">
        <v>30.93</v>
      </c>
      <c r="H137" s="38">
        <v>35.78</v>
      </c>
      <c r="I137" s="38">
        <v>37.479999999999997</v>
      </c>
      <c r="J137" s="38">
        <v>37.74</v>
      </c>
      <c r="K137" s="38">
        <v>35.49</v>
      </c>
      <c r="L137" s="38">
        <v>32.22</v>
      </c>
      <c r="M137" s="38">
        <v>30.71</v>
      </c>
      <c r="N137" s="38">
        <v>29.39</v>
      </c>
      <c r="O137" s="38">
        <v>29.46</v>
      </c>
      <c r="P137" s="38">
        <v>29.75</v>
      </c>
      <c r="Q137" s="38">
        <v>31.41</v>
      </c>
      <c r="R137" s="38">
        <v>35.86</v>
      </c>
      <c r="S137" s="38">
        <v>38.83</v>
      </c>
      <c r="T137" s="38">
        <v>41.36</v>
      </c>
      <c r="U137" s="38">
        <v>44.75</v>
      </c>
      <c r="V137" s="38">
        <v>44.58</v>
      </c>
      <c r="W137" s="38">
        <v>40.880000000000003</v>
      </c>
      <c r="X137" s="38">
        <v>36.909999999999997</v>
      </c>
      <c r="Y137" s="38">
        <v>35.29</v>
      </c>
      <c r="Z137" s="38">
        <v>34.72</v>
      </c>
      <c r="AA137" s="38">
        <v>33.96</v>
      </c>
      <c r="AB137" s="38">
        <v>34.54</v>
      </c>
      <c r="AC137" s="38">
        <v>35.58</v>
      </c>
      <c r="AD137" s="38">
        <v>38.880000000000003</v>
      </c>
      <c r="AE137" s="38">
        <v>42.25</v>
      </c>
      <c r="AF137" s="38">
        <v>44.86</v>
      </c>
      <c r="AG137" s="38">
        <v>46.59</v>
      </c>
      <c r="AH137" s="38">
        <v>46.61</v>
      </c>
      <c r="AI137" s="38">
        <v>44.11</v>
      </c>
      <c r="AJ137" s="38">
        <v>38.630000000000003</v>
      </c>
      <c r="AK137" s="38">
        <v>36.44</v>
      </c>
      <c r="AL137" s="38">
        <v>35.42</v>
      </c>
      <c r="AM137" s="38">
        <v>35.57</v>
      </c>
      <c r="AN137" s="38">
        <v>36.700000000000003</v>
      </c>
      <c r="AO137" s="38">
        <v>39.770000000000003</v>
      </c>
      <c r="AP137" s="38">
        <v>44.54</v>
      </c>
      <c r="AQ137" s="38">
        <v>46.72</v>
      </c>
      <c r="AR137" s="38">
        <v>46.9</v>
      </c>
      <c r="AS137" s="38">
        <v>46.82</v>
      </c>
      <c r="AT137" s="38">
        <v>44.19</v>
      </c>
      <c r="AU137" s="38">
        <v>41.68</v>
      </c>
      <c r="AV137" s="38">
        <v>37.75</v>
      </c>
      <c r="AW137" s="38">
        <v>37.32</v>
      </c>
      <c r="AX137" s="38">
        <v>37.11</v>
      </c>
      <c r="AY137" s="38">
        <v>37.26</v>
      </c>
      <c r="BA137" s="37">
        <v>42.18</v>
      </c>
      <c r="BB137" s="38">
        <v>1.2458</v>
      </c>
    </row>
    <row r="138" spans="1:54" x14ac:dyDescent="0.35">
      <c r="A138" s="2">
        <f t="shared" si="1"/>
        <v>44014</v>
      </c>
      <c r="B138" t="s">
        <v>180</v>
      </c>
      <c r="C138" s="32">
        <v>44014</v>
      </c>
      <c r="D138" s="38">
        <v>15.37</v>
      </c>
      <c r="E138" s="38">
        <v>17.5</v>
      </c>
      <c r="F138" s="38">
        <v>21.32</v>
      </c>
      <c r="G138" s="38">
        <v>30.85</v>
      </c>
      <c r="H138" s="38">
        <v>36.020000000000003</v>
      </c>
      <c r="I138" s="38">
        <v>37.72</v>
      </c>
      <c r="J138" s="38">
        <v>38.24</v>
      </c>
      <c r="K138" s="38">
        <v>35.64</v>
      </c>
      <c r="L138" s="38">
        <v>32.49</v>
      </c>
      <c r="M138" s="38">
        <v>30.94</v>
      </c>
      <c r="N138" s="38">
        <v>29.62</v>
      </c>
      <c r="O138" s="38">
        <v>29.82</v>
      </c>
      <c r="P138" s="38">
        <v>30.17</v>
      </c>
      <c r="Q138" s="38">
        <v>31.83</v>
      </c>
      <c r="R138" s="38">
        <v>36.14</v>
      </c>
      <c r="S138" s="38">
        <v>39.020000000000003</v>
      </c>
      <c r="T138" s="38">
        <v>41.55</v>
      </c>
      <c r="U138" s="38">
        <v>44.91</v>
      </c>
      <c r="V138" s="38">
        <v>44.74</v>
      </c>
      <c r="W138" s="38">
        <v>41.04</v>
      </c>
      <c r="X138" s="38">
        <v>37.15</v>
      </c>
      <c r="Y138" s="38">
        <v>35.65</v>
      </c>
      <c r="Z138" s="38">
        <v>35.08</v>
      </c>
      <c r="AA138" s="38">
        <v>34.32</v>
      </c>
      <c r="AB138" s="38">
        <v>34.9</v>
      </c>
      <c r="AC138" s="38">
        <v>35.94</v>
      </c>
      <c r="AD138" s="38">
        <v>39.28</v>
      </c>
      <c r="AE138" s="38">
        <v>42.64</v>
      </c>
      <c r="AF138" s="38">
        <v>45.25</v>
      </c>
      <c r="AG138" s="38">
        <v>46.98</v>
      </c>
      <c r="AH138" s="38">
        <v>47.01</v>
      </c>
      <c r="AI138" s="38">
        <v>44.51</v>
      </c>
      <c r="AJ138" s="38">
        <v>38.880000000000003</v>
      </c>
      <c r="AK138" s="38">
        <v>36.590000000000003</v>
      </c>
      <c r="AL138" s="38">
        <v>35.57</v>
      </c>
      <c r="AM138" s="38">
        <v>35.72</v>
      </c>
      <c r="AN138" s="38">
        <v>36.85</v>
      </c>
      <c r="AO138" s="38">
        <v>39.92</v>
      </c>
      <c r="AP138" s="38">
        <v>44.59</v>
      </c>
      <c r="AQ138" s="38">
        <v>46.77</v>
      </c>
      <c r="AR138" s="38">
        <v>46.95</v>
      </c>
      <c r="AS138" s="38">
        <v>46.87</v>
      </c>
      <c r="AT138" s="38">
        <v>44.27</v>
      </c>
      <c r="AU138" s="38">
        <v>41.82</v>
      </c>
      <c r="AV138" s="38">
        <v>38.03</v>
      </c>
      <c r="AW138" s="38">
        <v>37.700000000000003</v>
      </c>
      <c r="AX138" s="38">
        <v>37.5</v>
      </c>
      <c r="AY138" s="38">
        <v>37.65</v>
      </c>
      <c r="BA138" s="37">
        <v>43.19</v>
      </c>
      <c r="BB138" s="38">
        <v>1.2465999999999999</v>
      </c>
    </row>
    <row r="139" spans="1:54" x14ac:dyDescent="0.35">
      <c r="A139" s="2">
        <f t="shared" si="1"/>
        <v>44015</v>
      </c>
      <c r="B139" t="s">
        <v>181</v>
      </c>
      <c r="C139" s="32">
        <v>44015</v>
      </c>
      <c r="D139" s="38">
        <v>15.11</v>
      </c>
      <c r="E139" s="38">
        <v>17.71</v>
      </c>
      <c r="F139" s="38">
        <v>21.75</v>
      </c>
      <c r="G139" s="38">
        <v>31.21</v>
      </c>
      <c r="H139" s="38">
        <v>36.4</v>
      </c>
      <c r="I139" s="38">
        <v>38.22</v>
      </c>
      <c r="J139" s="38">
        <v>38.67</v>
      </c>
      <c r="K139" s="38">
        <v>36.01</v>
      </c>
      <c r="L139" s="38">
        <v>32.76</v>
      </c>
      <c r="M139" s="38">
        <v>31.16</v>
      </c>
      <c r="N139" s="38">
        <v>29.85</v>
      </c>
      <c r="O139" s="38">
        <v>30.05</v>
      </c>
      <c r="P139" s="38">
        <v>30.34</v>
      </c>
      <c r="Q139" s="38">
        <v>31.92</v>
      </c>
      <c r="R139" s="38">
        <v>35.97</v>
      </c>
      <c r="S139" s="38">
        <v>38.869999999999997</v>
      </c>
      <c r="T139" s="38">
        <v>41.38</v>
      </c>
      <c r="U139" s="38">
        <v>45.12</v>
      </c>
      <c r="V139" s="38">
        <v>44.95</v>
      </c>
      <c r="W139" s="38">
        <v>41.25</v>
      </c>
      <c r="X139" s="38">
        <v>37.299999999999997</v>
      </c>
      <c r="Y139" s="38">
        <v>35.799999999999997</v>
      </c>
      <c r="Z139" s="38">
        <v>35.22</v>
      </c>
      <c r="AA139" s="38">
        <v>34.46</v>
      </c>
      <c r="AB139" s="38">
        <v>35.04</v>
      </c>
      <c r="AC139" s="38">
        <v>36.08</v>
      </c>
      <c r="AD139" s="38">
        <v>39.42</v>
      </c>
      <c r="AE139" s="38">
        <v>42.78</v>
      </c>
      <c r="AF139" s="38">
        <v>45.39</v>
      </c>
      <c r="AG139" s="38">
        <v>47.12</v>
      </c>
      <c r="AH139" s="38">
        <v>47.15</v>
      </c>
      <c r="AI139" s="38">
        <v>44.65</v>
      </c>
      <c r="AJ139" s="38">
        <v>39.11</v>
      </c>
      <c r="AK139" s="38">
        <v>36.82</v>
      </c>
      <c r="AL139" s="38">
        <v>35.799999999999997</v>
      </c>
      <c r="AM139" s="38">
        <v>35.950000000000003</v>
      </c>
      <c r="AN139" s="38">
        <v>37.08</v>
      </c>
      <c r="AO139" s="38">
        <v>40.15</v>
      </c>
      <c r="AP139" s="38">
        <v>44.82</v>
      </c>
      <c r="AQ139" s="38">
        <v>47</v>
      </c>
      <c r="AR139" s="38">
        <v>47.18</v>
      </c>
      <c r="AS139" s="38">
        <v>47.1</v>
      </c>
      <c r="AT139" s="38">
        <v>44.5</v>
      </c>
      <c r="AU139" s="38">
        <v>42.05</v>
      </c>
      <c r="AV139" s="38">
        <v>38.26</v>
      </c>
      <c r="AW139" s="38">
        <v>37.93</v>
      </c>
      <c r="AX139" s="38">
        <v>37.729999999999997</v>
      </c>
      <c r="AY139" s="38">
        <v>37.880000000000003</v>
      </c>
      <c r="BA139" s="37">
        <v>42.92</v>
      </c>
      <c r="BB139" s="38">
        <v>1.2467999999999999</v>
      </c>
    </row>
    <row r="140" spans="1:54" x14ac:dyDescent="0.35">
      <c r="A140" s="2">
        <f t="shared" si="1"/>
        <v>44018</v>
      </c>
      <c r="B140" t="s">
        <v>182</v>
      </c>
      <c r="C140" s="32">
        <v>44018</v>
      </c>
      <c r="D140" s="38">
        <v>15.23</v>
      </c>
      <c r="E140" s="38">
        <v>18.22</v>
      </c>
      <c r="F140" s="38">
        <v>22.46</v>
      </c>
      <c r="G140" s="38">
        <v>32.26</v>
      </c>
      <c r="H140" s="38">
        <v>37.46</v>
      </c>
      <c r="I140" s="38">
        <v>39.409999999999997</v>
      </c>
      <c r="J140" s="38">
        <v>39.880000000000003</v>
      </c>
      <c r="K140" s="38">
        <v>37.24</v>
      </c>
      <c r="L140" s="38">
        <v>33.97</v>
      </c>
      <c r="M140" s="38">
        <v>32.369999999999997</v>
      </c>
      <c r="N140" s="38">
        <v>31.06</v>
      </c>
      <c r="O140" s="38">
        <v>31.16</v>
      </c>
      <c r="P140" s="38">
        <v>31.4</v>
      </c>
      <c r="Q140" s="38">
        <v>32.979999999999997</v>
      </c>
      <c r="R140" s="38">
        <v>37.22</v>
      </c>
      <c r="S140" s="38">
        <v>40.17</v>
      </c>
      <c r="T140" s="38">
        <v>42.68</v>
      </c>
      <c r="U140" s="38">
        <v>46.34</v>
      </c>
      <c r="V140" s="38">
        <v>46.14</v>
      </c>
      <c r="W140" s="38">
        <v>42.44</v>
      </c>
      <c r="X140" s="38">
        <v>38.409999999999997</v>
      </c>
      <c r="Y140" s="38">
        <v>36.86</v>
      </c>
      <c r="Z140" s="38">
        <v>36.25</v>
      </c>
      <c r="AA140" s="38">
        <v>35.49</v>
      </c>
      <c r="AB140" s="38">
        <v>36.07</v>
      </c>
      <c r="AC140" s="38">
        <v>37.11</v>
      </c>
      <c r="AD140" s="38">
        <v>40.450000000000003</v>
      </c>
      <c r="AE140" s="38">
        <v>43.81</v>
      </c>
      <c r="AF140" s="38">
        <v>46.42</v>
      </c>
      <c r="AG140" s="38">
        <v>48.15</v>
      </c>
      <c r="AH140" s="38">
        <v>48.18</v>
      </c>
      <c r="AI140" s="38">
        <v>45.68</v>
      </c>
      <c r="AJ140" s="38">
        <v>39.99</v>
      </c>
      <c r="AK140" s="38">
        <v>37.630000000000003</v>
      </c>
      <c r="AL140" s="38">
        <v>36.61</v>
      </c>
      <c r="AM140" s="38">
        <v>36.76</v>
      </c>
      <c r="AN140" s="38">
        <v>37.89</v>
      </c>
      <c r="AO140" s="38">
        <v>40.880000000000003</v>
      </c>
      <c r="AP140" s="38">
        <v>45.46</v>
      </c>
      <c r="AQ140" s="38">
        <v>47.55</v>
      </c>
      <c r="AR140" s="38">
        <v>47.73</v>
      </c>
      <c r="AS140" s="38">
        <v>47.65</v>
      </c>
      <c r="AT140" s="38">
        <v>45.05</v>
      </c>
      <c r="AU140" s="38">
        <v>42.6</v>
      </c>
      <c r="AV140" s="38">
        <v>38.549999999999997</v>
      </c>
      <c r="AW140" s="38">
        <v>37.99</v>
      </c>
      <c r="AX140" s="38">
        <v>37.79</v>
      </c>
      <c r="AY140" s="38">
        <v>37.94</v>
      </c>
      <c r="BA140" s="37">
        <v>42.73</v>
      </c>
      <c r="BB140" s="38">
        <v>1.2508999999999999</v>
      </c>
    </row>
    <row r="141" spans="1:54" x14ac:dyDescent="0.35">
      <c r="A141" s="2">
        <f t="shared" ref="A141:A204" si="2">+A136+7</f>
        <v>44019</v>
      </c>
      <c r="B141" t="s">
        <v>183</v>
      </c>
      <c r="C141" s="32">
        <v>44019</v>
      </c>
      <c r="D141" s="38">
        <v>15.53</v>
      </c>
      <c r="E141" s="38">
        <v>18.34</v>
      </c>
      <c r="F141" s="38">
        <v>22.58</v>
      </c>
      <c r="G141" s="38">
        <v>32.61</v>
      </c>
      <c r="H141" s="38">
        <v>37.85</v>
      </c>
      <c r="I141" s="38">
        <v>39.92</v>
      </c>
      <c r="J141" s="38">
        <v>40.19</v>
      </c>
      <c r="K141" s="38">
        <v>37.619999999999997</v>
      </c>
      <c r="L141" s="38">
        <v>34.090000000000003</v>
      </c>
      <c r="M141" s="38">
        <v>32.32</v>
      </c>
      <c r="N141" s="38">
        <v>30.97</v>
      </c>
      <c r="O141" s="38">
        <v>31.07</v>
      </c>
      <c r="P141" s="38">
        <v>31.31</v>
      </c>
      <c r="Q141" s="38">
        <v>32.89</v>
      </c>
      <c r="R141" s="38">
        <v>37.68</v>
      </c>
      <c r="S141" s="38">
        <v>40.729999999999997</v>
      </c>
      <c r="T141" s="38">
        <v>43.24</v>
      </c>
      <c r="U141" s="38">
        <v>46.7</v>
      </c>
      <c r="V141" s="38">
        <v>46.5</v>
      </c>
      <c r="W141" s="38">
        <v>42.8</v>
      </c>
      <c r="X141" s="38">
        <v>38.729999999999997</v>
      </c>
      <c r="Y141" s="38">
        <v>37.130000000000003</v>
      </c>
      <c r="Z141" s="38">
        <v>36.520000000000003</v>
      </c>
      <c r="AA141" s="38">
        <v>35.76</v>
      </c>
      <c r="AB141" s="38">
        <v>36.340000000000003</v>
      </c>
      <c r="AC141" s="38">
        <v>37.380000000000003</v>
      </c>
      <c r="AD141" s="38">
        <v>40.67</v>
      </c>
      <c r="AE141" s="38">
        <v>44.03</v>
      </c>
      <c r="AF141" s="38">
        <v>46.64</v>
      </c>
      <c r="AG141" s="38">
        <v>48.37</v>
      </c>
      <c r="AH141" s="38">
        <v>48.4</v>
      </c>
      <c r="AI141" s="38">
        <v>45.9</v>
      </c>
      <c r="AJ141" s="38">
        <v>40.020000000000003</v>
      </c>
      <c r="AK141" s="38">
        <v>37.5</v>
      </c>
      <c r="AL141" s="38">
        <v>36.479999999999997</v>
      </c>
      <c r="AM141" s="38">
        <v>36.630000000000003</v>
      </c>
      <c r="AN141" s="38">
        <v>37.76</v>
      </c>
      <c r="AO141" s="38">
        <v>40.75</v>
      </c>
      <c r="AP141" s="38">
        <v>45.43</v>
      </c>
      <c r="AQ141" s="38">
        <v>47.57</v>
      </c>
      <c r="AR141" s="38">
        <v>47.77</v>
      </c>
      <c r="AS141" s="38">
        <v>47.69</v>
      </c>
      <c r="AT141" s="38">
        <v>45.09</v>
      </c>
      <c r="AU141" s="38">
        <v>42.64</v>
      </c>
      <c r="AV141" s="38">
        <v>38.68</v>
      </c>
      <c r="AW141" s="38">
        <v>38.159999999999997</v>
      </c>
      <c r="AX141" s="38">
        <v>37.96</v>
      </c>
      <c r="AY141" s="38">
        <v>38.11</v>
      </c>
      <c r="BA141" s="37">
        <v>43.28</v>
      </c>
      <c r="BB141" s="38">
        <v>1.2575000000000001</v>
      </c>
    </row>
    <row r="142" spans="1:54" x14ac:dyDescent="0.35">
      <c r="A142" s="2">
        <f t="shared" si="2"/>
        <v>44020</v>
      </c>
      <c r="B142" t="s">
        <v>184</v>
      </c>
      <c r="C142" s="32">
        <v>44020</v>
      </c>
      <c r="D142" s="38">
        <v>15.07</v>
      </c>
      <c r="E142" s="38">
        <v>17.88</v>
      </c>
      <c r="F142" s="38">
        <v>22.18</v>
      </c>
      <c r="G142" s="38">
        <v>32.43</v>
      </c>
      <c r="H142" s="38">
        <v>37.619999999999997</v>
      </c>
      <c r="I142" s="38">
        <v>39.840000000000003</v>
      </c>
      <c r="J142" s="38">
        <v>40</v>
      </c>
      <c r="K142" s="38">
        <v>37.31</v>
      </c>
      <c r="L142" s="38">
        <v>34</v>
      </c>
      <c r="M142" s="38">
        <v>32.340000000000003</v>
      </c>
      <c r="N142" s="38">
        <v>30.98</v>
      </c>
      <c r="O142" s="38">
        <v>31.1</v>
      </c>
      <c r="P142" s="38">
        <v>31.36</v>
      </c>
      <c r="Q142" s="38">
        <v>32.96</v>
      </c>
      <c r="R142" s="38">
        <v>37.74</v>
      </c>
      <c r="S142" s="38">
        <v>40.79</v>
      </c>
      <c r="T142" s="38">
        <v>43.3</v>
      </c>
      <c r="U142" s="38">
        <v>46.76</v>
      </c>
      <c r="V142" s="38">
        <v>46.56</v>
      </c>
      <c r="W142" s="38">
        <v>42.86</v>
      </c>
      <c r="X142" s="38">
        <v>38.81</v>
      </c>
      <c r="Y142" s="38">
        <v>37.21</v>
      </c>
      <c r="Z142" s="38">
        <v>36.6</v>
      </c>
      <c r="AA142" s="38">
        <v>35.840000000000003</v>
      </c>
      <c r="AB142" s="38">
        <v>36.42</v>
      </c>
      <c r="AC142" s="38">
        <v>37.46</v>
      </c>
      <c r="AD142" s="38">
        <v>40.89</v>
      </c>
      <c r="AE142" s="38">
        <v>44.25</v>
      </c>
      <c r="AF142" s="38">
        <v>46.86</v>
      </c>
      <c r="AG142" s="38">
        <v>48.59</v>
      </c>
      <c r="AH142" s="38">
        <v>48.62</v>
      </c>
      <c r="AI142" s="38">
        <v>46.12</v>
      </c>
      <c r="AJ142" s="38">
        <v>40.11</v>
      </c>
      <c r="AK142" s="38">
        <v>37.590000000000003</v>
      </c>
      <c r="AL142" s="38">
        <v>36.57</v>
      </c>
      <c r="AM142" s="38">
        <v>36.72</v>
      </c>
      <c r="AN142" s="38">
        <v>37.85</v>
      </c>
      <c r="AO142" s="38">
        <v>40.840000000000003</v>
      </c>
      <c r="AP142" s="38">
        <v>45.62</v>
      </c>
      <c r="AQ142" s="38">
        <v>47.86</v>
      </c>
      <c r="AR142" s="38">
        <v>48.06</v>
      </c>
      <c r="AS142" s="38">
        <v>47.98</v>
      </c>
      <c r="AT142" s="38">
        <v>45.38</v>
      </c>
      <c r="AU142" s="38">
        <v>42.93</v>
      </c>
      <c r="AV142" s="38">
        <v>38.97</v>
      </c>
      <c r="AW142" s="38">
        <v>38.450000000000003</v>
      </c>
      <c r="AX142" s="38">
        <v>38.25</v>
      </c>
      <c r="AY142" s="38">
        <v>38.4</v>
      </c>
      <c r="BA142" s="37">
        <v>43.67</v>
      </c>
      <c r="BB142" s="38">
        <v>1.2596000000000001</v>
      </c>
    </row>
    <row r="143" spans="1:54" x14ac:dyDescent="0.35">
      <c r="A143" s="2">
        <f t="shared" si="2"/>
        <v>44021</v>
      </c>
      <c r="B143" t="s">
        <v>185</v>
      </c>
      <c r="C143" s="32">
        <v>44021</v>
      </c>
      <c r="D143" s="38">
        <v>14.51</v>
      </c>
      <c r="E143" s="38">
        <v>17.36</v>
      </c>
      <c r="F143" s="38">
        <v>21.86</v>
      </c>
      <c r="G143" s="38">
        <v>31.89</v>
      </c>
      <c r="H143" s="38">
        <v>37.54</v>
      </c>
      <c r="I143" s="38">
        <v>39.58</v>
      </c>
      <c r="J143" s="38">
        <v>39.76</v>
      </c>
      <c r="K143" s="38">
        <v>37.22</v>
      </c>
      <c r="L143" s="38">
        <v>33.869999999999997</v>
      </c>
      <c r="M143" s="38">
        <v>32.020000000000003</v>
      </c>
      <c r="N143" s="38">
        <v>30.66</v>
      </c>
      <c r="O143" s="38">
        <v>30.78</v>
      </c>
      <c r="P143" s="38">
        <v>31.04</v>
      </c>
      <c r="Q143" s="38">
        <v>32.619999999999997</v>
      </c>
      <c r="R143" s="38">
        <v>37.369999999999997</v>
      </c>
      <c r="S143" s="38">
        <v>40.4</v>
      </c>
      <c r="T143" s="38">
        <v>42.89</v>
      </c>
      <c r="U143" s="38">
        <v>46.33</v>
      </c>
      <c r="V143" s="38">
        <v>46.13</v>
      </c>
      <c r="W143" s="38">
        <v>42.43</v>
      </c>
      <c r="X143" s="38">
        <v>38.51</v>
      </c>
      <c r="Y143" s="38">
        <v>36.909999999999997</v>
      </c>
      <c r="Z143" s="38">
        <v>36.299999999999997</v>
      </c>
      <c r="AA143" s="38">
        <v>35.54</v>
      </c>
      <c r="AB143" s="38">
        <v>36.119999999999997</v>
      </c>
      <c r="AC143" s="38">
        <v>37.159999999999997</v>
      </c>
      <c r="AD143" s="38">
        <v>40.549999999999997</v>
      </c>
      <c r="AE143" s="38">
        <v>43.87</v>
      </c>
      <c r="AF143" s="38">
        <v>46.48</v>
      </c>
      <c r="AG143" s="38">
        <v>48.21</v>
      </c>
      <c r="AH143" s="38">
        <v>48.24</v>
      </c>
      <c r="AI143" s="38">
        <v>45.74</v>
      </c>
      <c r="AJ143" s="38">
        <v>39.78</v>
      </c>
      <c r="AK143" s="38">
        <v>37.299999999999997</v>
      </c>
      <c r="AL143" s="38">
        <v>36.32</v>
      </c>
      <c r="AM143" s="38">
        <v>36.51</v>
      </c>
      <c r="AN143" s="38">
        <v>37.68</v>
      </c>
      <c r="AO143" s="38">
        <v>40.71</v>
      </c>
      <c r="AP143" s="38">
        <v>45.64</v>
      </c>
      <c r="AQ143" s="38">
        <v>47.88</v>
      </c>
      <c r="AR143" s="38">
        <v>48.08</v>
      </c>
      <c r="AS143" s="38">
        <v>48</v>
      </c>
      <c r="AT143" s="38">
        <v>45.4</v>
      </c>
      <c r="AU143" s="38">
        <v>42.95</v>
      </c>
      <c r="AV143" s="38">
        <v>38.770000000000003</v>
      </c>
      <c r="AW143" s="38">
        <v>38.25</v>
      </c>
      <c r="AX143" s="38">
        <v>38.049999999999997</v>
      </c>
      <c r="AY143" s="38">
        <v>38.200000000000003</v>
      </c>
      <c r="BA143" s="37">
        <v>42.35</v>
      </c>
      <c r="BB143" s="38">
        <v>1.2615000000000001</v>
      </c>
    </row>
    <row r="144" spans="1:54" x14ac:dyDescent="0.35">
      <c r="A144" s="2">
        <f t="shared" si="2"/>
        <v>44022</v>
      </c>
      <c r="B144" t="s">
        <v>186</v>
      </c>
      <c r="C144" s="32">
        <v>44022</v>
      </c>
      <c r="D144" s="38">
        <v>13.67</v>
      </c>
      <c r="E144" s="38">
        <v>16.64</v>
      </c>
      <c r="F144" s="38">
        <v>21.2</v>
      </c>
      <c r="G144" s="38">
        <v>31.34</v>
      </c>
      <c r="H144" s="38">
        <v>36.82</v>
      </c>
      <c r="I144" s="38">
        <v>38.92</v>
      </c>
      <c r="J144" s="38">
        <v>39.36</v>
      </c>
      <c r="K144" s="38">
        <v>36.94</v>
      </c>
      <c r="L144" s="38">
        <v>33.520000000000003</v>
      </c>
      <c r="M144" s="38">
        <v>31.63</v>
      </c>
      <c r="N144" s="38">
        <v>30.27</v>
      </c>
      <c r="O144" s="38">
        <v>30.51</v>
      </c>
      <c r="P144" s="38">
        <v>30.77</v>
      </c>
      <c r="Q144" s="38">
        <v>32.35</v>
      </c>
      <c r="R144" s="38">
        <v>37.119999999999997</v>
      </c>
      <c r="S144" s="38">
        <v>40.15</v>
      </c>
      <c r="T144" s="38">
        <v>42.64</v>
      </c>
      <c r="U144" s="38">
        <v>46.08</v>
      </c>
      <c r="V144" s="38">
        <v>45.88</v>
      </c>
      <c r="W144" s="38">
        <v>42.18</v>
      </c>
      <c r="X144" s="38">
        <v>38.25</v>
      </c>
      <c r="Y144" s="38">
        <v>36.659999999999997</v>
      </c>
      <c r="Z144" s="38">
        <v>36.049999999999997</v>
      </c>
      <c r="AA144" s="38">
        <v>35.29</v>
      </c>
      <c r="AB144" s="38">
        <v>35.869999999999997</v>
      </c>
      <c r="AC144" s="38">
        <v>36.909999999999997</v>
      </c>
      <c r="AD144" s="38">
        <v>40.31</v>
      </c>
      <c r="AE144" s="38">
        <v>43.63</v>
      </c>
      <c r="AF144" s="38">
        <v>46.24</v>
      </c>
      <c r="AG144" s="38">
        <v>47.97</v>
      </c>
      <c r="AH144" s="38">
        <v>48</v>
      </c>
      <c r="AI144" s="38">
        <v>45.5</v>
      </c>
      <c r="AJ144" s="38">
        <v>39.590000000000003</v>
      </c>
      <c r="AK144" s="38">
        <v>37.15</v>
      </c>
      <c r="AL144" s="38">
        <v>36.17</v>
      </c>
      <c r="AM144" s="38">
        <v>36.36</v>
      </c>
      <c r="AN144" s="38">
        <v>37.53</v>
      </c>
      <c r="AO144" s="38">
        <v>40.56</v>
      </c>
      <c r="AP144" s="38">
        <v>45.49</v>
      </c>
      <c r="AQ144" s="38">
        <v>47.73</v>
      </c>
      <c r="AR144" s="38">
        <v>47.93</v>
      </c>
      <c r="AS144" s="38">
        <v>47.85</v>
      </c>
      <c r="AT144" s="38">
        <v>45.25</v>
      </c>
      <c r="AU144" s="38">
        <v>42.8</v>
      </c>
      <c r="AV144" s="38">
        <v>38.619999999999997</v>
      </c>
      <c r="AW144" s="38">
        <v>38.1</v>
      </c>
      <c r="AX144" s="38">
        <v>37.9</v>
      </c>
      <c r="AY144" s="38">
        <v>38.049999999999997</v>
      </c>
      <c r="BA144" s="37">
        <v>43.27</v>
      </c>
      <c r="BB144" s="38">
        <v>1.2662</v>
      </c>
    </row>
    <row r="145" spans="1:54" x14ac:dyDescent="0.35">
      <c r="A145" s="2">
        <f t="shared" si="2"/>
        <v>44025</v>
      </c>
      <c r="B145" t="s">
        <v>187</v>
      </c>
      <c r="C145" s="32">
        <v>44025</v>
      </c>
      <c r="D145" s="38">
        <v>12.38</v>
      </c>
      <c r="E145" s="38">
        <v>15.45</v>
      </c>
      <c r="F145" s="38">
        <v>20.45</v>
      </c>
      <c r="G145" s="38">
        <v>31.47</v>
      </c>
      <c r="H145" s="38">
        <v>37.33</v>
      </c>
      <c r="I145" s="38">
        <v>39.229999999999997</v>
      </c>
      <c r="J145" s="38">
        <v>39.57</v>
      </c>
      <c r="K145" s="38">
        <v>37.35</v>
      </c>
      <c r="L145" s="38">
        <v>33.86</v>
      </c>
      <c r="M145" s="38">
        <v>31.83</v>
      </c>
      <c r="N145" s="38">
        <v>30.32</v>
      </c>
      <c r="O145" s="38">
        <v>30.57</v>
      </c>
      <c r="P145" s="38">
        <v>30.83</v>
      </c>
      <c r="Q145" s="38">
        <v>32.409999999999997</v>
      </c>
      <c r="R145" s="38">
        <v>37.200000000000003</v>
      </c>
      <c r="S145" s="38">
        <v>40.17</v>
      </c>
      <c r="T145" s="38">
        <v>42.66</v>
      </c>
      <c r="U145" s="38">
        <v>46.1</v>
      </c>
      <c r="V145" s="38">
        <v>45.9</v>
      </c>
      <c r="W145" s="38">
        <v>42.2</v>
      </c>
      <c r="X145" s="38">
        <v>38.270000000000003</v>
      </c>
      <c r="Y145" s="38">
        <v>36.68</v>
      </c>
      <c r="Z145" s="38">
        <v>36.07</v>
      </c>
      <c r="AA145" s="38">
        <v>35.31</v>
      </c>
      <c r="AB145" s="38">
        <v>35.89</v>
      </c>
      <c r="AC145" s="38">
        <v>36.93</v>
      </c>
      <c r="AD145" s="38">
        <v>40.33</v>
      </c>
      <c r="AE145" s="38">
        <v>43.65</v>
      </c>
      <c r="AF145" s="38">
        <v>46.26</v>
      </c>
      <c r="AG145" s="38">
        <v>47.99</v>
      </c>
      <c r="AH145" s="38">
        <v>48.02</v>
      </c>
      <c r="AI145" s="38">
        <v>45.52</v>
      </c>
      <c r="AJ145" s="38">
        <v>39.61</v>
      </c>
      <c r="AK145" s="38">
        <v>37.17</v>
      </c>
      <c r="AL145" s="38">
        <v>36.19</v>
      </c>
      <c r="AM145" s="38">
        <v>36.380000000000003</v>
      </c>
      <c r="AN145" s="38">
        <v>37.549999999999997</v>
      </c>
      <c r="AO145" s="38">
        <v>40.58</v>
      </c>
      <c r="AP145" s="38">
        <v>45.51</v>
      </c>
      <c r="AQ145" s="38">
        <v>47.75</v>
      </c>
      <c r="AR145" s="38">
        <v>47.95</v>
      </c>
      <c r="AS145" s="38">
        <v>47.87</v>
      </c>
      <c r="AT145" s="38">
        <v>45.27</v>
      </c>
      <c r="AU145" s="38">
        <v>42.82</v>
      </c>
      <c r="AV145" s="38">
        <v>38.64</v>
      </c>
      <c r="AW145" s="38">
        <v>38.119999999999997</v>
      </c>
      <c r="AX145" s="38">
        <v>37.93</v>
      </c>
      <c r="AY145" s="38">
        <v>38.090000000000003</v>
      </c>
      <c r="BA145" s="37">
        <v>42.85</v>
      </c>
      <c r="BB145" s="38">
        <v>1.2619</v>
      </c>
    </row>
    <row r="146" spans="1:54" x14ac:dyDescent="0.35">
      <c r="A146" s="2">
        <f t="shared" si="2"/>
        <v>44026</v>
      </c>
      <c r="B146" t="s">
        <v>188</v>
      </c>
      <c r="C146" s="32">
        <v>44026</v>
      </c>
      <c r="D146" s="38">
        <v>12.93</v>
      </c>
      <c r="E146" s="38">
        <v>15.24</v>
      </c>
      <c r="F146" s="38">
        <v>20.32</v>
      </c>
      <c r="G146" s="38">
        <v>31.3</v>
      </c>
      <c r="H146" s="38">
        <v>36.9</v>
      </c>
      <c r="I146" s="38">
        <v>39.15</v>
      </c>
      <c r="J146" s="38">
        <v>39.5</v>
      </c>
      <c r="K146" s="38">
        <v>37.200000000000003</v>
      </c>
      <c r="L146" s="38">
        <v>33.9</v>
      </c>
      <c r="M146" s="38">
        <v>31.64</v>
      </c>
      <c r="N146" s="38">
        <v>30.13</v>
      </c>
      <c r="O146" s="38">
        <v>30.45</v>
      </c>
      <c r="P146" s="38">
        <v>30.71</v>
      </c>
      <c r="Q146" s="38">
        <v>32.29</v>
      </c>
      <c r="R146" s="38">
        <v>37.21</v>
      </c>
      <c r="S146" s="38">
        <v>40.18</v>
      </c>
      <c r="T146" s="38">
        <v>42.67</v>
      </c>
      <c r="U146" s="38">
        <v>46.11</v>
      </c>
      <c r="V146" s="38">
        <v>45.91</v>
      </c>
      <c r="W146" s="38">
        <v>42.32</v>
      </c>
      <c r="X146" s="38">
        <v>38.5</v>
      </c>
      <c r="Y146" s="38">
        <v>36.909999999999997</v>
      </c>
      <c r="Z146" s="38">
        <v>36.299999999999997</v>
      </c>
      <c r="AA146" s="38">
        <v>35.54</v>
      </c>
      <c r="AB146" s="38">
        <v>36.119999999999997</v>
      </c>
      <c r="AC146" s="38">
        <v>37.159999999999997</v>
      </c>
      <c r="AD146" s="38">
        <v>40.56</v>
      </c>
      <c r="AE146" s="38">
        <v>43.88</v>
      </c>
      <c r="AF146" s="38">
        <v>46.49</v>
      </c>
      <c r="AG146" s="38">
        <v>48.22</v>
      </c>
      <c r="AH146" s="38">
        <v>48.25</v>
      </c>
      <c r="AI146" s="38">
        <v>45.75</v>
      </c>
      <c r="AJ146" s="38">
        <v>39.840000000000003</v>
      </c>
      <c r="AK146" s="38">
        <v>37.4</v>
      </c>
      <c r="AL146" s="38">
        <v>36.42</v>
      </c>
      <c r="AM146" s="38">
        <v>36.61</v>
      </c>
      <c r="AN146" s="38">
        <v>37.78</v>
      </c>
      <c r="AO146" s="38">
        <v>40.81</v>
      </c>
      <c r="AP146" s="38">
        <v>45.74</v>
      </c>
      <c r="AQ146" s="38">
        <v>47.98</v>
      </c>
      <c r="AR146" s="38">
        <v>48.18</v>
      </c>
      <c r="AS146" s="38">
        <v>48.1</v>
      </c>
      <c r="AT146" s="38">
        <v>45.5</v>
      </c>
      <c r="AU146" s="38">
        <v>43.05</v>
      </c>
      <c r="AV146" s="38">
        <v>38.869999999999997</v>
      </c>
      <c r="AW146" s="38">
        <v>38.35</v>
      </c>
      <c r="AX146" s="38">
        <v>38.159999999999997</v>
      </c>
      <c r="AY146" s="38">
        <v>38.32</v>
      </c>
      <c r="BA146" s="37">
        <v>42.97</v>
      </c>
      <c r="BB146" s="38">
        <v>1.2529999999999999</v>
      </c>
    </row>
    <row r="147" spans="1:54" x14ac:dyDescent="0.35">
      <c r="A147" s="2">
        <f t="shared" si="2"/>
        <v>44027</v>
      </c>
      <c r="B147" t="s">
        <v>189</v>
      </c>
      <c r="C147" s="32">
        <v>44027</v>
      </c>
      <c r="D147" s="38">
        <v>13.61</v>
      </c>
      <c r="E147" s="38">
        <v>15.37</v>
      </c>
      <c r="F147" s="38">
        <v>20.05</v>
      </c>
      <c r="G147" s="38">
        <v>31.1</v>
      </c>
      <c r="H147" s="38">
        <v>36.93</v>
      </c>
      <c r="I147" s="38">
        <v>39.07</v>
      </c>
      <c r="J147" s="38">
        <v>39.479999999999997</v>
      </c>
      <c r="K147" s="38">
        <v>37.04</v>
      </c>
      <c r="L147" s="38">
        <v>34.08</v>
      </c>
      <c r="M147" s="38">
        <v>31.71</v>
      </c>
      <c r="N147" s="38">
        <v>30.2</v>
      </c>
      <c r="O147" s="38">
        <v>30.52</v>
      </c>
      <c r="P147" s="38">
        <v>30.78</v>
      </c>
      <c r="Q147" s="38">
        <v>32.36</v>
      </c>
      <c r="R147" s="38">
        <v>37.28</v>
      </c>
      <c r="S147" s="38">
        <v>40.25</v>
      </c>
      <c r="T147" s="38">
        <v>42.74</v>
      </c>
      <c r="U147" s="38">
        <v>46.2</v>
      </c>
      <c r="V147" s="38">
        <v>46.05</v>
      </c>
      <c r="W147" s="38">
        <v>42.46</v>
      </c>
      <c r="X147" s="38">
        <v>38.64</v>
      </c>
      <c r="Y147" s="38">
        <v>37.049999999999997</v>
      </c>
      <c r="Z147" s="38">
        <v>36.44</v>
      </c>
      <c r="AA147" s="38">
        <v>35.68</v>
      </c>
      <c r="AB147" s="38">
        <v>36.26</v>
      </c>
      <c r="AC147" s="38">
        <v>37.299999999999997</v>
      </c>
      <c r="AD147" s="38">
        <v>40.700000000000003</v>
      </c>
      <c r="AE147" s="38">
        <v>44.02</v>
      </c>
      <c r="AF147" s="38">
        <v>46.63</v>
      </c>
      <c r="AG147" s="38">
        <v>48.36</v>
      </c>
      <c r="AH147" s="38">
        <v>48.39</v>
      </c>
      <c r="AI147" s="38">
        <v>45.89</v>
      </c>
      <c r="AJ147" s="38">
        <v>39.979999999999997</v>
      </c>
      <c r="AK147" s="38">
        <v>37.54</v>
      </c>
      <c r="AL147" s="38">
        <v>36.56</v>
      </c>
      <c r="AM147" s="38">
        <v>36.75</v>
      </c>
      <c r="AN147" s="38">
        <v>37.92</v>
      </c>
      <c r="AO147" s="38">
        <v>40.89</v>
      </c>
      <c r="AP147" s="38">
        <v>45.75</v>
      </c>
      <c r="AQ147" s="38">
        <v>47.93</v>
      </c>
      <c r="AR147" s="38">
        <v>48.13</v>
      </c>
      <c r="AS147" s="38">
        <v>48.05</v>
      </c>
      <c r="AT147" s="38">
        <v>45.45</v>
      </c>
      <c r="AU147" s="38">
        <v>43</v>
      </c>
      <c r="AV147" s="38">
        <v>38.82</v>
      </c>
      <c r="AW147" s="38">
        <v>38.299999999999997</v>
      </c>
      <c r="AX147" s="38">
        <v>38.11</v>
      </c>
      <c r="AY147" s="38">
        <v>38.270000000000003</v>
      </c>
      <c r="BA147" s="37">
        <v>43.96</v>
      </c>
      <c r="BB147" s="38">
        <v>1.2623</v>
      </c>
    </row>
    <row r="148" spans="1:54" x14ac:dyDescent="0.35">
      <c r="A148" s="2">
        <f t="shared" si="2"/>
        <v>44028</v>
      </c>
      <c r="B148" t="s">
        <v>190</v>
      </c>
      <c r="C148" s="32">
        <v>44028</v>
      </c>
      <c r="D148" s="38">
        <v>12.99</v>
      </c>
      <c r="E148" s="38">
        <v>14.98</v>
      </c>
      <c r="F148" s="38">
        <v>19.57</v>
      </c>
      <c r="G148" s="38">
        <v>30.5</v>
      </c>
      <c r="H148" s="38">
        <v>36.409999999999997</v>
      </c>
      <c r="I148" s="38">
        <v>38.659999999999997</v>
      </c>
      <c r="J148" s="38">
        <v>39.06</v>
      </c>
      <c r="K148" s="38">
        <v>36.590000000000003</v>
      </c>
      <c r="L148" s="38">
        <v>33.44</v>
      </c>
      <c r="M148" s="38">
        <v>31.61</v>
      </c>
      <c r="N148" s="38">
        <v>30.03</v>
      </c>
      <c r="O148" s="38">
        <v>30.18</v>
      </c>
      <c r="P148" s="38">
        <v>30.6</v>
      </c>
      <c r="Q148" s="38">
        <v>32.18</v>
      </c>
      <c r="R148" s="38">
        <v>37.19</v>
      </c>
      <c r="S148" s="38">
        <v>40.159999999999997</v>
      </c>
      <c r="T148" s="38">
        <v>42.64</v>
      </c>
      <c r="U148" s="38">
        <v>46.1</v>
      </c>
      <c r="V148" s="38">
        <v>45.88</v>
      </c>
      <c r="W148" s="38">
        <v>42.21</v>
      </c>
      <c r="X148" s="38">
        <v>38.32</v>
      </c>
      <c r="Y148" s="38">
        <v>36.71</v>
      </c>
      <c r="Z148" s="38">
        <v>36.1</v>
      </c>
      <c r="AA148" s="38">
        <v>35.340000000000003</v>
      </c>
      <c r="AB148" s="38">
        <v>35.92</v>
      </c>
      <c r="AC148" s="38">
        <v>36.96</v>
      </c>
      <c r="AD148" s="38">
        <v>40.36</v>
      </c>
      <c r="AE148" s="38">
        <v>43.68</v>
      </c>
      <c r="AF148" s="38">
        <v>46.29</v>
      </c>
      <c r="AG148" s="38">
        <v>48.02</v>
      </c>
      <c r="AH148" s="38">
        <v>48.05</v>
      </c>
      <c r="AI148" s="38">
        <v>45.62</v>
      </c>
      <c r="AJ148" s="38">
        <v>39.79</v>
      </c>
      <c r="AK148" s="38">
        <v>37.42</v>
      </c>
      <c r="AL148" s="38">
        <v>36.44</v>
      </c>
      <c r="AM148" s="38">
        <v>36.630000000000003</v>
      </c>
      <c r="AN148" s="38">
        <v>37.799999999999997</v>
      </c>
      <c r="AO148" s="38">
        <v>40.770000000000003</v>
      </c>
      <c r="AP148" s="38">
        <v>45.63</v>
      </c>
      <c r="AQ148" s="38">
        <v>47.81</v>
      </c>
      <c r="AR148" s="38">
        <v>48.01</v>
      </c>
      <c r="AS148" s="38">
        <v>47.93</v>
      </c>
      <c r="AT148" s="38">
        <v>45.33</v>
      </c>
      <c r="AU148" s="38">
        <v>42.88</v>
      </c>
      <c r="AV148" s="38">
        <v>38.700000000000003</v>
      </c>
      <c r="AW148" s="38">
        <v>38.18</v>
      </c>
      <c r="AX148" s="38">
        <v>37.99</v>
      </c>
      <c r="AY148" s="38">
        <v>38.15</v>
      </c>
      <c r="BA148" s="37">
        <v>43.71</v>
      </c>
      <c r="BB148" s="38">
        <v>1.2597</v>
      </c>
    </row>
    <row r="149" spans="1:54" x14ac:dyDescent="0.35">
      <c r="A149" s="2">
        <f t="shared" si="2"/>
        <v>44029</v>
      </c>
      <c r="B149" t="s">
        <v>191</v>
      </c>
      <c r="C149" s="32">
        <v>44029</v>
      </c>
      <c r="D149" s="38">
        <v>13.42</v>
      </c>
      <c r="E149" s="38">
        <v>15.08</v>
      </c>
      <c r="F149" s="38">
        <v>19.38</v>
      </c>
      <c r="G149" s="38">
        <v>30.44</v>
      </c>
      <c r="H149" s="38">
        <v>36.36</v>
      </c>
      <c r="I149" s="38">
        <v>38.659999999999997</v>
      </c>
      <c r="J149" s="38">
        <v>39.07</v>
      </c>
      <c r="K149" s="38">
        <v>36.659999999999997</v>
      </c>
      <c r="L149" s="38">
        <v>33.19</v>
      </c>
      <c r="M149" s="38">
        <v>31.46</v>
      </c>
      <c r="N149" s="38">
        <v>29.63</v>
      </c>
      <c r="O149" s="38">
        <v>29.88</v>
      </c>
      <c r="P149" s="38">
        <v>30.3</v>
      </c>
      <c r="Q149" s="38">
        <v>31.98</v>
      </c>
      <c r="R149" s="38">
        <v>37.159999999999997</v>
      </c>
      <c r="S149" s="38">
        <v>40.24</v>
      </c>
      <c r="T149" s="38">
        <v>42.73</v>
      </c>
      <c r="U149" s="38">
        <v>46.2</v>
      </c>
      <c r="V149" s="38">
        <v>45.98</v>
      </c>
      <c r="W149" s="38">
        <v>42.31</v>
      </c>
      <c r="X149" s="38">
        <v>38.42</v>
      </c>
      <c r="Y149" s="38">
        <v>36.81</v>
      </c>
      <c r="Z149" s="38">
        <v>36.200000000000003</v>
      </c>
      <c r="AA149" s="38">
        <v>35.44</v>
      </c>
      <c r="AB149" s="38">
        <v>36.020000000000003</v>
      </c>
      <c r="AC149" s="38">
        <v>37.06</v>
      </c>
      <c r="AD149" s="38">
        <v>40.46</v>
      </c>
      <c r="AE149" s="38">
        <v>43.78</v>
      </c>
      <c r="AF149" s="38">
        <v>46.39</v>
      </c>
      <c r="AG149" s="38">
        <v>48.12</v>
      </c>
      <c r="AH149" s="38">
        <v>48.15</v>
      </c>
      <c r="AI149" s="38">
        <v>45.72</v>
      </c>
      <c r="AJ149" s="38">
        <v>39.89</v>
      </c>
      <c r="AK149" s="38">
        <v>37.520000000000003</v>
      </c>
      <c r="AL149" s="38">
        <v>36.54</v>
      </c>
      <c r="AM149" s="38">
        <v>36.729999999999997</v>
      </c>
      <c r="AN149" s="38">
        <v>37.9</v>
      </c>
      <c r="AO149" s="38">
        <v>40.869999999999997</v>
      </c>
      <c r="AP149" s="38">
        <v>45.73</v>
      </c>
      <c r="AQ149" s="38">
        <v>47.91</v>
      </c>
      <c r="AR149" s="38">
        <v>48.11</v>
      </c>
      <c r="AS149" s="38">
        <v>48.03</v>
      </c>
      <c r="AT149" s="38">
        <v>45.43</v>
      </c>
      <c r="AU149" s="38">
        <v>42.98</v>
      </c>
      <c r="AV149" s="38">
        <v>38.799999999999997</v>
      </c>
      <c r="AW149" s="38">
        <v>38.28</v>
      </c>
      <c r="AX149" s="38">
        <v>38.090000000000003</v>
      </c>
      <c r="AY149" s="38">
        <v>38.25</v>
      </c>
      <c r="BA149" s="37">
        <v>43.53</v>
      </c>
      <c r="BB149" s="38">
        <v>1.2536</v>
      </c>
    </row>
    <row r="150" spans="1:54" x14ac:dyDescent="0.35">
      <c r="A150" s="2">
        <f t="shared" si="2"/>
        <v>44032</v>
      </c>
      <c r="B150" t="s">
        <v>192</v>
      </c>
      <c r="C150" s="32">
        <v>44032</v>
      </c>
      <c r="D150" s="38">
        <v>12.21</v>
      </c>
      <c r="E150" s="38">
        <v>13.81</v>
      </c>
      <c r="F150" s="38">
        <v>17.79</v>
      </c>
      <c r="G150" s="38">
        <v>28.28</v>
      </c>
      <c r="H150" s="38">
        <v>34.380000000000003</v>
      </c>
      <c r="I150" s="38">
        <v>37.03</v>
      </c>
      <c r="J150" s="38">
        <v>37.479999999999997</v>
      </c>
      <c r="K150" s="38">
        <v>35.17</v>
      </c>
      <c r="L150" s="38">
        <v>31.63</v>
      </c>
      <c r="M150" s="38">
        <v>29.92</v>
      </c>
      <c r="N150" s="38">
        <v>28.11</v>
      </c>
      <c r="O150" s="38">
        <v>28.38</v>
      </c>
      <c r="P150" s="38">
        <v>28.84</v>
      </c>
      <c r="Q150" s="38">
        <v>30.61</v>
      </c>
      <c r="R150" s="38">
        <v>35.81</v>
      </c>
      <c r="S150" s="38">
        <v>38.950000000000003</v>
      </c>
      <c r="T150" s="38">
        <v>41.43</v>
      </c>
      <c r="U150" s="38">
        <v>44.91</v>
      </c>
      <c r="V150" s="38">
        <v>44.71</v>
      </c>
      <c r="W150" s="38">
        <v>41.06</v>
      </c>
      <c r="X150" s="38">
        <v>37.17</v>
      </c>
      <c r="Y150" s="38">
        <v>35.56</v>
      </c>
      <c r="Z150" s="38">
        <v>34.950000000000003</v>
      </c>
      <c r="AA150" s="38">
        <v>34.19</v>
      </c>
      <c r="AB150" s="38">
        <v>34.770000000000003</v>
      </c>
      <c r="AC150" s="38">
        <v>35.81</v>
      </c>
      <c r="AD150" s="38">
        <v>39.299999999999997</v>
      </c>
      <c r="AE150" s="38">
        <v>42.67</v>
      </c>
      <c r="AF150" s="38">
        <v>45.33</v>
      </c>
      <c r="AG150" s="38">
        <v>47.11</v>
      </c>
      <c r="AH150" s="38">
        <v>47.19</v>
      </c>
      <c r="AI150" s="38">
        <v>44.81</v>
      </c>
      <c r="AJ150" s="38">
        <v>39.020000000000003</v>
      </c>
      <c r="AK150" s="38">
        <v>36.69</v>
      </c>
      <c r="AL150" s="38">
        <v>35.76</v>
      </c>
      <c r="AM150" s="38">
        <v>36</v>
      </c>
      <c r="AN150" s="38">
        <v>37.22</v>
      </c>
      <c r="AO150" s="38">
        <v>40.24</v>
      </c>
      <c r="AP150" s="38">
        <v>45.08</v>
      </c>
      <c r="AQ150" s="38">
        <v>47.21</v>
      </c>
      <c r="AR150" s="38">
        <v>47.36</v>
      </c>
      <c r="AS150" s="38">
        <v>47.23</v>
      </c>
      <c r="AT150" s="38">
        <v>44.58</v>
      </c>
      <c r="AU150" s="38">
        <v>42.13</v>
      </c>
      <c r="AV150" s="38">
        <v>37.950000000000003</v>
      </c>
      <c r="AW150" s="38">
        <v>37.43</v>
      </c>
      <c r="AX150" s="38">
        <v>37.24</v>
      </c>
      <c r="AY150" s="38">
        <v>37.4</v>
      </c>
      <c r="BA150" s="37">
        <v>43.3</v>
      </c>
      <c r="BB150" s="38">
        <v>1.2646999999999999</v>
      </c>
    </row>
    <row r="151" spans="1:54" x14ac:dyDescent="0.35">
      <c r="A151" s="2">
        <f t="shared" si="2"/>
        <v>44033</v>
      </c>
      <c r="B151" t="s">
        <v>193</v>
      </c>
      <c r="C151" s="32">
        <v>44033</v>
      </c>
      <c r="D151" s="38">
        <v>12.71</v>
      </c>
      <c r="E151" s="38">
        <v>14.2</v>
      </c>
      <c r="F151" s="38">
        <v>17.989999999999998</v>
      </c>
      <c r="G151" s="38">
        <v>28.38</v>
      </c>
      <c r="H151" s="38">
        <v>34.31</v>
      </c>
      <c r="I151" s="38">
        <v>37.01</v>
      </c>
      <c r="J151" s="38">
        <v>37.409999999999997</v>
      </c>
      <c r="K151" s="38">
        <v>35.01</v>
      </c>
      <c r="L151" s="38">
        <v>31.29</v>
      </c>
      <c r="M151" s="38">
        <v>29.55</v>
      </c>
      <c r="N151" s="38">
        <v>27.9</v>
      </c>
      <c r="O151" s="38">
        <v>28.25</v>
      </c>
      <c r="P151" s="38">
        <v>28.71</v>
      </c>
      <c r="Q151" s="38">
        <v>30.48</v>
      </c>
      <c r="R151" s="38">
        <v>35.64</v>
      </c>
      <c r="S151" s="38">
        <v>38.75</v>
      </c>
      <c r="T151" s="38">
        <v>41.23</v>
      </c>
      <c r="U151" s="38">
        <v>44.71</v>
      </c>
      <c r="V151" s="38">
        <v>44.51</v>
      </c>
      <c r="W151" s="38">
        <v>40.86</v>
      </c>
      <c r="X151" s="38">
        <v>37.159999999999997</v>
      </c>
      <c r="Y151" s="38">
        <v>35.549999999999997</v>
      </c>
      <c r="Z151" s="38">
        <v>34.94</v>
      </c>
      <c r="AA151" s="38">
        <v>34.18</v>
      </c>
      <c r="AB151" s="38">
        <v>34.76</v>
      </c>
      <c r="AC151" s="38">
        <v>35.799999999999997</v>
      </c>
      <c r="AD151" s="38">
        <v>39.32</v>
      </c>
      <c r="AE151" s="38">
        <v>42.69</v>
      </c>
      <c r="AF151" s="38">
        <v>45.35</v>
      </c>
      <c r="AG151" s="38">
        <v>47.13</v>
      </c>
      <c r="AH151" s="38">
        <v>47.21</v>
      </c>
      <c r="AI151" s="38">
        <v>44.83</v>
      </c>
      <c r="AJ151" s="38">
        <v>39.04</v>
      </c>
      <c r="AK151" s="38">
        <v>36.71</v>
      </c>
      <c r="AL151" s="38">
        <v>35.78</v>
      </c>
      <c r="AM151" s="38">
        <v>36.020000000000003</v>
      </c>
      <c r="AN151" s="38">
        <v>37.24</v>
      </c>
      <c r="AO151" s="38">
        <v>40.29</v>
      </c>
      <c r="AP151" s="38">
        <v>45.18</v>
      </c>
      <c r="AQ151" s="38">
        <v>47.34</v>
      </c>
      <c r="AR151" s="38">
        <v>47.49</v>
      </c>
      <c r="AS151" s="38">
        <v>47.36</v>
      </c>
      <c r="AT151" s="38">
        <v>44.71</v>
      </c>
      <c r="AU151" s="38">
        <v>42.26</v>
      </c>
      <c r="AV151" s="38">
        <v>38.08</v>
      </c>
      <c r="AW151" s="38">
        <v>37.56</v>
      </c>
      <c r="AX151" s="38">
        <v>37.369999999999997</v>
      </c>
      <c r="AY151" s="38">
        <v>37.53</v>
      </c>
      <c r="BA151" s="37">
        <v>44.31</v>
      </c>
      <c r="BB151" s="38">
        <v>1.2748999999999999</v>
      </c>
    </row>
    <row r="152" spans="1:54" x14ac:dyDescent="0.35">
      <c r="A152" s="2">
        <f t="shared" si="2"/>
        <v>44034</v>
      </c>
      <c r="B152" t="s">
        <v>194</v>
      </c>
      <c r="C152" s="32">
        <v>44034</v>
      </c>
      <c r="D152" s="38">
        <v>13.05</v>
      </c>
      <c r="E152" s="38">
        <v>14.36</v>
      </c>
      <c r="F152" s="38">
        <v>18.18</v>
      </c>
      <c r="G152" s="38">
        <v>28.56</v>
      </c>
      <c r="H152" s="38">
        <v>34.549999999999997</v>
      </c>
      <c r="I152" s="38">
        <v>37.19</v>
      </c>
      <c r="J152" s="38">
        <v>37.64</v>
      </c>
      <c r="K152" s="38">
        <v>35.25</v>
      </c>
      <c r="L152" s="38">
        <v>31.25</v>
      </c>
      <c r="M152" s="38">
        <v>29.46</v>
      </c>
      <c r="N152" s="38">
        <v>27.56</v>
      </c>
      <c r="O152" s="38">
        <v>28</v>
      </c>
      <c r="P152" s="38">
        <v>28.46</v>
      </c>
      <c r="Q152" s="38">
        <v>30.23</v>
      </c>
      <c r="R152" s="38">
        <v>35.520000000000003</v>
      </c>
      <c r="S152" s="38">
        <v>38.630000000000003</v>
      </c>
      <c r="T152" s="38">
        <v>41.11</v>
      </c>
      <c r="U152" s="38">
        <v>44.48</v>
      </c>
      <c r="V152" s="38">
        <v>44.26</v>
      </c>
      <c r="W152" s="38">
        <v>40.61</v>
      </c>
      <c r="X152" s="38">
        <v>36.89</v>
      </c>
      <c r="Y152" s="38">
        <v>35.31</v>
      </c>
      <c r="Z152" s="38">
        <v>34.729999999999997</v>
      </c>
      <c r="AA152" s="38">
        <v>34</v>
      </c>
      <c r="AB152" s="38">
        <v>34.61</v>
      </c>
      <c r="AC152" s="38">
        <v>35.68</v>
      </c>
      <c r="AD152" s="38">
        <v>39.24</v>
      </c>
      <c r="AE152" s="38">
        <v>42.65</v>
      </c>
      <c r="AF152" s="38">
        <v>45.31</v>
      </c>
      <c r="AG152" s="38">
        <v>47.09</v>
      </c>
      <c r="AH152" s="38">
        <v>47.17</v>
      </c>
      <c r="AI152" s="38">
        <v>44.79</v>
      </c>
      <c r="AJ152" s="38">
        <v>39</v>
      </c>
      <c r="AK152" s="38">
        <v>36.67</v>
      </c>
      <c r="AL152" s="38">
        <v>35.74</v>
      </c>
      <c r="AM152" s="38">
        <v>35.979999999999997</v>
      </c>
      <c r="AN152" s="38">
        <v>37.200000000000003</v>
      </c>
      <c r="AO152" s="38">
        <v>40.25</v>
      </c>
      <c r="AP152" s="38">
        <v>45.08</v>
      </c>
      <c r="AQ152" s="38">
        <v>47.19</v>
      </c>
      <c r="AR152" s="38">
        <v>47.33</v>
      </c>
      <c r="AS152" s="38">
        <v>47.2</v>
      </c>
      <c r="AT152" s="38">
        <v>44.55</v>
      </c>
      <c r="AU152" s="38">
        <v>42.1</v>
      </c>
      <c r="AV152" s="38">
        <v>37.92</v>
      </c>
      <c r="AW152" s="38">
        <v>37.4</v>
      </c>
      <c r="AX152" s="38">
        <v>37.21</v>
      </c>
      <c r="AY152" s="38">
        <v>37.369999999999997</v>
      </c>
      <c r="BA152" s="37">
        <v>43.98</v>
      </c>
      <c r="BB152" s="38">
        <v>1.2732000000000001</v>
      </c>
    </row>
    <row r="153" spans="1:54" x14ac:dyDescent="0.35">
      <c r="A153" s="2">
        <f t="shared" si="2"/>
        <v>44035</v>
      </c>
      <c r="B153" t="s">
        <v>195</v>
      </c>
      <c r="C153" s="32">
        <v>44035</v>
      </c>
      <c r="D153" s="38">
        <v>13.7</v>
      </c>
      <c r="E153" s="38">
        <v>14.91</v>
      </c>
      <c r="F153" s="38">
        <v>18.559999999999999</v>
      </c>
      <c r="G153" s="38">
        <v>29.04</v>
      </c>
      <c r="H153" s="38">
        <v>34.67</v>
      </c>
      <c r="I153" s="38">
        <v>37.270000000000003</v>
      </c>
      <c r="J153" s="38">
        <v>37.799999999999997</v>
      </c>
      <c r="K153" s="38">
        <v>35.44</v>
      </c>
      <c r="L153" s="38">
        <v>31.7</v>
      </c>
      <c r="M153" s="38">
        <v>29.64</v>
      </c>
      <c r="N153" s="38">
        <v>27.81</v>
      </c>
      <c r="O153" s="38">
        <v>28.02</v>
      </c>
      <c r="P153" s="38">
        <v>28.48</v>
      </c>
      <c r="Q153" s="38">
        <v>30.25</v>
      </c>
      <c r="R153" s="38">
        <v>35.67</v>
      </c>
      <c r="S153" s="38">
        <v>38.78</v>
      </c>
      <c r="T153" s="38">
        <v>41.27</v>
      </c>
      <c r="U153" s="38">
        <v>44.78</v>
      </c>
      <c r="V153" s="38">
        <v>44.56</v>
      </c>
      <c r="W153" s="38">
        <v>40.93</v>
      </c>
      <c r="X153" s="38">
        <v>37.21</v>
      </c>
      <c r="Y153" s="38">
        <v>35.630000000000003</v>
      </c>
      <c r="Z153" s="38">
        <v>35.049999999999997</v>
      </c>
      <c r="AA153" s="38">
        <v>34.29</v>
      </c>
      <c r="AB153" s="38">
        <v>34.869999999999997</v>
      </c>
      <c r="AC153" s="38">
        <v>35.9</v>
      </c>
      <c r="AD153" s="38">
        <v>39.46</v>
      </c>
      <c r="AE153" s="38">
        <v>42.87</v>
      </c>
      <c r="AF153" s="38">
        <v>45.53</v>
      </c>
      <c r="AG153" s="38">
        <v>47.31</v>
      </c>
      <c r="AH153" s="38">
        <v>47.39</v>
      </c>
      <c r="AI153" s="38">
        <v>45.01</v>
      </c>
      <c r="AJ153" s="38">
        <v>39.22</v>
      </c>
      <c r="AK153" s="38">
        <v>36.89</v>
      </c>
      <c r="AL153" s="38">
        <v>35.96</v>
      </c>
      <c r="AM153" s="38">
        <v>36.200000000000003</v>
      </c>
      <c r="AN153" s="38">
        <v>37.42</v>
      </c>
      <c r="AO153" s="38">
        <v>40.47</v>
      </c>
      <c r="AP153" s="38">
        <v>45.3</v>
      </c>
      <c r="AQ153" s="38">
        <v>47.41</v>
      </c>
      <c r="AR153" s="38">
        <v>47.55</v>
      </c>
      <c r="AS153" s="38">
        <v>47.42</v>
      </c>
      <c r="AT153" s="38">
        <v>44.77</v>
      </c>
      <c r="AU153" s="38">
        <v>42.32</v>
      </c>
      <c r="AV153" s="38">
        <v>38.14</v>
      </c>
      <c r="AW153" s="38">
        <v>37.619999999999997</v>
      </c>
      <c r="AX153" s="38">
        <v>37.43</v>
      </c>
      <c r="AY153" s="38">
        <v>37.590000000000003</v>
      </c>
      <c r="BA153" s="37">
        <v>42.96</v>
      </c>
      <c r="BB153" s="38">
        <v>1.2746</v>
      </c>
    </row>
    <row r="154" spans="1:54" x14ac:dyDescent="0.35">
      <c r="A154" s="2">
        <f t="shared" si="2"/>
        <v>44036</v>
      </c>
      <c r="B154" t="s">
        <v>196</v>
      </c>
      <c r="C154" s="32">
        <v>44036</v>
      </c>
      <c r="D154" s="38">
        <v>13.59</v>
      </c>
      <c r="E154" s="38">
        <v>14.78</v>
      </c>
      <c r="F154" s="38">
        <v>18.239999999999998</v>
      </c>
      <c r="G154" s="38">
        <v>28.61</v>
      </c>
      <c r="H154" s="38">
        <v>34.17</v>
      </c>
      <c r="I154" s="38">
        <v>36.840000000000003</v>
      </c>
      <c r="J154" s="38">
        <v>37.369999999999997</v>
      </c>
      <c r="K154" s="38">
        <v>34.94</v>
      </c>
      <c r="L154" s="38">
        <v>31.02</v>
      </c>
      <c r="M154" s="38">
        <v>28.95</v>
      </c>
      <c r="N154" s="38">
        <v>27.12</v>
      </c>
      <c r="O154" s="38">
        <v>27.33</v>
      </c>
      <c r="P154" s="38">
        <v>27.78</v>
      </c>
      <c r="Q154" s="38">
        <v>29.55</v>
      </c>
      <c r="R154" s="38">
        <v>34.99</v>
      </c>
      <c r="S154" s="38">
        <v>38.200000000000003</v>
      </c>
      <c r="T154" s="38">
        <v>40.74</v>
      </c>
      <c r="U154" s="38">
        <v>44.3</v>
      </c>
      <c r="V154" s="38">
        <v>44.08</v>
      </c>
      <c r="W154" s="38">
        <v>40.450000000000003</v>
      </c>
      <c r="X154" s="38">
        <v>36.729999999999997</v>
      </c>
      <c r="Y154" s="38">
        <v>35.15</v>
      </c>
      <c r="Z154" s="38">
        <v>34.57</v>
      </c>
      <c r="AA154" s="38">
        <v>33.81</v>
      </c>
      <c r="AB154" s="38">
        <v>34.39</v>
      </c>
      <c r="AC154" s="38">
        <v>35.42</v>
      </c>
      <c r="AD154" s="38">
        <v>39.07</v>
      </c>
      <c r="AE154" s="38">
        <v>42.56</v>
      </c>
      <c r="AF154" s="38">
        <v>45.3</v>
      </c>
      <c r="AG154" s="38">
        <v>47.08</v>
      </c>
      <c r="AH154" s="38">
        <v>47.16</v>
      </c>
      <c r="AI154" s="38">
        <v>44.78</v>
      </c>
      <c r="AJ154" s="38">
        <v>38.99</v>
      </c>
      <c r="AK154" s="38">
        <v>36.659999999999997</v>
      </c>
      <c r="AL154" s="38">
        <v>35.729999999999997</v>
      </c>
      <c r="AM154" s="38">
        <v>35.97</v>
      </c>
      <c r="AN154" s="38">
        <v>37.19</v>
      </c>
      <c r="AO154" s="38">
        <v>40.24</v>
      </c>
      <c r="AP154" s="38">
        <v>45.07</v>
      </c>
      <c r="AQ154" s="38">
        <v>47.18</v>
      </c>
      <c r="AR154" s="38">
        <v>47.32</v>
      </c>
      <c r="AS154" s="38">
        <v>47.19</v>
      </c>
      <c r="AT154" s="38">
        <v>44.54</v>
      </c>
      <c r="AU154" s="38">
        <v>42.09</v>
      </c>
      <c r="AV154" s="38">
        <v>37.909999999999997</v>
      </c>
      <c r="AW154" s="38">
        <v>37.39</v>
      </c>
      <c r="AX154" s="38">
        <v>37.200000000000003</v>
      </c>
      <c r="AY154" s="38">
        <v>37.36</v>
      </c>
      <c r="BA154" s="37">
        <v>43.29</v>
      </c>
      <c r="BB154" s="38">
        <v>1.2788999999999999</v>
      </c>
    </row>
    <row r="155" spans="1:54" x14ac:dyDescent="0.35">
      <c r="A155" s="2">
        <f t="shared" si="2"/>
        <v>44039</v>
      </c>
      <c r="B155" t="s">
        <v>197</v>
      </c>
      <c r="C155" s="32">
        <v>44039</v>
      </c>
      <c r="D155" s="38">
        <v>12.91</v>
      </c>
      <c r="E155" s="38">
        <v>14.56</v>
      </c>
      <c r="F155" s="38">
        <v>18.16</v>
      </c>
      <c r="G155" s="38">
        <v>28.27</v>
      </c>
      <c r="H155" s="38">
        <v>33.32</v>
      </c>
      <c r="I155" s="38">
        <v>36.17</v>
      </c>
      <c r="J155" s="38">
        <v>36.65</v>
      </c>
      <c r="K155" s="38">
        <v>34.25</v>
      </c>
      <c r="L155" s="38">
        <v>30.24</v>
      </c>
      <c r="M155" s="38">
        <v>28.17</v>
      </c>
      <c r="N155" s="38">
        <v>26.34</v>
      </c>
      <c r="O155" s="38">
        <v>26.55</v>
      </c>
      <c r="P155" s="38">
        <v>27</v>
      </c>
      <c r="Q155" s="38">
        <v>28.77</v>
      </c>
      <c r="R155" s="38">
        <v>34.340000000000003</v>
      </c>
      <c r="S155" s="38">
        <v>37.69</v>
      </c>
      <c r="T155" s="38">
        <v>40.299999999999997</v>
      </c>
      <c r="U155" s="38">
        <v>43.86</v>
      </c>
      <c r="V155" s="38">
        <v>43.64</v>
      </c>
      <c r="W155" s="38">
        <v>39.950000000000003</v>
      </c>
      <c r="X155" s="38">
        <v>36.03</v>
      </c>
      <c r="Y155" s="38">
        <v>34.32</v>
      </c>
      <c r="Z155" s="38">
        <v>33.74</v>
      </c>
      <c r="AA155" s="38">
        <v>32.979999999999997</v>
      </c>
      <c r="AB155" s="38">
        <v>33.56</v>
      </c>
      <c r="AC155" s="38">
        <v>34.590000000000003</v>
      </c>
      <c r="AD155" s="38">
        <v>38.270000000000003</v>
      </c>
      <c r="AE155" s="38">
        <v>41.79</v>
      </c>
      <c r="AF155" s="38">
        <v>44.56</v>
      </c>
      <c r="AG155" s="38">
        <v>46.37</v>
      </c>
      <c r="AH155" s="38">
        <v>46.48</v>
      </c>
      <c r="AI155" s="38">
        <v>44.18</v>
      </c>
      <c r="AJ155" s="38">
        <v>38.56</v>
      </c>
      <c r="AK155" s="38">
        <v>36.29</v>
      </c>
      <c r="AL155" s="38">
        <v>35.36</v>
      </c>
      <c r="AM155" s="38">
        <v>35.6</v>
      </c>
      <c r="AN155" s="38">
        <v>36.82</v>
      </c>
      <c r="AO155" s="38">
        <v>39.869999999999997</v>
      </c>
      <c r="AP155" s="38">
        <v>44.7</v>
      </c>
      <c r="AQ155" s="38">
        <v>46.81</v>
      </c>
      <c r="AR155" s="38">
        <v>46.95</v>
      </c>
      <c r="AS155" s="38">
        <v>46.82</v>
      </c>
      <c r="AT155" s="38">
        <v>44.17</v>
      </c>
      <c r="AU155" s="38">
        <v>41.72</v>
      </c>
      <c r="AV155" s="38">
        <v>37.54</v>
      </c>
      <c r="AW155" s="38">
        <v>37.020000000000003</v>
      </c>
      <c r="AX155" s="38">
        <v>36.83</v>
      </c>
      <c r="AY155" s="38">
        <v>36.99</v>
      </c>
      <c r="BA155" s="37">
        <v>43.39</v>
      </c>
      <c r="BB155" s="38">
        <v>1.2895000000000001</v>
      </c>
    </row>
    <row r="156" spans="1:54" x14ac:dyDescent="0.35">
      <c r="A156" s="2">
        <f t="shared" si="2"/>
        <v>44040</v>
      </c>
      <c r="B156" t="s">
        <v>198</v>
      </c>
      <c r="C156" s="32">
        <v>44040</v>
      </c>
      <c r="D156" s="38">
        <v>13.19</v>
      </c>
      <c r="E156" s="38">
        <v>14.89</v>
      </c>
      <c r="F156" s="38">
        <v>18.54</v>
      </c>
      <c r="G156" s="38">
        <v>28.63</v>
      </c>
      <c r="H156" s="38">
        <v>33.630000000000003</v>
      </c>
      <c r="I156" s="38">
        <v>36.54</v>
      </c>
      <c r="J156" s="38">
        <v>36.99</v>
      </c>
      <c r="K156" s="38">
        <v>34.590000000000003</v>
      </c>
      <c r="L156" s="38">
        <v>30.69</v>
      </c>
      <c r="M156" s="38">
        <v>28.71</v>
      </c>
      <c r="N156" s="38">
        <v>26.88</v>
      </c>
      <c r="O156" s="38">
        <v>27.08</v>
      </c>
      <c r="P156" s="38">
        <v>27.53</v>
      </c>
      <c r="Q156" s="38">
        <v>29.3</v>
      </c>
      <c r="R156" s="38">
        <v>34.770000000000003</v>
      </c>
      <c r="S156" s="38">
        <v>38.049999999999997</v>
      </c>
      <c r="T156" s="38">
        <v>40.659999999999997</v>
      </c>
      <c r="U156" s="38">
        <v>44.22</v>
      </c>
      <c r="V156" s="38">
        <v>44</v>
      </c>
      <c r="W156" s="38">
        <v>40.31</v>
      </c>
      <c r="X156" s="38">
        <v>36.35</v>
      </c>
      <c r="Y156" s="38">
        <v>34.64</v>
      </c>
      <c r="Z156" s="38">
        <v>34.06</v>
      </c>
      <c r="AA156" s="38">
        <v>33.299999999999997</v>
      </c>
      <c r="AB156" s="38">
        <v>33.880000000000003</v>
      </c>
      <c r="AC156" s="38">
        <v>34.909999999999997</v>
      </c>
      <c r="AD156" s="38">
        <v>38.590000000000003</v>
      </c>
      <c r="AE156" s="38">
        <v>42.11</v>
      </c>
      <c r="AF156" s="38">
        <v>44.88</v>
      </c>
      <c r="AG156" s="38">
        <v>46.69</v>
      </c>
      <c r="AH156" s="38">
        <v>46.8</v>
      </c>
      <c r="AI156" s="38">
        <v>44.5</v>
      </c>
      <c r="AJ156" s="38">
        <v>38.81</v>
      </c>
      <c r="AK156" s="38">
        <v>36.54</v>
      </c>
      <c r="AL156" s="38">
        <v>35.61</v>
      </c>
      <c r="AM156" s="38">
        <v>35.85</v>
      </c>
      <c r="AN156" s="38">
        <v>37.07</v>
      </c>
      <c r="AO156" s="38">
        <v>40.119999999999997</v>
      </c>
      <c r="AP156" s="38">
        <v>44.95</v>
      </c>
      <c r="AQ156" s="38">
        <v>47.06</v>
      </c>
      <c r="AR156" s="38">
        <v>47.2</v>
      </c>
      <c r="AS156" s="38">
        <v>47.07</v>
      </c>
      <c r="AT156" s="38">
        <v>44.42</v>
      </c>
      <c r="AU156" s="38">
        <v>41.97</v>
      </c>
      <c r="AV156" s="38">
        <v>37.79</v>
      </c>
      <c r="AW156" s="38">
        <v>37.270000000000003</v>
      </c>
      <c r="AX156" s="38">
        <v>37.08</v>
      </c>
      <c r="AY156" s="38">
        <v>37.24</v>
      </c>
      <c r="BA156" s="37">
        <v>43.11</v>
      </c>
      <c r="BB156" s="38">
        <v>1.2947</v>
      </c>
    </row>
    <row r="157" spans="1:54" x14ac:dyDescent="0.35">
      <c r="A157" s="2">
        <f t="shared" si="2"/>
        <v>44041</v>
      </c>
      <c r="B157" t="s">
        <v>199</v>
      </c>
      <c r="C157" s="32">
        <v>44041</v>
      </c>
      <c r="D157" s="38">
        <v>13.72</v>
      </c>
      <c r="E157" s="38">
        <v>15.37</v>
      </c>
      <c r="F157" s="38">
        <v>19.04</v>
      </c>
      <c r="G157" s="38">
        <v>29.04</v>
      </c>
      <c r="H157" s="38">
        <v>34.020000000000003</v>
      </c>
      <c r="I157" s="38">
        <v>36.81</v>
      </c>
      <c r="J157" s="38">
        <v>37.26</v>
      </c>
      <c r="K157" s="38">
        <v>35.06</v>
      </c>
      <c r="L157" s="38">
        <v>31.21</v>
      </c>
      <c r="M157" s="38">
        <v>29.26</v>
      </c>
      <c r="N157" s="38">
        <v>27.43</v>
      </c>
      <c r="O157" s="38">
        <v>27.63</v>
      </c>
      <c r="P157" s="38">
        <v>28.08</v>
      </c>
      <c r="Q157" s="38">
        <v>29.85</v>
      </c>
      <c r="R157" s="38">
        <v>35.17</v>
      </c>
      <c r="S157" s="38">
        <v>38.35</v>
      </c>
      <c r="T157" s="38">
        <v>40.96</v>
      </c>
      <c r="U157" s="38">
        <v>44.52</v>
      </c>
      <c r="V157" s="38">
        <v>44.3</v>
      </c>
      <c r="W157" s="38">
        <v>40.61</v>
      </c>
      <c r="X157" s="38">
        <v>36.58</v>
      </c>
      <c r="Y157" s="38">
        <v>34.81</v>
      </c>
      <c r="Z157" s="38">
        <v>34.22</v>
      </c>
      <c r="AA157" s="38">
        <v>33.46</v>
      </c>
      <c r="AB157" s="38">
        <v>34.04</v>
      </c>
      <c r="AC157" s="38">
        <v>35.07</v>
      </c>
      <c r="AD157" s="38">
        <v>38.75</v>
      </c>
      <c r="AE157" s="38">
        <v>42.27</v>
      </c>
      <c r="AF157" s="38">
        <v>45.04</v>
      </c>
      <c r="AG157" s="38">
        <v>46.85</v>
      </c>
      <c r="AH157" s="38">
        <v>46.96</v>
      </c>
      <c r="AI157" s="38">
        <v>44.66</v>
      </c>
      <c r="AJ157" s="38">
        <v>38.97</v>
      </c>
      <c r="AK157" s="38">
        <v>36.700000000000003</v>
      </c>
      <c r="AL157" s="38">
        <v>35.770000000000003</v>
      </c>
      <c r="AM157" s="38">
        <v>36.01</v>
      </c>
      <c r="AN157" s="38">
        <v>37.229999999999997</v>
      </c>
      <c r="AO157" s="38">
        <v>40.28</v>
      </c>
      <c r="AP157" s="38">
        <v>45.11</v>
      </c>
      <c r="AQ157" s="38">
        <v>47.22</v>
      </c>
      <c r="AR157" s="38">
        <v>47.36</v>
      </c>
      <c r="AS157" s="38">
        <v>47.23</v>
      </c>
      <c r="AT157" s="38">
        <v>44.58</v>
      </c>
      <c r="AU157" s="38">
        <v>42.13</v>
      </c>
      <c r="AV157" s="38">
        <v>37.950000000000003</v>
      </c>
      <c r="AW157" s="38">
        <v>37.43</v>
      </c>
      <c r="AX157" s="38">
        <v>37.24</v>
      </c>
      <c r="AY157" s="38">
        <v>37.4</v>
      </c>
      <c r="BA157" s="37">
        <v>43.51</v>
      </c>
      <c r="BB157" s="38">
        <v>1.2966</v>
      </c>
    </row>
    <row r="158" spans="1:54" x14ac:dyDescent="0.35">
      <c r="A158" s="2">
        <f t="shared" si="2"/>
        <v>44042</v>
      </c>
      <c r="B158" t="s">
        <v>200</v>
      </c>
      <c r="C158" s="32">
        <v>44042</v>
      </c>
      <c r="D158" s="38">
        <v>13.46</v>
      </c>
      <c r="E158" s="38">
        <v>15.76</v>
      </c>
      <c r="F158" s="38">
        <v>19.02</v>
      </c>
      <c r="G158" s="38">
        <v>28.85</v>
      </c>
      <c r="H158" s="38">
        <v>33.82</v>
      </c>
      <c r="I158" s="38">
        <v>36.06</v>
      </c>
      <c r="J158" s="38">
        <v>36.520000000000003</v>
      </c>
      <c r="K158" s="38">
        <v>34.270000000000003</v>
      </c>
      <c r="L158" s="38">
        <v>30.54</v>
      </c>
      <c r="M158" s="38">
        <v>28.73</v>
      </c>
      <c r="N158" s="38">
        <v>26.9</v>
      </c>
      <c r="O158" s="38">
        <v>27.1</v>
      </c>
      <c r="P158" s="38">
        <v>27.55</v>
      </c>
      <c r="Q158" s="38">
        <v>29.32</v>
      </c>
      <c r="R158" s="38">
        <v>34.590000000000003</v>
      </c>
      <c r="S158" s="38">
        <v>37.770000000000003</v>
      </c>
      <c r="T158" s="38">
        <v>40.35</v>
      </c>
      <c r="U158" s="38">
        <v>43.91</v>
      </c>
      <c r="V158" s="38">
        <v>43.69</v>
      </c>
      <c r="W158" s="38">
        <v>40</v>
      </c>
      <c r="X158" s="38">
        <v>36.04</v>
      </c>
      <c r="Y158" s="38">
        <v>34.31</v>
      </c>
      <c r="Z158" s="38">
        <v>33.72</v>
      </c>
      <c r="AA158" s="38">
        <v>32.96</v>
      </c>
      <c r="AB158" s="38">
        <v>33.54</v>
      </c>
      <c r="AC158" s="38">
        <v>34.53</v>
      </c>
      <c r="AD158" s="38">
        <v>38.14</v>
      </c>
      <c r="AE158" s="38">
        <v>41.66</v>
      </c>
      <c r="AF158" s="38">
        <v>44.43</v>
      </c>
      <c r="AG158" s="38">
        <v>46.24</v>
      </c>
      <c r="AH158" s="38">
        <v>46.35</v>
      </c>
      <c r="AI158" s="38">
        <v>44.05</v>
      </c>
      <c r="AJ158" s="38">
        <v>38.46</v>
      </c>
      <c r="AK158" s="38">
        <v>36.29</v>
      </c>
      <c r="AL158" s="38">
        <v>35.43</v>
      </c>
      <c r="AM158" s="38">
        <v>35.74</v>
      </c>
      <c r="AN158" s="38">
        <v>37.03</v>
      </c>
      <c r="AO158" s="38">
        <v>40.15</v>
      </c>
      <c r="AP158" s="38">
        <v>44.98</v>
      </c>
      <c r="AQ158" s="38">
        <v>47.09</v>
      </c>
      <c r="AR158" s="38">
        <v>47.23</v>
      </c>
      <c r="AS158" s="38">
        <v>47.1</v>
      </c>
      <c r="AT158" s="38">
        <v>44.45</v>
      </c>
      <c r="AU158" s="38">
        <v>42</v>
      </c>
      <c r="AV158" s="38">
        <v>37.82</v>
      </c>
      <c r="AW158" s="38">
        <v>37.299999999999997</v>
      </c>
      <c r="AX158" s="38">
        <v>37.11</v>
      </c>
      <c r="AY158" s="38">
        <v>37.270000000000003</v>
      </c>
      <c r="BA158" s="37">
        <v>42.98</v>
      </c>
      <c r="BB158" s="38">
        <v>1.3046</v>
      </c>
    </row>
    <row r="159" spans="1:54" x14ac:dyDescent="0.35">
      <c r="A159" s="2">
        <f t="shared" si="2"/>
        <v>44043</v>
      </c>
      <c r="B159" t="s">
        <v>201</v>
      </c>
      <c r="C159" s="32">
        <v>44043</v>
      </c>
      <c r="D159" s="38">
        <v>15.64</v>
      </c>
      <c r="E159" s="38">
        <v>18.88</v>
      </c>
      <c r="F159" s="38">
        <v>28.65</v>
      </c>
      <c r="G159" s="38">
        <v>33.630000000000003</v>
      </c>
      <c r="H159" s="38">
        <v>36.049999999999997</v>
      </c>
      <c r="I159" s="38">
        <v>36.35</v>
      </c>
      <c r="J159" s="38">
        <v>34.06</v>
      </c>
      <c r="K159" s="38">
        <v>30.17</v>
      </c>
      <c r="L159" s="38">
        <v>28.28</v>
      </c>
      <c r="M159" s="38">
        <v>26.45</v>
      </c>
      <c r="N159" s="38">
        <v>26.65</v>
      </c>
      <c r="O159" s="38">
        <v>27.1</v>
      </c>
      <c r="P159" s="38">
        <v>28.87</v>
      </c>
      <c r="Q159" s="38">
        <v>34.28</v>
      </c>
      <c r="R159" s="38">
        <v>37.549999999999997</v>
      </c>
      <c r="S159" s="38">
        <v>40.130000000000003</v>
      </c>
      <c r="T159" s="38">
        <v>43.69</v>
      </c>
      <c r="U159" s="38">
        <v>43.47</v>
      </c>
      <c r="V159" s="38">
        <v>39.78</v>
      </c>
      <c r="W159" s="38">
        <v>35.729999999999997</v>
      </c>
      <c r="X159" s="38">
        <v>34</v>
      </c>
      <c r="Y159" s="38">
        <v>33.409999999999997</v>
      </c>
      <c r="Z159" s="38">
        <v>32.65</v>
      </c>
      <c r="AA159" s="38">
        <v>33.229999999999997</v>
      </c>
      <c r="AB159" s="38">
        <v>34.22</v>
      </c>
      <c r="AC159" s="38">
        <v>37.99</v>
      </c>
      <c r="AD159" s="38">
        <v>41.51</v>
      </c>
      <c r="AE159" s="38">
        <v>44.28</v>
      </c>
      <c r="AF159" s="38">
        <v>46.09</v>
      </c>
      <c r="AG159" s="38">
        <v>46.2</v>
      </c>
      <c r="AH159" s="38">
        <v>43.9</v>
      </c>
      <c r="AI159" s="38">
        <v>38.17</v>
      </c>
      <c r="AJ159" s="38">
        <v>35.909999999999997</v>
      </c>
      <c r="AK159" s="38">
        <v>35.049999999999997</v>
      </c>
      <c r="AL159" s="38">
        <v>35.36</v>
      </c>
      <c r="AM159" s="38">
        <v>36.65</v>
      </c>
      <c r="AN159" s="38">
        <v>39.770000000000003</v>
      </c>
      <c r="AO159" s="38">
        <v>44.7</v>
      </c>
      <c r="AP159" s="38">
        <v>46.86</v>
      </c>
      <c r="AQ159" s="38">
        <v>47</v>
      </c>
      <c r="AR159" s="38">
        <v>46.87</v>
      </c>
      <c r="AS159" s="38">
        <v>44.22</v>
      </c>
      <c r="AT159" s="38">
        <v>41.77</v>
      </c>
      <c r="AU159" s="38">
        <v>37.590000000000003</v>
      </c>
      <c r="AV159" s="38">
        <v>37.07</v>
      </c>
      <c r="AW159" s="38">
        <v>36.880000000000003</v>
      </c>
      <c r="AX159" s="38">
        <v>37.04</v>
      </c>
      <c r="AY159" s="38">
        <v>37.11</v>
      </c>
      <c r="BA159" s="37">
        <v>43.13</v>
      </c>
      <c r="BB159" s="38">
        <v>1.3126</v>
      </c>
    </row>
    <row r="160" spans="1:54" x14ac:dyDescent="0.35">
      <c r="A160" s="2">
        <f t="shared" si="2"/>
        <v>44046</v>
      </c>
      <c r="B160" t="s">
        <v>202</v>
      </c>
      <c r="C160" s="32">
        <v>44046</v>
      </c>
      <c r="D160" s="38">
        <v>18.190000000000001</v>
      </c>
      <c r="E160" s="38">
        <v>20.86</v>
      </c>
      <c r="F160" s="38">
        <v>29.4</v>
      </c>
      <c r="G160" s="38">
        <v>34.049999999999997</v>
      </c>
      <c r="H160" s="38">
        <v>36.54</v>
      </c>
      <c r="I160" s="38">
        <v>36.94</v>
      </c>
      <c r="J160" s="38">
        <v>34.79</v>
      </c>
      <c r="K160" s="38">
        <v>31.02</v>
      </c>
      <c r="L160" s="38">
        <v>29.08</v>
      </c>
      <c r="M160" s="38">
        <v>27.28</v>
      </c>
      <c r="N160" s="38">
        <v>27.45</v>
      </c>
      <c r="O160" s="38">
        <v>27.81</v>
      </c>
      <c r="P160" s="38">
        <v>29.48</v>
      </c>
      <c r="Q160" s="38">
        <v>34.76</v>
      </c>
      <c r="R160" s="38">
        <v>37.880000000000003</v>
      </c>
      <c r="S160" s="38">
        <v>40.4</v>
      </c>
      <c r="T160" s="38">
        <v>43.96</v>
      </c>
      <c r="U160" s="38">
        <v>43.74</v>
      </c>
      <c r="V160" s="38">
        <v>40.090000000000003</v>
      </c>
      <c r="W160" s="38">
        <v>36.090000000000003</v>
      </c>
      <c r="X160" s="38">
        <v>34.409999999999997</v>
      </c>
      <c r="Y160" s="38">
        <v>33.880000000000003</v>
      </c>
      <c r="Z160" s="38">
        <v>33.119999999999997</v>
      </c>
      <c r="AA160" s="38">
        <v>33.700000000000003</v>
      </c>
      <c r="AB160" s="38">
        <v>34.65</v>
      </c>
      <c r="AC160" s="38">
        <v>38.369999999999997</v>
      </c>
      <c r="AD160" s="38">
        <v>41.89</v>
      </c>
      <c r="AE160" s="38">
        <v>44.66</v>
      </c>
      <c r="AF160" s="38">
        <v>46.47</v>
      </c>
      <c r="AG160" s="38">
        <v>46.58</v>
      </c>
      <c r="AH160" s="38">
        <v>44.28</v>
      </c>
      <c r="AI160" s="38">
        <v>38.549999999999997</v>
      </c>
      <c r="AJ160" s="38">
        <v>36.29</v>
      </c>
      <c r="AK160" s="38">
        <v>35.43</v>
      </c>
      <c r="AL160" s="38">
        <v>35.74</v>
      </c>
      <c r="AM160" s="38">
        <v>37.03</v>
      </c>
      <c r="AN160" s="38">
        <v>40.15</v>
      </c>
      <c r="AO160" s="38">
        <v>45.08</v>
      </c>
      <c r="AP160" s="38">
        <v>47.24</v>
      </c>
      <c r="AQ160" s="38">
        <v>47.38</v>
      </c>
      <c r="AR160" s="38">
        <v>47.25</v>
      </c>
      <c r="AS160" s="38">
        <v>44.6</v>
      </c>
      <c r="AT160" s="38">
        <v>42.15</v>
      </c>
      <c r="AU160" s="38">
        <v>37.97</v>
      </c>
      <c r="AV160" s="38">
        <v>37.450000000000003</v>
      </c>
      <c r="AW160" s="38">
        <v>37.26</v>
      </c>
      <c r="AX160" s="38">
        <v>37.42</v>
      </c>
      <c r="AY160" s="38">
        <v>37.49</v>
      </c>
      <c r="BA160" s="37">
        <v>43.76</v>
      </c>
      <c r="BB160" s="38">
        <v>1.3031999999999999</v>
      </c>
    </row>
    <row r="161" spans="1:54" x14ac:dyDescent="0.35">
      <c r="A161" s="2">
        <f t="shared" si="2"/>
        <v>44047</v>
      </c>
      <c r="B161" t="s">
        <v>203</v>
      </c>
      <c r="C161" s="32">
        <v>44047</v>
      </c>
      <c r="D161" s="38">
        <v>19.79</v>
      </c>
      <c r="E161" s="38">
        <v>22.13</v>
      </c>
      <c r="F161" s="38">
        <v>30.67</v>
      </c>
      <c r="G161" s="38">
        <v>35</v>
      </c>
      <c r="H161" s="38">
        <v>37.4</v>
      </c>
      <c r="I161" s="38">
        <v>37.65</v>
      </c>
      <c r="J161" s="38">
        <v>35.4</v>
      </c>
      <c r="K161" s="38">
        <v>31.57</v>
      </c>
      <c r="L161" s="38">
        <v>29.59</v>
      </c>
      <c r="M161" s="38">
        <v>27.77</v>
      </c>
      <c r="N161" s="38">
        <v>27.98</v>
      </c>
      <c r="O161" s="38">
        <v>28.34</v>
      </c>
      <c r="P161" s="38">
        <v>30.01</v>
      </c>
      <c r="Q161" s="38">
        <v>35.21</v>
      </c>
      <c r="R161" s="38">
        <v>38.299999999999997</v>
      </c>
      <c r="S161" s="38">
        <v>40.79</v>
      </c>
      <c r="T161" s="38">
        <v>44.35</v>
      </c>
      <c r="U161" s="38">
        <v>44.13</v>
      </c>
      <c r="V161" s="38">
        <v>40.479999999999997</v>
      </c>
      <c r="W161" s="38">
        <v>36.5</v>
      </c>
      <c r="X161" s="38">
        <v>34.83</v>
      </c>
      <c r="Y161" s="38">
        <v>34.32</v>
      </c>
      <c r="Z161" s="38">
        <v>33.58</v>
      </c>
      <c r="AA161" s="38">
        <v>34.159999999999997</v>
      </c>
      <c r="AB161" s="38">
        <v>35.11</v>
      </c>
      <c r="AC161" s="38">
        <v>38.78</v>
      </c>
      <c r="AD161" s="38">
        <v>42.3</v>
      </c>
      <c r="AE161" s="38">
        <v>45.07</v>
      </c>
      <c r="AF161" s="38">
        <v>46.88</v>
      </c>
      <c r="AG161" s="38">
        <v>46.99</v>
      </c>
      <c r="AH161" s="38">
        <v>44.69</v>
      </c>
      <c r="AI161" s="38">
        <v>38.909999999999997</v>
      </c>
      <c r="AJ161" s="38">
        <v>36.6</v>
      </c>
      <c r="AK161" s="38">
        <v>35.69</v>
      </c>
      <c r="AL161" s="38">
        <v>35.950000000000003</v>
      </c>
      <c r="AM161" s="38">
        <v>37.24</v>
      </c>
      <c r="AN161" s="38">
        <v>40.36</v>
      </c>
      <c r="AO161" s="38">
        <v>45.46</v>
      </c>
      <c r="AP161" s="38">
        <v>47.62</v>
      </c>
      <c r="AQ161" s="38">
        <v>47.76</v>
      </c>
      <c r="AR161" s="38">
        <v>47.63</v>
      </c>
      <c r="AS161" s="38">
        <v>44.98</v>
      </c>
      <c r="AT161" s="38">
        <v>42.53</v>
      </c>
      <c r="AU161" s="38">
        <v>38.35</v>
      </c>
      <c r="AV161" s="38">
        <v>37.83</v>
      </c>
      <c r="AW161" s="38">
        <v>37.64</v>
      </c>
      <c r="AX161" s="38">
        <v>37.799999999999997</v>
      </c>
      <c r="AY161" s="38">
        <v>37.869999999999997</v>
      </c>
      <c r="BA161" s="37">
        <v>43.99</v>
      </c>
      <c r="BB161" s="38">
        <v>1.3079000000000001</v>
      </c>
    </row>
    <row r="162" spans="1:54" x14ac:dyDescent="0.35">
      <c r="A162" s="2">
        <f t="shared" si="2"/>
        <v>44048</v>
      </c>
      <c r="B162" t="s">
        <v>204</v>
      </c>
      <c r="C162" s="32">
        <v>44048</v>
      </c>
      <c r="D162" s="38">
        <v>19.95</v>
      </c>
      <c r="E162" s="38">
        <v>22.5</v>
      </c>
      <c r="F162" s="38">
        <v>31.18</v>
      </c>
      <c r="G162" s="38">
        <v>35.94</v>
      </c>
      <c r="H162" s="38">
        <v>38.24</v>
      </c>
      <c r="I162" s="38">
        <v>38.49</v>
      </c>
      <c r="J162" s="38">
        <v>35.93</v>
      </c>
      <c r="K162" s="38">
        <v>32.19</v>
      </c>
      <c r="L162" s="38">
        <v>30.33</v>
      </c>
      <c r="M162" s="38">
        <v>28.64</v>
      </c>
      <c r="N162" s="38">
        <v>28.85</v>
      </c>
      <c r="O162" s="38">
        <v>29.21</v>
      </c>
      <c r="P162" s="38">
        <v>30.81</v>
      </c>
      <c r="Q162" s="38">
        <v>35.909999999999997</v>
      </c>
      <c r="R162" s="38">
        <v>38.9</v>
      </c>
      <c r="S162" s="38">
        <v>41.39</v>
      </c>
      <c r="T162" s="38">
        <v>44.95</v>
      </c>
      <c r="U162" s="38">
        <v>44.73</v>
      </c>
      <c r="V162" s="38">
        <v>41.08</v>
      </c>
      <c r="W162" s="38">
        <v>37.07</v>
      </c>
      <c r="X162" s="38">
        <v>35.369999999999997</v>
      </c>
      <c r="Y162" s="38">
        <v>34.83</v>
      </c>
      <c r="Z162" s="38">
        <v>34.06</v>
      </c>
      <c r="AA162" s="38">
        <v>34.61</v>
      </c>
      <c r="AB162" s="38">
        <v>35.53</v>
      </c>
      <c r="AC162" s="38">
        <v>39.17</v>
      </c>
      <c r="AD162" s="38">
        <v>42.66</v>
      </c>
      <c r="AE162" s="38">
        <v>45.4</v>
      </c>
      <c r="AF162" s="38">
        <v>47.18</v>
      </c>
      <c r="AG162" s="38">
        <v>47.26</v>
      </c>
      <c r="AH162" s="38">
        <v>44.84</v>
      </c>
      <c r="AI162" s="38">
        <v>39.020000000000003</v>
      </c>
      <c r="AJ162" s="38">
        <v>36.630000000000003</v>
      </c>
      <c r="AK162" s="38">
        <v>35.68</v>
      </c>
      <c r="AL162" s="38">
        <v>35.9</v>
      </c>
      <c r="AM162" s="38">
        <v>37.15</v>
      </c>
      <c r="AN162" s="38">
        <v>40.229999999999997</v>
      </c>
      <c r="AO162" s="38">
        <v>45.33</v>
      </c>
      <c r="AP162" s="38">
        <v>47.49</v>
      </c>
      <c r="AQ162" s="38">
        <v>47.63</v>
      </c>
      <c r="AR162" s="38">
        <v>47.5</v>
      </c>
      <c r="AS162" s="38">
        <v>44.85</v>
      </c>
      <c r="AT162" s="38">
        <v>42.36</v>
      </c>
      <c r="AU162" s="38">
        <v>38.130000000000003</v>
      </c>
      <c r="AV162" s="38">
        <v>37.61</v>
      </c>
      <c r="AW162" s="38">
        <v>37.42</v>
      </c>
      <c r="AX162" s="38">
        <v>37.58</v>
      </c>
      <c r="AY162" s="38">
        <v>37.65</v>
      </c>
      <c r="BA162" s="37">
        <v>44.92</v>
      </c>
      <c r="BB162" s="38">
        <v>1.3143</v>
      </c>
    </row>
    <row r="163" spans="1:54" x14ac:dyDescent="0.35">
      <c r="A163" s="2">
        <f t="shared" si="2"/>
        <v>44049</v>
      </c>
      <c r="B163" t="s">
        <v>205</v>
      </c>
      <c r="C163" s="32">
        <v>44049</v>
      </c>
      <c r="D163" s="38">
        <v>21.61</v>
      </c>
      <c r="E163" s="38">
        <v>23.77</v>
      </c>
      <c r="F163" s="38">
        <v>31.93</v>
      </c>
      <c r="G163" s="38">
        <v>36.6</v>
      </c>
      <c r="H163" s="38">
        <v>38.53</v>
      </c>
      <c r="I163" s="38">
        <v>38.85</v>
      </c>
      <c r="J163" s="38">
        <v>36.21</v>
      </c>
      <c r="K163" s="38">
        <v>32.450000000000003</v>
      </c>
      <c r="L163" s="38">
        <v>30.55</v>
      </c>
      <c r="M163" s="38">
        <v>28.86</v>
      </c>
      <c r="N163" s="38">
        <v>29.07</v>
      </c>
      <c r="O163" s="38">
        <v>29.43</v>
      </c>
      <c r="P163" s="38">
        <v>31.08</v>
      </c>
      <c r="Q163" s="38">
        <v>36.25</v>
      </c>
      <c r="R163" s="38">
        <v>39.29</v>
      </c>
      <c r="S163" s="38">
        <v>41.78</v>
      </c>
      <c r="T163" s="38">
        <v>45.34</v>
      </c>
      <c r="U163" s="38">
        <v>45.12</v>
      </c>
      <c r="V163" s="38">
        <v>41.37</v>
      </c>
      <c r="W163" s="38">
        <v>37.31</v>
      </c>
      <c r="X163" s="38">
        <v>35.56</v>
      </c>
      <c r="Y163" s="38">
        <v>35.020000000000003</v>
      </c>
      <c r="Z163" s="38">
        <v>34.25</v>
      </c>
      <c r="AA163" s="38">
        <v>34.799999999999997</v>
      </c>
      <c r="AB163" s="38">
        <v>35.69</v>
      </c>
      <c r="AC163" s="38">
        <v>39.299999999999997</v>
      </c>
      <c r="AD163" s="38">
        <v>42.76</v>
      </c>
      <c r="AE163" s="38">
        <v>45.47</v>
      </c>
      <c r="AF163" s="38">
        <v>47.22</v>
      </c>
      <c r="AG163" s="38">
        <v>47.27</v>
      </c>
      <c r="AH163" s="38">
        <v>44.82</v>
      </c>
      <c r="AI163" s="38">
        <v>39</v>
      </c>
      <c r="AJ163" s="38">
        <v>36.61</v>
      </c>
      <c r="AK163" s="38">
        <v>35.659999999999997</v>
      </c>
      <c r="AL163" s="38">
        <v>35.880000000000003</v>
      </c>
      <c r="AM163" s="38">
        <v>37.130000000000003</v>
      </c>
      <c r="AN163" s="38">
        <v>40.21</v>
      </c>
      <c r="AO163" s="38">
        <v>45.31</v>
      </c>
      <c r="AP163" s="38">
        <v>47.47</v>
      </c>
      <c r="AQ163" s="38">
        <v>47.61</v>
      </c>
      <c r="AR163" s="38">
        <v>47.48</v>
      </c>
      <c r="AS163" s="38">
        <v>44.83</v>
      </c>
      <c r="AT163" s="38">
        <v>42.34</v>
      </c>
      <c r="AU163" s="38">
        <v>38.11</v>
      </c>
      <c r="AV163" s="38">
        <v>37.590000000000003</v>
      </c>
      <c r="AW163" s="38">
        <v>37.4</v>
      </c>
      <c r="AX163" s="38">
        <v>37.56</v>
      </c>
      <c r="AY163" s="38">
        <v>37.630000000000003</v>
      </c>
      <c r="BA163" s="37">
        <v>45.04</v>
      </c>
      <c r="BB163" s="38">
        <v>1.3143</v>
      </c>
    </row>
    <row r="164" spans="1:54" x14ac:dyDescent="0.35">
      <c r="A164" s="2">
        <f t="shared" si="2"/>
        <v>44050</v>
      </c>
      <c r="B164" t="s">
        <v>206</v>
      </c>
      <c r="C164" s="32">
        <v>44050</v>
      </c>
      <c r="D164" s="38">
        <v>21.82</v>
      </c>
      <c r="E164" s="38">
        <v>24.11</v>
      </c>
      <c r="F164" s="38">
        <v>32.020000000000003</v>
      </c>
      <c r="G164" s="38">
        <v>36.5</v>
      </c>
      <c r="H164" s="38">
        <v>38.340000000000003</v>
      </c>
      <c r="I164" s="38">
        <v>38.64</v>
      </c>
      <c r="J164" s="38">
        <v>36.340000000000003</v>
      </c>
      <c r="K164" s="38">
        <v>32.86</v>
      </c>
      <c r="L164" s="38">
        <v>30.54</v>
      </c>
      <c r="M164" s="38">
        <v>28.65</v>
      </c>
      <c r="N164" s="38">
        <v>28.82</v>
      </c>
      <c r="O164" s="38">
        <v>29.13</v>
      </c>
      <c r="P164" s="38">
        <v>30.75</v>
      </c>
      <c r="Q164" s="38">
        <v>35.89</v>
      </c>
      <c r="R164" s="38">
        <v>38.880000000000003</v>
      </c>
      <c r="S164" s="38">
        <v>41.37</v>
      </c>
      <c r="T164" s="38">
        <v>44.93</v>
      </c>
      <c r="U164" s="38">
        <v>44.71</v>
      </c>
      <c r="V164" s="38">
        <v>40.909999999999997</v>
      </c>
      <c r="W164" s="38">
        <v>36.81</v>
      </c>
      <c r="X164" s="38">
        <v>35.03</v>
      </c>
      <c r="Y164" s="38">
        <v>34.49</v>
      </c>
      <c r="Z164" s="38">
        <v>33.72</v>
      </c>
      <c r="AA164" s="38">
        <v>34.299999999999997</v>
      </c>
      <c r="AB164" s="38">
        <v>35.229999999999997</v>
      </c>
      <c r="AC164" s="38">
        <v>38.869999999999997</v>
      </c>
      <c r="AD164" s="38">
        <v>42.33</v>
      </c>
      <c r="AE164" s="38">
        <v>45.04</v>
      </c>
      <c r="AF164" s="38">
        <v>46.79</v>
      </c>
      <c r="AG164" s="38">
        <v>46.84</v>
      </c>
      <c r="AH164" s="38">
        <v>44.39</v>
      </c>
      <c r="AI164" s="38">
        <v>38.53</v>
      </c>
      <c r="AJ164" s="38">
        <v>36.1</v>
      </c>
      <c r="AK164" s="38">
        <v>35.15</v>
      </c>
      <c r="AL164" s="38">
        <v>35.369999999999997</v>
      </c>
      <c r="AM164" s="38">
        <v>36.619999999999997</v>
      </c>
      <c r="AN164" s="38">
        <v>39.700000000000003</v>
      </c>
      <c r="AO164" s="38">
        <v>44.8</v>
      </c>
      <c r="AP164" s="38">
        <v>46.96</v>
      </c>
      <c r="AQ164" s="38">
        <v>47.1</v>
      </c>
      <c r="AR164" s="38">
        <v>46.97</v>
      </c>
      <c r="AS164" s="38">
        <v>44.32</v>
      </c>
      <c r="AT164" s="38">
        <v>41.83</v>
      </c>
      <c r="AU164" s="38">
        <v>37.6</v>
      </c>
      <c r="AV164" s="38">
        <v>37.08</v>
      </c>
      <c r="AW164" s="38">
        <v>36.89</v>
      </c>
      <c r="AX164" s="38">
        <v>37.049999999999997</v>
      </c>
      <c r="AY164" s="38">
        <v>37.119999999999997</v>
      </c>
      <c r="BA164" s="37">
        <v>44.07</v>
      </c>
      <c r="BB164" s="38">
        <v>1.3050999999999999</v>
      </c>
    </row>
    <row r="165" spans="1:54" x14ac:dyDescent="0.35">
      <c r="A165" s="2">
        <f t="shared" si="2"/>
        <v>44053</v>
      </c>
      <c r="B165" t="s">
        <v>207</v>
      </c>
      <c r="C165" s="32">
        <v>44053</v>
      </c>
      <c r="D165" s="38">
        <v>20.9</v>
      </c>
      <c r="E165" s="38">
        <v>23.37</v>
      </c>
      <c r="F165" s="38">
        <v>31.06</v>
      </c>
      <c r="G165" s="38">
        <v>35.82</v>
      </c>
      <c r="H165" s="38">
        <v>37.92</v>
      </c>
      <c r="I165" s="38">
        <v>38.22</v>
      </c>
      <c r="J165" s="38">
        <v>36.020000000000003</v>
      </c>
      <c r="K165" s="38">
        <v>32.340000000000003</v>
      </c>
      <c r="L165" s="38">
        <v>30.02</v>
      </c>
      <c r="M165" s="38">
        <v>28.13</v>
      </c>
      <c r="N165" s="38">
        <v>28.58</v>
      </c>
      <c r="O165" s="38">
        <v>28.93</v>
      </c>
      <c r="P165" s="38">
        <v>30.61</v>
      </c>
      <c r="Q165" s="38">
        <v>35.78</v>
      </c>
      <c r="R165" s="38">
        <v>38.770000000000003</v>
      </c>
      <c r="S165" s="38">
        <v>41.26</v>
      </c>
      <c r="T165" s="38">
        <v>44.82</v>
      </c>
      <c r="U165" s="38">
        <v>44.6</v>
      </c>
      <c r="V165" s="38">
        <v>40.799999999999997</v>
      </c>
      <c r="W165" s="38">
        <v>36.770000000000003</v>
      </c>
      <c r="X165" s="38">
        <v>35.03</v>
      </c>
      <c r="Y165" s="38">
        <v>34.49</v>
      </c>
      <c r="Z165" s="38">
        <v>33.72</v>
      </c>
      <c r="AA165" s="38">
        <v>34.299999999999997</v>
      </c>
      <c r="AB165" s="38">
        <v>35.229999999999997</v>
      </c>
      <c r="AC165" s="38">
        <v>38.869999999999997</v>
      </c>
      <c r="AD165" s="38">
        <v>42.33</v>
      </c>
      <c r="AE165" s="38">
        <v>45.04</v>
      </c>
      <c r="AF165" s="38">
        <v>46.79</v>
      </c>
      <c r="AG165" s="38">
        <v>46.84</v>
      </c>
      <c r="AH165" s="38">
        <v>44.39</v>
      </c>
      <c r="AI165" s="38">
        <v>38.44</v>
      </c>
      <c r="AJ165" s="38">
        <v>36.01</v>
      </c>
      <c r="AK165" s="38">
        <v>35.06</v>
      </c>
      <c r="AL165" s="38">
        <v>35.28</v>
      </c>
      <c r="AM165" s="38">
        <v>36.53</v>
      </c>
      <c r="AN165" s="38">
        <v>39.61</v>
      </c>
      <c r="AO165" s="38">
        <v>44.84</v>
      </c>
      <c r="AP165" s="38">
        <v>47.09</v>
      </c>
      <c r="AQ165" s="38">
        <v>47.23</v>
      </c>
      <c r="AR165" s="38">
        <v>47.1</v>
      </c>
      <c r="AS165" s="38">
        <v>44.45</v>
      </c>
      <c r="AT165" s="38">
        <v>41.96</v>
      </c>
      <c r="AU165" s="38">
        <v>37.729999999999997</v>
      </c>
      <c r="AV165" s="38">
        <v>37.21</v>
      </c>
      <c r="AW165" s="38">
        <v>37.020000000000003</v>
      </c>
      <c r="AX165" s="38">
        <v>37.18</v>
      </c>
      <c r="AY165" s="38">
        <v>37.25</v>
      </c>
      <c r="BA165" s="37">
        <v>44.19</v>
      </c>
      <c r="BB165" s="38">
        <v>1.3089</v>
      </c>
    </row>
    <row r="166" spans="1:54" x14ac:dyDescent="0.35">
      <c r="A166" s="2">
        <f t="shared" si="2"/>
        <v>44054</v>
      </c>
      <c r="B166" t="s">
        <v>208</v>
      </c>
      <c r="C166" s="32">
        <v>44054</v>
      </c>
      <c r="D166" s="38">
        <v>20.57</v>
      </c>
      <c r="E166" s="38">
        <v>23.11</v>
      </c>
      <c r="F166" s="38">
        <v>31.16</v>
      </c>
      <c r="G166" s="38">
        <v>36.44</v>
      </c>
      <c r="H166" s="38">
        <v>38.19</v>
      </c>
      <c r="I166" s="38">
        <v>38.54</v>
      </c>
      <c r="J166" s="38">
        <v>36.29</v>
      </c>
      <c r="K166" s="38">
        <v>32.520000000000003</v>
      </c>
      <c r="L166" s="38">
        <v>30.12</v>
      </c>
      <c r="M166" s="38">
        <v>28.23</v>
      </c>
      <c r="N166" s="38">
        <v>28.68</v>
      </c>
      <c r="O166" s="38">
        <v>28.99</v>
      </c>
      <c r="P166" s="38">
        <v>30.67</v>
      </c>
      <c r="Q166" s="38">
        <v>35.93</v>
      </c>
      <c r="R166" s="38">
        <v>38.99</v>
      </c>
      <c r="S166" s="38">
        <v>41.48</v>
      </c>
      <c r="T166" s="38">
        <v>45.04</v>
      </c>
      <c r="U166" s="38">
        <v>44.82</v>
      </c>
      <c r="V166" s="38">
        <v>41.02</v>
      </c>
      <c r="W166" s="38">
        <v>36.909999999999997</v>
      </c>
      <c r="X166" s="38">
        <v>35.17</v>
      </c>
      <c r="Y166" s="38">
        <v>34.630000000000003</v>
      </c>
      <c r="Z166" s="38">
        <v>33.86</v>
      </c>
      <c r="AA166" s="38">
        <v>34.44</v>
      </c>
      <c r="AB166" s="38">
        <v>35.369999999999997</v>
      </c>
      <c r="AC166" s="38">
        <v>38.92</v>
      </c>
      <c r="AD166" s="38">
        <v>42.38</v>
      </c>
      <c r="AE166" s="38">
        <v>45.09</v>
      </c>
      <c r="AF166" s="38">
        <v>46.84</v>
      </c>
      <c r="AG166" s="38">
        <v>46.89</v>
      </c>
      <c r="AH166" s="38">
        <v>44.44</v>
      </c>
      <c r="AI166" s="38">
        <v>38.49</v>
      </c>
      <c r="AJ166" s="38">
        <v>36.06</v>
      </c>
      <c r="AK166" s="38">
        <v>35.11</v>
      </c>
      <c r="AL166" s="38">
        <v>35.33</v>
      </c>
      <c r="AM166" s="38">
        <v>36.58</v>
      </c>
      <c r="AN166" s="38">
        <v>39.659999999999997</v>
      </c>
      <c r="AO166" s="38">
        <v>44.77</v>
      </c>
      <c r="AP166" s="38">
        <v>47.02</v>
      </c>
      <c r="AQ166" s="38">
        <v>47.16</v>
      </c>
      <c r="AR166" s="38">
        <v>47.03</v>
      </c>
      <c r="AS166" s="38">
        <v>44.38</v>
      </c>
      <c r="AT166" s="38">
        <v>41.89</v>
      </c>
      <c r="AU166" s="38">
        <v>37.659999999999997</v>
      </c>
      <c r="AV166" s="38">
        <v>37.14</v>
      </c>
      <c r="AW166" s="38">
        <v>36.950000000000003</v>
      </c>
      <c r="AX166" s="38">
        <v>37.11</v>
      </c>
      <c r="AY166" s="38">
        <v>37.18</v>
      </c>
      <c r="BA166" s="37">
        <v>43.68</v>
      </c>
      <c r="BB166" s="38">
        <v>1.3087</v>
      </c>
    </row>
    <row r="167" spans="1:54" x14ac:dyDescent="0.35">
      <c r="A167" s="2">
        <f t="shared" si="2"/>
        <v>44055</v>
      </c>
      <c r="B167" t="s">
        <v>209</v>
      </c>
      <c r="C167" s="32">
        <v>44055</v>
      </c>
      <c r="D167" s="38">
        <v>20.149999999999999</v>
      </c>
      <c r="E167" s="38">
        <v>22.65</v>
      </c>
      <c r="F167" s="38">
        <v>31.29</v>
      </c>
      <c r="G167" s="38">
        <v>36.4</v>
      </c>
      <c r="H167" s="38">
        <v>38.24</v>
      </c>
      <c r="I167" s="38">
        <v>38.549999999999997</v>
      </c>
      <c r="J167" s="38">
        <v>36.25</v>
      </c>
      <c r="K167" s="38">
        <v>32.53</v>
      </c>
      <c r="L167" s="38">
        <v>30.13</v>
      </c>
      <c r="M167" s="38">
        <v>28.24</v>
      </c>
      <c r="N167" s="38">
        <v>28.69</v>
      </c>
      <c r="O167" s="38">
        <v>29</v>
      </c>
      <c r="P167" s="38">
        <v>30.68</v>
      </c>
      <c r="Q167" s="38">
        <v>35.92</v>
      </c>
      <c r="R167" s="38">
        <v>39.03</v>
      </c>
      <c r="S167" s="38">
        <v>41.52</v>
      </c>
      <c r="T167" s="38">
        <v>45.08</v>
      </c>
      <c r="U167" s="38">
        <v>44.86</v>
      </c>
      <c r="V167" s="38">
        <v>41.06</v>
      </c>
      <c r="W167" s="38">
        <v>36.950000000000003</v>
      </c>
      <c r="X167" s="38">
        <v>35.21</v>
      </c>
      <c r="Y167" s="38">
        <v>34.67</v>
      </c>
      <c r="Z167" s="38">
        <v>33.9</v>
      </c>
      <c r="AA167" s="38">
        <v>34.479999999999997</v>
      </c>
      <c r="AB167" s="38">
        <v>35.409999999999997</v>
      </c>
      <c r="AC167" s="38">
        <v>38.96</v>
      </c>
      <c r="AD167" s="38">
        <v>42.42</v>
      </c>
      <c r="AE167" s="38">
        <v>45.13</v>
      </c>
      <c r="AF167" s="38">
        <v>46.88</v>
      </c>
      <c r="AG167" s="38">
        <v>46.93</v>
      </c>
      <c r="AH167" s="38">
        <v>44.48</v>
      </c>
      <c r="AI167" s="38">
        <v>38.53</v>
      </c>
      <c r="AJ167" s="38">
        <v>36.1</v>
      </c>
      <c r="AK167" s="38">
        <v>35.15</v>
      </c>
      <c r="AL167" s="38">
        <v>35.369999999999997</v>
      </c>
      <c r="AM167" s="38">
        <v>36.619999999999997</v>
      </c>
      <c r="AN167" s="38">
        <v>39.700000000000003</v>
      </c>
      <c r="AO167" s="38">
        <v>44.81</v>
      </c>
      <c r="AP167" s="38">
        <v>47.06</v>
      </c>
      <c r="AQ167" s="38">
        <v>47.2</v>
      </c>
      <c r="AR167" s="38">
        <v>47.07</v>
      </c>
      <c r="AS167" s="38">
        <v>44.42</v>
      </c>
      <c r="AT167" s="38">
        <v>41.93</v>
      </c>
      <c r="AU167" s="38">
        <v>37.700000000000003</v>
      </c>
      <c r="AV167" s="38">
        <v>37.18</v>
      </c>
      <c r="AW167" s="38">
        <v>36.99</v>
      </c>
      <c r="AX167" s="38">
        <v>37.15</v>
      </c>
      <c r="AY167" s="38">
        <v>37.22</v>
      </c>
      <c r="BA167" s="37">
        <v>45.09</v>
      </c>
      <c r="BB167" s="38">
        <v>1.3058000000000001</v>
      </c>
    </row>
    <row r="168" spans="1:54" x14ac:dyDescent="0.35">
      <c r="A168" s="2">
        <f t="shared" si="2"/>
        <v>44056</v>
      </c>
      <c r="B168" t="s">
        <v>210</v>
      </c>
      <c r="C168" s="32">
        <v>44056</v>
      </c>
      <c r="D168" s="38">
        <v>20.309999999999999</v>
      </c>
      <c r="E168" s="38">
        <v>23.18</v>
      </c>
      <c r="F168" s="38">
        <v>31.83</v>
      </c>
      <c r="G168" s="38">
        <v>36.82</v>
      </c>
      <c r="H168" s="38">
        <v>38.53</v>
      </c>
      <c r="I168" s="38">
        <v>38.81</v>
      </c>
      <c r="J168" s="38">
        <v>36.58</v>
      </c>
      <c r="K168" s="38">
        <v>32.72</v>
      </c>
      <c r="L168" s="38">
        <v>30.45</v>
      </c>
      <c r="M168" s="38">
        <v>28.56</v>
      </c>
      <c r="N168" s="38">
        <v>29.01</v>
      </c>
      <c r="O168" s="38">
        <v>29.32</v>
      </c>
      <c r="P168" s="38">
        <v>31.02</v>
      </c>
      <c r="Q168" s="38">
        <v>36.01</v>
      </c>
      <c r="R168" s="38">
        <v>39.06</v>
      </c>
      <c r="S168" s="38">
        <v>41.55</v>
      </c>
      <c r="T168" s="38">
        <v>45.11</v>
      </c>
      <c r="U168" s="38">
        <v>44.89</v>
      </c>
      <c r="V168" s="38">
        <v>41.09</v>
      </c>
      <c r="W168" s="38">
        <v>36.89</v>
      </c>
      <c r="X168" s="38">
        <v>35.15</v>
      </c>
      <c r="Y168" s="38">
        <v>34.61</v>
      </c>
      <c r="Z168" s="38">
        <v>33.840000000000003</v>
      </c>
      <c r="AA168" s="38">
        <v>34.42</v>
      </c>
      <c r="AB168" s="38">
        <v>35.35</v>
      </c>
      <c r="AC168" s="38">
        <v>38.869999999999997</v>
      </c>
      <c r="AD168" s="38">
        <v>42.33</v>
      </c>
      <c r="AE168" s="38">
        <v>45.04</v>
      </c>
      <c r="AF168" s="38">
        <v>46.79</v>
      </c>
      <c r="AG168" s="38">
        <v>46.84</v>
      </c>
      <c r="AH168" s="38">
        <v>44.39</v>
      </c>
      <c r="AI168" s="38">
        <v>38.44</v>
      </c>
      <c r="AJ168" s="38">
        <v>36.06</v>
      </c>
      <c r="AK168" s="38">
        <v>35.159999999999997</v>
      </c>
      <c r="AL168" s="38">
        <v>35.409999999999997</v>
      </c>
      <c r="AM168" s="38">
        <v>36.659999999999997</v>
      </c>
      <c r="AN168" s="38">
        <v>39.74</v>
      </c>
      <c r="AO168" s="38">
        <v>44.79</v>
      </c>
      <c r="AP168" s="38">
        <v>47</v>
      </c>
      <c r="AQ168" s="38">
        <v>47.09</v>
      </c>
      <c r="AR168" s="38">
        <v>46.96</v>
      </c>
      <c r="AS168" s="38">
        <v>44.31</v>
      </c>
      <c r="AT168" s="38">
        <v>41.82</v>
      </c>
      <c r="AU168" s="38">
        <v>37.590000000000003</v>
      </c>
      <c r="AV168" s="38">
        <v>37.07</v>
      </c>
      <c r="AW168" s="38">
        <v>36.880000000000003</v>
      </c>
      <c r="AX168" s="38">
        <v>37.04</v>
      </c>
      <c r="AY168" s="38">
        <v>37.11</v>
      </c>
      <c r="BA168" s="37">
        <v>44.87</v>
      </c>
      <c r="BB168" s="38">
        <v>1.3096000000000001</v>
      </c>
    </row>
    <row r="169" spans="1:54" x14ac:dyDescent="0.35">
      <c r="A169" s="2">
        <f t="shared" si="2"/>
        <v>44057</v>
      </c>
      <c r="B169" t="s">
        <v>211</v>
      </c>
      <c r="C169" s="32">
        <v>44057</v>
      </c>
      <c r="D169" s="38">
        <v>22.01</v>
      </c>
      <c r="E169" s="38">
        <v>24.83</v>
      </c>
      <c r="F169" s="38">
        <v>33.409999999999997</v>
      </c>
      <c r="G169" s="38">
        <v>38.020000000000003</v>
      </c>
      <c r="H169" s="38">
        <v>39.1</v>
      </c>
      <c r="I169" s="38">
        <v>39.43</v>
      </c>
      <c r="J169" s="38">
        <v>37.299999999999997</v>
      </c>
      <c r="K169" s="38">
        <v>33.44</v>
      </c>
      <c r="L169" s="38">
        <v>31.09</v>
      </c>
      <c r="M169" s="38">
        <v>29.1</v>
      </c>
      <c r="N169" s="38">
        <v>29.55</v>
      </c>
      <c r="O169" s="38">
        <v>29.86</v>
      </c>
      <c r="P169" s="38">
        <v>31.66</v>
      </c>
      <c r="Q169" s="38">
        <v>36.409999999999997</v>
      </c>
      <c r="R169" s="38">
        <v>39.31</v>
      </c>
      <c r="S169" s="38">
        <v>41.71</v>
      </c>
      <c r="T169" s="38">
        <v>45.27</v>
      </c>
      <c r="U169" s="38">
        <v>45.05</v>
      </c>
      <c r="V169" s="38">
        <v>41.25</v>
      </c>
      <c r="W169" s="38">
        <v>36.93</v>
      </c>
      <c r="X169" s="38">
        <v>35.1</v>
      </c>
      <c r="Y169" s="38">
        <v>34.56</v>
      </c>
      <c r="Z169" s="38">
        <v>33.79</v>
      </c>
      <c r="AA169" s="38">
        <v>34.369999999999997</v>
      </c>
      <c r="AB169" s="38">
        <v>35.299999999999997</v>
      </c>
      <c r="AC169" s="38">
        <v>38.96</v>
      </c>
      <c r="AD169" s="38">
        <v>42.42</v>
      </c>
      <c r="AE169" s="38">
        <v>45.13</v>
      </c>
      <c r="AF169" s="38">
        <v>46.88</v>
      </c>
      <c r="AG169" s="38">
        <v>46.93</v>
      </c>
      <c r="AH169" s="38">
        <v>44.48</v>
      </c>
      <c r="AI169" s="38">
        <v>38.380000000000003</v>
      </c>
      <c r="AJ169" s="38">
        <v>35.85</v>
      </c>
      <c r="AK169" s="38">
        <v>34.86</v>
      </c>
      <c r="AL169" s="38">
        <v>35.11</v>
      </c>
      <c r="AM169" s="38">
        <v>36.36</v>
      </c>
      <c r="AN169" s="38">
        <v>39.44</v>
      </c>
      <c r="AO169" s="38">
        <v>44.49</v>
      </c>
      <c r="AP169" s="38">
        <v>46.7</v>
      </c>
      <c r="AQ169" s="38">
        <v>46.79</v>
      </c>
      <c r="AR169" s="38">
        <v>46.66</v>
      </c>
      <c r="AS169" s="38">
        <v>44.01</v>
      </c>
      <c r="AT169" s="38">
        <v>41.52</v>
      </c>
      <c r="AU169" s="38">
        <v>37.29</v>
      </c>
      <c r="AV169" s="38">
        <v>36.770000000000003</v>
      </c>
      <c r="AW169" s="38">
        <v>36.58</v>
      </c>
      <c r="AX169" s="38">
        <v>36.74</v>
      </c>
      <c r="AY169" s="38">
        <v>36.81</v>
      </c>
      <c r="BA169" s="37">
        <v>44.86</v>
      </c>
      <c r="BB169" s="38">
        <v>1.3109999999999999</v>
      </c>
    </row>
    <row r="170" spans="1:54" x14ac:dyDescent="0.35">
      <c r="A170" s="2">
        <f t="shared" si="2"/>
        <v>44060</v>
      </c>
      <c r="B170" t="s">
        <v>212</v>
      </c>
      <c r="C170" s="32">
        <v>44060</v>
      </c>
      <c r="D170" s="38">
        <v>22.48</v>
      </c>
      <c r="E170" s="38">
        <v>25.11</v>
      </c>
      <c r="F170" s="38">
        <v>33.75</v>
      </c>
      <c r="G170" s="38">
        <v>38.19</v>
      </c>
      <c r="H170" s="38">
        <v>39.49</v>
      </c>
      <c r="I170" s="38">
        <v>39.75</v>
      </c>
      <c r="J170" s="38">
        <v>37.4</v>
      </c>
      <c r="K170" s="38">
        <v>33.4</v>
      </c>
      <c r="L170" s="38">
        <v>30.98</v>
      </c>
      <c r="M170" s="38">
        <v>28.98</v>
      </c>
      <c r="N170" s="38">
        <v>29.43</v>
      </c>
      <c r="O170" s="38">
        <v>29.74</v>
      </c>
      <c r="P170" s="38">
        <v>31.55</v>
      </c>
      <c r="Q170" s="38">
        <v>36.340000000000003</v>
      </c>
      <c r="R170" s="38">
        <v>39.28</v>
      </c>
      <c r="S170" s="38">
        <v>41.68</v>
      </c>
      <c r="T170" s="38">
        <v>45.2</v>
      </c>
      <c r="U170" s="38">
        <v>44.98</v>
      </c>
      <c r="V170" s="38">
        <v>41.06</v>
      </c>
      <c r="W170" s="38">
        <v>36.630000000000003</v>
      </c>
      <c r="X170" s="38">
        <v>34.79</v>
      </c>
      <c r="Y170" s="38">
        <v>34.25</v>
      </c>
      <c r="Z170" s="38">
        <v>33.479999999999997</v>
      </c>
      <c r="AA170" s="38">
        <v>34.06</v>
      </c>
      <c r="AB170" s="38">
        <v>35.07</v>
      </c>
      <c r="AC170" s="38">
        <v>38.81</v>
      </c>
      <c r="AD170" s="38">
        <v>42.27</v>
      </c>
      <c r="AE170" s="38">
        <v>44.98</v>
      </c>
      <c r="AF170" s="38">
        <v>46.73</v>
      </c>
      <c r="AG170" s="38">
        <v>46.78</v>
      </c>
      <c r="AH170" s="38">
        <v>44.33</v>
      </c>
      <c r="AI170" s="38">
        <v>38.229999999999997</v>
      </c>
      <c r="AJ170" s="38">
        <v>35.700000000000003</v>
      </c>
      <c r="AK170" s="38">
        <v>34.71</v>
      </c>
      <c r="AL170" s="38">
        <v>34.96</v>
      </c>
      <c r="AM170" s="38">
        <v>36.21</v>
      </c>
      <c r="AN170" s="38">
        <v>39.29</v>
      </c>
      <c r="AO170" s="38">
        <v>44.31</v>
      </c>
      <c r="AP170" s="38">
        <v>46.43</v>
      </c>
      <c r="AQ170" s="38">
        <v>46.52</v>
      </c>
      <c r="AR170" s="38">
        <v>46.39</v>
      </c>
      <c r="AS170" s="38">
        <v>43.74</v>
      </c>
      <c r="AT170" s="38">
        <v>41.25</v>
      </c>
      <c r="AU170" s="38">
        <v>37.020000000000003</v>
      </c>
      <c r="AV170" s="38">
        <v>36.5</v>
      </c>
      <c r="AW170" s="38">
        <v>36.31</v>
      </c>
      <c r="AX170" s="38">
        <v>36.47</v>
      </c>
      <c r="AY170" s="38">
        <v>36.54</v>
      </c>
      <c r="BA170" s="37">
        <v>44.91</v>
      </c>
      <c r="BB170" s="38">
        <v>1.3099000000000001</v>
      </c>
    </row>
    <row r="171" spans="1:54" x14ac:dyDescent="0.35">
      <c r="A171" s="2">
        <f t="shared" si="2"/>
        <v>44061</v>
      </c>
      <c r="B171" t="s">
        <v>213</v>
      </c>
      <c r="C171" s="32">
        <v>44061</v>
      </c>
      <c r="D171" s="38">
        <v>23.51</v>
      </c>
      <c r="E171" s="38">
        <v>26.04</v>
      </c>
      <c r="F171" s="38">
        <v>34.6</v>
      </c>
      <c r="G171" s="38">
        <v>38.49</v>
      </c>
      <c r="H171" s="38">
        <v>39.770000000000003</v>
      </c>
      <c r="I171" s="38">
        <v>40.020000000000003</v>
      </c>
      <c r="J171" s="38">
        <v>37.72</v>
      </c>
      <c r="K171" s="38">
        <v>33.82</v>
      </c>
      <c r="L171" s="38">
        <v>31.39</v>
      </c>
      <c r="M171" s="38">
        <v>29.35</v>
      </c>
      <c r="N171" s="38">
        <v>29.77</v>
      </c>
      <c r="O171" s="38">
        <v>30.06</v>
      </c>
      <c r="P171" s="38">
        <v>31.85</v>
      </c>
      <c r="Q171" s="38">
        <v>36.590000000000003</v>
      </c>
      <c r="R171" s="38">
        <v>39.520000000000003</v>
      </c>
      <c r="S171" s="38">
        <v>41.92</v>
      </c>
      <c r="T171" s="38">
        <v>45.44</v>
      </c>
      <c r="U171" s="38">
        <v>45.22</v>
      </c>
      <c r="V171" s="38">
        <v>41.3</v>
      </c>
      <c r="W171" s="38">
        <v>36.880000000000003</v>
      </c>
      <c r="X171" s="38">
        <v>35.04</v>
      </c>
      <c r="Y171" s="38">
        <v>34.5</v>
      </c>
      <c r="Z171" s="38">
        <v>33.71</v>
      </c>
      <c r="AA171" s="38">
        <v>34.270000000000003</v>
      </c>
      <c r="AB171" s="38">
        <v>35.25</v>
      </c>
      <c r="AC171" s="38">
        <v>38.99</v>
      </c>
      <c r="AD171" s="38">
        <v>42.45</v>
      </c>
      <c r="AE171" s="38">
        <v>45.16</v>
      </c>
      <c r="AF171" s="38">
        <v>46.91</v>
      </c>
      <c r="AG171" s="38">
        <v>46.96</v>
      </c>
      <c r="AH171" s="38">
        <v>44.51</v>
      </c>
      <c r="AI171" s="38">
        <v>38.42</v>
      </c>
      <c r="AJ171" s="38">
        <v>35.869999999999997</v>
      </c>
      <c r="AK171" s="38">
        <v>34.86</v>
      </c>
      <c r="AL171" s="38">
        <v>35.090000000000003</v>
      </c>
      <c r="AM171" s="38">
        <v>36.299999999999997</v>
      </c>
      <c r="AN171" s="38">
        <v>39.340000000000003</v>
      </c>
      <c r="AO171" s="38">
        <v>44.33</v>
      </c>
      <c r="AP171" s="38">
        <v>46.42</v>
      </c>
      <c r="AQ171" s="38">
        <v>46.48</v>
      </c>
      <c r="AR171" s="38">
        <v>46.32</v>
      </c>
      <c r="AS171" s="38">
        <v>43.64</v>
      </c>
      <c r="AT171" s="38">
        <v>41.12</v>
      </c>
      <c r="AU171" s="38">
        <v>36.89</v>
      </c>
      <c r="AV171" s="38">
        <v>36.369999999999997</v>
      </c>
      <c r="AW171" s="38">
        <v>36.18</v>
      </c>
      <c r="AX171" s="38">
        <v>36.340000000000003</v>
      </c>
      <c r="AY171" s="38">
        <v>36.409999999999997</v>
      </c>
      <c r="BA171" s="37">
        <v>45.34</v>
      </c>
      <c r="BB171" s="38">
        <v>1.3223</v>
      </c>
    </row>
    <row r="172" spans="1:54" x14ac:dyDescent="0.35">
      <c r="A172" s="2">
        <f t="shared" si="2"/>
        <v>44062</v>
      </c>
      <c r="B172" t="s">
        <v>214</v>
      </c>
      <c r="C172" s="32">
        <v>44062</v>
      </c>
      <c r="D172" s="38">
        <v>22.99</v>
      </c>
      <c r="E172" s="38">
        <v>25.6</v>
      </c>
      <c r="F172" s="38">
        <v>34.32</v>
      </c>
      <c r="G172" s="38">
        <v>38.74</v>
      </c>
      <c r="H172" s="38">
        <v>40.17</v>
      </c>
      <c r="I172" s="38">
        <v>40.4</v>
      </c>
      <c r="J172" s="38">
        <v>38</v>
      </c>
      <c r="K172" s="38">
        <v>34.049999999999997</v>
      </c>
      <c r="L172" s="38">
        <v>31.69</v>
      </c>
      <c r="M172" s="38">
        <v>29.65</v>
      </c>
      <c r="N172" s="38">
        <v>30.07</v>
      </c>
      <c r="O172" s="38">
        <v>30.36</v>
      </c>
      <c r="P172" s="38">
        <v>31.91</v>
      </c>
      <c r="Q172" s="38">
        <v>36.57</v>
      </c>
      <c r="R172" s="38">
        <v>39.5</v>
      </c>
      <c r="S172" s="38">
        <v>41.9</v>
      </c>
      <c r="T172" s="38">
        <v>45.5</v>
      </c>
      <c r="U172" s="38">
        <v>45.29</v>
      </c>
      <c r="V172" s="38">
        <v>41.37</v>
      </c>
      <c r="W172" s="38">
        <v>36.94</v>
      </c>
      <c r="X172" s="38">
        <v>35.1</v>
      </c>
      <c r="Y172" s="38">
        <v>34.56</v>
      </c>
      <c r="Z172" s="38">
        <v>33.81</v>
      </c>
      <c r="AA172" s="38">
        <v>34.39</v>
      </c>
      <c r="AB172" s="38">
        <v>35.4</v>
      </c>
      <c r="AC172" s="38">
        <v>39.119999999999997</v>
      </c>
      <c r="AD172" s="38">
        <v>42.58</v>
      </c>
      <c r="AE172" s="38">
        <v>45.29</v>
      </c>
      <c r="AF172" s="38">
        <v>47.04</v>
      </c>
      <c r="AG172" s="38">
        <v>47.09</v>
      </c>
      <c r="AH172" s="38">
        <v>44.64</v>
      </c>
      <c r="AI172" s="38">
        <v>38.630000000000003</v>
      </c>
      <c r="AJ172" s="38">
        <v>36.08</v>
      </c>
      <c r="AK172" s="38">
        <v>35.020000000000003</v>
      </c>
      <c r="AL172" s="38">
        <v>35.200000000000003</v>
      </c>
      <c r="AM172" s="38">
        <v>36.36</v>
      </c>
      <c r="AN172" s="38">
        <v>39.26</v>
      </c>
      <c r="AO172" s="38">
        <v>44.17</v>
      </c>
      <c r="AP172" s="38">
        <v>46.26</v>
      </c>
      <c r="AQ172" s="38">
        <v>46.32</v>
      </c>
      <c r="AR172" s="38">
        <v>46.16</v>
      </c>
      <c r="AS172" s="38">
        <v>43.48</v>
      </c>
      <c r="AT172" s="38">
        <v>41.08</v>
      </c>
      <c r="AU172" s="38">
        <v>37.08</v>
      </c>
      <c r="AV172" s="38">
        <v>36.71</v>
      </c>
      <c r="AW172" s="38">
        <v>36.520000000000003</v>
      </c>
      <c r="AX172" s="38">
        <v>36.68</v>
      </c>
      <c r="AY172" s="38">
        <v>36.75</v>
      </c>
      <c r="BA172" s="37">
        <v>45.21</v>
      </c>
      <c r="BB172" s="38">
        <v>1.3182</v>
      </c>
    </row>
    <row r="173" spans="1:54" x14ac:dyDescent="0.35">
      <c r="A173" s="2">
        <f t="shared" si="2"/>
        <v>44063</v>
      </c>
      <c r="B173" t="s">
        <v>215</v>
      </c>
      <c r="C173" s="32">
        <v>44063</v>
      </c>
      <c r="D173" s="38">
        <v>22.58</v>
      </c>
      <c r="E173" s="38">
        <v>25.35</v>
      </c>
      <c r="F173" s="38">
        <v>34.33</v>
      </c>
      <c r="G173" s="38">
        <v>38.44</v>
      </c>
      <c r="H173" s="38">
        <v>40.159999999999997</v>
      </c>
      <c r="I173" s="38">
        <v>40.4</v>
      </c>
      <c r="J173" s="38">
        <v>37.85</v>
      </c>
      <c r="K173" s="38">
        <v>33.96</v>
      </c>
      <c r="L173" s="38">
        <v>31.71</v>
      </c>
      <c r="M173" s="38">
        <v>29.78</v>
      </c>
      <c r="N173" s="38">
        <v>30.16</v>
      </c>
      <c r="O173" s="38">
        <v>30.41</v>
      </c>
      <c r="P173" s="38">
        <v>31.9</v>
      </c>
      <c r="Q173" s="38">
        <v>36.56</v>
      </c>
      <c r="R173" s="38">
        <v>39.49</v>
      </c>
      <c r="S173" s="38">
        <v>41.88</v>
      </c>
      <c r="T173" s="38">
        <v>45.45</v>
      </c>
      <c r="U173" s="38">
        <v>45.24</v>
      </c>
      <c r="V173" s="38">
        <v>41.32</v>
      </c>
      <c r="W173" s="38">
        <v>36.81</v>
      </c>
      <c r="X173" s="38">
        <v>34.909999999999997</v>
      </c>
      <c r="Y173" s="38">
        <v>34.369999999999997</v>
      </c>
      <c r="Z173" s="38">
        <v>33.619999999999997</v>
      </c>
      <c r="AA173" s="38">
        <v>34.200000000000003</v>
      </c>
      <c r="AB173" s="38">
        <v>35.21</v>
      </c>
      <c r="AC173" s="38">
        <v>38.93</v>
      </c>
      <c r="AD173" s="38">
        <v>42.39</v>
      </c>
      <c r="AE173" s="38">
        <v>45.1</v>
      </c>
      <c r="AF173" s="38">
        <v>46.85</v>
      </c>
      <c r="AG173" s="38">
        <v>46.9</v>
      </c>
      <c r="AH173" s="38">
        <v>44.41</v>
      </c>
      <c r="AI173" s="38">
        <v>38.36</v>
      </c>
      <c r="AJ173" s="38">
        <v>35.81</v>
      </c>
      <c r="AK173" s="38">
        <v>34.75</v>
      </c>
      <c r="AL173" s="38">
        <v>34.93</v>
      </c>
      <c r="AM173" s="38">
        <v>36.090000000000003</v>
      </c>
      <c r="AN173" s="38">
        <v>38.99</v>
      </c>
      <c r="AO173" s="38">
        <v>43.9</v>
      </c>
      <c r="AP173" s="38">
        <v>45.99</v>
      </c>
      <c r="AQ173" s="38">
        <v>46.05</v>
      </c>
      <c r="AR173" s="38">
        <v>45.89</v>
      </c>
      <c r="AS173" s="38">
        <v>43.21</v>
      </c>
      <c r="AT173" s="38">
        <v>40.81</v>
      </c>
      <c r="AU173" s="38">
        <v>36.81</v>
      </c>
      <c r="AV173" s="38">
        <v>36.44</v>
      </c>
      <c r="AW173" s="38">
        <v>36.25</v>
      </c>
      <c r="AX173" s="38">
        <v>36.409999999999997</v>
      </c>
      <c r="AY173" s="38">
        <v>36.479999999999997</v>
      </c>
      <c r="BA173" s="37">
        <v>44.56</v>
      </c>
      <c r="BB173" s="38">
        <v>1.3144</v>
      </c>
    </row>
    <row r="174" spans="1:54" x14ac:dyDescent="0.35">
      <c r="A174" s="2">
        <f t="shared" si="2"/>
        <v>44064</v>
      </c>
      <c r="B174" t="s">
        <v>216</v>
      </c>
      <c r="C174" s="32">
        <v>44064</v>
      </c>
      <c r="D174" s="38">
        <v>21.05</v>
      </c>
      <c r="E174" s="38">
        <v>23.78</v>
      </c>
      <c r="F174" s="38">
        <v>33.380000000000003</v>
      </c>
      <c r="G174" s="38">
        <v>37.6</v>
      </c>
      <c r="H174" s="38">
        <v>39.090000000000003</v>
      </c>
      <c r="I174" s="38">
        <v>39.380000000000003</v>
      </c>
      <c r="J174" s="38">
        <v>37.08</v>
      </c>
      <c r="K174" s="38">
        <v>33.42</v>
      </c>
      <c r="L174" s="38">
        <v>31.27</v>
      </c>
      <c r="M174" s="38">
        <v>29.1</v>
      </c>
      <c r="N174" s="38">
        <v>29.45</v>
      </c>
      <c r="O174" s="38">
        <v>29.78</v>
      </c>
      <c r="P174" s="38">
        <v>31.36</v>
      </c>
      <c r="Q174" s="38">
        <v>36.07</v>
      </c>
      <c r="R174" s="38">
        <v>39.090000000000003</v>
      </c>
      <c r="S174" s="38">
        <v>41.51</v>
      </c>
      <c r="T174" s="38">
        <v>45.08</v>
      </c>
      <c r="U174" s="38">
        <v>44.87</v>
      </c>
      <c r="V174" s="38">
        <v>41.1</v>
      </c>
      <c r="W174" s="38">
        <v>36.840000000000003</v>
      </c>
      <c r="X174" s="38">
        <v>34.67</v>
      </c>
      <c r="Y174" s="38">
        <v>34.020000000000003</v>
      </c>
      <c r="Z174" s="38">
        <v>33.19</v>
      </c>
      <c r="AA174" s="38">
        <v>33.72</v>
      </c>
      <c r="AB174" s="38">
        <v>34.729999999999997</v>
      </c>
      <c r="AC174" s="38">
        <v>38.450000000000003</v>
      </c>
      <c r="AD174" s="38">
        <v>41.91</v>
      </c>
      <c r="AE174" s="38">
        <v>44.62</v>
      </c>
      <c r="AF174" s="38">
        <v>46.37</v>
      </c>
      <c r="AG174" s="38">
        <v>46.42</v>
      </c>
      <c r="AH174" s="38">
        <v>43.93</v>
      </c>
      <c r="AI174" s="38">
        <v>37.979999999999997</v>
      </c>
      <c r="AJ174" s="38">
        <v>35.43</v>
      </c>
      <c r="AK174" s="38">
        <v>34.369999999999997</v>
      </c>
      <c r="AL174" s="38">
        <v>34.549999999999997</v>
      </c>
      <c r="AM174" s="38">
        <v>35.71</v>
      </c>
      <c r="AN174" s="38">
        <v>38.61</v>
      </c>
      <c r="AO174" s="38">
        <v>43.52</v>
      </c>
      <c r="AP174" s="38">
        <v>45.61</v>
      </c>
      <c r="AQ174" s="38">
        <v>45.67</v>
      </c>
      <c r="AR174" s="38">
        <v>45.51</v>
      </c>
      <c r="AS174" s="38">
        <v>42.83</v>
      </c>
      <c r="AT174" s="38">
        <v>40.43</v>
      </c>
      <c r="AU174" s="38">
        <v>36.43</v>
      </c>
      <c r="AV174" s="38">
        <v>36.06</v>
      </c>
      <c r="AW174" s="38">
        <v>35.869999999999997</v>
      </c>
      <c r="AX174" s="38">
        <v>36.03</v>
      </c>
      <c r="AY174" s="38">
        <v>36.1</v>
      </c>
      <c r="BA174" s="37">
        <v>43.94</v>
      </c>
      <c r="BB174" s="38">
        <v>1.3072999999999999</v>
      </c>
    </row>
    <row r="175" spans="1:54" x14ac:dyDescent="0.35">
      <c r="A175" s="2">
        <f t="shared" si="2"/>
        <v>44067</v>
      </c>
      <c r="B175" t="s">
        <v>217</v>
      </c>
      <c r="C175" s="32">
        <v>44067</v>
      </c>
      <c r="D175" s="38">
        <v>23.22</v>
      </c>
      <c r="E175" s="38">
        <v>25.62</v>
      </c>
      <c r="F175" s="38">
        <v>34.42</v>
      </c>
      <c r="G175" s="38">
        <v>38.630000000000003</v>
      </c>
      <c r="H175" s="38">
        <v>40.35</v>
      </c>
      <c r="I175" s="38">
        <v>40.58</v>
      </c>
      <c r="J175" s="38">
        <v>38.1</v>
      </c>
      <c r="K175" s="38">
        <v>34.6</v>
      </c>
      <c r="L175" s="38">
        <v>32.450000000000003</v>
      </c>
      <c r="M175" s="38">
        <v>30.24</v>
      </c>
      <c r="N175" s="38">
        <v>30.59</v>
      </c>
      <c r="O175" s="38">
        <v>30.87</v>
      </c>
      <c r="P175" s="38">
        <v>32.4</v>
      </c>
      <c r="Q175" s="38">
        <v>37</v>
      </c>
      <c r="R175" s="38">
        <v>39.950000000000003</v>
      </c>
      <c r="S175" s="38">
        <v>42.37</v>
      </c>
      <c r="T175" s="38">
        <v>45.94</v>
      </c>
      <c r="U175" s="38">
        <v>45.73</v>
      </c>
      <c r="V175" s="38">
        <v>41.93</v>
      </c>
      <c r="W175" s="38">
        <v>37.619999999999997</v>
      </c>
      <c r="X175" s="38">
        <v>35.450000000000003</v>
      </c>
      <c r="Y175" s="38">
        <v>34.799999999999997</v>
      </c>
      <c r="Z175" s="38">
        <v>33.97</v>
      </c>
      <c r="AA175" s="38">
        <v>34.5</v>
      </c>
      <c r="AB175" s="38">
        <v>35.51</v>
      </c>
      <c r="AC175" s="38">
        <v>39.229999999999997</v>
      </c>
      <c r="AD175" s="38">
        <v>42.69</v>
      </c>
      <c r="AE175" s="38">
        <v>45.4</v>
      </c>
      <c r="AF175" s="38">
        <v>47.12</v>
      </c>
      <c r="AG175" s="38">
        <v>47.09</v>
      </c>
      <c r="AH175" s="38">
        <v>44.53</v>
      </c>
      <c r="AI175" s="38">
        <v>38.590000000000003</v>
      </c>
      <c r="AJ175" s="38">
        <v>36.04</v>
      </c>
      <c r="AK175" s="38">
        <v>34.979999999999997</v>
      </c>
      <c r="AL175" s="38">
        <v>35.159999999999997</v>
      </c>
      <c r="AM175" s="38">
        <v>36.32</v>
      </c>
      <c r="AN175" s="38">
        <v>39.22</v>
      </c>
      <c r="AO175" s="38">
        <v>44.23</v>
      </c>
      <c r="AP175" s="38">
        <v>46.37</v>
      </c>
      <c r="AQ175" s="38">
        <v>46.43</v>
      </c>
      <c r="AR175" s="38">
        <v>46.27</v>
      </c>
      <c r="AS175" s="38">
        <v>43.59</v>
      </c>
      <c r="AT175" s="38">
        <v>41.19</v>
      </c>
      <c r="AU175" s="38">
        <v>37.14</v>
      </c>
      <c r="AV175" s="38">
        <v>36.72</v>
      </c>
      <c r="AW175" s="38">
        <v>36.479999999999997</v>
      </c>
      <c r="AX175" s="38">
        <v>36.57</v>
      </c>
      <c r="AY175" s="38">
        <v>36.57</v>
      </c>
      <c r="BA175" s="37">
        <v>44.43</v>
      </c>
      <c r="BB175" s="38">
        <v>1.3070999999999999</v>
      </c>
    </row>
    <row r="176" spans="1:54" x14ac:dyDescent="0.35">
      <c r="A176" s="2">
        <f t="shared" si="2"/>
        <v>44068</v>
      </c>
      <c r="B176" t="s">
        <v>218</v>
      </c>
      <c r="C176" s="32">
        <v>44068</v>
      </c>
      <c r="D176" s="38">
        <v>24.61</v>
      </c>
      <c r="E176" s="38">
        <v>26.89</v>
      </c>
      <c r="F176" s="38">
        <v>35.25</v>
      </c>
      <c r="G176" s="38">
        <v>39.61</v>
      </c>
      <c r="H176" s="38">
        <v>41.43</v>
      </c>
      <c r="I176" s="38">
        <v>41.66</v>
      </c>
      <c r="J176" s="38">
        <v>39.07</v>
      </c>
      <c r="K176" s="38">
        <v>35.47</v>
      </c>
      <c r="L176" s="38">
        <v>33.28</v>
      </c>
      <c r="M176" s="38">
        <v>31.05</v>
      </c>
      <c r="N176" s="38">
        <v>31.4</v>
      </c>
      <c r="O176" s="38">
        <v>31.66</v>
      </c>
      <c r="P176" s="38">
        <v>33.090000000000003</v>
      </c>
      <c r="Q176" s="38">
        <v>37.590000000000003</v>
      </c>
      <c r="R176" s="38">
        <v>40.44</v>
      </c>
      <c r="S176" s="38">
        <v>42.79</v>
      </c>
      <c r="T176" s="38">
        <v>46.36</v>
      </c>
      <c r="U176" s="38">
        <v>46.15</v>
      </c>
      <c r="V176" s="38">
        <v>42.35</v>
      </c>
      <c r="W176" s="38">
        <v>37.97</v>
      </c>
      <c r="X176" s="38">
        <v>35.799999999999997</v>
      </c>
      <c r="Y176" s="38">
        <v>35.15</v>
      </c>
      <c r="Z176" s="38">
        <v>34.32</v>
      </c>
      <c r="AA176" s="38">
        <v>34.85</v>
      </c>
      <c r="AB176" s="38">
        <v>35.86</v>
      </c>
      <c r="AC176" s="38">
        <v>39.619999999999997</v>
      </c>
      <c r="AD176" s="38">
        <v>43.08</v>
      </c>
      <c r="AE176" s="38">
        <v>45.79</v>
      </c>
      <c r="AF176" s="38">
        <v>47.51</v>
      </c>
      <c r="AG176" s="38">
        <v>47.48</v>
      </c>
      <c r="AH176" s="38">
        <v>44.92</v>
      </c>
      <c r="AI176" s="38">
        <v>38.880000000000003</v>
      </c>
      <c r="AJ176" s="38">
        <v>36.270000000000003</v>
      </c>
      <c r="AK176" s="38">
        <v>35.159999999999997</v>
      </c>
      <c r="AL176" s="38">
        <v>35.340000000000003</v>
      </c>
      <c r="AM176" s="38">
        <v>36.5</v>
      </c>
      <c r="AN176" s="38">
        <v>39.4</v>
      </c>
      <c r="AO176" s="38">
        <v>44.51</v>
      </c>
      <c r="AP176" s="38">
        <v>46.75</v>
      </c>
      <c r="AQ176" s="38">
        <v>46.91</v>
      </c>
      <c r="AR176" s="38">
        <v>46.75</v>
      </c>
      <c r="AS176" s="38">
        <v>44.07</v>
      </c>
      <c r="AT176" s="38">
        <v>41.67</v>
      </c>
      <c r="AU176" s="38">
        <v>37.619999999999997</v>
      </c>
      <c r="AV176" s="38">
        <v>37.200000000000003</v>
      </c>
      <c r="AW176" s="38">
        <v>36.96</v>
      </c>
      <c r="AX176" s="38">
        <v>37.049999999999997</v>
      </c>
      <c r="AY176" s="38">
        <v>37.049999999999997</v>
      </c>
      <c r="BA176" s="37">
        <v>46.01</v>
      </c>
      <c r="BB176" s="38">
        <v>1.3118000000000001</v>
      </c>
    </row>
    <row r="177" spans="1:54" x14ac:dyDescent="0.35">
      <c r="A177" s="2">
        <f t="shared" si="2"/>
        <v>44069</v>
      </c>
      <c r="B177" t="s">
        <v>219</v>
      </c>
      <c r="C177" s="32">
        <v>44069</v>
      </c>
      <c r="D177" s="38">
        <v>25.1</v>
      </c>
      <c r="E177" s="38">
        <v>27.77</v>
      </c>
      <c r="F177" s="38">
        <v>35.83</v>
      </c>
      <c r="G177" s="38">
        <v>40.21</v>
      </c>
      <c r="H177" s="38">
        <v>41.86</v>
      </c>
      <c r="I177" s="38">
        <v>42.24</v>
      </c>
      <c r="J177" s="38">
        <v>39.659999999999997</v>
      </c>
      <c r="K177" s="38">
        <v>35.950000000000003</v>
      </c>
      <c r="L177" s="38">
        <v>33.67</v>
      </c>
      <c r="M177" s="38">
        <v>31.37</v>
      </c>
      <c r="N177" s="38">
        <v>31.72</v>
      </c>
      <c r="O177" s="38">
        <v>32.07</v>
      </c>
      <c r="P177" s="38">
        <v>33.5</v>
      </c>
      <c r="Q177" s="38">
        <v>38.1</v>
      </c>
      <c r="R177" s="38">
        <v>41.01</v>
      </c>
      <c r="S177" s="38">
        <v>43.36</v>
      </c>
      <c r="T177" s="38">
        <v>46.93</v>
      </c>
      <c r="U177" s="38">
        <v>46.7</v>
      </c>
      <c r="V177" s="38">
        <v>42.85</v>
      </c>
      <c r="W177" s="38">
        <v>38.369999999999997</v>
      </c>
      <c r="X177" s="38">
        <v>36.1</v>
      </c>
      <c r="Y177" s="38">
        <v>35.409999999999997</v>
      </c>
      <c r="Z177" s="38">
        <v>34.56</v>
      </c>
      <c r="AA177" s="38">
        <v>35.08</v>
      </c>
      <c r="AB177" s="38">
        <v>36.06</v>
      </c>
      <c r="AC177" s="38">
        <v>39.81</v>
      </c>
      <c r="AD177" s="38">
        <v>43.27</v>
      </c>
      <c r="AE177" s="38">
        <v>45.98</v>
      </c>
      <c r="AF177" s="38">
        <v>47.7</v>
      </c>
      <c r="AG177" s="38">
        <v>47.63</v>
      </c>
      <c r="AH177" s="38">
        <v>45.07</v>
      </c>
      <c r="AI177" s="38">
        <v>39.03</v>
      </c>
      <c r="AJ177" s="38">
        <v>36.42</v>
      </c>
      <c r="AK177" s="38">
        <v>35.31</v>
      </c>
      <c r="AL177" s="38">
        <v>35.49</v>
      </c>
      <c r="AM177" s="38">
        <v>36.65</v>
      </c>
      <c r="AN177" s="38">
        <v>39.549999999999997</v>
      </c>
      <c r="AO177" s="38">
        <v>44.84</v>
      </c>
      <c r="AP177" s="38">
        <v>47.18</v>
      </c>
      <c r="AQ177" s="38">
        <v>47.34</v>
      </c>
      <c r="AR177" s="38">
        <v>47.18</v>
      </c>
      <c r="AS177" s="38">
        <v>44.5</v>
      </c>
      <c r="AT177" s="38">
        <v>42</v>
      </c>
      <c r="AU177" s="38">
        <v>37.799999999999997</v>
      </c>
      <c r="AV177" s="38">
        <v>37.25</v>
      </c>
      <c r="AW177" s="38">
        <v>36.950000000000003</v>
      </c>
      <c r="AX177" s="38">
        <v>37.04</v>
      </c>
      <c r="AY177" s="38">
        <v>37.04</v>
      </c>
      <c r="BA177" s="37">
        <v>45.79</v>
      </c>
      <c r="BB177" s="38">
        <v>1.3192999999999999</v>
      </c>
    </row>
    <row r="178" spans="1:54" x14ac:dyDescent="0.35">
      <c r="A178" s="2">
        <f t="shared" si="2"/>
        <v>44070</v>
      </c>
      <c r="B178" t="s">
        <v>220</v>
      </c>
      <c r="C178" s="32">
        <v>44070</v>
      </c>
      <c r="D178" s="38">
        <v>24.33</v>
      </c>
      <c r="E178" s="38">
        <v>26.68</v>
      </c>
      <c r="F178" s="38">
        <v>34.840000000000003</v>
      </c>
      <c r="G178" s="38">
        <v>38.79</v>
      </c>
      <c r="H178" s="38">
        <v>40.64</v>
      </c>
      <c r="I178" s="38">
        <v>41.1</v>
      </c>
      <c r="J178" s="38">
        <v>38.700000000000003</v>
      </c>
      <c r="K178" s="38">
        <v>35.32</v>
      </c>
      <c r="L178" s="38">
        <v>33.17</v>
      </c>
      <c r="M178" s="38">
        <v>31.41</v>
      </c>
      <c r="N178" s="38">
        <v>31.36</v>
      </c>
      <c r="O178" s="38">
        <v>31.57</v>
      </c>
      <c r="P178" s="38">
        <v>33.61</v>
      </c>
      <c r="Q178" s="38">
        <v>38.17</v>
      </c>
      <c r="R178" s="38">
        <v>41.07</v>
      </c>
      <c r="S178" s="38">
        <v>43.43</v>
      </c>
      <c r="T178" s="38">
        <v>47</v>
      </c>
      <c r="U178" s="38">
        <v>46.8</v>
      </c>
      <c r="V178" s="38">
        <v>42.96</v>
      </c>
      <c r="W178" s="38">
        <v>38.479999999999997</v>
      </c>
      <c r="X178" s="38">
        <v>36.21</v>
      </c>
      <c r="Y178" s="38">
        <v>35.520000000000003</v>
      </c>
      <c r="Z178" s="38">
        <v>34.700000000000003</v>
      </c>
      <c r="AA178" s="38">
        <v>35.25</v>
      </c>
      <c r="AB178" s="38">
        <v>36.26</v>
      </c>
      <c r="AC178" s="38">
        <v>40.01</v>
      </c>
      <c r="AD178" s="38">
        <v>43.47</v>
      </c>
      <c r="AE178" s="38">
        <v>46.18</v>
      </c>
      <c r="AF178" s="38">
        <v>47.9</v>
      </c>
      <c r="AG178" s="38">
        <v>47.87</v>
      </c>
      <c r="AH178" s="38">
        <v>45.35</v>
      </c>
      <c r="AI178" s="38">
        <v>39.340000000000003</v>
      </c>
      <c r="AJ178" s="38">
        <v>36.76</v>
      </c>
      <c r="AK178" s="38">
        <v>35.68</v>
      </c>
      <c r="AL178" s="38">
        <v>35.89</v>
      </c>
      <c r="AM178" s="38">
        <v>37.090000000000003</v>
      </c>
      <c r="AN178" s="38">
        <v>40.03</v>
      </c>
      <c r="AO178" s="38">
        <v>45.36</v>
      </c>
      <c r="AP178" s="38">
        <v>47.7</v>
      </c>
      <c r="AQ178" s="38">
        <v>47.86</v>
      </c>
      <c r="AR178" s="38">
        <v>47.7</v>
      </c>
      <c r="AS178" s="38">
        <v>45.02</v>
      </c>
      <c r="AT178" s="38">
        <v>42.52</v>
      </c>
      <c r="AU178" s="38">
        <v>38.18</v>
      </c>
      <c r="AV178" s="38">
        <v>37.630000000000003</v>
      </c>
      <c r="AW178" s="38">
        <v>37.33</v>
      </c>
      <c r="AX178" s="38">
        <v>37.42</v>
      </c>
      <c r="AY178" s="38">
        <v>37.42</v>
      </c>
      <c r="BA178" s="37">
        <v>44.84</v>
      </c>
      <c r="BB178" s="38">
        <v>1.3189</v>
      </c>
    </row>
    <row r="179" spans="1:54" x14ac:dyDescent="0.35">
      <c r="A179" s="2">
        <f t="shared" si="2"/>
        <v>44071</v>
      </c>
      <c r="B179" t="s">
        <v>221</v>
      </c>
      <c r="C179" s="32">
        <v>44071</v>
      </c>
      <c r="D179" s="38">
        <v>28.95</v>
      </c>
      <c r="E179" s="38">
        <v>36.44</v>
      </c>
      <c r="F179" s="38">
        <v>40.15</v>
      </c>
      <c r="G179" s="38">
        <v>41.99</v>
      </c>
      <c r="H179" s="38">
        <v>42.24</v>
      </c>
      <c r="I179" s="38">
        <v>39.9</v>
      </c>
      <c r="J179" s="38">
        <v>36.79</v>
      </c>
      <c r="K179" s="38">
        <v>34.700000000000003</v>
      </c>
      <c r="L179" s="38">
        <v>32.97</v>
      </c>
      <c r="M179" s="38">
        <v>32.94</v>
      </c>
      <c r="N179" s="38">
        <v>33.1</v>
      </c>
      <c r="O179" s="38">
        <v>35.06</v>
      </c>
      <c r="P179" s="38">
        <v>39.43</v>
      </c>
      <c r="Q179" s="38">
        <v>42.29</v>
      </c>
      <c r="R179" s="38">
        <v>44.73</v>
      </c>
      <c r="S179" s="38">
        <v>48.35</v>
      </c>
      <c r="T179" s="38">
        <v>48.18</v>
      </c>
      <c r="U179" s="38">
        <v>44.3</v>
      </c>
      <c r="V179" s="38">
        <v>39.68</v>
      </c>
      <c r="W179" s="38">
        <v>37.409999999999997</v>
      </c>
      <c r="X179" s="38">
        <v>36.72</v>
      </c>
      <c r="Y179" s="38">
        <v>35.9</v>
      </c>
      <c r="Z179" s="38">
        <v>36.450000000000003</v>
      </c>
      <c r="AA179" s="38">
        <v>37.46</v>
      </c>
      <c r="AB179" s="38">
        <v>41.18</v>
      </c>
      <c r="AC179" s="38">
        <v>44.6</v>
      </c>
      <c r="AD179" s="38">
        <v>47.24</v>
      </c>
      <c r="AE179" s="38">
        <v>48.9</v>
      </c>
      <c r="AF179" s="38">
        <v>48.81</v>
      </c>
      <c r="AG179" s="38">
        <v>46.2</v>
      </c>
      <c r="AH179" s="38">
        <v>39.99</v>
      </c>
      <c r="AI179" s="38">
        <v>37.409999999999997</v>
      </c>
      <c r="AJ179" s="38">
        <v>36.33</v>
      </c>
      <c r="AK179" s="38">
        <v>36.54</v>
      </c>
      <c r="AL179" s="38">
        <v>37.74</v>
      </c>
      <c r="AM179" s="38">
        <v>40.68</v>
      </c>
      <c r="AN179" s="38">
        <v>46.01</v>
      </c>
      <c r="AO179" s="38">
        <v>48.35</v>
      </c>
      <c r="AP179" s="38">
        <v>48.51</v>
      </c>
      <c r="AQ179" s="38">
        <v>48.35</v>
      </c>
      <c r="AR179" s="38">
        <v>45.67</v>
      </c>
      <c r="AS179" s="38">
        <v>43.17</v>
      </c>
      <c r="AT179" s="38">
        <v>38.83</v>
      </c>
      <c r="AU179" s="38">
        <v>38.28</v>
      </c>
      <c r="AV179" s="38">
        <v>37.979999999999997</v>
      </c>
      <c r="AW179" s="38">
        <v>38.07</v>
      </c>
      <c r="AX179" s="38">
        <v>38.07</v>
      </c>
      <c r="AY179" s="38">
        <v>39.81</v>
      </c>
      <c r="BA179" s="37">
        <v>45.22</v>
      </c>
      <c r="BB179" s="38">
        <v>1.333</v>
      </c>
    </row>
    <row r="180" spans="1:54" x14ac:dyDescent="0.35">
      <c r="A180" s="2">
        <f t="shared" si="2"/>
        <v>44074</v>
      </c>
      <c r="B180" t="s">
        <v>222</v>
      </c>
      <c r="C180" s="32">
        <v>44074</v>
      </c>
      <c r="D180" s="38">
        <v>28.95</v>
      </c>
      <c r="E180" s="38">
        <v>36.44</v>
      </c>
      <c r="F180" s="38">
        <v>40.15</v>
      </c>
      <c r="G180" s="38">
        <v>41.99</v>
      </c>
      <c r="H180" s="38">
        <v>42.24</v>
      </c>
      <c r="I180" s="38">
        <v>39.9</v>
      </c>
      <c r="J180" s="38">
        <v>36.79</v>
      </c>
      <c r="K180" s="38">
        <v>34.700000000000003</v>
      </c>
      <c r="L180" s="38">
        <v>32.97</v>
      </c>
      <c r="M180" s="38">
        <v>32.94</v>
      </c>
      <c r="N180" s="38">
        <v>33.1</v>
      </c>
      <c r="O180" s="38">
        <v>35.06</v>
      </c>
      <c r="P180" s="38">
        <v>39.43</v>
      </c>
      <c r="Q180" s="38">
        <v>42.29</v>
      </c>
      <c r="R180" s="38">
        <v>44.73</v>
      </c>
      <c r="S180" s="38">
        <v>48.35</v>
      </c>
      <c r="T180" s="38">
        <v>48.18</v>
      </c>
      <c r="U180" s="38">
        <v>44.3</v>
      </c>
      <c r="V180" s="38">
        <v>39.68</v>
      </c>
      <c r="W180" s="38">
        <v>37.409999999999997</v>
      </c>
      <c r="X180" s="38">
        <v>36.72</v>
      </c>
      <c r="Y180" s="38">
        <v>35.9</v>
      </c>
      <c r="Z180" s="38">
        <v>36.450000000000003</v>
      </c>
      <c r="AA180" s="38">
        <v>37.46</v>
      </c>
      <c r="AB180" s="38">
        <v>41.18</v>
      </c>
      <c r="AC180" s="38">
        <v>44.6</v>
      </c>
      <c r="AD180" s="38">
        <v>47.24</v>
      </c>
      <c r="AE180" s="38">
        <v>48.9</v>
      </c>
      <c r="AF180" s="38">
        <v>48.81</v>
      </c>
      <c r="AG180" s="38">
        <v>46.2</v>
      </c>
      <c r="AH180" s="38">
        <v>39.99</v>
      </c>
      <c r="AI180" s="38">
        <v>37.409999999999997</v>
      </c>
      <c r="AJ180" s="38">
        <v>36.33</v>
      </c>
      <c r="AK180" s="38">
        <v>36.54</v>
      </c>
      <c r="AL180" s="38">
        <v>37.74</v>
      </c>
      <c r="AM180" s="38">
        <v>40.68</v>
      </c>
      <c r="AN180" s="38">
        <v>46.01</v>
      </c>
      <c r="AO180" s="38">
        <v>48.35</v>
      </c>
      <c r="AP180" s="38">
        <v>48.51</v>
      </c>
      <c r="AQ180" s="38">
        <v>48.35</v>
      </c>
      <c r="AR180" s="38">
        <v>45.67</v>
      </c>
      <c r="AS180" s="38">
        <v>43.17</v>
      </c>
      <c r="AT180" s="38">
        <v>38.83</v>
      </c>
      <c r="AU180" s="38">
        <v>38.28</v>
      </c>
      <c r="AV180" s="38">
        <v>37.979999999999997</v>
      </c>
      <c r="AW180" s="38">
        <v>38.07</v>
      </c>
      <c r="AX180" s="38">
        <v>38.07</v>
      </c>
      <c r="AY180" s="38">
        <v>39.81</v>
      </c>
      <c r="BA180" s="37" t="e">
        <v>#N/A</v>
      </c>
      <c r="BB180" s="38" t="e">
        <v>#N/A</v>
      </c>
    </row>
    <row r="181" spans="1:54" x14ac:dyDescent="0.35">
      <c r="A181" s="2">
        <f t="shared" si="2"/>
        <v>44075</v>
      </c>
      <c r="B181" t="s">
        <v>223</v>
      </c>
      <c r="C181" s="32">
        <v>44075</v>
      </c>
      <c r="D181" s="38">
        <v>29.11</v>
      </c>
      <c r="E181" s="38">
        <v>36.700000000000003</v>
      </c>
      <c r="F181" s="38">
        <v>40.630000000000003</v>
      </c>
      <c r="G181" s="38">
        <v>42.53</v>
      </c>
      <c r="H181" s="38">
        <v>42.99</v>
      </c>
      <c r="I181" s="38">
        <v>40.36</v>
      </c>
      <c r="J181" s="38">
        <v>36.85</v>
      </c>
      <c r="K181" s="38">
        <v>34.630000000000003</v>
      </c>
      <c r="L181" s="38">
        <v>32.76</v>
      </c>
      <c r="M181" s="38">
        <v>32.880000000000003</v>
      </c>
      <c r="N181" s="38">
        <v>33.04</v>
      </c>
      <c r="O181" s="38">
        <v>34.9</v>
      </c>
      <c r="P181" s="38">
        <v>39.19</v>
      </c>
      <c r="Q181" s="38">
        <v>42.05</v>
      </c>
      <c r="R181" s="38">
        <v>44.56</v>
      </c>
      <c r="S181" s="38">
        <v>48.27</v>
      </c>
      <c r="T181" s="38">
        <v>48.09</v>
      </c>
      <c r="U181" s="38">
        <v>44.04</v>
      </c>
      <c r="V181" s="38">
        <v>39.200000000000003</v>
      </c>
      <c r="W181" s="38">
        <v>36.68</v>
      </c>
      <c r="X181" s="38">
        <v>35.99</v>
      </c>
      <c r="Y181" s="38">
        <v>35.17</v>
      </c>
      <c r="Z181" s="38">
        <v>35.72</v>
      </c>
      <c r="AA181" s="38">
        <v>36.81</v>
      </c>
      <c r="AB181" s="38">
        <v>40.619999999999997</v>
      </c>
      <c r="AC181" s="38">
        <v>44.12</v>
      </c>
      <c r="AD181" s="38">
        <v>46.76</v>
      </c>
      <c r="AE181" s="38">
        <v>48.42</v>
      </c>
      <c r="AF181" s="38">
        <v>48.33</v>
      </c>
      <c r="AG181" s="38">
        <v>45.72</v>
      </c>
      <c r="AH181" s="38">
        <v>39.51</v>
      </c>
      <c r="AI181" s="38">
        <v>36.93</v>
      </c>
      <c r="AJ181" s="38">
        <v>35.85</v>
      </c>
      <c r="AK181" s="38">
        <v>36.06</v>
      </c>
      <c r="AL181" s="38">
        <v>37.26</v>
      </c>
      <c r="AM181" s="38">
        <v>40.200000000000003</v>
      </c>
      <c r="AN181" s="38">
        <v>45.53</v>
      </c>
      <c r="AO181" s="38">
        <v>47.87</v>
      </c>
      <c r="AP181" s="38">
        <v>48.03</v>
      </c>
      <c r="AQ181" s="38">
        <v>47.87</v>
      </c>
      <c r="AR181" s="38">
        <v>45.19</v>
      </c>
      <c r="AS181" s="38">
        <v>42.69</v>
      </c>
      <c r="AT181" s="38">
        <v>38.35</v>
      </c>
      <c r="AU181" s="38">
        <v>37.799999999999997</v>
      </c>
      <c r="AV181" s="38">
        <v>37.5</v>
      </c>
      <c r="AW181" s="38">
        <v>37.590000000000003</v>
      </c>
      <c r="AX181" s="38">
        <v>37.590000000000003</v>
      </c>
      <c r="AY181" s="38">
        <v>39.33</v>
      </c>
      <c r="BA181" s="37">
        <v>45.72</v>
      </c>
      <c r="BB181" s="38">
        <v>1.345</v>
      </c>
    </row>
    <row r="182" spans="1:54" x14ac:dyDescent="0.35">
      <c r="A182" s="2">
        <f t="shared" si="2"/>
        <v>44076</v>
      </c>
      <c r="B182" t="s">
        <v>224</v>
      </c>
      <c r="C182" s="32">
        <v>44076</v>
      </c>
      <c r="D182" s="38">
        <v>28.5</v>
      </c>
      <c r="E182" s="38">
        <v>35.909999999999997</v>
      </c>
      <c r="F182" s="38">
        <v>39.94</v>
      </c>
      <c r="G182" s="38">
        <v>41.78</v>
      </c>
      <c r="H182" s="38">
        <v>42.33</v>
      </c>
      <c r="I182" s="38">
        <v>39.64</v>
      </c>
      <c r="J182" s="38">
        <v>36.020000000000003</v>
      </c>
      <c r="K182" s="38">
        <v>33.76</v>
      </c>
      <c r="L182" s="38">
        <v>31.85</v>
      </c>
      <c r="M182" s="38">
        <v>32.020000000000003</v>
      </c>
      <c r="N182" s="38">
        <v>32.26</v>
      </c>
      <c r="O182" s="38">
        <v>34.159999999999997</v>
      </c>
      <c r="P182" s="38">
        <v>38.520000000000003</v>
      </c>
      <c r="Q182" s="38">
        <v>41.47</v>
      </c>
      <c r="R182" s="38">
        <v>43.98</v>
      </c>
      <c r="S182" s="38">
        <v>47.69</v>
      </c>
      <c r="T182" s="38">
        <v>47.51</v>
      </c>
      <c r="U182" s="38">
        <v>43.52</v>
      </c>
      <c r="V182" s="38">
        <v>38.79</v>
      </c>
      <c r="W182" s="38">
        <v>36.39</v>
      </c>
      <c r="X182" s="38">
        <v>35.700000000000003</v>
      </c>
      <c r="Y182" s="38">
        <v>34.880000000000003</v>
      </c>
      <c r="Z182" s="38">
        <v>35.43</v>
      </c>
      <c r="AA182" s="38">
        <v>36.43</v>
      </c>
      <c r="AB182" s="38">
        <v>40.159999999999997</v>
      </c>
      <c r="AC182" s="38">
        <v>43.58</v>
      </c>
      <c r="AD182" s="38">
        <v>46.22</v>
      </c>
      <c r="AE182" s="38">
        <v>47.88</v>
      </c>
      <c r="AF182" s="38">
        <v>47.79</v>
      </c>
      <c r="AG182" s="38">
        <v>45.18</v>
      </c>
      <c r="AH182" s="38">
        <v>38.97</v>
      </c>
      <c r="AI182" s="38">
        <v>36.39</v>
      </c>
      <c r="AJ182" s="38">
        <v>35.31</v>
      </c>
      <c r="AK182" s="38">
        <v>35.520000000000003</v>
      </c>
      <c r="AL182" s="38">
        <v>36.72</v>
      </c>
      <c r="AM182" s="38">
        <v>39.659999999999997</v>
      </c>
      <c r="AN182" s="38">
        <v>44.99</v>
      </c>
      <c r="AO182" s="38">
        <v>47.33</v>
      </c>
      <c r="AP182" s="38">
        <v>47.49</v>
      </c>
      <c r="AQ182" s="38">
        <v>47.33</v>
      </c>
      <c r="AR182" s="38">
        <v>44.65</v>
      </c>
      <c r="AS182" s="38">
        <v>42.15</v>
      </c>
      <c r="AT182" s="38">
        <v>37.81</v>
      </c>
      <c r="AU182" s="38">
        <v>37.26</v>
      </c>
      <c r="AV182" s="38">
        <v>36.96</v>
      </c>
      <c r="AW182" s="38">
        <v>37.049999999999997</v>
      </c>
      <c r="AX182" s="38">
        <v>37.049999999999997</v>
      </c>
      <c r="AY182" s="38">
        <v>38.79</v>
      </c>
      <c r="BA182" s="37">
        <v>42.7</v>
      </c>
      <c r="BB182" s="38">
        <v>1.3303</v>
      </c>
    </row>
    <row r="183" spans="1:54" x14ac:dyDescent="0.35">
      <c r="A183" s="2">
        <f t="shared" si="2"/>
        <v>44077</v>
      </c>
      <c r="B183" t="s">
        <v>225</v>
      </c>
      <c r="C183" s="32">
        <v>44077</v>
      </c>
      <c r="D183" s="38">
        <v>30.19</v>
      </c>
      <c r="E183" s="38">
        <v>37</v>
      </c>
      <c r="F183" s="38">
        <v>40.799999999999997</v>
      </c>
      <c r="G183" s="38">
        <v>42.46</v>
      </c>
      <c r="H183" s="38">
        <v>42.76</v>
      </c>
      <c r="I183" s="38">
        <v>40.19</v>
      </c>
      <c r="J183" s="38">
        <v>36.54</v>
      </c>
      <c r="K183" s="38">
        <v>34.28</v>
      </c>
      <c r="L183" s="38">
        <v>32.369999999999997</v>
      </c>
      <c r="M183" s="38">
        <v>32.54</v>
      </c>
      <c r="N183" s="38">
        <v>32.78</v>
      </c>
      <c r="O183" s="38">
        <v>34.64</v>
      </c>
      <c r="P183" s="38">
        <v>38.94</v>
      </c>
      <c r="Q183" s="38">
        <v>41.84</v>
      </c>
      <c r="R183" s="38">
        <v>44.35</v>
      </c>
      <c r="S183" s="38">
        <v>48.06</v>
      </c>
      <c r="T183" s="38">
        <v>47.88</v>
      </c>
      <c r="U183" s="38">
        <v>43.89</v>
      </c>
      <c r="V183" s="38">
        <v>38.99</v>
      </c>
      <c r="W183" s="38">
        <v>36.590000000000003</v>
      </c>
      <c r="X183" s="38">
        <v>35.9</v>
      </c>
      <c r="Y183" s="38">
        <v>35.08</v>
      </c>
      <c r="Z183" s="38">
        <v>35.630000000000003</v>
      </c>
      <c r="AA183" s="38">
        <v>36.58</v>
      </c>
      <c r="AB183" s="38">
        <v>40.340000000000003</v>
      </c>
      <c r="AC183" s="38">
        <v>43.71</v>
      </c>
      <c r="AD183" s="38">
        <v>46.35</v>
      </c>
      <c r="AE183" s="38">
        <v>48.01</v>
      </c>
      <c r="AF183" s="38">
        <v>47.92</v>
      </c>
      <c r="AG183" s="38">
        <v>45.31</v>
      </c>
      <c r="AH183" s="38">
        <v>39.1</v>
      </c>
      <c r="AI183" s="38">
        <v>36.520000000000003</v>
      </c>
      <c r="AJ183" s="38">
        <v>35.44</v>
      </c>
      <c r="AK183" s="38">
        <v>35.65</v>
      </c>
      <c r="AL183" s="38">
        <v>36.85</v>
      </c>
      <c r="AM183" s="38">
        <v>39.83</v>
      </c>
      <c r="AN183" s="38">
        <v>45.32</v>
      </c>
      <c r="AO183" s="38">
        <v>47.7</v>
      </c>
      <c r="AP183" s="38">
        <v>47.86</v>
      </c>
      <c r="AQ183" s="38">
        <v>47.7</v>
      </c>
      <c r="AR183" s="38">
        <v>45.02</v>
      </c>
      <c r="AS183" s="38">
        <v>42.52</v>
      </c>
      <c r="AT183" s="38">
        <v>38.18</v>
      </c>
      <c r="AU183" s="38">
        <v>37.630000000000003</v>
      </c>
      <c r="AV183" s="38">
        <v>37.33</v>
      </c>
      <c r="AW183" s="38">
        <v>37.42</v>
      </c>
      <c r="AX183" s="38">
        <v>37.42</v>
      </c>
      <c r="AY183" s="38">
        <v>39.159999999999997</v>
      </c>
      <c r="BA183" s="37">
        <v>42.72</v>
      </c>
      <c r="BB183" s="38">
        <v>1.3270999999999999</v>
      </c>
    </row>
    <row r="184" spans="1:54" x14ac:dyDescent="0.35">
      <c r="A184" s="2">
        <f t="shared" si="2"/>
        <v>44078</v>
      </c>
      <c r="B184" t="s">
        <v>226</v>
      </c>
      <c r="C184" s="32">
        <v>44078</v>
      </c>
      <c r="D184" s="38">
        <v>30.31</v>
      </c>
      <c r="E184" s="38">
        <v>36.659999999999997</v>
      </c>
      <c r="F184" s="38">
        <v>40.49</v>
      </c>
      <c r="G184" s="38">
        <v>42.27</v>
      </c>
      <c r="H184" s="38">
        <v>42.56</v>
      </c>
      <c r="I184" s="38">
        <v>39.99</v>
      </c>
      <c r="J184" s="38">
        <v>36.29</v>
      </c>
      <c r="K184" s="38">
        <v>33.799999999999997</v>
      </c>
      <c r="L184" s="38">
        <v>31.89</v>
      </c>
      <c r="M184" s="38">
        <v>32.130000000000003</v>
      </c>
      <c r="N184" s="38">
        <v>32.369999999999997</v>
      </c>
      <c r="O184" s="38">
        <v>34.119999999999997</v>
      </c>
      <c r="P184" s="38">
        <v>38.32</v>
      </c>
      <c r="Q184" s="38">
        <v>41.16</v>
      </c>
      <c r="R184" s="38">
        <v>43.67</v>
      </c>
      <c r="S184" s="38">
        <v>47.38</v>
      </c>
      <c r="T184" s="38">
        <v>47.2</v>
      </c>
      <c r="U184" s="38">
        <v>43.21</v>
      </c>
      <c r="V184" s="38">
        <v>38.4</v>
      </c>
      <c r="W184" s="38">
        <v>36</v>
      </c>
      <c r="X184" s="38">
        <v>35.31</v>
      </c>
      <c r="Y184" s="38">
        <v>34.49</v>
      </c>
      <c r="Z184" s="38">
        <v>35.04</v>
      </c>
      <c r="AA184" s="38">
        <v>36.06</v>
      </c>
      <c r="AB184" s="38">
        <v>39.81</v>
      </c>
      <c r="AC184" s="38">
        <v>43.25</v>
      </c>
      <c r="AD184" s="38">
        <v>45.89</v>
      </c>
      <c r="AE184" s="38">
        <v>47.55</v>
      </c>
      <c r="AF184" s="38">
        <v>47.46</v>
      </c>
      <c r="AG184" s="38">
        <v>44.85</v>
      </c>
      <c r="AH184" s="38">
        <v>38.799999999999997</v>
      </c>
      <c r="AI184" s="38">
        <v>36.22</v>
      </c>
      <c r="AJ184" s="38">
        <v>35.14</v>
      </c>
      <c r="AK184" s="38">
        <v>35.35</v>
      </c>
      <c r="AL184" s="38">
        <v>36.549999999999997</v>
      </c>
      <c r="AM184" s="38">
        <v>39.54</v>
      </c>
      <c r="AN184" s="38">
        <v>45.03</v>
      </c>
      <c r="AO184" s="38">
        <v>47.41</v>
      </c>
      <c r="AP184" s="38">
        <v>47.57</v>
      </c>
      <c r="AQ184" s="38">
        <v>47.41</v>
      </c>
      <c r="AR184" s="38">
        <v>44.73</v>
      </c>
      <c r="AS184" s="38">
        <v>42.23</v>
      </c>
      <c r="AT184" s="38">
        <v>37.89</v>
      </c>
      <c r="AU184" s="38">
        <v>37.340000000000003</v>
      </c>
      <c r="AV184" s="38">
        <v>37.04</v>
      </c>
      <c r="AW184" s="38">
        <v>37.130000000000003</v>
      </c>
      <c r="AX184" s="38">
        <v>37.130000000000003</v>
      </c>
      <c r="AY184" s="38">
        <v>38.869999999999997</v>
      </c>
      <c r="BA184" s="37">
        <v>41.1</v>
      </c>
      <c r="BB184" s="38">
        <v>1.3199000000000001</v>
      </c>
    </row>
    <row r="185" spans="1:54" x14ac:dyDescent="0.35">
      <c r="A185" s="2">
        <f t="shared" si="2"/>
        <v>44081</v>
      </c>
      <c r="B185" t="s">
        <v>227</v>
      </c>
      <c r="C185" s="32">
        <v>44081</v>
      </c>
      <c r="D185" s="38">
        <v>29.27</v>
      </c>
      <c r="E185" s="38">
        <v>35.29</v>
      </c>
      <c r="F185" s="38">
        <v>39.36</v>
      </c>
      <c r="G185" s="38">
        <v>40.82</v>
      </c>
      <c r="H185" s="38">
        <v>41.34</v>
      </c>
      <c r="I185" s="38">
        <v>38.69</v>
      </c>
      <c r="J185" s="38">
        <v>35.4</v>
      </c>
      <c r="K185" s="38">
        <v>33.130000000000003</v>
      </c>
      <c r="L185" s="38">
        <v>31.27</v>
      </c>
      <c r="M185" s="38">
        <v>31.38</v>
      </c>
      <c r="N185" s="38">
        <v>31.65</v>
      </c>
      <c r="O185" s="38">
        <v>33.450000000000003</v>
      </c>
      <c r="P185" s="38">
        <v>37.72</v>
      </c>
      <c r="Q185" s="38">
        <v>40.590000000000003</v>
      </c>
      <c r="R185" s="38">
        <v>43.13</v>
      </c>
      <c r="S185" s="38">
        <v>46.84</v>
      </c>
      <c r="T185" s="38">
        <v>46.66</v>
      </c>
      <c r="U185" s="38">
        <v>42.74</v>
      </c>
      <c r="V185" s="38">
        <v>37.99</v>
      </c>
      <c r="W185" s="38">
        <v>35.659999999999997</v>
      </c>
      <c r="X185" s="38">
        <v>34.97</v>
      </c>
      <c r="Y185" s="38">
        <v>34.15</v>
      </c>
      <c r="Z185" s="38">
        <v>34.700000000000003</v>
      </c>
      <c r="AA185" s="38">
        <v>35.72</v>
      </c>
      <c r="AB185" s="38">
        <v>39.53</v>
      </c>
      <c r="AC185" s="38">
        <v>43.03</v>
      </c>
      <c r="AD185" s="38">
        <v>45.71</v>
      </c>
      <c r="AE185" s="38">
        <v>47.39</v>
      </c>
      <c r="AF185" s="38">
        <v>47.32</v>
      </c>
      <c r="AG185" s="38">
        <v>44.73</v>
      </c>
      <c r="AH185" s="38">
        <v>38.700000000000003</v>
      </c>
      <c r="AI185" s="38">
        <v>36.119999999999997</v>
      </c>
      <c r="AJ185" s="38">
        <v>35.03</v>
      </c>
      <c r="AK185" s="38">
        <v>35.24</v>
      </c>
      <c r="AL185" s="38">
        <v>36.450000000000003</v>
      </c>
      <c r="AM185" s="38">
        <v>39.44</v>
      </c>
      <c r="AN185" s="38">
        <v>44.93</v>
      </c>
      <c r="AO185" s="38">
        <v>47.31</v>
      </c>
      <c r="AP185" s="38">
        <v>47.47</v>
      </c>
      <c r="AQ185" s="38">
        <v>47.31</v>
      </c>
      <c r="AR185" s="38">
        <v>44.63</v>
      </c>
      <c r="AS185" s="38">
        <v>42.13</v>
      </c>
      <c r="AT185" s="38">
        <v>37.78</v>
      </c>
      <c r="AU185" s="38">
        <v>37.24</v>
      </c>
      <c r="AV185" s="38">
        <v>36.94</v>
      </c>
      <c r="AW185" s="38">
        <v>37.03</v>
      </c>
      <c r="AX185" s="38">
        <v>37.03</v>
      </c>
      <c r="AY185" s="38">
        <v>38.770000000000003</v>
      </c>
      <c r="BA185" s="37">
        <v>40.67</v>
      </c>
      <c r="BB185" s="38">
        <v>1.3177000000000001</v>
      </c>
    </row>
    <row r="186" spans="1:54" x14ac:dyDescent="0.35">
      <c r="A186" s="2">
        <f t="shared" si="2"/>
        <v>44082</v>
      </c>
      <c r="B186" t="s">
        <v>228</v>
      </c>
      <c r="C186" s="32">
        <v>44082</v>
      </c>
      <c r="D186" s="38">
        <v>28.13</v>
      </c>
      <c r="E186" s="38">
        <v>34.72</v>
      </c>
      <c r="F186" s="38">
        <v>38.81</v>
      </c>
      <c r="G186" s="38">
        <v>40.21</v>
      </c>
      <c r="H186" s="38">
        <v>40.74</v>
      </c>
      <c r="I186" s="38">
        <v>38.049999999999997</v>
      </c>
      <c r="J186" s="38">
        <v>34.590000000000003</v>
      </c>
      <c r="K186" s="38">
        <v>32.450000000000003</v>
      </c>
      <c r="L186" s="38">
        <v>30.5</v>
      </c>
      <c r="M186" s="38">
        <v>30.64</v>
      </c>
      <c r="N186" s="38">
        <v>31.04</v>
      </c>
      <c r="O186" s="38">
        <v>32.840000000000003</v>
      </c>
      <c r="P186" s="38">
        <v>37.03</v>
      </c>
      <c r="Q186" s="38">
        <v>39.85</v>
      </c>
      <c r="R186" s="38">
        <v>42.37</v>
      </c>
      <c r="S186" s="38">
        <v>46.06</v>
      </c>
      <c r="T186" s="38">
        <v>45.86</v>
      </c>
      <c r="U186" s="38">
        <v>41.94</v>
      </c>
      <c r="V186" s="38">
        <v>37.19</v>
      </c>
      <c r="W186" s="38">
        <v>34.86</v>
      </c>
      <c r="X186" s="38">
        <v>34.17</v>
      </c>
      <c r="Y186" s="38">
        <v>33.35</v>
      </c>
      <c r="Z186" s="38">
        <v>33.9</v>
      </c>
      <c r="AA186" s="38">
        <v>34.92</v>
      </c>
      <c r="AB186" s="38">
        <v>38.729999999999997</v>
      </c>
      <c r="AC186" s="38">
        <v>42.23</v>
      </c>
      <c r="AD186" s="38">
        <v>44.91</v>
      </c>
      <c r="AE186" s="38">
        <v>46.59</v>
      </c>
      <c r="AF186" s="38">
        <v>46.52</v>
      </c>
      <c r="AG186" s="38">
        <v>43.93</v>
      </c>
      <c r="AH186" s="38">
        <v>37.9</v>
      </c>
      <c r="AI186" s="38">
        <v>35.32</v>
      </c>
      <c r="AJ186" s="38">
        <v>34.229999999999997</v>
      </c>
      <c r="AK186" s="38">
        <v>34.44</v>
      </c>
      <c r="AL186" s="38">
        <v>35.65</v>
      </c>
      <c r="AM186" s="38">
        <v>38.64</v>
      </c>
      <c r="AN186" s="38">
        <v>44</v>
      </c>
      <c r="AO186" s="38">
        <v>46.38</v>
      </c>
      <c r="AP186" s="38">
        <v>46.54</v>
      </c>
      <c r="AQ186" s="38">
        <v>46.38</v>
      </c>
      <c r="AR186" s="38">
        <v>43.7</v>
      </c>
      <c r="AS186" s="38">
        <v>41.2</v>
      </c>
      <c r="AT186" s="38">
        <v>36.85</v>
      </c>
      <c r="AU186" s="38">
        <v>36.31</v>
      </c>
      <c r="AV186" s="38">
        <v>36.01</v>
      </c>
      <c r="AW186" s="38">
        <v>36.1</v>
      </c>
      <c r="AX186" s="38">
        <v>36.1</v>
      </c>
      <c r="AY186" s="38">
        <v>37.83</v>
      </c>
      <c r="BA186" s="37">
        <v>38.53</v>
      </c>
      <c r="BB186" s="38">
        <v>1.3023</v>
      </c>
    </row>
    <row r="187" spans="1:54" x14ac:dyDescent="0.35">
      <c r="A187" s="2">
        <f t="shared" si="2"/>
        <v>44083</v>
      </c>
      <c r="B187" t="s">
        <v>229</v>
      </c>
      <c r="C187" s="32">
        <v>44083</v>
      </c>
      <c r="D187" s="38">
        <v>28.03</v>
      </c>
      <c r="E187" s="38">
        <v>34.64</v>
      </c>
      <c r="F187" s="38">
        <v>38.64</v>
      </c>
      <c r="G187" s="38">
        <v>40.11</v>
      </c>
      <c r="H187" s="38">
        <v>40.65</v>
      </c>
      <c r="I187" s="38">
        <v>38.090000000000003</v>
      </c>
      <c r="J187" s="38">
        <v>34.619999999999997</v>
      </c>
      <c r="K187" s="38">
        <v>32.479999999999997</v>
      </c>
      <c r="L187" s="38">
        <v>30.41</v>
      </c>
      <c r="M187" s="38">
        <v>30.55</v>
      </c>
      <c r="N187" s="38">
        <v>30.95</v>
      </c>
      <c r="O187" s="38">
        <v>32.75</v>
      </c>
      <c r="P187" s="38">
        <v>37.090000000000003</v>
      </c>
      <c r="Q187" s="38">
        <v>40.01</v>
      </c>
      <c r="R187" s="38">
        <v>42.53</v>
      </c>
      <c r="S187" s="38">
        <v>46.22</v>
      </c>
      <c r="T187" s="38">
        <v>46.02</v>
      </c>
      <c r="U187" s="38">
        <v>42.1</v>
      </c>
      <c r="V187" s="38">
        <v>37.35</v>
      </c>
      <c r="W187" s="38">
        <v>35.020000000000003</v>
      </c>
      <c r="X187" s="38">
        <v>34.33</v>
      </c>
      <c r="Y187" s="38">
        <v>33.51</v>
      </c>
      <c r="Z187" s="38">
        <v>34.06</v>
      </c>
      <c r="AA187" s="38">
        <v>35.08</v>
      </c>
      <c r="AB187" s="38">
        <v>38.840000000000003</v>
      </c>
      <c r="AC187" s="38">
        <v>42.32</v>
      </c>
      <c r="AD187" s="38">
        <v>45</v>
      </c>
      <c r="AE187" s="38">
        <v>46.68</v>
      </c>
      <c r="AF187" s="38">
        <v>46.61</v>
      </c>
      <c r="AG187" s="38">
        <v>44.02</v>
      </c>
      <c r="AH187" s="38">
        <v>37.99</v>
      </c>
      <c r="AI187" s="38">
        <v>35.409999999999997</v>
      </c>
      <c r="AJ187" s="38">
        <v>34.32</v>
      </c>
      <c r="AK187" s="38">
        <v>34.53</v>
      </c>
      <c r="AL187" s="38">
        <v>35.74</v>
      </c>
      <c r="AM187" s="38">
        <v>38.729999999999997</v>
      </c>
      <c r="AN187" s="38">
        <v>44.09</v>
      </c>
      <c r="AO187" s="38">
        <v>46.47</v>
      </c>
      <c r="AP187" s="38">
        <v>46.63</v>
      </c>
      <c r="AQ187" s="38">
        <v>46.47</v>
      </c>
      <c r="AR187" s="38">
        <v>43.79</v>
      </c>
      <c r="AS187" s="38">
        <v>41.29</v>
      </c>
      <c r="AT187" s="38">
        <v>36.94</v>
      </c>
      <c r="AU187" s="38">
        <v>36.4</v>
      </c>
      <c r="AV187" s="38">
        <v>36.1</v>
      </c>
      <c r="AW187" s="38">
        <v>36.19</v>
      </c>
      <c r="AX187" s="38">
        <v>36.19</v>
      </c>
      <c r="AY187" s="38">
        <v>38.01</v>
      </c>
      <c r="BA187" s="37">
        <v>39.979999999999997</v>
      </c>
      <c r="BB187" s="38">
        <v>1.2996000000000001</v>
      </c>
    </row>
    <row r="188" spans="1:54" x14ac:dyDescent="0.35">
      <c r="A188" s="2">
        <f t="shared" si="2"/>
        <v>44084</v>
      </c>
      <c r="B188" t="s">
        <v>230</v>
      </c>
      <c r="C188" s="32">
        <v>44084</v>
      </c>
      <c r="D188" s="38">
        <v>27.7</v>
      </c>
      <c r="E188" s="38">
        <v>34.76</v>
      </c>
      <c r="F188" s="38">
        <v>38.81</v>
      </c>
      <c r="G188" s="38">
        <v>40.700000000000003</v>
      </c>
      <c r="H188" s="38">
        <v>40.75</v>
      </c>
      <c r="I188" s="38">
        <v>38.35</v>
      </c>
      <c r="J188" s="38">
        <v>35.04</v>
      </c>
      <c r="K188" s="38">
        <v>32.94</v>
      </c>
      <c r="L188" s="38">
        <v>30.87</v>
      </c>
      <c r="M188" s="38">
        <v>31.01</v>
      </c>
      <c r="N188" s="38">
        <v>31.41</v>
      </c>
      <c r="O188" s="38">
        <v>33.18</v>
      </c>
      <c r="P188" s="38">
        <v>37.380000000000003</v>
      </c>
      <c r="Q188" s="38">
        <v>40.159999999999997</v>
      </c>
      <c r="R188" s="38">
        <v>42.68</v>
      </c>
      <c r="S188" s="38">
        <v>46.37</v>
      </c>
      <c r="T188" s="38">
        <v>46.17</v>
      </c>
      <c r="U188" s="38">
        <v>42.25</v>
      </c>
      <c r="V188" s="38">
        <v>37.5</v>
      </c>
      <c r="W188" s="38">
        <v>35.17</v>
      </c>
      <c r="X188" s="38">
        <v>34.479999999999997</v>
      </c>
      <c r="Y188" s="38">
        <v>33.659999999999997</v>
      </c>
      <c r="Z188" s="38">
        <v>34.21</v>
      </c>
      <c r="AA188" s="38">
        <v>35.299999999999997</v>
      </c>
      <c r="AB188" s="38">
        <v>39.159999999999997</v>
      </c>
      <c r="AC188" s="38">
        <v>42.7</v>
      </c>
      <c r="AD188" s="38">
        <v>45.38</v>
      </c>
      <c r="AE188" s="38">
        <v>47.06</v>
      </c>
      <c r="AF188" s="38">
        <v>46.99</v>
      </c>
      <c r="AG188" s="38">
        <v>44.4</v>
      </c>
      <c r="AH188" s="38">
        <v>38.369999999999997</v>
      </c>
      <c r="AI188" s="38">
        <v>35.79</v>
      </c>
      <c r="AJ188" s="38">
        <v>34.700000000000003</v>
      </c>
      <c r="AK188" s="38">
        <v>34.909999999999997</v>
      </c>
      <c r="AL188" s="38">
        <v>36.119999999999997</v>
      </c>
      <c r="AM188" s="38">
        <v>39.11</v>
      </c>
      <c r="AN188" s="38">
        <v>44.47</v>
      </c>
      <c r="AO188" s="38">
        <v>46.85</v>
      </c>
      <c r="AP188" s="38">
        <v>47.01</v>
      </c>
      <c r="AQ188" s="38">
        <v>46.85</v>
      </c>
      <c r="AR188" s="38">
        <v>44.17</v>
      </c>
      <c r="AS188" s="38">
        <v>41.67</v>
      </c>
      <c r="AT188" s="38">
        <v>37.32</v>
      </c>
      <c r="AU188" s="38">
        <v>36.78</v>
      </c>
      <c r="AV188" s="38">
        <v>36.479999999999997</v>
      </c>
      <c r="AW188" s="38">
        <v>36.57</v>
      </c>
      <c r="AX188" s="38">
        <v>36.57</v>
      </c>
      <c r="AY188" s="38">
        <v>38.369999999999997</v>
      </c>
      <c r="BA188" s="37">
        <v>39.270000000000003</v>
      </c>
      <c r="BB188" s="38">
        <v>1.2867</v>
      </c>
    </row>
    <row r="189" spans="1:54" x14ac:dyDescent="0.35">
      <c r="A189" s="2">
        <f t="shared" si="2"/>
        <v>44085</v>
      </c>
      <c r="B189" t="s">
        <v>231</v>
      </c>
      <c r="C189" s="32">
        <v>44085</v>
      </c>
      <c r="D189" s="38">
        <v>27.78</v>
      </c>
      <c r="E189" s="38">
        <v>35.07</v>
      </c>
      <c r="F189" s="38">
        <v>39.01</v>
      </c>
      <c r="G189" s="38">
        <v>40.880000000000003</v>
      </c>
      <c r="H189" s="38">
        <v>41.08</v>
      </c>
      <c r="I189" s="38">
        <v>38.479999999999997</v>
      </c>
      <c r="J189" s="38">
        <v>35.29</v>
      </c>
      <c r="K189" s="38">
        <v>33.26</v>
      </c>
      <c r="L189" s="38">
        <v>31.19</v>
      </c>
      <c r="M189" s="38">
        <v>31.33</v>
      </c>
      <c r="N189" s="38">
        <v>31.73</v>
      </c>
      <c r="O189" s="38">
        <v>33.5</v>
      </c>
      <c r="P189" s="38">
        <v>37.700000000000003</v>
      </c>
      <c r="Q189" s="38">
        <v>40.479999999999997</v>
      </c>
      <c r="R189" s="38">
        <v>43</v>
      </c>
      <c r="S189" s="38">
        <v>46.69</v>
      </c>
      <c r="T189" s="38">
        <v>46.49</v>
      </c>
      <c r="U189" s="38">
        <v>42.57</v>
      </c>
      <c r="V189" s="38">
        <v>37.71</v>
      </c>
      <c r="W189" s="38">
        <v>35.29</v>
      </c>
      <c r="X189" s="38">
        <v>34.6</v>
      </c>
      <c r="Y189" s="38">
        <v>33.78</v>
      </c>
      <c r="Z189" s="38">
        <v>34.33</v>
      </c>
      <c r="AA189" s="38">
        <v>35.42</v>
      </c>
      <c r="AB189" s="38">
        <v>39.28</v>
      </c>
      <c r="AC189" s="38">
        <v>42.82</v>
      </c>
      <c r="AD189" s="38">
        <v>45.5</v>
      </c>
      <c r="AE189" s="38">
        <v>47.18</v>
      </c>
      <c r="AF189" s="38">
        <v>47.11</v>
      </c>
      <c r="AG189" s="38">
        <v>44.52</v>
      </c>
      <c r="AH189" s="38">
        <v>38.49</v>
      </c>
      <c r="AI189" s="38">
        <v>35.909999999999997</v>
      </c>
      <c r="AJ189" s="38">
        <v>34.82</v>
      </c>
      <c r="AK189" s="38">
        <v>35.03</v>
      </c>
      <c r="AL189" s="38">
        <v>36.229999999999997</v>
      </c>
      <c r="AM189" s="38">
        <v>39.22</v>
      </c>
      <c r="AN189" s="38">
        <v>44.58</v>
      </c>
      <c r="AO189" s="38">
        <v>46.96</v>
      </c>
      <c r="AP189" s="38">
        <v>47.12</v>
      </c>
      <c r="AQ189" s="38">
        <v>46.96</v>
      </c>
      <c r="AR189" s="38">
        <v>44.28</v>
      </c>
      <c r="AS189" s="38">
        <v>41.78</v>
      </c>
      <c r="AT189" s="38">
        <v>37.380000000000003</v>
      </c>
      <c r="AU189" s="38">
        <v>36.79</v>
      </c>
      <c r="AV189" s="38">
        <v>36.450000000000003</v>
      </c>
      <c r="AW189" s="38">
        <v>36.5</v>
      </c>
      <c r="AX189" s="38">
        <v>36.43</v>
      </c>
      <c r="AY189" s="38">
        <v>38.15</v>
      </c>
      <c r="BA189" s="37">
        <v>38.799999999999997</v>
      </c>
      <c r="BB189" s="38">
        <v>1.2782</v>
      </c>
    </row>
    <row r="190" spans="1:54" x14ac:dyDescent="0.35">
      <c r="A190" s="2">
        <f t="shared" si="2"/>
        <v>44088</v>
      </c>
      <c r="B190" t="s">
        <v>232</v>
      </c>
      <c r="C190" s="32">
        <v>44088</v>
      </c>
      <c r="D190" s="38">
        <v>28.38</v>
      </c>
      <c r="E190" s="38">
        <v>35.630000000000003</v>
      </c>
      <c r="F190" s="38">
        <v>39.47</v>
      </c>
      <c r="G190" s="38">
        <v>41.53</v>
      </c>
      <c r="H190" s="38">
        <v>41.83</v>
      </c>
      <c r="I190" s="38">
        <v>39.200000000000003</v>
      </c>
      <c r="J190" s="38">
        <v>35.9</v>
      </c>
      <c r="K190" s="38">
        <v>33.76</v>
      </c>
      <c r="L190" s="38">
        <v>31.69</v>
      </c>
      <c r="M190" s="38">
        <v>31.83</v>
      </c>
      <c r="N190" s="38">
        <v>32.229999999999997</v>
      </c>
      <c r="O190" s="38">
        <v>34</v>
      </c>
      <c r="P190" s="38">
        <v>38.200000000000003</v>
      </c>
      <c r="Q190" s="38">
        <v>40.98</v>
      </c>
      <c r="R190" s="38">
        <v>43.5</v>
      </c>
      <c r="S190" s="38">
        <v>47.19</v>
      </c>
      <c r="T190" s="38">
        <v>46.99</v>
      </c>
      <c r="U190" s="38">
        <v>43.07</v>
      </c>
      <c r="V190" s="38">
        <v>38.24</v>
      </c>
      <c r="W190" s="38">
        <v>35.82</v>
      </c>
      <c r="X190" s="38">
        <v>35.130000000000003</v>
      </c>
      <c r="Y190" s="38">
        <v>34.31</v>
      </c>
      <c r="Z190" s="38">
        <v>34.86</v>
      </c>
      <c r="AA190" s="38">
        <v>35.950000000000003</v>
      </c>
      <c r="AB190" s="38">
        <v>39.909999999999997</v>
      </c>
      <c r="AC190" s="38">
        <v>43.45</v>
      </c>
      <c r="AD190" s="38">
        <v>46.13</v>
      </c>
      <c r="AE190" s="38">
        <v>47.81</v>
      </c>
      <c r="AF190" s="38">
        <v>47.74</v>
      </c>
      <c r="AG190" s="38">
        <v>45.15</v>
      </c>
      <c r="AH190" s="38">
        <v>39.119999999999997</v>
      </c>
      <c r="AI190" s="38">
        <v>36.54</v>
      </c>
      <c r="AJ190" s="38">
        <v>35.450000000000003</v>
      </c>
      <c r="AK190" s="38">
        <v>35.659999999999997</v>
      </c>
      <c r="AL190" s="38">
        <v>36.86</v>
      </c>
      <c r="AM190" s="38">
        <v>39.85</v>
      </c>
      <c r="AN190" s="38">
        <v>45.21</v>
      </c>
      <c r="AO190" s="38">
        <v>47.59</v>
      </c>
      <c r="AP190" s="38">
        <v>47.75</v>
      </c>
      <c r="AQ190" s="38">
        <v>47.59</v>
      </c>
      <c r="AR190" s="38">
        <v>44.91</v>
      </c>
      <c r="AS190" s="38">
        <v>42.41</v>
      </c>
      <c r="AT190" s="38">
        <v>38.01</v>
      </c>
      <c r="AU190" s="38">
        <v>37.42</v>
      </c>
      <c r="AV190" s="38">
        <v>37.08</v>
      </c>
      <c r="AW190" s="38">
        <v>37.130000000000003</v>
      </c>
      <c r="AX190" s="38">
        <v>37.06</v>
      </c>
      <c r="AY190" s="38">
        <v>38.78</v>
      </c>
      <c r="BA190" s="37">
        <v>38.57</v>
      </c>
      <c r="BB190" s="38">
        <v>1.2883</v>
      </c>
    </row>
    <row r="191" spans="1:54" x14ac:dyDescent="0.35">
      <c r="A191" s="2">
        <f t="shared" si="2"/>
        <v>44089</v>
      </c>
      <c r="B191" t="s">
        <v>233</v>
      </c>
      <c r="C191" s="32">
        <v>44089</v>
      </c>
      <c r="D191" s="38">
        <v>28.97</v>
      </c>
      <c r="E191" s="38">
        <v>35.909999999999997</v>
      </c>
      <c r="F191" s="38">
        <v>39.78</v>
      </c>
      <c r="G191" s="38">
        <v>41.78</v>
      </c>
      <c r="H191" s="38">
        <v>41.98</v>
      </c>
      <c r="I191" s="38">
        <v>39.369999999999997</v>
      </c>
      <c r="J191" s="38">
        <v>36.119999999999997</v>
      </c>
      <c r="K191" s="38">
        <v>34</v>
      </c>
      <c r="L191" s="38">
        <v>31.89</v>
      </c>
      <c r="M191" s="38">
        <v>31.89</v>
      </c>
      <c r="N191" s="38">
        <v>32.24</v>
      </c>
      <c r="O191" s="38">
        <v>34.01</v>
      </c>
      <c r="P191" s="38">
        <v>38.19</v>
      </c>
      <c r="Q191" s="38">
        <v>40.97</v>
      </c>
      <c r="R191" s="38">
        <v>43.5</v>
      </c>
      <c r="S191" s="38">
        <v>47.17</v>
      </c>
      <c r="T191" s="38">
        <v>46.97</v>
      </c>
      <c r="U191" s="38">
        <v>43.07</v>
      </c>
      <c r="V191" s="38">
        <v>38.26</v>
      </c>
      <c r="W191" s="38">
        <v>35.92</v>
      </c>
      <c r="X191" s="38">
        <v>35.229999999999997</v>
      </c>
      <c r="Y191" s="38">
        <v>34.479999999999997</v>
      </c>
      <c r="Z191" s="38">
        <v>35.03</v>
      </c>
      <c r="AA191" s="38">
        <v>36.159999999999997</v>
      </c>
      <c r="AB191" s="38">
        <v>40.14</v>
      </c>
      <c r="AC191" s="38">
        <v>43.68</v>
      </c>
      <c r="AD191" s="38">
        <v>46.36</v>
      </c>
      <c r="AE191" s="38">
        <v>48.04</v>
      </c>
      <c r="AF191" s="38">
        <v>47.97</v>
      </c>
      <c r="AG191" s="38">
        <v>45.38</v>
      </c>
      <c r="AH191" s="38">
        <v>39.35</v>
      </c>
      <c r="AI191" s="38">
        <v>36.770000000000003</v>
      </c>
      <c r="AJ191" s="38">
        <v>35.68</v>
      </c>
      <c r="AK191" s="38">
        <v>35.89</v>
      </c>
      <c r="AL191" s="38">
        <v>37.090000000000003</v>
      </c>
      <c r="AM191" s="38">
        <v>40.08</v>
      </c>
      <c r="AN191" s="38">
        <v>45.44</v>
      </c>
      <c r="AO191" s="38">
        <v>47.82</v>
      </c>
      <c r="AP191" s="38">
        <v>47.98</v>
      </c>
      <c r="AQ191" s="38">
        <v>47.82</v>
      </c>
      <c r="AR191" s="38">
        <v>45.14</v>
      </c>
      <c r="AS191" s="38">
        <v>42.64</v>
      </c>
      <c r="AT191" s="38">
        <v>38.24</v>
      </c>
      <c r="AU191" s="38">
        <v>37.65</v>
      </c>
      <c r="AV191" s="38">
        <v>37.31</v>
      </c>
      <c r="AW191" s="38">
        <v>37.36</v>
      </c>
      <c r="AX191" s="38">
        <v>37.29</v>
      </c>
      <c r="AY191" s="38">
        <v>38.97</v>
      </c>
      <c r="BA191" s="37">
        <v>39.54</v>
      </c>
      <c r="BB191" s="38">
        <v>1.2854000000000001</v>
      </c>
    </row>
    <row r="192" spans="1:54" x14ac:dyDescent="0.35">
      <c r="A192" s="2">
        <f t="shared" si="2"/>
        <v>44090</v>
      </c>
      <c r="B192" t="s">
        <v>234</v>
      </c>
      <c r="C192" s="32">
        <v>44090</v>
      </c>
      <c r="D192" s="38">
        <v>29.74</v>
      </c>
      <c r="E192" s="38">
        <v>36.31</v>
      </c>
      <c r="F192" s="38">
        <v>39.82</v>
      </c>
      <c r="G192" s="38">
        <v>41.94</v>
      </c>
      <c r="H192" s="38">
        <v>42.11</v>
      </c>
      <c r="I192" s="38">
        <v>39.54</v>
      </c>
      <c r="J192" s="38">
        <v>36.369999999999997</v>
      </c>
      <c r="K192" s="38">
        <v>34.25</v>
      </c>
      <c r="L192" s="38">
        <v>32.14</v>
      </c>
      <c r="M192" s="38">
        <v>32.14</v>
      </c>
      <c r="N192" s="38">
        <v>32.49</v>
      </c>
      <c r="O192" s="38">
        <v>34.299999999999997</v>
      </c>
      <c r="P192" s="38">
        <v>38.49</v>
      </c>
      <c r="Q192" s="38">
        <v>41.31</v>
      </c>
      <c r="R192" s="38">
        <v>43.84</v>
      </c>
      <c r="S192" s="38">
        <v>47.52</v>
      </c>
      <c r="T192" s="38">
        <v>47.33</v>
      </c>
      <c r="U192" s="38">
        <v>43.43</v>
      </c>
      <c r="V192" s="38">
        <v>38.619999999999997</v>
      </c>
      <c r="W192" s="38">
        <v>36.28</v>
      </c>
      <c r="X192" s="38">
        <v>35.590000000000003</v>
      </c>
      <c r="Y192" s="38">
        <v>34.840000000000003</v>
      </c>
      <c r="Z192" s="38">
        <v>35.39</v>
      </c>
      <c r="AA192" s="38">
        <v>36.520000000000003</v>
      </c>
      <c r="AB192" s="38">
        <v>40.450000000000003</v>
      </c>
      <c r="AC192" s="38">
        <v>43.94</v>
      </c>
      <c r="AD192" s="38">
        <v>46.56</v>
      </c>
      <c r="AE192" s="38">
        <v>48.22</v>
      </c>
      <c r="AF192" s="38">
        <v>48.11</v>
      </c>
      <c r="AG192" s="38">
        <v>45.5</v>
      </c>
      <c r="AH192" s="38">
        <v>39.47</v>
      </c>
      <c r="AI192" s="38">
        <v>36.89</v>
      </c>
      <c r="AJ192" s="38">
        <v>35.799999999999997</v>
      </c>
      <c r="AK192" s="38">
        <v>36.01</v>
      </c>
      <c r="AL192" s="38">
        <v>37.21</v>
      </c>
      <c r="AM192" s="38">
        <v>40.200000000000003</v>
      </c>
      <c r="AN192" s="38">
        <v>45.55</v>
      </c>
      <c r="AO192" s="38">
        <v>47.91</v>
      </c>
      <c r="AP192" s="38">
        <v>48.07</v>
      </c>
      <c r="AQ192" s="38">
        <v>47.91</v>
      </c>
      <c r="AR192" s="38">
        <v>45.23</v>
      </c>
      <c r="AS192" s="38">
        <v>42.73</v>
      </c>
      <c r="AT192" s="38">
        <v>38.33</v>
      </c>
      <c r="AU192" s="38">
        <v>37.74</v>
      </c>
      <c r="AV192" s="38">
        <v>37.4</v>
      </c>
      <c r="AW192" s="38">
        <v>37.450000000000003</v>
      </c>
      <c r="AX192" s="38">
        <v>37.380000000000003</v>
      </c>
      <c r="AY192" s="38">
        <v>39.06</v>
      </c>
      <c r="BA192" s="37">
        <v>41.23</v>
      </c>
      <c r="BB192" s="38">
        <v>1.3006</v>
      </c>
    </row>
    <row r="193" spans="1:54" x14ac:dyDescent="0.35">
      <c r="A193" s="2">
        <f t="shared" si="2"/>
        <v>44091</v>
      </c>
      <c r="B193" t="s">
        <v>235</v>
      </c>
      <c r="C193" s="32">
        <v>44091</v>
      </c>
      <c r="D193" s="38">
        <v>29.14</v>
      </c>
      <c r="E193" s="38">
        <v>35.729999999999997</v>
      </c>
      <c r="F193" s="38">
        <v>39.5</v>
      </c>
      <c r="G193" s="38">
        <v>41.62</v>
      </c>
      <c r="H193" s="38">
        <v>41.79</v>
      </c>
      <c r="I193" s="38">
        <v>39.119999999999997</v>
      </c>
      <c r="J193" s="38">
        <v>36.159999999999997</v>
      </c>
      <c r="K193" s="38">
        <v>34.03</v>
      </c>
      <c r="L193" s="38">
        <v>31.91</v>
      </c>
      <c r="M193" s="38">
        <v>31.95</v>
      </c>
      <c r="N193" s="38">
        <v>32.25</v>
      </c>
      <c r="O193" s="38">
        <v>34.01</v>
      </c>
      <c r="P193" s="38">
        <v>38.18</v>
      </c>
      <c r="Q193" s="38">
        <v>41</v>
      </c>
      <c r="R193" s="38">
        <v>43.53</v>
      </c>
      <c r="S193" s="38">
        <v>47.15</v>
      </c>
      <c r="T193" s="38">
        <v>46.91</v>
      </c>
      <c r="U193" s="38">
        <v>42.96</v>
      </c>
      <c r="V193" s="38">
        <v>38.11</v>
      </c>
      <c r="W193" s="38">
        <v>35.74</v>
      </c>
      <c r="X193" s="38">
        <v>35.049999999999997</v>
      </c>
      <c r="Y193" s="38">
        <v>34.299999999999997</v>
      </c>
      <c r="Z193" s="38">
        <v>34.85</v>
      </c>
      <c r="AA193" s="38">
        <v>35.979999999999997</v>
      </c>
      <c r="AB193" s="38">
        <v>39.799999999999997</v>
      </c>
      <c r="AC193" s="38">
        <v>43.29</v>
      </c>
      <c r="AD193" s="38">
        <v>45.91</v>
      </c>
      <c r="AE193" s="38">
        <v>47.57</v>
      </c>
      <c r="AF193" s="38">
        <v>47.46</v>
      </c>
      <c r="AG193" s="38">
        <v>44.85</v>
      </c>
      <c r="AH193" s="38">
        <v>38.82</v>
      </c>
      <c r="AI193" s="38">
        <v>36.24</v>
      </c>
      <c r="AJ193" s="38">
        <v>35.15</v>
      </c>
      <c r="AK193" s="38">
        <v>35.36</v>
      </c>
      <c r="AL193" s="38">
        <v>36.56</v>
      </c>
      <c r="AM193" s="38">
        <v>39.549999999999997</v>
      </c>
      <c r="AN193" s="38">
        <v>45.17</v>
      </c>
      <c r="AO193" s="38">
        <v>47.53</v>
      </c>
      <c r="AP193" s="38">
        <v>47.69</v>
      </c>
      <c r="AQ193" s="38">
        <v>47.53</v>
      </c>
      <c r="AR193" s="38">
        <v>44.85</v>
      </c>
      <c r="AS193" s="38">
        <v>42.35</v>
      </c>
      <c r="AT193" s="38">
        <v>37.950000000000003</v>
      </c>
      <c r="AU193" s="38">
        <v>37.36</v>
      </c>
      <c r="AV193" s="38">
        <v>37.020000000000003</v>
      </c>
      <c r="AW193" s="38">
        <v>37.07</v>
      </c>
      <c r="AX193" s="38">
        <v>37</v>
      </c>
      <c r="AY193" s="38">
        <v>38.68</v>
      </c>
      <c r="BA193" s="37">
        <v>42.35</v>
      </c>
      <c r="BB193" s="38">
        <v>1.2951999999999999</v>
      </c>
    </row>
    <row r="194" spans="1:54" x14ac:dyDescent="0.35">
      <c r="A194" s="2">
        <f t="shared" si="2"/>
        <v>44092</v>
      </c>
      <c r="B194" t="s">
        <v>236</v>
      </c>
      <c r="C194" s="32">
        <v>44092</v>
      </c>
      <c r="D194" s="38">
        <v>30.36</v>
      </c>
      <c r="E194" s="38">
        <v>36.479999999999997</v>
      </c>
      <c r="F194" s="38">
        <v>39.9</v>
      </c>
      <c r="G194" s="38">
        <v>42.05</v>
      </c>
      <c r="H194" s="38">
        <v>42.25</v>
      </c>
      <c r="I194" s="38">
        <v>39.590000000000003</v>
      </c>
      <c r="J194" s="38">
        <v>36.69</v>
      </c>
      <c r="K194" s="38">
        <v>34.619999999999997</v>
      </c>
      <c r="L194" s="38">
        <v>32.51</v>
      </c>
      <c r="M194" s="38">
        <v>32.56</v>
      </c>
      <c r="N194" s="38">
        <v>32.869999999999997</v>
      </c>
      <c r="O194" s="38">
        <v>34.64</v>
      </c>
      <c r="P194" s="38">
        <v>38.81</v>
      </c>
      <c r="Q194" s="38">
        <v>41.64</v>
      </c>
      <c r="R194" s="38">
        <v>44.19</v>
      </c>
      <c r="S194" s="38">
        <v>47.78</v>
      </c>
      <c r="T194" s="38">
        <v>47.51</v>
      </c>
      <c r="U194" s="38">
        <v>43.52</v>
      </c>
      <c r="V194" s="38">
        <v>38.64</v>
      </c>
      <c r="W194" s="38">
        <v>36.229999999999997</v>
      </c>
      <c r="X194" s="38">
        <v>35.5</v>
      </c>
      <c r="Y194" s="38">
        <v>34.72</v>
      </c>
      <c r="Z194" s="38">
        <v>35.24</v>
      </c>
      <c r="AA194" s="38">
        <v>36.340000000000003</v>
      </c>
      <c r="AB194" s="38">
        <v>40.130000000000003</v>
      </c>
      <c r="AC194" s="38">
        <v>43.59</v>
      </c>
      <c r="AD194" s="38">
        <v>46.21</v>
      </c>
      <c r="AE194" s="38">
        <v>47.87</v>
      </c>
      <c r="AF194" s="38">
        <v>47.76</v>
      </c>
      <c r="AG194" s="38">
        <v>45.15</v>
      </c>
      <c r="AH194" s="38">
        <v>39.119999999999997</v>
      </c>
      <c r="AI194" s="38">
        <v>36.54</v>
      </c>
      <c r="AJ194" s="38">
        <v>35.450000000000003</v>
      </c>
      <c r="AK194" s="38">
        <v>35.659999999999997</v>
      </c>
      <c r="AL194" s="38">
        <v>36.86</v>
      </c>
      <c r="AM194" s="38">
        <v>39.85</v>
      </c>
      <c r="AN194" s="38">
        <v>45.47</v>
      </c>
      <c r="AO194" s="38">
        <v>47.83</v>
      </c>
      <c r="AP194" s="38">
        <v>48.01</v>
      </c>
      <c r="AQ194" s="38">
        <v>47.88</v>
      </c>
      <c r="AR194" s="38">
        <v>45.22</v>
      </c>
      <c r="AS194" s="38">
        <v>42.75</v>
      </c>
      <c r="AT194" s="38">
        <v>38.35</v>
      </c>
      <c r="AU194" s="38">
        <v>37.76</v>
      </c>
      <c r="AV194" s="38">
        <v>37.42</v>
      </c>
      <c r="AW194" s="38">
        <v>37.47</v>
      </c>
      <c r="AX194" s="38">
        <v>37.36</v>
      </c>
      <c r="AY194" s="38">
        <v>38.99</v>
      </c>
      <c r="BA194" s="37">
        <v>42.16</v>
      </c>
      <c r="BB194" s="38">
        <v>1.2962</v>
      </c>
    </row>
    <row r="195" spans="1:54" x14ac:dyDescent="0.35">
      <c r="A195" s="2">
        <f t="shared" si="2"/>
        <v>44095</v>
      </c>
      <c r="B195" t="s">
        <v>237</v>
      </c>
      <c r="C195" s="32">
        <v>44095</v>
      </c>
      <c r="D195" s="38">
        <v>30.45</v>
      </c>
      <c r="E195" s="38">
        <v>35.61</v>
      </c>
      <c r="F195" s="38">
        <v>39.130000000000003</v>
      </c>
      <c r="G195" s="38">
        <v>41.23</v>
      </c>
      <c r="H195" s="38">
        <v>41.63</v>
      </c>
      <c r="I195" s="38">
        <v>38.880000000000003</v>
      </c>
      <c r="J195" s="38">
        <v>35.909999999999997</v>
      </c>
      <c r="K195" s="38">
        <v>33.840000000000003</v>
      </c>
      <c r="L195" s="38">
        <v>31.75</v>
      </c>
      <c r="M195" s="38">
        <v>31.82</v>
      </c>
      <c r="N195" s="38">
        <v>32.130000000000003</v>
      </c>
      <c r="O195" s="38">
        <v>33.9</v>
      </c>
      <c r="P195" s="38">
        <v>38.07</v>
      </c>
      <c r="Q195" s="38">
        <v>40.909999999999997</v>
      </c>
      <c r="R195" s="38">
        <v>43.5</v>
      </c>
      <c r="S195" s="38">
        <v>47.13</v>
      </c>
      <c r="T195" s="38">
        <v>46.9</v>
      </c>
      <c r="U195" s="38">
        <v>42.94</v>
      </c>
      <c r="V195" s="38">
        <v>38.22</v>
      </c>
      <c r="W195" s="38">
        <v>35.869999999999997</v>
      </c>
      <c r="X195" s="38">
        <v>35.18</v>
      </c>
      <c r="Y195" s="38">
        <v>34.4</v>
      </c>
      <c r="Z195" s="38">
        <v>34.92</v>
      </c>
      <c r="AA195" s="38">
        <v>36.020000000000003</v>
      </c>
      <c r="AB195" s="38">
        <v>39.81</v>
      </c>
      <c r="AC195" s="38">
        <v>43.27</v>
      </c>
      <c r="AD195" s="38">
        <v>45.89</v>
      </c>
      <c r="AE195" s="38">
        <v>47.57</v>
      </c>
      <c r="AF195" s="38">
        <v>47.53</v>
      </c>
      <c r="AG195" s="38">
        <v>45.02</v>
      </c>
      <c r="AH195" s="38">
        <v>39.1</v>
      </c>
      <c r="AI195" s="38">
        <v>36.590000000000003</v>
      </c>
      <c r="AJ195" s="38">
        <v>35.56</v>
      </c>
      <c r="AK195" s="38">
        <v>35.799999999999997</v>
      </c>
      <c r="AL195" s="38">
        <v>37.04</v>
      </c>
      <c r="AM195" s="38">
        <v>40.07</v>
      </c>
      <c r="AN195" s="38">
        <v>45.72</v>
      </c>
      <c r="AO195" s="38">
        <v>48.08</v>
      </c>
      <c r="AP195" s="38">
        <v>48.26</v>
      </c>
      <c r="AQ195" s="38">
        <v>48.05</v>
      </c>
      <c r="AR195" s="38">
        <v>45.32</v>
      </c>
      <c r="AS195" s="38">
        <v>42.69</v>
      </c>
      <c r="AT195" s="38">
        <v>38.19</v>
      </c>
      <c r="AU195" s="38">
        <v>37.57</v>
      </c>
      <c r="AV195" s="38">
        <v>37.229999999999997</v>
      </c>
      <c r="AW195" s="38">
        <v>37.31</v>
      </c>
      <c r="AX195" s="38">
        <v>37.24</v>
      </c>
      <c r="AY195" s="38">
        <v>38.979999999999997</v>
      </c>
      <c r="BA195" s="37">
        <v>40.369999999999997</v>
      </c>
      <c r="BB195" s="38">
        <v>1.2795000000000001</v>
      </c>
    </row>
    <row r="196" spans="1:54" x14ac:dyDescent="0.35">
      <c r="A196" s="2">
        <f t="shared" si="2"/>
        <v>44096</v>
      </c>
      <c r="B196" t="s">
        <v>238</v>
      </c>
      <c r="C196" s="32">
        <v>44096</v>
      </c>
      <c r="D196" s="38">
        <v>31.19</v>
      </c>
      <c r="E196" s="38">
        <v>35.78</v>
      </c>
      <c r="F196" s="38">
        <v>39.19</v>
      </c>
      <c r="G196" s="38">
        <v>41.37</v>
      </c>
      <c r="H196" s="38">
        <v>41.84</v>
      </c>
      <c r="I196" s="38">
        <v>38.94</v>
      </c>
      <c r="J196" s="38">
        <v>35.99</v>
      </c>
      <c r="K196" s="38">
        <v>33.89</v>
      </c>
      <c r="L196" s="38">
        <v>31.81</v>
      </c>
      <c r="M196" s="38">
        <v>31.89</v>
      </c>
      <c r="N196" s="38">
        <v>32.200000000000003</v>
      </c>
      <c r="O196" s="38">
        <v>33.97</v>
      </c>
      <c r="P196" s="38">
        <v>38</v>
      </c>
      <c r="Q196" s="38">
        <v>40.86</v>
      </c>
      <c r="R196" s="38">
        <v>43.46</v>
      </c>
      <c r="S196" s="38">
        <v>47.09</v>
      </c>
      <c r="T196" s="38">
        <v>46.86</v>
      </c>
      <c r="U196" s="38">
        <v>42.9</v>
      </c>
      <c r="V196" s="38">
        <v>38.22</v>
      </c>
      <c r="W196" s="38">
        <v>35.880000000000003</v>
      </c>
      <c r="X196" s="38">
        <v>35.200000000000003</v>
      </c>
      <c r="Y196" s="38">
        <v>34.43</v>
      </c>
      <c r="Z196" s="38">
        <v>34.909999999999997</v>
      </c>
      <c r="AA196" s="38">
        <v>35.93</v>
      </c>
      <c r="AB196" s="38">
        <v>39.57</v>
      </c>
      <c r="AC196" s="38">
        <v>42.97</v>
      </c>
      <c r="AD196" s="38">
        <v>45.59</v>
      </c>
      <c r="AE196" s="38">
        <v>47.27</v>
      </c>
      <c r="AF196" s="38">
        <v>47.23</v>
      </c>
      <c r="AG196" s="38">
        <v>44.72</v>
      </c>
      <c r="AH196" s="38">
        <v>38.799999999999997</v>
      </c>
      <c r="AI196" s="38">
        <v>36.29</v>
      </c>
      <c r="AJ196" s="38">
        <v>35.24</v>
      </c>
      <c r="AK196" s="38">
        <v>35.42</v>
      </c>
      <c r="AL196" s="38">
        <v>36.6</v>
      </c>
      <c r="AM196" s="38">
        <v>39.54</v>
      </c>
      <c r="AN196" s="38">
        <v>45.19</v>
      </c>
      <c r="AO196" s="38">
        <v>47.62</v>
      </c>
      <c r="AP196" s="38">
        <v>47.86</v>
      </c>
      <c r="AQ196" s="38">
        <v>47.71</v>
      </c>
      <c r="AR196" s="38">
        <v>45.04</v>
      </c>
      <c r="AS196" s="38">
        <v>42.57</v>
      </c>
      <c r="AT196" s="38">
        <v>38.130000000000003</v>
      </c>
      <c r="AU196" s="38">
        <v>37.58</v>
      </c>
      <c r="AV196" s="38">
        <v>37.24</v>
      </c>
      <c r="AW196" s="38">
        <v>37.32</v>
      </c>
      <c r="AX196" s="38">
        <v>37.22</v>
      </c>
      <c r="AY196" s="38">
        <v>38.79</v>
      </c>
      <c r="BA196" s="37">
        <v>40.840000000000003</v>
      </c>
      <c r="BB196" s="38">
        <v>1.2721</v>
      </c>
    </row>
    <row r="197" spans="1:54" x14ac:dyDescent="0.35">
      <c r="A197" s="2">
        <f t="shared" si="2"/>
        <v>44097</v>
      </c>
      <c r="B197" t="s">
        <v>239</v>
      </c>
      <c r="C197" s="32">
        <v>44097</v>
      </c>
      <c r="D197" s="38">
        <v>32.270000000000003</v>
      </c>
      <c r="E197" s="38">
        <v>36.69</v>
      </c>
      <c r="F197" s="38">
        <v>39.64</v>
      </c>
      <c r="G197" s="38">
        <v>41.8</v>
      </c>
      <c r="H197" s="38">
        <v>42.15</v>
      </c>
      <c r="I197" s="38">
        <v>39.36</v>
      </c>
      <c r="J197" s="38">
        <v>36.31</v>
      </c>
      <c r="K197" s="38">
        <v>34.159999999999997</v>
      </c>
      <c r="L197" s="38">
        <v>32.130000000000003</v>
      </c>
      <c r="M197" s="38">
        <v>32.22</v>
      </c>
      <c r="N197" s="38">
        <v>32.53</v>
      </c>
      <c r="O197" s="38">
        <v>34.299999999999997</v>
      </c>
      <c r="P197" s="38">
        <v>38.46</v>
      </c>
      <c r="Q197" s="38">
        <v>41.32</v>
      </c>
      <c r="R197" s="38">
        <v>43.92</v>
      </c>
      <c r="S197" s="38">
        <v>47.55</v>
      </c>
      <c r="T197" s="38">
        <v>47.32</v>
      </c>
      <c r="U197" s="38">
        <v>43.36</v>
      </c>
      <c r="V197" s="38">
        <v>38.47</v>
      </c>
      <c r="W197" s="38">
        <v>36.130000000000003</v>
      </c>
      <c r="X197" s="38">
        <v>35.450000000000003</v>
      </c>
      <c r="Y197" s="38">
        <v>34.68</v>
      </c>
      <c r="Z197" s="38">
        <v>35.159999999999997</v>
      </c>
      <c r="AA197" s="38">
        <v>36.18</v>
      </c>
      <c r="AB197" s="38">
        <v>39.82</v>
      </c>
      <c r="AC197" s="38">
        <v>43.23</v>
      </c>
      <c r="AD197" s="38">
        <v>45.85</v>
      </c>
      <c r="AE197" s="38">
        <v>47.53</v>
      </c>
      <c r="AF197" s="38">
        <v>47.49</v>
      </c>
      <c r="AG197" s="38">
        <v>44.93</v>
      </c>
      <c r="AH197" s="38">
        <v>39.08</v>
      </c>
      <c r="AI197" s="38">
        <v>36.57</v>
      </c>
      <c r="AJ197" s="38">
        <v>35.520000000000003</v>
      </c>
      <c r="AK197" s="38">
        <v>35.700000000000003</v>
      </c>
      <c r="AL197" s="38">
        <v>36.880000000000003</v>
      </c>
      <c r="AM197" s="38">
        <v>39.82</v>
      </c>
      <c r="AN197" s="38">
        <v>45.47</v>
      </c>
      <c r="AO197" s="38">
        <v>47.9</v>
      </c>
      <c r="AP197" s="38">
        <v>48.14</v>
      </c>
      <c r="AQ197" s="38">
        <v>47.99</v>
      </c>
      <c r="AR197" s="38">
        <v>45.27</v>
      </c>
      <c r="AS197" s="38">
        <v>42.75</v>
      </c>
      <c r="AT197" s="38">
        <v>38.25</v>
      </c>
      <c r="AU197" s="38">
        <v>37.659999999999997</v>
      </c>
      <c r="AV197" s="38">
        <v>37.32</v>
      </c>
      <c r="AW197" s="38">
        <v>37.4</v>
      </c>
      <c r="AX197" s="38">
        <v>37.299999999999997</v>
      </c>
      <c r="AY197" s="38">
        <v>38.869999999999997</v>
      </c>
      <c r="BA197" s="37">
        <v>41.09</v>
      </c>
      <c r="BB197" s="38">
        <v>1.2765</v>
      </c>
    </row>
    <row r="198" spans="1:54" x14ac:dyDescent="0.35">
      <c r="A198" s="2">
        <f t="shared" si="2"/>
        <v>44098</v>
      </c>
      <c r="B198" t="s">
        <v>240</v>
      </c>
      <c r="C198" s="32">
        <v>44098</v>
      </c>
      <c r="D198" s="38">
        <v>31.39</v>
      </c>
      <c r="E198" s="38">
        <v>36.33</v>
      </c>
      <c r="F198" s="38">
        <v>39.46</v>
      </c>
      <c r="G198" s="38">
        <v>41.32</v>
      </c>
      <c r="H198" s="38">
        <v>41.66</v>
      </c>
      <c r="I198" s="38">
        <v>38.68</v>
      </c>
      <c r="J198" s="38">
        <v>35.93</v>
      </c>
      <c r="K198" s="38">
        <v>33.83</v>
      </c>
      <c r="L198" s="38">
        <v>31.9</v>
      </c>
      <c r="M198" s="38">
        <v>32.020000000000003</v>
      </c>
      <c r="N198" s="38">
        <v>32.299999999999997</v>
      </c>
      <c r="O198" s="38">
        <v>34</v>
      </c>
      <c r="P198" s="38">
        <v>38.07</v>
      </c>
      <c r="Q198" s="38">
        <v>40.909999999999997</v>
      </c>
      <c r="R198" s="38">
        <v>43.52</v>
      </c>
      <c r="S198" s="38">
        <v>47.17</v>
      </c>
      <c r="T198" s="38">
        <v>46.97</v>
      </c>
      <c r="U198" s="38">
        <v>43.06</v>
      </c>
      <c r="V198" s="38">
        <v>38.19</v>
      </c>
      <c r="W198" s="38">
        <v>35.92</v>
      </c>
      <c r="X198" s="38">
        <v>35.24</v>
      </c>
      <c r="Y198" s="38">
        <v>34.47</v>
      </c>
      <c r="Z198" s="38">
        <v>34.909999999999997</v>
      </c>
      <c r="AA198" s="38">
        <v>35.840000000000003</v>
      </c>
      <c r="AB198" s="38">
        <v>39.4</v>
      </c>
      <c r="AC198" s="38">
        <v>42.81</v>
      </c>
      <c r="AD198" s="38">
        <v>45.42</v>
      </c>
      <c r="AE198" s="38">
        <v>47.1</v>
      </c>
      <c r="AF198" s="38">
        <v>47.06</v>
      </c>
      <c r="AG198" s="38">
        <v>44.5</v>
      </c>
      <c r="AH198" s="38">
        <v>38.68</v>
      </c>
      <c r="AI198" s="38">
        <v>36.17</v>
      </c>
      <c r="AJ198" s="38">
        <v>35.119999999999997</v>
      </c>
      <c r="AK198" s="38">
        <v>35.299999999999997</v>
      </c>
      <c r="AL198" s="38">
        <v>36.479999999999997</v>
      </c>
      <c r="AM198" s="38">
        <v>39.42</v>
      </c>
      <c r="AN198" s="38">
        <v>45.07</v>
      </c>
      <c r="AO198" s="38">
        <v>47.5</v>
      </c>
      <c r="AP198" s="38">
        <v>47.74</v>
      </c>
      <c r="AQ198" s="38">
        <v>47.59</v>
      </c>
      <c r="AR198" s="38">
        <v>44.87</v>
      </c>
      <c r="AS198" s="38">
        <v>42.35</v>
      </c>
      <c r="AT198" s="38">
        <v>38.01</v>
      </c>
      <c r="AU198" s="38">
        <v>37.46</v>
      </c>
      <c r="AV198" s="38">
        <v>37.119999999999997</v>
      </c>
      <c r="AW198" s="38">
        <v>37.200000000000003</v>
      </c>
      <c r="AX198" s="38">
        <v>37.1</v>
      </c>
      <c r="AY198" s="38">
        <v>38.67</v>
      </c>
      <c r="BA198" s="37">
        <v>41.24</v>
      </c>
      <c r="BB198" s="38">
        <v>1.2714000000000001</v>
      </c>
    </row>
    <row r="199" spans="1:54" x14ac:dyDescent="0.35">
      <c r="A199" s="2">
        <f t="shared" si="2"/>
        <v>44099</v>
      </c>
      <c r="B199" t="s">
        <v>241</v>
      </c>
      <c r="C199" s="32">
        <v>44099</v>
      </c>
      <c r="D199" s="38">
        <v>31.91</v>
      </c>
      <c r="E199" s="38">
        <v>36.950000000000003</v>
      </c>
      <c r="F199" s="38">
        <v>39.979999999999997</v>
      </c>
      <c r="G199" s="38">
        <v>41.98</v>
      </c>
      <c r="H199" s="38">
        <v>41.96</v>
      </c>
      <c r="I199" s="38">
        <v>39.1</v>
      </c>
      <c r="J199" s="38">
        <v>36.130000000000003</v>
      </c>
      <c r="K199" s="38">
        <v>34.380000000000003</v>
      </c>
      <c r="L199" s="38">
        <v>32.450000000000003</v>
      </c>
      <c r="M199" s="38">
        <v>32.44</v>
      </c>
      <c r="N199" s="38">
        <v>32.72</v>
      </c>
      <c r="O199" s="38">
        <v>34.409999999999997</v>
      </c>
      <c r="P199" s="38">
        <v>38.33</v>
      </c>
      <c r="Q199" s="38">
        <v>41.17</v>
      </c>
      <c r="R199" s="38">
        <v>43.78</v>
      </c>
      <c r="S199" s="38">
        <v>47.43</v>
      </c>
      <c r="T199" s="38">
        <v>47.23</v>
      </c>
      <c r="U199" s="38">
        <v>43.32</v>
      </c>
      <c r="V199" s="38">
        <v>38.450000000000003</v>
      </c>
      <c r="W199" s="38">
        <v>36.18</v>
      </c>
      <c r="X199" s="38">
        <v>35.5</v>
      </c>
      <c r="Y199" s="38">
        <v>34.729999999999997</v>
      </c>
      <c r="Z199" s="38">
        <v>35.17</v>
      </c>
      <c r="AA199" s="38">
        <v>36.1</v>
      </c>
      <c r="AB199" s="38">
        <v>39.51</v>
      </c>
      <c r="AC199" s="38">
        <v>42.92</v>
      </c>
      <c r="AD199" s="38">
        <v>45.53</v>
      </c>
      <c r="AE199" s="38">
        <v>47.21</v>
      </c>
      <c r="AF199" s="38">
        <v>47.09</v>
      </c>
      <c r="AG199" s="38">
        <v>44.46</v>
      </c>
      <c r="AH199" s="38">
        <v>38.64</v>
      </c>
      <c r="AI199" s="38">
        <v>36.130000000000003</v>
      </c>
      <c r="AJ199" s="38">
        <v>35.08</v>
      </c>
      <c r="AK199" s="38">
        <v>35.26</v>
      </c>
      <c r="AL199" s="38">
        <v>36.44</v>
      </c>
      <c r="AM199" s="38">
        <v>39.380000000000003</v>
      </c>
      <c r="AN199" s="38">
        <v>45.03</v>
      </c>
      <c r="AO199" s="38">
        <v>47.46</v>
      </c>
      <c r="AP199" s="38">
        <v>47.7</v>
      </c>
      <c r="AQ199" s="38">
        <v>47.55</v>
      </c>
      <c r="AR199" s="38">
        <v>44.83</v>
      </c>
      <c r="AS199" s="38">
        <v>42.31</v>
      </c>
      <c r="AT199" s="38">
        <v>38.020000000000003</v>
      </c>
      <c r="AU199" s="38">
        <v>37.47</v>
      </c>
      <c r="AV199" s="38">
        <v>37.130000000000003</v>
      </c>
      <c r="AW199" s="38">
        <v>37.21</v>
      </c>
      <c r="AX199" s="38">
        <v>37.11</v>
      </c>
      <c r="AY199" s="38">
        <v>38.68</v>
      </c>
      <c r="BA199" s="37">
        <v>40.909999999999997</v>
      </c>
      <c r="BB199" s="38">
        <v>1.2705</v>
      </c>
    </row>
    <row r="200" spans="1:54" x14ac:dyDescent="0.35">
      <c r="A200" s="2">
        <f t="shared" si="2"/>
        <v>44102</v>
      </c>
      <c r="B200" t="s">
        <v>242</v>
      </c>
      <c r="C200" s="32">
        <v>44102</v>
      </c>
      <c r="D200" s="38">
        <v>34.020000000000003</v>
      </c>
      <c r="E200" s="38">
        <v>38.53</v>
      </c>
      <c r="F200" s="38">
        <v>41.29</v>
      </c>
      <c r="G200" s="38">
        <v>42.58</v>
      </c>
      <c r="H200" s="38">
        <v>42.28</v>
      </c>
      <c r="I200" s="38">
        <v>39.380000000000003</v>
      </c>
      <c r="J200" s="38">
        <v>36.299999999999997</v>
      </c>
      <c r="K200" s="38">
        <v>35.22</v>
      </c>
      <c r="L200" s="38">
        <v>33.630000000000003</v>
      </c>
      <c r="M200" s="38">
        <v>33.380000000000003</v>
      </c>
      <c r="N200" s="38">
        <v>33.6</v>
      </c>
      <c r="O200" s="38">
        <v>35.22</v>
      </c>
      <c r="P200" s="38">
        <v>38.61</v>
      </c>
      <c r="Q200" s="38">
        <v>41.31</v>
      </c>
      <c r="R200" s="38">
        <v>43.88</v>
      </c>
      <c r="S200" s="38">
        <v>47.49</v>
      </c>
      <c r="T200" s="38">
        <v>47.29</v>
      </c>
      <c r="U200" s="38">
        <v>43.38</v>
      </c>
      <c r="V200" s="38">
        <v>38.659999999999997</v>
      </c>
      <c r="W200" s="38">
        <v>36.39</v>
      </c>
      <c r="X200" s="38">
        <v>35.71</v>
      </c>
      <c r="Y200" s="38">
        <v>34.94</v>
      </c>
      <c r="Z200" s="38">
        <v>35.380000000000003</v>
      </c>
      <c r="AA200" s="38">
        <v>36.31</v>
      </c>
      <c r="AB200" s="38">
        <v>39.700000000000003</v>
      </c>
      <c r="AC200" s="38">
        <v>43.08</v>
      </c>
      <c r="AD200" s="38">
        <v>45.67</v>
      </c>
      <c r="AE200" s="38">
        <v>47.32</v>
      </c>
      <c r="AF200" s="38">
        <v>47.21</v>
      </c>
      <c r="AG200" s="38">
        <v>44.58</v>
      </c>
      <c r="AH200" s="38">
        <v>38.92</v>
      </c>
      <c r="AI200" s="38">
        <v>36.409999999999997</v>
      </c>
      <c r="AJ200" s="38">
        <v>35.36</v>
      </c>
      <c r="AK200" s="38">
        <v>35.54</v>
      </c>
      <c r="AL200" s="38">
        <v>36.72</v>
      </c>
      <c r="AM200" s="38">
        <v>39.659999999999997</v>
      </c>
      <c r="AN200" s="38">
        <v>45.13</v>
      </c>
      <c r="AO200" s="38">
        <v>47.56</v>
      </c>
      <c r="AP200" s="38">
        <v>47.8</v>
      </c>
      <c r="AQ200" s="38">
        <v>47.65</v>
      </c>
      <c r="AR200" s="38">
        <v>44.93</v>
      </c>
      <c r="AS200" s="38">
        <v>42.41</v>
      </c>
      <c r="AT200" s="38">
        <v>38.119999999999997</v>
      </c>
      <c r="AU200" s="38">
        <v>37.57</v>
      </c>
      <c r="AV200" s="38">
        <v>37.229999999999997</v>
      </c>
      <c r="AW200" s="38">
        <v>37.31</v>
      </c>
      <c r="AX200" s="38">
        <v>37.21</v>
      </c>
      <c r="AY200" s="38">
        <v>38.78</v>
      </c>
      <c r="BA200" s="37">
        <v>41.59</v>
      </c>
      <c r="BB200" s="38">
        <v>1.2842</v>
      </c>
    </row>
    <row r="201" spans="1:54" x14ac:dyDescent="0.35">
      <c r="A201" s="2">
        <f t="shared" si="2"/>
        <v>44103</v>
      </c>
      <c r="B201" t="s">
        <v>243</v>
      </c>
      <c r="C201" s="32">
        <v>44103</v>
      </c>
      <c r="D201" s="38">
        <v>34.26</v>
      </c>
      <c r="E201" s="38">
        <v>38.17</v>
      </c>
      <c r="F201" s="38">
        <v>41.06</v>
      </c>
      <c r="G201" s="38">
        <v>42.66</v>
      </c>
      <c r="H201" s="38">
        <v>42.81</v>
      </c>
      <c r="I201" s="38">
        <v>39.590000000000003</v>
      </c>
      <c r="J201" s="38">
        <v>36.799999999999997</v>
      </c>
      <c r="K201" s="38">
        <v>35.04</v>
      </c>
      <c r="L201" s="38">
        <v>33.4</v>
      </c>
      <c r="M201" s="38">
        <v>33.33</v>
      </c>
      <c r="N201" s="38">
        <v>33.54</v>
      </c>
      <c r="O201" s="38">
        <v>35.17</v>
      </c>
      <c r="P201" s="38">
        <v>38.700000000000003</v>
      </c>
      <c r="Q201" s="38">
        <v>41.4</v>
      </c>
      <c r="R201" s="38">
        <v>43.82</v>
      </c>
      <c r="S201" s="38">
        <v>47.33</v>
      </c>
      <c r="T201" s="38">
        <v>47.13</v>
      </c>
      <c r="U201" s="38">
        <v>43.23</v>
      </c>
      <c r="V201" s="38">
        <v>38.51</v>
      </c>
      <c r="W201" s="38">
        <v>36.24</v>
      </c>
      <c r="X201" s="38">
        <v>35.56</v>
      </c>
      <c r="Y201" s="38">
        <v>34.79</v>
      </c>
      <c r="Z201" s="38">
        <v>35.229999999999997</v>
      </c>
      <c r="AA201" s="38">
        <v>36.19</v>
      </c>
      <c r="AB201" s="38">
        <v>39.86</v>
      </c>
      <c r="AC201" s="38">
        <v>43.27</v>
      </c>
      <c r="AD201" s="38">
        <v>45.89</v>
      </c>
      <c r="AE201" s="38">
        <v>47.56</v>
      </c>
      <c r="AF201" s="38">
        <v>47.45</v>
      </c>
      <c r="AG201" s="38">
        <v>44.73</v>
      </c>
      <c r="AH201" s="38">
        <v>39.020000000000003</v>
      </c>
      <c r="AI201" s="38">
        <v>36.51</v>
      </c>
      <c r="AJ201" s="38">
        <v>35.46</v>
      </c>
      <c r="AK201" s="38">
        <v>35.64</v>
      </c>
      <c r="AL201" s="38">
        <v>36.82</v>
      </c>
      <c r="AM201" s="38">
        <v>39.76</v>
      </c>
      <c r="AN201" s="38">
        <v>45.23</v>
      </c>
      <c r="AO201" s="38">
        <v>47.66</v>
      </c>
      <c r="AP201" s="38">
        <v>47.9</v>
      </c>
      <c r="AQ201" s="38">
        <v>47.75</v>
      </c>
      <c r="AR201" s="38">
        <v>45.03</v>
      </c>
      <c r="AS201" s="38">
        <v>42.51</v>
      </c>
      <c r="AT201" s="38">
        <v>38.22</v>
      </c>
      <c r="AU201" s="38">
        <v>37.67</v>
      </c>
      <c r="AV201" s="38">
        <v>37.33</v>
      </c>
      <c r="AW201" s="38">
        <v>37.409999999999997</v>
      </c>
      <c r="AX201" s="38">
        <v>37.31</v>
      </c>
      <c r="AY201" s="38">
        <v>38.880000000000003</v>
      </c>
      <c r="BA201" s="37">
        <v>40.33</v>
      </c>
      <c r="BB201" s="38">
        <v>1.2842</v>
      </c>
    </row>
    <row r="202" spans="1:54" x14ac:dyDescent="0.35">
      <c r="A202" s="2">
        <f t="shared" si="2"/>
        <v>44104</v>
      </c>
      <c r="B202" t="s">
        <v>244</v>
      </c>
      <c r="C202" s="32">
        <v>44104</v>
      </c>
      <c r="D202" s="38">
        <v>37</v>
      </c>
      <c r="E202" s="38">
        <v>39.74</v>
      </c>
      <c r="F202" s="38">
        <v>41.69</v>
      </c>
      <c r="G202" s="38">
        <v>41.87</v>
      </c>
      <c r="H202" s="38">
        <v>38.79</v>
      </c>
      <c r="I202" s="38">
        <v>35.99</v>
      </c>
      <c r="J202" s="38">
        <v>34.25</v>
      </c>
      <c r="K202" s="38">
        <v>32.75</v>
      </c>
      <c r="L202" s="38">
        <v>32.659999999999997</v>
      </c>
      <c r="M202" s="38">
        <v>32.840000000000003</v>
      </c>
      <c r="N202" s="38">
        <v>34.49</v>
      </c>
      <c r="O202" s="38">
        <v>38.14</v>
      </c>
      <c r="P202" s="38">
        <v>40.96</v>
      </c>
      <c r="Q202" s="38">
        <v>43.38</v>
      </c>
      <c r="R202" s="38">
        <v>46.89</v>
      </c>
      <c r="S202" s="38">
        <v>46.69</v>
      </c>
      <c r="T202" s="38">
        <v>42.78</v>
      </c>
      <c r="U202" s="38">
        <v>38.06</v>
      </c>
      <c r="V202" s="38">
        <v>35.79</v>
      </c>
      <c r="W202" s="38">
        <v>35.11</v>
      </c>
      <c r="X202" s="38">
        <v>34.340000000000003</v>
      </c>
      <c r="Y202" s="38">
        <v>34.78</v>
      </c>
      <c r="Z202" s="38">
        <v>35.67</v>
      </c>
      <c r="AA202" s="38">
        <v>39.32</v>
      </c>
      <c r="AB202" s="38">
        <v>42.69</v>
      </c>
      <c r="AC202" s="38">
        <v>45.31</v>
      </c>
      <c r="AD202" s="38">
        <v>46.98</v>
      </c>
      <c r="AE202" s="38">
        <v>46.87</v>
      </c>
      <c r="AF202" s="38">
        <v>44.15</v>
      </c>
      <c r="AG202" s="38">
        <v>38.5</v>
      </c>
      <c r="AH202" s="38">
        <v>36.04</v>
      </c>
      <c r="AI202" s="38">
        <v>34.94</v>
      </c>
      <c r="AJ202" s="38">
        <v>35.07</v>
      </c>
      <c r="AK202" s="38">
        <v>36.200000000000003</v>
      </c>
      <c r="AL202" s="38">
        <v>39.08</v>
      </c>
      <c r="AM202" s="38">
        <v>44.26</v>
      </c>
      <c r="AN202" s="38">
        <v>46.69</v>
      </c>
      <c r="AO202" s="38">
        <v>46.93</v>
      </c>
      <c r="AP202" s="38">
        <v>46.78</v>
      </c>
      <c r="AQ202" s="38">
        <v>44.06</v>
      </c>
      <c r="AR202" s="38">
        <v>41.54</v>
      </c>
      <c r="AS202" s="38">
        <v>37.4</v>
      </c>
      <c r="AT202" s="38">
        <v>36.979999999999997</v>
      </c>
      <c r="AU202" s="38">
        <v>36.75</v>
      </c>
      <c r="AV202" s="38">
        <v>36.93</v>
      </c>
      <c r="AW202" s="38">
        <v>36.92</v>
      </c>
      <c r="AX202" s="38">
        <v>38.520000000000003</v>
      </c>
      <c r="AY202" s="38">
        <v>42.84</v>
      </c>
      <c r="BA202" s="37">
        <v>40.299999999999997</v>
      </c>
      <c r="BB202" s="38">
        <v>1.2924</v>
      </c>
    </row>
    <row r="203" spans="1:54" x14ac:dyDescent="0.35">
      <c r="A203" s="2">
        <f t="shared" si="2"/>
        <v>44105</v>
      </c>
      <c r="B203" t="s">
        <v>245</v>
      </c>
      <c r="C203" s="32">
        <v>44105</v>
      </c>
      <c r="D203" s="38">
        <v>36.71</v>
      </c>
      <c r="E203" s="38">
        <v>39.25</v>
      </c>
      <c r="F203" s="38">
        <v>41.19</v>
      </c>
      <c r="G203" s="38">
        <v>41.43</v>
      </c>
      <c r="H203" s="38">
        <v>38.409999999999997</v>
      </c>
      <c r="I203" s="38">
        <v>35.659999999999997</v>
      </c>
      <c r="J203" s="38">
        <v>33.950000000000003</v>
      </c>
      <c r="K203" s="38">
        <v>32.44</v>
      </c>
      <c r="L203" s="38">
        <v>32.35</v>
      </c>
      <c r="M203" s="38">
        <v>32.53</v>
      </c>
      <c r="N203" s="38">
        <v>34.19</v>
      </c>
      <c r="O203" s="38">
        <v>37.92</v>
      </c>
      <c r="P203" s="38">
        <v>40.72</v>
      </c>
      <c r="Q203" s="38">
        <v>43.1</v>
      </c>
      <c r="R203" s="38">
        <v>46.55</v>
      </c>
      <c r="S203" s="38">
        <v>46.45</v>
      </c>
      <c r="T203" s="38">
        <v>42.6</v>
      </c>
      <c r="U203" s="38">
        <v>37.979999999999997</v>
      </c>
      <c r="V203" s="38">
        <v>35.79</v>
      </c>
      <c r="W203" s="38">
        <v>35.130000000000003</v>
      </c>
      <c r="X203" s="38">
        <v>34.369999999999997</v>
      </c>
      <c r="Y203" s="38">
        <v>34.81</v>
      </c>
      <c r="Z203" s="38">
        <v>35.71</v>
      </c>
      <c r="AA203" s="38">
        <v>39.36</v>
      </c>
      <c r="AB203" s="38">
        <v>42.72</v>
      </c>
      <c r="AC203" s="38">
        <v>45.34</v>
      </c>
      <c r="AD203" s="38">
        <v>47.01</v>
      </c>
      <c r="AE203" s="38">
        <v>46.9</v>
      </c>
      <c r="AF203" s="38">
        <v>44.18</v>
      </c>
      <c r="AG203" s="38">
        <v>38.549999999999997</v>
      </c>
      <c r="AH203" s="38">
        <v>36.11</v>
      </c>
      <c r="AI203" s="38">
        <v>35.020000000000003</v>
      </c>
      <c r="AJ203" s="38">
        <v>35.14</v>
      </c>
      <c r="AK203" s="38">
        <v>36.26</v>
      </c>
      <c r="AL203" s="38">
        <v>39.14</v>
      </c>
      <c r="AM203" s="38">
        <v>44.3</v>
      </c>
      <c r="AN203" s="38">
        <v>46.64</v>
      </c>
      <c r="AO203" s="38">
        <v>46.83</v>
      </c>
      <c r="AP203" s="38">
        <v>46.68</v>
      </c>
      <c r="AQ203" s="38">
        <v>43.96</v>
      </c>
      <c r="AR203" s="38">
        <v>41.44</v>
      </c>
      <c r="AS203" s="38">
        <v>37.299999999999997</v>
      </c>
      <c r="AT203" s="38">
        <v>36.880000000000003</v>
      </c>
      <c r="AU203" s="38">
        <v>36.65</v>
      </c>
      <c r="AV203" s="38">
        <v>36.83</v>
      </c>
      <c r="AW203" s="38">
        <v>36.82</v>
      </c>
      <c r="AX203" s="38">
        <v>38.42</v>
      </c>
      <c r="AY203" s="38">
        <v>42.74</v>
      </c>
      <c r="BA203" s="37">
        <v>39.75</v>
      </c>
      <c r="BB203" s="38">
        <v>1.2869999999999999</v>
      </c>
    </row>
    <row r="204" spans="1:54" x14ac:dyDescent="0.35">
      <c r="A204" s="2">
        <f t="shared" si="2"/>
        <v>44106</v>
      </c>
      <c r="B204" t="s">
        <v>246</v>
      </c>
      <c r="C204" s="32">
        <v>44106</v>
      </c>
      <c r="D204" s="38">
        <v>36.25</v>
      </c>
      <c r="E204" s="38">
        <v>38.6</v>
      </c>
      <c r="F204" s="38">
        <v>40.26</v>
      </c>
      <c r="G204" s="38">
        <v>40.270000000000003</v>
      </c>
      <c r="H204" s="38">
        <v>37.479999999999997</v>
      </c>
      <c r="I204" s="38">
        <v>34.83</v>
      </c>
      <c r="J204" s="38">
        <v>33.04</v>
      </c>
      <c r="K204" s="38">
        <v>31.36</v>
      </c>
      <c r="L204" s="38">
        <v>31.06</v>
      </c>
      <c r="M204" s="38">
        <v>31.49</v>
      </c>
      <c r="N204" s="38">
        <v>33.049999999999997</v>
      </c>
      <c r="O204" s="38">
        <v>36.76</v>
      </c>
      <c r="P204" s="38">
        <v>39.51</v>
      </c>
      <c r="Q204" s="38">
        <v>41.89</v>
      </c>
      <c r="R204" s="38">
        <v>45.34</v>
      </c>
      <c r="S204" s="38">
        <v>45.24</v>
      </c>
      <c r="T204" s="38">
        <v>41.39</v>
      </c>
      <c r="U204" s="38">
        <v>36.99</v>
      </c>
      <c r="V204" s="38">
        <v>34.85</v>
      </c>
      <c r="W204" s="38">
        <v>34.24</v>
      </c>
      <c r="X204" s="38">
        <v>33.53</v>
      </c>
      <c r="Y204" s="38">
        <v>34.020000000000003</v>
      </c>
      <c r="Z204" s="38">
        <v>34.97</v>
      </c>
      <c r="AA204" s="38">
        <v>38.659999999999997</v>
      </c>
      <c r="AB204" s="38">
        <v>42.07</v>
      </c>
      <c r="AC204" s="38">
        <v>44.74</v>
      </c>
      <c r="AD204" s="38">
        <v>46.41</v>
      </c>
      <c r="AE204" s="38">
        <v>46.3</v>
      </c>
      <c r="AF204" s="38">
        <v>43.58</v>
      </c>
      <c r="AG204" s="38">
        <v>38</v>
      </c>
      <c r="AH204" s="38">
        <v>35.56</v>
      </c>
      <c r="AI204" s="38">
        <v>34.47</v>
      </c>
      <c r="AJ204" s="38">
        <v>34.590000000000003</v>
      </c>
      <c r="AK204" s="38">
        <v>35.71</v>
      </c>
      <c r="AL204" s="38">
        <v>38.590000000000003</v>
      </c>
      <c r="AM204" s="38">
        <v>43.8</v>
      </c>
      <c r="AN204" s="38">
        <v>46.14</v>
      </c>
      <c r="AO204" s="38">
        <v>46.33</v>
      </c>
      <c r="AP204" s="38">
        <v>46.18</v>
      </c>
      <c r="AQ204" s="38">
        <v>43.5</v>
      </c>
      <c r="AR204" s="38">
        <v>41.03</v>
      </c>
      <c r="AS204" s="38">
        <v>36.94</v>
      </c>
      <c r="AT204" s="38">
        <v>36.520000000000003</v>
      </c>
      <c r="AU204" s="38">
        <v>36.29</v>
      </c>
      <c r="AV204" s="38">
        <v>36.47</v>
      </c>
      <c r="AW204" s="38">
        <v>36.46</v>
      </c>
      <c r="AX204" s="38">
        <v>38.06</v>
      </c>
      <c r="AY204" s="38">
        <v>42.38</v>
      </c>
      <c r="BA204" s="37">
        <v>38</v>
      </c>
      <c r="BB204" s="38">
        <v>1.2931999999999999</v>
      </c>
    </row>
    <row r="205" spans="1:54" x14ac:dyDescent="0.35">
      <c r="A205" s="2">
        <f t="shared" ref="A205:A268" si="3">+A200+7</f>
        <v>44109</v>
      </c>
      <c r="B205" t="s">
        <v>247</v>
      </c>
      <c r="C205" s="32">
        <v>44109</v>
      </c>
      <c r="D205" s="38">
        <v>37.619999999999997</v>
      </c>
      <c r="E205" s="38">
        <v>39.520000000000003</v>
      </c>
      <c r="F205" s="38">
        <v>41.23</v>
      </c>
      <c r="G205" s="38">
        <v>41.42</v>
      </c>
      <c r="H205" s="38">
        <v>38.43</v>
      </c>
      <c r="I205" s="38">
        <v>35.57</v>
      </c>
      <c r="J205" s="38">
        <v>33.71</v>
      </c>
      <c r="K205" s="38">
        <v>32.03</v>
      </c>
      <c r="L205" s="38">
        <v>31.73</v>
      </c>
      <c r="M205" s="38">
        <v>32.14</v>
      </c>
      <c r="N205" s="38">
        <v>33.68</v>
      </c>
      <c r="O205" s="38">
        <v>37.369999999999997</v>
      </c>
      <c r="P205" s="38">
        <v>40.07</v>
      </c>
      <c r="Q205" s="38">
        <v>42.4</v>
      </c>
      <c r="R205" s="38">
        <v>45.8</v>
      </c>
      <c r="S205" s="38">
        <v>45.65</v>
      </c>
      <c r="T205" s="38">
        <v>41.75</v>
      </c>
      <c r="U205" s="38">
        <v>37.33</v>
      </c>
      <c r="V205" s="38">
        <v>35.14</v>
      </c>
      <c r="W205" s="38">
        <v>34.479999999999997</v>
      </c>
      <c r="X205" s="38">
        <v>33.770000000000003</v>
      </c>
      <c r="Y205" s="38">
        <v>34.26</v>
      </c>
      <c r="Z205" s="38">
        <v>35.21</v>
      </c>
      <c r="AA205" s="38">
        <v>38.9</v>
      </c>
      <c r="AB205" s="38">
        <v>42.31</v>
      </c>
      <c r="AC205" s="38">
        <v>44.98</v>
      </c>
      <c r="AD205" s="38">
        <v>46.65</v>
      </c>
      <c r="AE205" s="38">
        <v>46.54</v>
      </c>
      <c r="AF205" s="38">
        <v>43.82</v>
      </c>
      <c r="AG205" s="38">
        <v>38.24</v>
      </c>
      <c r="AH205" s="38">
        <v>35.799999999999997</v>
      </c>
      <c r="AI205" s="38">
        <v>34.71</v>
      </c>
      <c r="AJ205" s="38">
        <v>34.79</v>
      </c>
      <c r="AK205" s="38">
        <v>35.89</v>
      </c>
      <c r="AL205" s="38">
        <v>38.81</v>
      </c>
      <c r="AM205" s="38">
        <v>44.06</v>
      </c>
      <c r="AN205" s="38">
        <v>46.41</v>
      </c>
      <c r="AO205" s="38">
        <v>46.6</v>
      </c>
      <c r="AP205" s="38">
        <v>46.45</v>
      </c>
      <c r="AQ205" s="38">
        <v>43.77</v>
      </c>
      <c r="AR205" s="38">
        <v>41.3</v>
      </c>
      <c r="AS205" s="38">
        <v>37.21</v>
      </c>
      <c r="AT205" s="38">
        <v>36.79</v>
      </c>
      <c r="AU205" s="38">
        <v>36.56</v>
      </c>
      <c r="AV205" s="38">
        <v>36.74</v>
      </c>
      <c r="AW205" s="38">
        <v>36.729999999999997</v>
      </c>
      <c r="AX205" s="38">
        <v>38.33</v>
      </c>
      <c r="AY205" s="38">
        <v>42.65</v>
      </c>
      <c r="BA205" s="37">
        <v>39.78</v>
      </c>
      <c r="BB205" s="38">
        <v>1.2974000000000001</v>
      </c>
    </row>
    <row r="206" spans="1:54" x14ac:dyDescent="0.35">
      <c r="A206" s="2">
        <f t="shared" si="3"/>
        <v>44110</v>
      </c>
      <c r="B206" t="s">
        <v>248</v>
      </c>
      <c r="C206" s="32">
        <v>44110</v>
      </c>
      <c r="D206" s="38">
        <v>37.25</v>
      </c>
      <c r="E206" s="38">
        <v>39.5</v>
      </c>
      <c r="F206" s="38">
        <v>41.12</v>
      </c>
      <c r="G206" s="38">
        <v>41.37</v>
      </c>
      <c r="H206" s="38">
        <v>38.409999999999997</v>
      </c>
      <c r="I206" s="38">
        <v>35.47</v>
      </c>
      <c r="J206" s="38">
        <v>33.65</v>
      </c>
      <c r="K206" s="38">
        <v>32.020000000000003</v>
      </c>
      <c r="L206" s="38">
        <v>31.73</v>
      </c>
      <c r="M206" s="38">
        <v>32.11</v>
      </c>
      <c r="N206" s="38">
        <v>33.619999999999997</v>
      </c>
      <c r="O206" s="38">
        <v>37.340000000000003</v>
      </c>
      <c r="P206" s="38">
        <v>40.07</v>
      </c>
      <c r="Q206" s="38">
        <v>42.43</v>
      </c>
      <c r="R206" s="38">
        <v>45.86</v>
      </c>
      <c r="S206" s="38">
        <v>45.79</v>
      </c>
      <c r="T206" s="38">
        <v>41.97</v>
      </c>
      <c r="U206" s="38">
        <v>37.68</v>
      </c>
      <c r="V206" s="38">
        <v>35.54</v>
      </c>
      <c r="W206" s="38">
        <v>34.880000000000003</v>
      </c>
      <c r="X206" s="38">
        <v>34.119999999999997</v>
      </c>
      <c r="Y206" s="38">
        <v>34.56</v>
      </c>
      <c r="Z206" s="38">
        <v>35.46</v>
      </c>
      <c r="AA206" s="38">
        <v>39.1</v>
      </c>
      <c r="AB206" s="38">
        <v>42.46</v>
      </c>
      <c r="AC206" s="38">
        <v>45.08</v>
      </c>
      <c r="AD206" s="38">
        <v>46.7</v>
      </c>
      <c r="AE206" s="38">
        <v>46.59</v>
      </c>
      <c r="AF206" s="38">
        <v>43.87</v>
      </c>
      <c r="AG206" s="38">
        <v>38.24</v>
      </c>
      <c r="AH206" s="38">
        <v>35.799999999999997</v>
      </c>
      <c r="AI206" s="38">
        <v>34.71</v>
      </c>
      <c r="AJ206" s="38">
        <v>34.79</v>
      </c>
      <c r="AK206" s="38">
        <v>35.89</v>
      </c>
      <c r="AL206" s="38">
        <v>38.81</v>
      </c>
      <c r="AM206" s="38">
        <v>44.06</v>
      </c>
      <c r="AN206" s="38">
        <v>46.41</v>
      </c>
      <c r="AO206" s="38">
        <v>46.6</v>
      </c>
      <c r="AP206" s="38">
        <v>46.45</v>
      </c>
      <c r="AQ206" s="38">
        <v>43.77</v>
      </c>
      <c r="AR206" s="38">
        <v>41.3</v>
      </c>
      <c r="AS206" s="38">
        <v>37.21</v>
      </c>
      <c r="AT206" s="38">
        <v>36.79</v>
      </c>
      <c r="AU206" s="38">
        <v>36.56</v>
      </c>
      <c r="AV206" s="38">
        <v>36.74</v>
      </c>
      <c r="AW206" s="38">
        <v>36.729999999999997</v>
      </c>
      <c r="AX206" s="38">
        <v>38.33</v>
      </c>
      <c r="AY206" s="38">
        <v>42.65</v>
      </c>
      <c r="BA206" s="37">
        <v>41.27</v>
      </c>
      <c r="BB206" s="38">
        <v>1.2963</v>
      </c>
    </row>
    <row r="207" spans="1:54" x14ac:dyDescent="0.35">
      <c r="A207" s="2">
        <f t="shared" si="3"/>
        <v>44111</v>
      </c>
      <c r="B207" t="s">
        <v>249</v>
      </c>
      <c r="C207" s="32">
        <v>44111</v>
      </c>
      <c r="D207" s="38">
        <v>38.590000000000003</v>
      </c>
      <c r="E207" s="38">
        <v>40.78</v>
      </c>
      <c r="F207" s="38">
        <v>42.46</v>
      </c>
      <c r="G207" s="38">
        <v>42.57</v>
      </c>
      <c r="H207" s="38">
        <v>39.479999999999997</v>
      </c>
      <c r="I207" s="38">
        <v>36.450000000000003</v>
      </c>
      <c r="J207" s="38">
        <v>34.58</v>
      </c>
      <c r="K207" s="38">
        <v>32.85</v>
      </c>
      <c r="L207" s="38">
        <v>32.520000000000003</v>
      </c>
      <c r="M207" s="38">
        <v>32.869999999999997</v>
      </c>
      <c r="N207" s="38">
        <v>34.369999999999997</v>
      </c>
      <c r="O207" s="38">
        <v>38.200000000000003</v>
      </c>
      <c r="P207" s="38">
        <v>40.93</v>
      </c>
      <c r="Q207" s="38">
        <v>43.26</v>
      </c>
      <c r="R207" s="38">
        <v>46.66</v>
      </c>
      <c r="S207" s="38">
        <v>46.55</v>
      </c>
      <c r="T207" s="38">
        <v>42.69</v>
      </c>
      <c r="U207" s="38">
        <v>38.29</v>
      </c>
      <c r="V207" s="38">
        <v>36.119999999999997</v>
      </c>
      <c r="W207" s="38">
        <v>35.46</v>
      </c>
      <c r="X207" s="38">
        <v>34.61</v>
      </c>
      <c r="Y207" s="38">
        <v>35.049999999999997</v>
      </c>
      <c r="Z207" s="38">
        <v>35.94</v>
      </c>
      <c r="AA207" s="38">
        <v>39.64</v>
      </c>
      <c r="AB207" s="38">
        <v>43.04</v>
      </c>
      <c r="AC207" s="38">
        <v>45.66</v>
      </c>
      <c r="AD207" s="38">
        <v>47.28</v>
      </c>
      <c r="AE207" s="38">
        <v>47.15</v>
      </c>
      <c r="AF207" s="38">
        <v>44.35</v>
      </c>
      <c r="AG207" s="38">
        <v>38.71</v>
      </c>
      <c r="AH207" s="38">
        <v>36.21</v>
      </c>
      <c r="AI207" s="38">
        <v>35.119999999999997</v>
      </c>
      <c r="AJ207" s="38">
        <v>35.200000000000003</v>
      </c>
      <c r="AK207" s="38">
        <v>36.299999999999997</v>
      </c>
      <c r="AL207" s="38">
        <v>39.22</v>
      </c>
      <c r="AM207" s="38">
        <v>44.47</v>
      </c>
      <c r="AN207" s="38">
        <v>46.84</v>
      </c>
      <c r="AO207" s="38">
        <v>47.05</v>
      </c>
      <c r="AP207" s="38">
        <v>46.92</v>
      </c>
      <c r="AQ207" s="38">
        <v>44.26</v>
      </c>
      <c r="AR207" s="38">
        <v>41.81</v>
      </c>
      <c r="AS207" s="38">
        <v>37.869999999999997</v>
      </c>
      <c r="AT207" s="38">
        <v>37.47</v>
      </c>
      <c r="AU207" s="38">
        <v>37.24</v>
      </c>
      <c r="AV207" s="38">
        <v>37.42</v>
      </c>
      <c r="AW207" s="38">
        <v>37.409999999999997</v>
      </c>
      <c r="AX207" s="38">
        <v>39.01</v>
      </c>
      <c r="AY207" s="38">
        <v>43.33</v>
      </c>
      <c r="BA207" s="37">
        <v>40.619999999999997</v>
      </c>
      <c r="BB207" s="38">
        <v>1.2895000000000001</v>
      </c>
    </row>
    <row r="208" spans="1:54" x14ac:dyDescent="0.35">
      <c r="A208" s="2">
        <f t="shared" si="3"/>
        <v>44112</v>
      </c>
      <c r="B208" t="s">
        <v>250</v>
      </c>
      <c r="C208" s="32">
        <v>44112</v>
      </c>
      <c r="D208" s="38">
        <v>38.700000000000003</v>
      </c>
      <c r="E208" s="38">
        <v>41.11</v>
      </c>
      <c r="F208" s="38">
        <v>42.85</v>
      </c>
      <c r="G208" s="38">
        <v>43.32</v>
      </c>
      <c r="H208" s="38">
        <v>40.39</v>
      </c>
      <c r="I208" s="38">
        <v>37.47</v>
      </c>
      <c r="J208" s="38">
        <v>35.520000000000003</v>
      </c>
      <c r="K208" s="38">
        <v>33.729999999999997</v>
      </c>
      <c r="L208" s="38">
        <v>33.340000000000003</v>
      </c>
      <c r="M208" s="38">
        <v>33.64</v>
      </c>
      <c r="N208" s="38">
        <v>35.08</v>
      </c>
      <c r="O208" s="38">
        <v>38.99</v>
      </c>
      <c r="P208" s="38">
        <v>41.61</v>
      </c>
      <c r="Q208" s="38">
        <v>43.91</v>
      </c>
      <c r="R208" s="38">
        <v>47.28</v>
      </c>
      <c r="S208" s="38">
        <v>47.14</v>
      </c>
      <c r="T208" s="38">
        <v>43.25</v>
      </c>
      <c r="U208" s="38">
        <v>38.799999999999997</v>
      </c>
      <c r="V208" s="38">
        <v>36.630000000000003</v>
      </c>
      <c r="W208" s="38">
        <v>35.94</v>
      </c>
      <c r="X208" s="38">
        <v>35.049999999999997</v>
      </c>
      <c r="Y208" s="38">
        <v>35.450000000000003</v>
      </c>
      <c r="Z208" s="38">
        <v>36.299999999999997</v>
      </c>
      <c r="AA208" s="38">
        <v>39.96</v>
      </c>
      <c r="AB208" s="38">
        <v>43.31</v>
      </c>
      <c r="AC208" s="38">
        <v>45.89</v>
      </c>
      <c r="AD208" s="38">
        <v>47.48</v>
      </c>
      <c r="AE208" s="38">
        <v>47.31</v>
      </c>
      <c r="AF208" s="38">
        <v>44.47</v>
      </c>
      <c r="AG208" s="38">
        <v>38.75</v>
      </c>
      <c r="AH208" s="38">
        <v>36.25</v>
      </c>
      <c r="AI208" s="38">
        <v>35.159999999999997</v>
      </c>
      <c r="AJ208" s="38">
        <v>35.24</v>
      </c>
      <c r="AK208" s="38">
        <v>36.340000000000003</v>
      </c>
      <c r="AL208" s="38">
        <v>39.26</v>
      </c>
      <c r="AM208" s="38">
        <v>44.51</v>
      </c>
      <c r="AN208" s="38">
        <v>46.88</v>
      </c>
      <c r="AO208" s="38">
        <v>47.09</v>
      </c>
      <c r="AP208" s="38">
        <v>46.96</v>
      </c>
      <c r="AQ208" s="38">
        <v>44.3</v>
      </c>
      <c r="AR208" s="38">
        <v>41.85</v>
      </c>
      <c r="AS208" s="38">
        <v>37.909999999999997</v>
      </c>
      <c r="AT208" s="38">
        <v>37.51</v>
      </c>
      <c r="AU208" s="38">
        <v>37.28</v>
      </c>
      <c r="AV208" s="38">
        <v>37.46</v>
      </c>
      <c r="AW208" s="38">
        <v>37.450000000000003</v>
      </c>
      <c r="AX208" s="38">
        <v>39.049999999999997</v>
      </c>
      <c r="AY208" s="38">
        <v>43.37</v>
      </c>
      <c r="BA208" s="37">
        <v>42</v>
      </c>
      <c r="BB208" s="38">
        <v>1.2927999999999999</v>
      </c>
    </row>
    <row r="209" spans="1:54" x14ac:dyDescent="0.35">
      <c r="A209" s="2">
        <f t="shared" si="3"/>
        <v>44113</v>
      </c>
      <c r="B209" t="s">
        <v>251</v>
      </c>
      <c r="C209" s="32">
        <v>44113</v>
      </c>
      <c r="D209" s="38">
        <v>38.299999999999997</v>
      </c>
      <c r="E209" s="38">
        <v>40.770000000000003</v>
      </c>
      <c r="F209" s="38">
        <v>42.49</v>
      </c>
      <c r="G209" s="38">
        <v>42.75</v>
      </c>
      <c r="H209" s="38">
        <v>39.79</v>
      </c>
      <c r="I209" s="38">
        <v>37.04</v>
      </c>
      <c r="J209" s="38">
        <v>35</v>
      </c>
      <c r="K209" s="38">
        <v>33.44</v>
      </c>
      <c r="L209" s="38">
        <v>33.31</v>
      </c>
      <c r="M209" s="38">
        <v>33.64</v>
      </c>
      <c r="N209" s="38">
        <v>35.03</v>
      </c>
      <c r="O209" s="38">
        <v>38.75</v>
      </c>
      <c r="P209" s="38">
        <v>41.22</v>
      </c>
      <c r="Q209" s="38">
        <v>43.48</v>
      </c>
      <c r="R209" s="38">
        <v>46.89</v>
      </c>
      <c r="S209" s="38">
        <v>46.79</v>
      </c>
      <c r="T209" s="38">
        <v>42.92</v>
      </c>
      <c r="U209" s="38">
        <v>38.56</v>
      </c>
      <c r="V209" s="38">
        <v>36.450000000000003</v>
      </c>
      <c r="W209" s="38">
        <v>35.76</v>
      </c>
      <c r="X209" s="38">
        <v>34.869999999999997</v>
      </c>
      <c r="Y209" s="38">
        <v>35.270000000000003</v>
      </c>
      <c r="Z209" s="38">
        <v>36.130000000000003</v>
      </c>
      <c r="AA209" s="38">
        <v>39.81</v>
      </c>
      <c r="AB209" s="38">
        <v>43.16</v>
      </c>
      <c r="AC209" s="38">
        <v>45.74</v>
      </c>
      <c r="AD209" s="38">
        <v>47.33</v>
      </c>
      <c r="AE209" s="38">
        <v>47.16</v>
      </c>
      <c r="AF209" s="38">
        <v>44.32</v>
      </c>
      <c r="AG209" s="38">
        <v>38.6</v>
      </c>
      <c r="AH209" s="38">
        <v>36.1</v>
      </c>
      <c r="AI209" s="38">
        <v>35.01</v>
      </c>
      <c r="AJ209" s="38">
        <v>35.090000000000003</v>
      </c>
      <c r="AK209" s="38">
        <v>36.19</v>
      </c>
      <c r="AL209" s="38">
        <v>39.11</v>
      </c>
      <c r="AM209" s="38">
        <v>44.36</v>
      </c>
      <c r="AN209" s="38">
        <v>46.73</v>
      </c>
      <c r="AO209" s="38">
        <v>46.94</v>
      </c>
      <c r="AP209" s="38">
        <v>46.81</v>
      </c>
      <c r="AQ209" s="38">
        <v>44.15</v>
      </c>
      <c r="AR209" s="38">
        <v>41.7</v>
      </c>
      <c r="AS209" s="38">
        <v>37.76</v>
      </c>
      <c r="AT209" s="38">
        <v>37.36</v>
      </c>
      <c r="AU209" s="38">
        <v>37.130000000000003</v>
      </c>
      <c r="AV209" s="38">
        <v>37.31</v>
      </c>
      <c r="AW209" s="38">
        <v>37.299999999999997</v>
      </c>
      <c r="AX209" s="38">
        <v>38.9</v>
      </c>
      <c r="AY209" s="38">
        <v>43.22</v>
      </c>
      <c r="BA209" s="37">
        <v>41.63</v>
      </c>
      <c r="BB209" s="38">
        <v>1.2994000000000001</v>
      </c>
    </row>
    <row r="210" spans="1:54" x14ac:dyDescent="0.35">
      <c r="A210" s="2">
        <f t="shared" si="3"/>
        <v>44116</v>
      </c>
      <c r="B210" t="s">
        <v>252</v>
      </c>
      <c r="C210" s="32">
        <v>44116</v>
      </c>
      <c r="D210" s="38">
        <v>38.520000000000003</v>
      </c>
      <c r="E210" s="38">
        <v>40.72</v>
      </c>
      <c r="F210" s="38">
        <v>42.32</v>
      </c>
      <c r="G210" s="38">
        <v>42.47</v>
      </c>
      <c r="H210" s="38">
        <v>39.39</v>
      </c>
      <c r="I210" s="38">
        <v>36.409999999999997</v>
      </c>
      <c r="J210" s="38">
        <v>34.61</v>
      </c>
      <c r="K210" s="38">
        <v>32.76</v>
      </c>
      <c r="L210" s="38">
        <v>32.51</v>
      </c>
      <c r="M210" s="38">
        <v>32.96</v>
      </c>
      <c r="N210" s="38">
        <v>34.5</v>
      </c>
      <c r="O210" s="38">
        <v>36.9</v>
      </c>
      <c r="P210" s="38">
        <v>40.9</v>
      </c>
      <c r="Q210" s="38">
        <v>43.35</v>
      </c>
      <c r="R210" s="38">
        <v>45.75</v>
      </c>
      <c r="S210" s="38">
        <v>46.45</v>
      </c>
      <c r="T210" s="38">
        <v>42.58</v>
      </c>
      <c r="U210" s="38">
        <v>37.99</v>
      </c>
      <c r="V210" s="38">
        <v>35.909999999999997</v>
      </c>
      <c r="W210" s="38">
        <v>35.25</v>
      </c>
      <c r="X210" s="38">
        <v>34.39</v>
      </c>
      <c r="Y210" s="38">
        <v>34.82</v>
      </c>
      <c r="Z210" s="38">
        <v>35.71</v>
      </c>
      <c r="AA210" s="38">
        <v>39.520000000000003</v>
      </c>
      <c r="AB210" s="38">
        <v>42.87</v>
      </c>
      <c r="AC210" s="38">
        <v>45.45</v>
      </c>
      <c r="AD210" s="38">
        <v>47.04</v>
      </c>
      <c r="AE210" s="38">
        <v>46.87</v>
      </c>
      <c r="AF210" s="38">
        <v>44.03</v>
      </c>
      <c r="AG210" s="38">
        <v>38.31</v>
      </c>
      <c r="AH210" s="38">
        <v>35.81</v>
      </c>
      <c r="AI210" s="38">
        <v>34.72</v>
      </c>
      <c r="AJ210" s="38">
        <v>34.799999999999997</v>
      </c>
      <c r="AK210" s="38">
        <v>35.9</v>
      </c>
      <c r="AL210" s="38">
        <v>38.82</v>
      </c>
      <c r="AM210" s="38">
        <v>44.07</v>
      </c>
      <c r="AN210" s="38">
        <v>46.44</v>
      </c>
      <c r="AO210" s="38">
        <v>46.65</v>
      </c>
      <c r="AP210" s="38">
        <v>46.52</v>
      </c>
      <c r="AQ210" s="38">
        <v>43.86</v>
      </c>
      <c r="AR210" s="38">
        <v>41.41</v>
      </c>
      <c r="AS210" s="38">
        <v>37.47</v>
      </c>
      <c r="AT210" s="38">
        <v>37.07</v>
      </c>
      <c r="AU210" s="38">
        <v>36.840000000000003</v>
      </c>
      <c r="AV210" s="38">
        <v>37.020000000000003</v>
      </c>
      <c r="AW210" s="38">
        <v>37.01</v>
      </c>
      <c r="AX210" s="38">
        <v>38.61</v>
      </c>
      <c r="AY210" s="38">
        <v>42.93</v>
      </c>
      <c r="BA210" s="37">
        <v>40.5</v>
      </c>
      <c r="BB210" s="38">
        <v>1.3069999999999999</v>
      </c>
    </row>
    <row r="211" spans="1:54" x14ac:dyDescent="0.35">
      <c r="A211" s="2">
        <f t="shared" si="3"/>
        <v>44117</v>
      </c>
      <c r="B211" t="s">
        <v>253</v>
      </c>
      <c r="C211" s="32">
        <v>44117</v>
      </c>
      <c r="D211" s="38">
        <v>37.83</v>
      </c>
      <c r="E211" s="38">
        <v>40.19</v>
      </c>
      <c r="F211" s="38">
        <v>41.67</v>
      </c>
      <c r="G211" s="38">
        <v>42.12</v>
      </c>
      <c r="H211" s="38">
        <v>39.17</v>
      </c>
      <c r="I211" s="38">
        <v>36.11</v>
      </c>
      <c r="J211" s="38">
        <v>34.26</v>
      </c>
      <c r="K211" s="38">
        <v>32.36</v>
      </c>
      <c r="L211" s="38">
        <v>32.01</v>
      </c>
      <c r="M211" s="38">
        <v>32.54</v>
      </c>
      <c r="N211" s="38">
        <v>34.4</v>
      </c>
      <c r="O211" s="38">
        <v>36.65</v>
      </c>
      <c r="P211" s="38">
        <v>40.729999999999997</v>
      </c>
      <c r="Q211" s="38">
        <v>43.18</v>
      </c>
      <c r="R211" s="38">
        <v>45.57</v>
      </c>
      <c r="S211" s="38">
        <v>46.24</v>
      </c>
      <c r="T211" s="38">
        <v>42.37</v>
      </c>
      <c r="U211" s="38">
        <v>37.840000000000003</v>
      </c>
      <c r="V211" s="38">
        <v>35.76</v>
      </c>
      <c r="W211" s="38">
        <v>35.1</v>
      </c>
      <c r="X211" s="38">
        <v>34.24</v>
      </c>
      <c r="Y211" s="38">
        <v>34.67</v>
      </c>
      <c r="Z211" s="38">
        <v>35.56</v>
      </c>
      <c r="AA211" s="38">
        <v>39.33</v>
      </c>
      <c r="AB211" s="38">
        <v>42.68</v>
      </c>
      <c r="AC211" s="38">
        <v>45.26</v>
      </c>
      <c r="AD211" s="38">
        <v>46.85</v>
      </c>
      <c r="AE211" s="38">
        <v>46.68</v>
      </c>
      <c r="AF211" s="38">
        <v>43.84</v>
      </c>
      <c r="AG211" s="38">
        <v>38.24</v>
      </c>
      <c r="AH211" s="38">
        <v>35.74</v>
      </c>
      <c r="AI211" s="38">
        <v>34.65</v>
      </c>
      <c r="AJ211" s="38">
        <v>34.729999999999997</v>
      </c>
      <c r="AK211" s="38">
        <v>35.83</v>
      </c>
      <c r="AL211" s="38">
        <v>38.75</v>
      </c>
      <c r="AM211" s="38">
        <v>43.76</v>
      </c>
      <c r="AN211" s="38">
        <v>46.13</v>
      </c>
      <c r="AO211" s="38">
        <v>46.34</v>
      </c>
      <c r="AP211" s="38">
        <v>46.21</v>
      </c>
      <c r="AQ211" s="38">
        <v>43.55</v>
      </c>
      <c r="AR211" s="38">
        <v>41.1</v>
      </c>
      <c r="AS211" s="38">
        <v>37.06</v>
      </c>
      <c r="AT211" s="38">
        <v>36.659999999999997</v>
      </c>
      <c r="AU211" s="38">
        <v>36.380000000000003</v>
      </c>
      <c r="AV211" s="38">
        <v>36.51</v>
      </c>
      <c r="AW211" s="38">
        <v>36.46</v>
      </c>
      <c r="AX211" s="38">
        <v>38.01</v>
      </c>
      <c r="AY211" s="38">
        <v>42.14</v>
      </c>
      <c r="BA211" s="37">
        <v>41.34</v>
      </c>
      <c r="BB211" s="38">
        <v>1.2987</v>
      </c>
    </row>
    <row r="212" spans="1:54" x14ac:dyDescent="0.35">
      <c r="A212" s="2">
        <f t="shared" si="3"/>
        <v>44118</v>
      </c>
      <c r="B212" t="s">
        <v>254</v>
      </c>
      <c r="C212" s="32">
        <v>44118</v>
      </c>
      <c r="D212" s="38">
        <v>38.840000000000003</v>
      </c>
      <c r="E212" s="38">
        <v>41.01</v>
      </c>
      <c r="F212" s="38">
        <v>42.41</v>
      </c>
      <c r="G212" s="38">
        <v>42.73</v>
      </c>
      <c r="H212" s="38">
        <v>39.75</v>
      </c>
      <c r="I212" s="38">
        <v>36.619999999999997</v>
      </c>
      <c r="J212" s="38">
        <v>34.799999999999997</v>
      </c>
      <c r="K212" s="38">
        <v>32.9</v>
      </c>
      <c r="L212" s="38">
        <v>32.65</v>
      </c>
      <c r="M212" s="38">
        <v>33.1</v>
      </c>
      <c r="N212" s="38">
        <v>34.65</v>
      </c>
      <c r="O212" s="38">
        <v>36.9</v>
      </c>
      <c r="P212" s="38">
        <v>40.98</v>
      </c>
      <c r="Q212" s="38">
        <v>43.43</v>
      </c>
      <c r="R212" s="38">
        <v>45.78</v>
      </c>
      <c r="S212" s="38">
        <v>46.45</v>
      </c>
      <c r="T212" s="38">
        <v>42.58</v>
      </c>
      <c r="U212" s="38">
        <v>37.96</v>
      </c>
      <c r="V212" s="38">
        <v>35.880000000000003</v>
      </c>
      <c r="W212" s="38">
        <v>35.22</v>
      </c>
      <c r="X212" s="38">
        <v>34.36</v>
      </c>
      <c r="Y212" s="38">
        <v>34.79</v>
      </c>
      <c r="Z212" s="38">
        <v>35.68</v>
      </c>
      <c r="AA212" s="38">
        <v>39.409999999999997</v>
      </c>
      <c r="AB212" s="38">
        <v>42.76</v>
      </c>
      <c r="AC212" s="38">
        <v>45.34</v>
      </c>
      <c r="AD212" s="38">
        <v>46.93</v>
      </c>
      <c r="AE212" s="38">
        <v>46.76</v>
      </c>
      <c r="AF212" s="38">
        <v>43.92</v>
      </c>
      <c r="AG212" s="38">
        <v>38.32</v>
      </c>
      <c r="AH212" s="38">
        <v>35.82</v>
      </c>
      <c r="AI212" s="38">
        <v>34.729999999999997</v>
      </c>
      <c r="AJ212" s="38">
        <v>34.81</v>
      </c>
      <c r="AK212" s="38">
        <v>35.909999999999997</v>
      </c>
      <c r="AL212" s="38">
        <v>38.83</v>
      </c>
      <c r="AM212" s="38">
        <v>43.84</v>
      </c>
      <c r="AN212" s="38">
        <v>46.21</v>
      </c>
      <c r="AO212" s="38">
        <v>46.42</v>
      </c>
      <c r="AP212" s="38">
        <v>46.29</v>
      </c>
      <c r="AQ212" s="38">
        <v>43.63</v>
      </c>
      <c r="AR212" s="38">
        <v>41.18</v>
      </c>
      <c r="AS212" s="38">
        <v>37.14</v>
      </c>
      <c r="AT212" s="38">
        <v>36.74</v>
      </c>
      <c r="AU212" s="38">
        <v>36.46</v>
      </c>
      <c r="AV212" s="38">
        <v>36.590000000000003</v>
      </c>
      <c r="AW212" s="38">
        <v>36.54</v>
      </c>
      <c r="AX212" s="38">
        <v>38.090000000000003</v>
      </c>
      <c r="AY212" s="38">
        <v>42.22</v>
      </c>
      <c r="BA212" s="37">
        <v>41.81</v>
      </c>
      <c r="BB212" s="38">
        <v>1.3041</v>
      </c>
    </row>
    <row r="213" spans="1:54" x14ac:dyDescent="0.35">
      <c r="A213" s="2">
        <f t="shared" si="3"/>
        <v>44119</v>
      </c>
      <c r="B213" t="s">
        <v>255</v>
      </c>
      <c r="C213" s="32">
        <v>44119</v>
      </c>
      <c r="D213" s="38">
        <v>39.99</v>
      </c>
      <c r="E213" s="38">
        <v>42.13</v>
      </c>
      <c r="F213" s="38">
        <v>43.42</v>
      </c>
      <c r="G213" s="38">
        <v>43.64</v>
      </c>
      <c r="H213" s="38">
        <v>40.630000000000003</v>
      </c>
      <c r="I213" s="38">
        <v>37.340000000000003</v>
      </c>
      <c r="J213" s="38">
        <v>35.35</v>
      </c>
      <c r="K213" s="38">
        <v>33.340000000000003</v>
      </c>
      <c r="L213" s="38">
        <v>32.950000000000003</v>
      </c>
      <c r="M213" s="38">
        <v>33.340000000000003</v>
      </c>
      <c r="N213" s="38">
        <v>34.74</v>
      </c>
      <c r="O213" s="38">
        <v>36.57</v>
      </c>
      <c r="P213" s="38">
        <v>41.32</v>
      </c>
      <c r="Q213" s="38">
        <v>43.64</v>
      </c>
      <c r="R213" s="38">
        <v>45.83</v>
      </c>
      <c r="S213" s="38">
        <v>46.45</v>
      </c>
      <c r="T213" s="38">
        <v>42.55</v>
      </c>
      <c r="U213" s="38">
        <v>37.880000000000003</v>
      </c>
      <c r="V213" s="38">
        <v>35.799999999999997</v>
      </c>
      <c r="W213" s="38">
        <v>35.14</v>
      </c>
      <c r="X213" s="38">
        <v>34.28</v>
      </c>
      <c r="Y213" s="38">
        <v>34.71</v>
      </c>
      <c r="Z213" s="38">
        <v>35.6</v>
      </c>
      <c r="AA213" s="38">
        <v>39.36</v>
      </c>
      <c r="AB213" s="38">
        <v>42.71</v>
      </c>
      <c r="AC213" s="38">
        <v>45.29</v>
      </c>
      <c r="AD213" s="38">
        <v>46.86</v>
      </c>
      <c r="AE213" s="38">
        <v>46.68</v>
      </c>
      <c r="AF213" s="38">
        <v>43.9</v>
      </c>
      <c r="AG213" s="38">
        <v>38.35</v>
      </c>
      <c r="AH213" s="38">
        <v>35.85</v>
      </c>
      <c r="AI213" s="38">
        <v>34.79</v>
      </c>
      <c r="AJ213" s="38">
        <v>34.9</v>
      </c>
      <c r="AK213" s="38">
        <v>36.03</v>
      </c>
      <c r="AL213" s="38">
        <v>39.01</v>
      </c>
      <c r="AM213" s="38">
        <v>44.12</v>
      </c>
      <c r="AN213" s="38">
        <v>46.49</v>
      </c>
      <c r="AO213" s="38">
        <v>46.7</v>
      </c>
      <c r="AP213" s="38">
        <v>46.57</v>
      </c>
      <c r="AQ213" s="38">
        <v>43.91</v>
      </c>
      <c r="AR213" s="38">
        <v>41.46</v>
      </c>
      <c r="AS213" s="38">
        <v>37.26</v>
      </c>
      <c r="AT213" s="38">
        <v>36.86</v>
      </c>
      <c r="AU213" s="38">
        <v>36.58</v>
      </c>
      <c r="AV213" s="38">
        <v>36.71</v>
      </c>
      <c r="AW213" s="38">
        <v>36.659999999999997</v>
      </c>
      <c r="AX213" s="38">
        <v>38.21</v>
      </c>
      <c r="AY213" s="38">
        <v>42.16</v>
      </c>
      <c r="BA213" s="37">
        <v>41.61</v>
      </c>
      <c r="BB213" s="38">
        <v>1.2906</v>
      </c>
    </row>
    <row r="214" spans="1:54" x14ac:dyDescent="0.35">
      <c r="A214" s="2">
        <f t="shared" si="3"/>
        <v>44120</v>
      </c>
      <c r="B214" t="s">
        <v>256</v>
      </c>
      <c r="C214" s="32">
        <v>44120</v>
      </c>
      <c r="D214" s="38">
        <v>40.94</v>
      </c>
      <c r="E214" s="38">
        <v>43.24</v>
      </c>
      <c r="F214" s="38">
        <v>44.24</v>
      </c>
      <c r="G214" s="38">
        <v>44.57</v>
      </c>
      <c r="H214" s="38">
        <v>41.39</v>
      </c>
      <c r="I214" s="38">
        <v>37.700000000000003</v>
      </c>
      <c r="J214" s="38">
        <v>35.700000000000003</v>
      </c>
      <c r="K214" s="38">
        <v>33.83</v>
      </c>
      <c r="L214" s="38">
        <v>33.5</v>
      </c>
      <c r="M214" s="38">
        <v>33.909999999999997</v>
      </c>
      <c r="N214" s="38">
        <v>35.4</v>
      </c>
      <c r="O214" s="38">
        <v>36.9</v>
      </c>
      <c r="P214" s="38">
        <v>41.83</v>
      </c>
      <c r="Q214" s="38">
        <v>44.09</v>
      </c>
      <c r="R214" s="38">
        <v>46.21</v>
      </c>
      <c r="S214" s="38">
        <v>46.83</v>
      </c>
      <c r="T214" s="38">
        <v>42.93</v>
      </c>
      <c r="U214" s="38">
        <v>38.29</v>
      </c>
      <c r="V214" s="38">
        <v>36.21</v>
      </c>
      <c r="W214" s="38">
        <v>35.51</v>
      </c>
      <c r="X214" s="38">
        <v>34.61</v>
      </c>
      <c r="Y214" s="38">
        <v>35</v>
      </c>
      <c r="Z214" s="38">
        <v>35.85</v>
      </c>
      <c r="AA214" s="38">
        <v>39.5</v>
      </c>
      <c r="AB214" s="38">
        <v>42.85</v>
      </c>
      <c r="AC214" s="38">
        <v>45.43</v>
      </c>
      <c r="AD214" s="38">
        <v>47.04</v>
      </c>
      <c r="AE214" s="38">
        <v>46.82</v>
      </c>
      <c r="AF214" s="38">
        <v>43.98</v>
      </c>
      <c r="AG214" s="38">
        <v>38.380000000000003</v>
      </c>
      <c r="AH214" s="38">
        <v>35.880000000000003</v>
      </c>
      <c r="AI214" s="38">
        <v>34.82</v>
      </c>
      <c r="AJ214" s="38">
        <v>34.93</v>
      </c>
      <c r="AK214" s="38">
        <v>36.049999999999997</v>
      </c>
      <c r="AL214" s="38">
        <v>39.03</v>
      </c>
      <c r="AM214" s="38">
        <v>44.21</v>
      </c>
      <c r="AN214" s="38">
        <v>46.58</v>
      </c>
      <c r="AO214" s="38">
        <v>46.79</v>
      </c>
      <c r="AP214" s="38">
        <v>46.66</v>
      </c>
      <c r="AQ214" s="38">
        <v>44</v>
      </c>
      <c r="AR214" s="38">
        <v>41.55</v>
      </c>
      <c r="AS214" s="38">
        <v>37.35</v>
      </c>
      <c r="AT214" s="38">
        <v>36.950000000000003</v>
      </c>
      <c r="AU214" s="38">
        <v>36.67</v>
      </c>
      <c r="AV214" s="38">
        <v>36.799999999999997</v>
      </c>
      <c r="AW214" s="38">
        <v>36.75</v>
      </c>
      <c r="AX214" s="38">
        <v>38.299999999999997</v>
      </c>
      <c r="AY214" s="38">
        <v>42.25</v>
      </c>
      <c r="BA214" s="37">
        <v>41.34</v>
      </c>
      <c r="BB214" s="38">
        <v>1.2929999999999999</v>
      </c>
    </row>
    <row r="215" spans="1:54" x14ac:dyDescent="0.35">
      <c r="A215" s="2">
        <f t="shared" si="3"/>
        <v>44123</v>
      </c>
      <c r="B215" t="s">
        <v>257</v>
      </c>
      <c r="C215" s="32">
        <v>44123</v>
      </c>
      <c r="D215" s="38">
        <v>41.4</v>
      </c>
      <c r="E215" s="38">
        <v>43.75</v>
      </c>
      <c r="F215" s="38">
        <v>44.84</v>
      </c>
      <c r="G215" s="38">
        <v>45.13</v>
      </c>
      <c r="H215" s="38">
        <v>41.95</v>
      </c>
      <c r="I215" s="38">
        <v>38.25</v>
      </c>
      <c r="J215" s="38">
        <v>36.15</v>
      </c>
      <c r="K215" s="38">
        <v>34.299999999999997</v>
      </c>
      <c r="L215" s="38">
        <v>33.880000000000003</v>
      </c>
      <c r="M215" s="38">
        <v>34.36</v>
      </c>
      <c r="N215" s="38">
        <v>35.909999999999997</v>
      </c>
      <c r="O215" s="38">
        <v>37.43</v>
      </c>
      <c r="P215" s="38">
        <v>42.4</v>
      </c>
      <c r="Q215" s="38">
        <v>44.63</v>
      </c>
      <c r="R215" s="38">
        <v>46.67</v>
      </c>
      <c r="S215" s="38">
        <v>47.23</v>
      </c>
      <c r="T215" s="38">
        <v>43.28</v>
      </c>
      <c r="U215" s="38">
        <v>38.590000000000003</v>
      </c>
      <c r="V215" s="38">
        <v>36.46</v>
      </c>
      <c r="W215" s="38">
        <v>35.71</v>
      </c>
      <c r="X215" s="38">
        <v>34.770000000000003</v>
      </c>
      <c r="Y215" s="38">
        <v>35.119999999999997</v>
      </c>
      <c r="Z215" s="38">
        <v>35.97</v>
      </c>
      <c r="AA215" s="38">
        <v>39.64</v>
      </c>
      <c r="AB215" s="38">
        <v>43</v>
      </c>
      <c r="AC215" s="38">
        <v>45.58</v>
      </c>
      <c r="AD215" s="38">
        <v>47.18</v>
      </c>
      <c r="AE215" s="38">
        <v>46.94</v>
      </c>
      <c r="AF215" s="38">
        <v>44.05</v>
      </c>
      <c r="AG215" s="38">
        <v>38.409999999999997</v>
      </c>
      <c r="AH215" s="38">
        <v>35.869999999999997</v>
      </c>
      <c r="AI215" s="38">
        <v>34.81</v>
      </c>
      <c r="AJ215" s="38">
        <v>34.92</v>
      </c>
      <c r="AK215" s="38">
        <v>36.07</v>
      </c>
      <c r="AL215" s="38">
        <v>39.07</v>
      </c>
      <c r="AM215" s="38">
        <v>44.3</v>
      </c>
      <c r="AN215" s="38">
        <v>46.71</v>
      </c>
      <c r="AO215" s="38">
        <v>46.95</v>
      </c>
      <c r="AP215" s="38">
        <v>46.85</v>
      </c>
      <c r="AQ215" s="38">
        <v>44.19</v>
      </c>
      <c r="AR215" s="38">
        <v>41.74</v>
      </c>
      <c r="AS215" s="38">
        <v>37.54</v>
      </c>
      <c r="AT215" s="38">
        <v>37.14</v>
      </c>
      <c r="AU215" s="38">
        <v>36.86</v>
      </c>
      <c r="AV215" s="38">
        <v>36.99</v>
      </c>
      <c r="AW215" s="38">
        <v>36.94</v>
      </c>
      <c r="AX215" s="38">
        <v>38.49</v>
      </c>
      <c r="AY215" s="38">
        <v>42.44</v>
      </c>
      <c r="BA215" s="37">
        <v>41.29</v>
      </c>
      <c r="BB215" s="38">
        <v>1.2997000000000001</v>
      </c>
    </row>
    <row r="216" spans="1:54" x14ac:dyDescent="0.35">
      <c r="A216" s="2">
        <f t="shared" si="3"/>
        <v>44124</v>
      </c>
      <c r="B216" t="s">
        <v>258</v>
      </c>
      <c r="C216" s="32">
        <v>44124</v>
      </c>
      <c r="D216" s="38">
        <v>42.06</v>
      </c>
      <c r="E216" s="38">
        <v>44.31</v>
      </c>
      <c r="F216" s="38">
        <v>45.31</v>
      </c>
      <c r="G216" s="38">
        <v>45.6</v>
      </c>
      <c r="H216" s="38">
        <v>42.6</v>
      </c>
      <c r="I216" s="38">
        <v>38.700000000000003</v>
      </c>
      <c r="J216" s="38">
        <v>36.53</v>
      </c>
      <c r="K216" s="38">
        <v>34.64</v>
      </c>
      <c r="L216" s="38">
        <v>34.26</v>
      </c>
      <c r="M216" s="38">
        <v>34.74</v>
      </c>
      <c r="N216" s="38">
        <v>36.28</v>
      </c>
      <c r="O216" s="38">
        <v>37.840000000000003</v>
      </c>
      <c r="P216" s="38">
        <v>42.84</v>
      </c>
      <c r="Q216" s="38">
        <v>45.07</v>
      </c>
      <c r="R216" s="38">
        <v>47.09</v>
      </c>
      <c r="S216" s="38">
        <v>47.54</v>
      </c>
      <c r="T216" s="38">
        <v>43.6</v>
      </c>
      <c r="U216" s="38">
        <v>38.72</v>
      </c>
      <c r="V216" s="38">
        <v>36.479999999999997</v>
      </c>
      <c r="W216" s="38">
        <v>35.68</v>
      </c>
      <c r="X216" s="38">
        <v>34.74</v>
      </c>
      <c r="Y216" s="38">
        <v>35.090000000000003</v>
      </c>
      <c r="Z216" s="38">
        <v>35.94</v>
      </c>
      <c r="AA216" s="38">
        <v>39.67</v>
      </c>
      <c r="AB216" s="38">
        <v>43.08</v>
      </c>
      <c r="AC216" s="38">
        <v>45.66</v>
      </c>
      <c r="AD216" s="38">
        <v>47.26</v>
      </c>
      <c r="AE216" s="38">
        <v>47.02</v>
      </c>
      <c r="AF216" s="38">
        <v>44.13</v>
      </c>
      <c r="AG216" s="38">
        <v>38.49</v>
      </c>
      <c r="AH216" s="38">
        <v>35.950000000000003</v>
      </c>
      <c r="AI216" s="38">
        <v>34.89</v>
      </c>
      <c r="AJ216" s="38">
        <v>35</v>
      </c>
      <c r="AK216" s="38">
        <v>36.15</v>
      </c>
      <c r="AL216" s="38">
        <v>39.15</v>
      </c>
      <c r="AM216" s="38">
        <v>44.38</v>
      </c>
      <c r="AN216" s="38">
        <v>46.79</v>
      </c>
      <c r="AO216" s="38">
        <v>47.03</v>
      </c>
      <c r="AP216" s="38">
        <v>46.93</v>
      </c>
      <c r="AQ216" s="38">
        <v>44.27</v>
      </c>
      <c r="AR216" s="38">
        <v>41.82</v>
      </c>
      <c r="AS216" s="38">
        <v>37.619999999999997</v>
      </c>
      <c r="AT216" s="38">
        <v>37.22</v>
      </c>
      <c r="AU216" s="38">
        <v>36.94</v>
      </c>
      <c r="AV216" s="38">
        <v>37.07</v>
      </c>
      <c r="AW216" s="38">
        <v>37.020000000000003</v>
      </c>
      <c r="AX216" s="38">
        <v>38.57</v>
      </c>
      <c r="AY216" s="38">
        <v>42.52</v>
      </c>
      <c r="BA216" s="37">
        <v>41.62</v>
      </c>
      <c r="BB216" s="38">
        <v>1.2962</v>
      </c>
    </row>
    <row r="217" spans="1:54" x14ac:dyDescent="0.35">
      <c r="A217" s="2">
        <f t="shared" si="3"/>
        <v>44125</v>
      </c>
      <c r="B217" t="s">
        <v>259</v>
      </c>
      <c r="C217" s="32">
        <v>44125</v>
      </c>
      <c r="D217" s="38">
        <v>41.63</v>
      </c>
      <c r="E217" s="38">
        <v>43.8</v>
      </c>
      <c r="F217" s="38">
        <v>44.68</v>
      </c>
      <c r="G217" s="38">
        <v>44.89</v>
      </c>
      <c r="H217" s="38">
        <v>41.81</v>
      </c>
      <c r="I217" s="38">
        <v>38.17</v>
      </c>
      <c r="J217" s="38">
        <v>35.97</v>
      </c>
      <c r="K217" s="38">
        <v>34.17</v>
      </c>
      <c r="L217" s="38">
        <v>33.72</v>
      </c>
      <c r="M217" s="38">
        <v>34.200000000000003</v>
      </c>
      <c r="N217" s="38">
        <v>35.659999999999997</v>
      </c>
      <c r="O217" s="38">
        <v>37.24</v>
      </c>
      <c r="P217" s="38">
        <v>42.25</v>
      </c>
      <c r="Q217" s="38">
        <v>44.48</v>
      </c>
      <c r="R217" s="38">
        <v>46.51</v>
      </c>
      <c r="S217" s="38">
        <v>46.96</v>
      </c>
      <c r="T217" s="38">
        <v>42.96</v>
      </c>
      <c r="U217" s="38">
        <v>38.049999999999997</v>
      </c>
      <c r="V217" s="38">
        <v>35.76</v>
      </c>
      <c r="W217" s="38">
        <v>34.909999999999997</v>
      </c>
      <c r="X217" s="38">
        <v>33.92</v>
      </c>
      <c r="Y217" s="38">
        <v>34.270000000000003</v>
      </c>
      <c r="Z217" s="38">
        <v>35.119999999999997</v>
      </c>
      <c r="AA217" s="38">
        <v>38.9</v>
      </c>
      <c r="AB217" s="38">
        <v>42.35</v>
      </c>
      <c r="AC217" s="38">
        <v>44.97</v>
      </c>
      <c r="AD217" s="38">
        <v>46.61</v>
      </c>
      <c r="AE217" s="38">
        <v>46.37</v>
      </c>
      <c r="AF217" s="38">
        <v>43.48</v>
      </c>
      <c r="AG217" s="38">
        <v>37.840000000000003</v>
      </c>
      <c r="AH217" s="38">
        <v>35.299999999999997</v>
      </c>
      <c r="AI217" s="38">
        <v>34.24</v>
      </c>
      <c r="AJ217" s="38">
        <v>34.35</v>
      </c>
      <c r="AK217" s="38">
        <v>35.5</v>
      </c>
      <c r="AL217" s="38">
        <v>38.5</v>
      </c>
      <c r="AM217" s="38">
        <v>43.73</v>
      </c>
      <c r="AN217" s="38">
        <v>46.14</v>
      </c>
      <c r="AO217" s="38">
        <v>46.38</v>
      </c>
      <c r="AP217" s="38">
        <v>46.28</v>
      </c>
      <c r="AQ217" s="38">
        <v>43.62</v>
      </c>
      <c r="AR217" s="38">
        <v>41.17</v>
      </c>
      <c r="AS217" s="38">
        <v>36.97</v>
      </c>
      <c r="AT217" s="38">
        <v>36.57</v>
      </c>
      <c r="AU217" s="38">
        <v>36.29</v>
      </c>
      <c r="AV217" s="38">
        <v>36.42</v>
      </c>
      <c r="AW217" s="38">
        <v>36.369999999999997</v>
      </c>
      <c r="AX217" s="38">
        <v>37.92</v>
      </c>
      <c r="AY217" s="38">
        <v>41.87</v>
      </c>
      <c r="BA217" s="37">
        <v>40.090000000000003</v>
      </c>
      <c r="BB217" s="38">
        <v>1.3163</v>
      </c>
    </row>
    <row r="218" spans="1:54" x14ac:dyDescent="0.35">
      <c r="A218" s="2">
        <f t="shared" si="3"/>
        <v>44126</v>
      </c>
      <c r="B218" t="s">
        <v>260</v>
      </c>
      <c r="C218" s="32">
        <v>44126</v>
      </c>
      <c r="D218" s="38">
        <v>43.22</v>
      </c>
      <c r="E218" s="38">
        <v>45.25</v>
      </c>
      <c r="F218" s="38">
        <v>45.97</v>
      </c>
      <c r="G218" s="38">
        <v>46.03</v>
      </c>
      <c r="H218" s="38">
        <v>42.76</v>
      </c>
      <c r="I218" s="38">
        <v>39.06</v>
      </c>
      <c r="J218" s="38">
        <v>36.79</v>
      </c>
      <c r="K218" s="38">
        <v>34.93</v>
      </c>
      <c r="L218" s="38">
        <v>34.51</v>
      </c>
      <c r="M218" s="38">
        <v>34.99</v>
      </c>
      <c r="N218" s="38">
        <v>36.450000000000003</v>
      </c>
      <c r="O218" s="38">
        <v>37.83</v>
      </c>
      <c r="P218" s="38">
        <v>42.7</v>
      </c>
      <c r="Q218" s="38">
        <v>44.82</v>
      </c>
      <c r="R218" s="38">
        <v>46.83</v>
      </c>
      <c r="S218" s="38">
        <v>47.31</v>
      </c>
      <c r="T218" s="38">
        <v>43.36</v>
      </c>
      <c r="U218" s="38">
        <v>38.380000000000003</v>
      </c>
      <c r="V218" s="38">
        <v>35.97</v>
      </c>
      <c r="W218" s="38">
        <v>35</v>
      </c>
      <c r="X218" s="38">
        <v>33.950000000000003</v>
      </c>
      <c r="Y218" s="38">
        <v>34.299999999999997</v>
      </c>
      <c r="Z218" s="38">
        <v>35.15</v>
      </c>
      <c r="AA218" s="38">
        <v>39.119999999999997</v>
      </c>
      <c r="AB218" s="38">
        <v>42.61</v>
      </c>
      <c r="AC218" s="38">
        <v>45.27</v>
      </c>
      <c r="AD218" s="38">
        <v>46.89</v>
      </c>
      <c r="AE218" s="38">
        <v>46.63</v>
      </c>
      <c r="AF218" s="38">
        <v>43.74</v>
      </c>
      <c r="AG218" s="38">
        <v>38.020000000000003</v>
      </c>
      <c r="AH218" s="38">
        <v>35.479999999999997</v>
      </c>
      <c r="AI218" s="38">
        <v>34.42</v>
      </c>
      <c r="AJ218" s="38">
        <v>34.53</v>
      </c>
      <c r="AK218" s="38">
        <v>35.68</v>
      </c>
      <c r="AL218" s="38">
        <v>38.68</v>
      </c>
      <c r="AM218" s="38">
        <v>43.84</v>
      </c>
      <c r="AN218" s="38">
        <v>46.22</v>
      </c>
      <c r="AO218" s="38">
        <v>46.43</v>
      </c>
      <c r="AP218" s="38">
        <v>46.3</v>
      </c>
      <c r="AQ218" s="38">
        <v>43.61</v>
      </c>
      <c r="AR218" s="38">
        <v>41.13</v>
      </c>
      <c r="AS218" s="38">
        <v>36.96</v>
      </c>
      <c r="AT218" s="38">
        <v>36.590000000000003</v>
      </c>
      <c r="AU218" s="38">
        <v>36.31</v>
      </c>
      <c r="AV218" s="38">
        <v>36.44</v>
      </c>
      <c r="AW218" s="38">
        <v>36.39</v>
      </c>
      <c r="AX218" s="38">
        <v>37.94</v>
      </c>
      <c r="AY218" s="38">
        <v>41.89</v>
      </c>
      <c r="BA218" s="37">
        <v>41.28</v>
      </c>
      <c r="BB218" s="38">
        <v>1.3095000000000001</v>
      </c>
    </row>
    <row r="219" spans="1:54" x14ac:dyDescent="0.35">
      <c r="A219" s="2">
        <f t="shared" si="3"/>
        <v>44127</v>
      </c>
      <c r="B219" t="s">
        <v>261</v>
      </c>
      <c r="C219" s="32">
        <v>44127</v>
      </c>
      <c r="D219" s="38">
        <v>43.62</v>
      </c>
      <c r="E219" s="38">
        <v>46</v>
      </c>
      <c r="F219" s="38">
        <v>46.56</v>
      </c>
      <c r="G219" s="38">
        <v>46.6</v>
      </c>
      <c r="H219" s="38">
        <v>43.31</v>
      </c>
      <c r="I219" s="38">
        <v>39.51</v>
      </c>
      <c r="J219" s="38">
        <v>37.17</v>
      </c>
      <c r="K219" s="38">
        <v>35.24</v>
      </c>
      <c r="L219" s="38">
        <v>34.78</v>
      </c>
      <c r="M219" s="38">
        <v>35.299999999999997</v>
      </c>
      <c r="N219" s="38">
        <v>36.83</v>
      </c>
      <c r="O219" s="38">
        <v>38.36</v>
      </c>
      <c r="P219" s="38">
        <v>43.37</v>
      </c>
      <c r="Q219" s="38">
        <v>45.63</v>
      </c>
      <c r="R219" s="38">
        <v>47.55</v>
      </c>
      <c r="S219" s="38">
        <v>47.95</v>
      </c>
      <c r="T219" s="38">
        <v>43.92</v>
      </c>
      <c r="U219" s="38">
        <v>38.81</v>
      </c>
      <c r="V219" s="38">
        <v>36.28</v>
      </c>
      <c r="W219" s="38">
        <v>35.21</v>
      </c>
      <c r="X219" s="38">
        <v>34.090000000000003</v>
      </c>
      <c r="Y219" s="38">
        <v>34.39</v>
      </c>
      <c r="Z219" s="38">
        <v>35.19</v>
      </c>
      <c r="AA219" s="38">
        <v>39.14</v>
      </c>
      <c r="AB219" s="38">
        <v>42.62</v>
      </c>
      <c r="AC219" s="38">
        <v>45.28</v>
      </c>
      <c r="AD219" s="38">
        <v>46.9</v>
      </c>
      <c r="AE219" s="38">
        <v>46.64</v>
      </c>
      <c r="AF219" s="38">
        <v>43.71</v>
      </c>
      <c r="AG219" s="38">
        <v>37.96</v>
      </c>
      <c r="AH219" s="38">
        <v>35.39</v>
      </c>
      <c r="AI219" s="38">
        <v>34.299999999999997</v>
      </c>
      <c r="AJ219" s="38">
        <v>34.380000000000003</v>
      </c>
      <c r="AK219" s="38">
        <v>35.49</v>
      </c>
      <c r="AL219" s="38">
        <v>38.450000000000003</v>
      </c>
      <c r="AM219" s="38">
        <v>43.57</v>
      </c>
      <c r="AN219" s="38">
        <v>45.96</v>
      </c>
      <c r="AO219" s="38">
        <v>46.18</v>
      </c>
      <c r="AP219" s="38">
        <v>46.06</v>
      </c>
      <c r="AQ219" s="38">
        <v>43.38</v>
      </c>
      <c r="AR219" s="38">
        <v>40.909999999999997</v>
      </c>
      <c r="AS219" s="38">
        <v>36.75</v>
      </c>
      <c r="AT219" s="38">
        <v>36.39</v>
      </c>
      <c r="AU219" s="38">
        <v>36.119999999999997</v>
      </c>
      <c r="AV219" s="38">
        <v>36.26</v>
      </c>
      <c r="AW219" s="38">
        <v>36.22</v>
      </c>
      <c r="AX219" s="38">
        <v>37.78</v>
      </c>
      <c r="AY219" s="38">
        <v>41.74</v>
      </c>
      <c r="BA219" s="37">
        <v>40.71</v>
      </c>
      <c r="BB219" s="38">
        <v>1.3047</v>
      </c>
    </row>
    <row r="220" spans="1:54" x14ac:dyDescent="0.35">
      <c r="A220" s="2">
        <f t="shared" si="3"/>
        <v>44130</v>
      </c>
      <c r="B220" t="s">
        <v>262</v>
      </c>
      <c r="C220" s="32">
        <v>44130</v>
      </c>
      <c r="D220" s="38">
        <v>42.2</v>
      </c>
      <c r="E220" s="38">
        <v>44.73</v>
      </c>
      <c r="F220" s="38">
        <v>45.23</v>
      </c>
      <c r="G220" s="38">
        <v>45.35</v>
      </c>
      <c r="H220" s="38">
        <v>42.06</v>
      </c>
      <c r="I220" s="38">
        <v>38.29</v>
      </c>
      <c r="J220" s="38">
        <v>36</v>
      </c>
      <c r="K220" s="38">
        <v>34.19</v>
      </c>
      <c r="L220" s="38">
        <v>33.76</v>
      </c>
      <c r="M220" s="38">
        <v>34.33</v>
      </c>
      <c r="N220" s="38">
        <v>35.909999999999997</v>
      </c>
      <c r="O220" s="38">
        <v>37.46</v>
      </c>
      <c r="P220" s="38">
        <v>42.53</v>
      </c>
      <c r="Q220" s="38">
        <v>44.82</v>
      </c>
      <c r="R220" s="38">
        <v>46.84</v>
      </c>
      <c r="S220" s="38">
        <v>47.3</v>
      </c>
      <c r="T220" s="38">
        <v>43.3</v>
      </c>
      <c r="U220" s="38">
        <v>38.119999999999997</v>
      </c>
      <c r="V220" s="38">
        <v>35.51</v>
      </c>
      <c r="W220" s="38">
        <v>34.35</v>
      </c>
      <c r="X220" s="38">
        <v>33.18</v>
      </c>
      <c r="Y220" s="38">
        <v>33.46</v>
      </c>
      <c r="Z220" s="38">
        <v>34.24</v>
      </c>
      <c r="AA220" s="38">
        <v>38.159999999999997</v>
      </c>
      <c r="AB220" s="38">
        <v>41.61</v>
      </c>
      <c r="AC220" s="38">
        <v>44.24</v>
      </c>
      <c r="AD220" s="38">
        <v>45.88</v>
      </c>
      <c r="AE220" s="38">
        <v>45.66</v>
      </c>
      <c r="AF220" s="38">
        <v>42.8</v>
      </c>
      <c r="AG220" s="38">
        <v>37.11</v>
      </c>
      <c r="AH220" s="38">
        <v>34.619999999999997</v>
      </c>
      <c r="AI220" s="38">
        <v>33.61</v>
      </c>
      <c r="AJ220" s="38">
        <v>33.75</v>
      </c>
      <c r="AK220" s="38">
        <v>34.92</v>
      </c>
      <c r="AL220" s="38">
        <v>37.94</v>
      </c>
      <c r="AM220" s="38">
        <v>43.02</v>
      </c>
      <c r="AN220" s="38">
        <v>45.36</v>
      </c>
      <c r="AO220" s="38">
        <v>45.58</v>
      </c>
      <c r="AP220" s="38">
        <v>45.46</v>
      </c>
      <c r="AQ220" s="38">
        <v>42.78</v>
      </c>
      <c r="AR220" s="38">
        <v>40.31</v>
      </c>
      <c r="AS220" s="38">
        <v>36.15</v>
      </c>
      <c r="AT220" s="38">
        <v>35.79</v>
      </c>
      <c r="AU220" s="38">
        <v>35.520000000000003</v>
      </c>
      <c r="AV220" s="38">
        <v>35.659999999999997</v>
      </c>
      <c r="AW220" s="38">
        <v>35.619999999999997</v>
      </c>
      <c r="AX220" s="38">
        <v>37.18</v>
      </c>
      <c r="AY220" s="38">
        <v>41.17</v>
      </c>
      <c r="BA220" s="37">
        <v>39.06</v>
      </c>
      <c r="BB220" s="38">
        <v>1.302</v>
      </c>
    </row>
    <row r="221" spans="1:54" x14ac:dyDescent="0.35">
      <c r="A221" s="2">
        <f t="shared" si="3"/>
        <v>44131</v>
      </c>
      <c r="B221" t="s">
        <v>263</v>
      </c>
      <c r="C221" s="32">
        <v>44131</v>
      </c>
      <c r="D221" s="38">
        <v>42.13</v>
      </c>
      <c r="E221" s="38">
        <v>44.24</v>
      </c>
      <c r="F221" s="38">
        <v>44.78</v>
      </c>
      <c r="G221" s="38">
        <v>44.84</v>
      </c>
      <c r="H221" s="38">
        <v>41.58</v>
      </c>
      <c r="I221" s="38">
        <v>38.26</v>
      </c>
      <c r="J221" s="38">
        <v>36.17</v>
      </c>
      <c r="K221" s="38">
        <v>34.56</v>
      </c>
      <c r="L221" s="38">
        <v>34.03</v>
      </c>
      <c r="M221" s="38">
        <v>34.479999999999997</v>
      </c>
      <c r="N221" s="38">
        <v>36.06</v>
      </c>
      <c r="O221" s="38">
        <v>37.5</v>
      </c>
      <c r="P221" s="38">
        <v>42.59</v>
      </c>
      <c r="Q221" s="38">
        <v>44.88</v>
      </c>
      <c r="R221" s="38">
        <v>46.96</v>
      </c>
      <c r="S221" s="38">
        <v>47.44</v>
      </c>
      <c r="T221" s="38">
        <v>43.44</v>
      </c>
      <c r="U221" s="38">
        <v>38.299999999999997</v>
      </c>
      <c r="V221" s="38">
        <v>35.76</v>
      </c>
      <c r="W221" s="38">
        <v>34.65</v>
      </c>
      <c r="X221" s="38">
        <v>33.53</v>
      </c>
      <c r="Y221" s="38">
        <v>33.86</v>
      </c>
      <c r="Z221" s="38">
        <v>34.64</v>
      </c>
      <c r="AA221" s="38">
        <v>38.65</v>
      </c>
      <c r="AB221" s="38">
        <v>42.14</v>
      </c>
      <c r="AC221" s="38">
        <v>44.77</v>
      </c>
      <c r="AD221" s="38">
        <v>46.42</v>
      </c>
      <c r="AE221" s="38">
        <v>46.21</v>
      </c>
      <c r="AF221" s="38">
        <v>43.31</v>
      </c>
      <c r="AG221" s="38">
        <v>37.479999999999997</v>
      </c>
      <c r="AH221" s="38">
        <v>34.840000000000003</v>
      </c>
      <c r="AI221" s="38">
        <v>33.69</v>
      </c>
      <c r="AJ221" s="38">
        <v>33.74</v>
      </c>
      <c r="AK221" s="38">
        <v>34.92</v>
      </c>
      <c r="AL221" s="38">
        <v>37.950000000000003</v>
      </c>
      <c r="AM221" s="38">
        <v>43.04</v>
      </c>
      <c r="AN221" s="38">
        <v>45.39</v>
      </c>
      <c r="AO221" s="38">
        <v>45.62</v>
      </c>
      <c r="AP221" s="38">
        <v>45.51</v>
      </c>
      <c r="AQ221" s="38">
        <v>42.84</v>
      </c>
      <c r="AR221" s="38">
        <v>40.380000000000003</v>
      </c>
      <c r="AS221" s="38">
        <v>36.22</v>
      </c>
      <c r="AT221" s="38">
        <v>35.86</v>
      </c>
      <c r="AU221" s="38">
        <v>35.590000000000003</v>
      </c>
      <c r="AV221" s="38">
        <v>35.68</v>
      </c>
      <c r="AW221" s="38">
        <v>35.590000000000003</v>
      </c>
      <c r="AX221" s="38">
        <v>37.1</v>
      </c>
      <c r="AY221" s="38">
        <v>40.99</v>
      </c>
      <c r="BA221" s="37">
        <v>39.72</v>
      </c>
      <c r="BB221" s="38">
        <v>1.3066</v>
      </c>
    </row>
    <row r="222" spans="1:54" x14ac:dyDescent="0.35">
      <c r="A222" s="2">
        <f t="shared" si="3"/>
        <v>44132</v>
      </c>
      <c r="B222" t="s">
        <v>264</v>
      </c>
      <c r="C222" s="32">
        <v>44132</v>
      </c>
      <c r="D222" s="38">
        <v>41.48</v>
      </c>
      <c r="E222" s="38">
        <v>43.28</v>
      </c>
      <c r="F222" s="38">
        <v>43.92</v>
      </c>
      <c r="G222" s="38">
        <v>43.99</v>
      </c>
      <c r="H222" s="38">
        <v>40.69</v>
      </c>
      <c r="I222" s="38">
        <v>37.69</v>
      </c>
      <c r="J222" s="38">
        <v>35.19</v>
      </c>
      <c r="K222" s="38">
        <v>33.619999999999997</v>
      </c>
      <c r="L222" s="38">
        <v>33.159999999999997</v>
      </c>
      <c r="M222" s="38">
        <v>33.65</v>
      </c>
      <c r="N222" s="38">
        <v>35.18</v>
      </c>
      <c r="O222" s="38">
        <v>36.700000000000003</v>
      </c>
      <c r="P222" s="38">
        <v>41.84</v>
      </c>
      <c r="Q222" s="38">
        <v>44.13</v>
      </c>
      <c r="R222" s="38">
        <v>46.13</v>
      </c>
      <c r="S222" s="38">
        <v>46.61</v>
      </c>
      <c r="T222" s="38">
        <v>42.61</v>
      </c>
      <c r="U222" s="38">
        <v>37.39</v>
      </c>
      <c r="V222" s="38">
        <v>34.85</v>
      </c>
      <c r="W222" s="38">
        <v>33.74</v>
      </c>
      <c r="X222" s="38">
        <v>32.67</v>
      </c>
      <c r="Y222" s="38">
        <v>33</v>
      </c>
      <c r="Z222" s="38">
        <v>33.78</v>
      </c>
      <c r="AA222" s="38">
        <v>37.71</v>
      </c>
      <c r="AB222" s="38">
        <v>41.3</v>
      </c>
      <c r="AC222" s="38">
        <v>43.93</v>
      </c>
      <c r="AD222" s="38">
        <v>45.66</v>
      </c>
      <c r="AE222" s="38">
        <v>45.48</v>
      </c>
      <c r="AF222" s="38">
        <v>42.61</v>
      </c>
      <c r="AG222" s="38">
        <v>36.9</v>
      </c>
      <c r="AH222" s="38">
        <v>34.26</v>
      </c>
      <c r="AI222" s="38">
        <v>33.11</v>
      </c>
      <c r="AJ222" s="38">
        <v>33.159999999999997</v>
      </c>
      <c r="AK222" s="38">
        <v>34.340000000000003</v>
      </c>
      <c r="AL222" s="38">
        <v>37.369999999999997</v>
      </c>
      <c r="AM222" s="38">
        <v>42.52</v>
      </c>
      <c r="AN222" s="38">
        <v>44.87</v>
      </c>
      <c r="AO222" s="38">
        <v>45.1</v>
      </c>
      <c r="AP222" s="38">
        <v>44.99</v>
      </c>
      <c r="AQ222" s="38">
        <v>42.32</v>
      </c>
      <c r="AR222" s="38">
        <v>39.86</v>
      </c>
      <c r="AS222" s="38">
        <v>36.020000000000003</v>
      </c>
      <c r="AT222" s="38">
        <v>35.659999999999997</v>
      </c>
      <c r="AU222" s="38">
        <v>35.39</v>
      </c>
      <c r="AV222" s="38">
        <v>35.479999999999997</v>
      </c>
      <c r="AW222" s="38">
        <v>35.39</v>
      </c>
      <c r="AX222" s="38">
        <v>36.9</v>
      </c>
      <c r="AY222" s="38">
        <v>41.09</v>
      </c>
      <c r="BA222" s="37">
        <v>37.86</v>
      </c>
      <c r="BB222" s="38">
        <v>1.2994000000000001</v>
      </c>
    </row>
    <row r="223" spans="1:54" x14ac:dyDescent="0.35">
      <c r="A223" s="2">
        <f t="shared" si="3"/>
        <v>44133</v>
      </c>
      <c r="B223" t="s">
        <v>265</v>
      </c>
      <c r="C223" s="32">
        <v>44133</v>
      </c>
      <c r="D223" s="38">
        <v>40.909999999999997</v>
      </c>
      <c r="E223" s="38">
        <v>42.51</v>
      </c>
      <c r="F223" s="38">
        <v>43.09</v>
      </c>
      <c r="G223" s="38">
        <v>43.16</v>
      </c>
      <c r="H223" s="38">
        <v>39.99</v>
      </c>
      <c r="I223" s="38">
        <v>37.35</v>
      </c>
      <c r="J223" s="38">
        <v>34.799999999999997</v>
      </c>
      <c r="K223" s="38">
        <v>33.08</v>
      </c>
      <c r="L223" s="38">
        <v>32.57</v>
      </c>
      <c r="M223" s="38">
        <v>33.049999999999997</v>
      </c>
      <c r="N223" s="38">
        <v>34.549999999999997</v>
      </c>
      <c r="O223" s="38">
        <v>36.15</v>
      </c>
      <c r="P223" s="38">
        <v>41.15</v>
      </c>
      <c r="Q223" s="38">
        <v>43.44</v>
      </c>
      <c r="R223" s="38">
        <v>45.44</v>
      </c>
      <c r="S223" s="38">
        <v>45.94</v>
      </c>
      <c r="T223" s="38">
        <v>41.99</v>
      </c>
      <c r="U223" s="38">
        <v>37</v>
      </c>
      <c r="V223" s="38">
        <v>34.619999999999997</v>
      </c>
      <c r="W223" s="38">
        <v>33.54</v>
      </c>
      <c r="X223" s="38">
        <v>32.549999999999997</v>
      </c>
      <c r="Y223" s="38">
        <v>32.880000000000003</v>
      </c>
      <c r="Z223" s="38">
        <v>33.659999999999997</v>
      </c>
      <c r="AA223" s="38">
        <v>37.44</v>
      </c>
      <c r="AB223" s="38">
        <v>41.02</v>
      </c>
      <c r="AC223" s="38">
        <v>43.65</v>
      </c>
      <c r="AD223" s="38">
        <v>45.38</v>
      </c>
      <c r="AE223" s="38">
        <v>45.2</v>
      </c>
      <c r="AF223" s="38">
        <v>42.33</v>
      </c>
      <c r="AG223" s="38">
        <v>36.71</v>
      </c>
      <c r="AH223" s="38">
        <v>34.07</v>
      </c>
      <c r="AI223" s="38">
        <v>32.92</v>
      </c>
      <c r="AJ223" s="38">
        <v>32.97</v>
      </c>
      <c r="AK223" s="38">
        <v>34.15</v>
      </c>
      <c r="AL223" s="38">
        <v>37.18</v>
      </c>
      <c r="AM223" s="38">
        <v>42.33</v>
      </c>
      <c r="AN223" s="38">
        <v>44.68</v>
      </c>
      <c r="AO223" s="38">
        <v>44.91</v>
      </c>
      <c r="AP223" s="38">
        <v>44.8</v>
      </c>
      <c r="AQ223" s="38">
        <v>42.13</v>
      </c>
      <c r="AR223" s="38">
        <v>39.51</v>
      </c>
      <c r="AS223" s="38">
        <v>35.6</v>
      </c>
      <c r="AT223" s="38">
        <v>35.24</v>
      </c>
      <c r="AU223" s="38">
        <v>34.97</v>
      </c>
      <c r="AV223" s="38">
        <v>35.06</v>
      </c>
      <c r="AW223" s="38">
        <v>34.97</v>
      </c>
      <c r="AX223" s="38">
        <v>36.549999999999997</v>
      </c>
      <c r="AY223" s="38">
        <v>40.74</v>
      </c>
      <c r="BA223" s="37">
        <v>36.56</v>
      </c>
      <c r="BB223" s="38">
        <v>1.2905</v>
      </c>
    </row>
    <row r="224" spans="1:54" x14ac:dyDescent="0.35">
      <c r="A224" s="2">
        <f t="shared" si="3"/>
        <v>44134</v>
      </c>
      <c r="B224" t="s">
        <v>266</v>
      </c>
      <c r="C224" s="32">
        <v>44134</v>
      </c>
      <c r="D224" s="38">
        <v>41.5</v>
      </c>
      <c r="E224" s="38">
        <v>42.09</v>
      </c>
      <c r="F224" s="38">
        <v>42.29</v>
      </c>
      <c r="G224" s="38">
        <v>39.159999999999997</v>
      </c>
      <c r="H224" s="38">
        <v>36.47</v>
      </c>
      <c r="I224" s="38">
        <v>34.04</v>
      </c>
      <c r="J224" s="38">
        <v>32.07</v>
      </c>
      <c r="K224" s="38">
        <v>31.63</v>
      </c>
      <c r="L224" s="38">
        <v>32.18</v>
      </c>
      <c r="M224" s="38">
        <v>33.67</v>
      </c>
      <c r="N224" s="38">
        <v>35.200000000000003</v>
      </c>
      <c r="O224" s="38">
        <v>40.200000000000003</v>
      </c>
      <c r="P224" s="38">
        <v>42.49</v>
      </c>
      <c r="Q224" s="38">
        <v>44.49</v>
      </c>
      <c r="R224" s="38">
        <v>44.95</v>
      </c>
      <c r="S224" s="38">
        <v>41.11</v>
      </c>
      <c r="T224" s="38">
        <v>36.229999999999997</v>
      </c>
      <c r="U224" s="38">
        <v>33.909999999999997</v>
      </c>
      <c r="V224" s="38">
        <v>32.85</v>
      </c>
      <c r="W224" s="38">
        <v>31.9</v>
      </c>
      <c r="X224" s="38">
        <v>32.229999999999997</v>
      </c>
      <c r="Y224" s="38">
        <v>33.01</v>
      </c>
      <c r="Z224" s="38">
        <v>36.79</v>
      </c>
      <c r="AA224" s="38">
        <v>40.369999999999997</v>
      </c>
      <c r="AB224" s="38">
        <v>43</v>
      </c>
      <c r="AC224" s="38">
        <v>44.73</v>
      </c>
      <c r="AD224" s="38">
        <v>44.55</v>
      </c>
      <c r="AE224" s="38">
        <v>41.68</v>
      </c>
      <c r="AF224" s="38">
        <v>35.92</v>
      </c>
      <c r="AG224" s="38">
        <v>33.28</v>
      </c>
      <c r="AH224" s="38">
        <v>32.130000000000003</v>
      </c>
      <c r="AI224" s="38">
        <v>32.18</v>
      </c>
      <c r="AJ224" s="38">
        <v>33.36</v>
      </c>
      <c r="AK224" s="38">
        <v>36.39</v>
      </c>
      <c r="AL224" s="38">
        <v>41.86</v>
      </c>
      <c r="AM224" s="38">
        <v>44.21</v>
      </c>
      <c r="AN224" s="38">
        <v>44.44</v>
      </c>
      <c r="AO224" s="38">
        <v>44.33</v>
      </c>
      <c r="AP224" s="38">
        <v>41.66</v>
      </c>
      <c r="AQ224" s="38">
        <v>39.04</v>
      </c>
      <c r="AR224" s="38">
        <v>35.130000000000003</v>
      </c>
      <c r="AS224" s="38">
        <v>34.770000000000003</v>
      </c>
      <c r="AT224" s="38">
        <v>34.5</v>
      </c>
      <c r="AU224" s="38">
        <v>34.590000000000003</v>
      </c>
      <c r="AV224" s="38">
        <v>34.5</v>
      </c>
      <c r="AW224" s="38">
        <v>36.08</v>
      </c>
      <c r="AX224" s="38">
        <v>40.270000000000003</v>
      </c>
      <c r="AY224" s="38">
        <v>43.43</v>
      </c>
      <c r="BA224" s="37">
        <v>36.33</v>
      </c>
      <c r="BB224" s="38">
        <v>1.2932999999999999</v>
      </c>
    </row>
    <row r="225" spans="1:54" x14ac:dyDescent="0.35">
      <c r="A225" s="2">
        <f t="shared" si="3"/>
        <v>44137</v>
      </c>
      <c r="B225" t="s">
        <v>267</v>
      </c>
      <c r="C225" s="32">
        <v>44137</v>
      </c>
      <c r="D225" s="38">
        <v>40</v>
      </c>
      <c r="E225" s="38">
        <v>40.74</v>
      </c>
      <c r="F225" s="38">
        <v>40.93</v>
      </c>
      <c r="G225" s="38">
        <v>38</v>
      </c>
      <c r="H225" s="38">
        <v>35.44</v>
      </c>
      <c r="I225" s="38">
        <v>33.229999999999997</v>
      </c>
      <c r="J225" s="38">
        <v>31.49</v>
      </c>
      <c r="K225" s="38">
        <v>31.05</v>
      </c>
      <c r="L225" s="38">
        <v>31.61</v>
      </c>
      <c r="M225" s="38">
        <v>33.159999999999997</v>
      </c>
      <c r="N225" s="38">
        <v>34.770000000000003</v>
      </c>
      <c r="O225" s="38">
        <v>39.799999999999997</v>
      </c>
      <c r="P225" s="38">
        <v>42.13</v>
      </c>
      <c r="Q225" s="38">
        <v>44.15</v>
      </c>
      <c r="R225" s="38">
        <v>44.63</v>
      </c>
      <c r="S225" s="38">
        <v>40.840000000000003</v>
      </c>
      <c r="T225" s="38">
        <v>36.090000000000003</v>
      </c>
      <c r="U225" s="38">
        <v>33.82</v>
      </c>
      <c r="V225" s="38">
        <v>32.76</v>
      </c>
      <c r="W225" s="38">
        <v>31.81</v>
      </c>
      <c r="X225" s="38">
        <v>32.14</v>
      </c>
      <c r="Y225" s="38">
        <v>32.92</v>
      </c>
      <c r="Z225" s="38">
        <v>36.619999999999997</v>
      </c>
      <c r="AA225" s="38">
        <v>40.17</v>
      </c>
      <c r="AB225" s="38">
        <v>42.8</v>
      </c>
      <c r="AC225" s="38">
        <v>44.53</v>
      </c>
      <c r="AD225" s="38">
        <v>44.4</v>
      </c>
      <c r="AE225" s="38">
        <v>41.58</v>
      </c>
      <c r="AF225" s="38">
        <v>35.96</v>
      </c>
      <c r="AG225" s="38">
        <v>33.369999999999997</v>
      </c>
      <c r="AH225" s="38">
        <v>32.22</v>
      </c>
      <c r="AI225" s="38">
        <v>32.270000000000003</v>
      </c>
      <c r="AJ225" s="38">
        <v>33.450000000000003</v>
      </c>
      <c r="AK225" s="38">
        <v>36.39</v>
      </c>
      <c r="AL225" s="38">
        <v>41.96</v>
      </c>
      <c r="AM225" s="38">
        <v>44.26</v>
      </c>
      <c r="AN225" s="38">
        <v>44.49</v>
      </c>
      <c r="AO225" s="38">
        <v>44.38</v>
      </c>
      <c r="AP225" s="38">
        <v>41.71</v>
      </c>
      <c r="AQ225" s="38">
        <v>39.090000000000003</v>
      </c>
      <c r="AR225" s="38">
        <v>35.18</v>
      </c>
      <c r="AS225" s="38">
        <v>34.82</v>
      </c>
      <c r="AT225" s="38">
        <v>34.549999999999997</v>
      </c>
      <c r="AU225" s="38">
        <v>34.64</v>
      </c>
      <c r="AV225" s="38">
        <v>34.549999999999997</v>
      </c>
      <c r="AW225" s="38">
        <v>36.130000000000003</v>
      </c>
      <c r="AX225" s="38">
        <v>40.32</v>
      </c>
      <c r="AY225" s="38">
        <v>43.48</v>
      </c>
      <c r="BA225" s="37">
        <v>37.78</v>
      </c>
      <c r="BB225" s="38">
        <v>1.2904</v>
      </c>
    </row>
    <row r="226" spans="1:54" x14ac:dyDescent="0.35">
      <c r="A226" s="2">
        <f t="shared" si="3"/>
        <v>44138</v>
      </c>
      <c r="B226" t="s">
        <v>268</v>
      </c>
      <c r="C226" s="32">
        <v>44138</v>
      </c>
      <c r="D226" s="38">
        <v>39.29</v>
      </c>
      <c r="E226" s="38">
        <v>40.36</v>
      </c>
      <c r="F226" s="38">
        <v>40.6</v>
      </c>
      <c r="G226" s="38">
        <v>37.799999999999997</v>
      </c>
      <c r="H226" s="38">
        <v>35.54</v>
      </c>
      <c r="I226" s="38">
        <v>33.44</v>
      </c>
      <c r="J226" s="38">
        <v>31.69</v>
      </c>
      <c r="K226" s="38">
        <v>31.2</v>
      </c>
      <c r="L226" s="38">
        <v>31.73</v>
      </c>
      <c r="M226" s="38">
        <v>33.28</v>
      </c>
      <c r="N226" s="38">
        <v>34.93</v>
      </c>
      <c r="O226" s="38">
        <v>40.049999999999997</v>
      </c>
      <c r="P226" s="38">
        <v>42.32</v>
      </c>
      <c r="Q226" s="38">
        <v>44.2</v>
      </c>
      <c r="R226" s="38">
        <v>44.69</v>
      </c>
      <c r="S226" s="38">
        <v>40.99</v>
      </c>
      <c r="T226" s="38">
        <v>36.25</v>
      </c>
      <c r="U226" s="38">
        <v>34.01</v>
      </c>
      <c r="V226" s="38">
        <v>32.950000000000003</v>
      </c>
      <c r="W226" s="38">
        <v>32</v>
      </c>
      <c r="X226" s="38">
        <v>32.369999999999997</v>
      </c>
      <c r="Y226" s="38">
        <v>33.18</v>
      </c>
      <c r="Z226" s="38">
        <v>36.93</v>
      </c>
      <c r="AA226" s="38">
        <v>40.47</v>
      </c>
      <c r="AB226" s="38">
        <v>43.1</v>
      </c>
      <c r="AC226" s="38">
        <v>44.83</v>
      </c>
      <c r="AD226" s="38">
        <v>44.7</v>
      </c>
      <c r="AE226" s="38">
        <v>41.92</v>
      </c>
      <c r="AF226" s="38">
        <v>36.33</v>
      </c>
      <c r="AG226" s="38">
        <v>33.770000000000003</v>
      </c>
      <c r="AH226" s="38">
        <v>32.619999999999997</v>
      </c>
      <c r="AI226" s="38">
        <v>32.67</v>
      </c>
      <c r="AJ226" s="38">
        <v>33.85</v>
      </c>
      <c r="AK226" s="38">
        <v>36.729999999999997</v>
      </c>
      <c r="AL226" s="38">
        <v>42.17</v>
      </c>
      <c r="AM226" s="38">
        <v>44.4</v>
      </c>
      <c r="AN226" s="38">
        <v>44.63</v>
      </c>
      <c r="AO226" s="38">
        <v>44.52</v>
      </c>
      <c r="AP226" s="38">
        <v>41.85</v>
      </c>
      <c r="AQ226" s="38">
        <v>39.229999999999997</v>
      </c>
      <c r="AR226" s="38">
        <v>35.32</v>
      </c>
      <c r="AS226" s="38">
        <v>34.96</v>
      </c>
      <c r="AT226" s="38">
        <v>34.69</v>
      </c>
      <c r="AU226" s="38">
        <v>34.78</v>
      </c>
      <c r="AV226" s="38">
        <v>34.69</v>
      </c>
      <c r="AW226" s="38">
        <v>36.270000000000003</v>
      </c>
      <c r="AX226" s="38">
        <v>40.46</v>
      </c>
      <c r="AY226" s="38">
        <v>43.62</v>
      </c>
      <c r="BA226" s="37">
        <v>38.17</v>
      </c>
      <c r="BB226" s="38">
        <v>1.3070999999999999</v>
      </c>
    </row>
    <row r="227" spans="1:54" x14ac:dyDescent="0.35">
      <c r="A227" s="2">
        <f t="shared" si="3"/>
        <v>44139</v>
      </c>
      <c r="B227" t="s">
        <v>269</v>
      </c>
      <c r="C227" s="32">
        <v>44139</v>
      </c>
      <c r="D227" s="38">
        <v>39.799999999999997</v>
      </c>
      <c r="E227" s="38">
        <v>41.11</v>
      </c>
      <c r="F227" s="38">
        <v>41.34</v>
      </c>
      <c r="G227" s="38">
        <v>38.590000000000003</v>
      </c>
      <c r="H227" s="38">
        <v>36.43</v>
      </c>
      <c r="I227" s="38">
        <v>34.229999999999997</v>
      </c>
      <c r="J227" s="38">
        <v>32.43</v>
      </c>
      <c r="K227" s="38">
        <v>31.9</v>
      </c>
      <c r="L227" s="38">
        <v>32.409999999999997</v>
      </c>
      <c r="M227" s="38">
        <v>33.94</v>
      </c>
      <c r="N227" s="38">
        <v>35.57</v>
      </c>
      <c r="O227" s="38">
        <v>40.69</v>
      </c>
      <c r="P227" s="38">
        <v>42.9</v>
      </c>
      <c r="Q227" s="38">
        <v>44.78</v>
      </c>
      <c r="R227" s="38">
        <v>45.27</v>
      </c>
      <c r="S227" s="38">
        <v>41.59</v>
      </c>
      <c r="T227" s="38">
        <v>36.880000000000003</v>
      </c>
      <c r="U227" s="38">
        <v>34.659999999999997</v>
      </c>
      <c r="V227" s="38">
        <v>33.6</v>
      </c>
      <c r="W227" s="38">
        <v>32.65</v>
      </c>
      <c r="X227" s="38">
        <v>33.020000000000003</v>
      </c>
      <c r="Y227" s="38">
        <v>33.83</v>
      </c>
      <c r="Z227" s="38">
        <v>37.58</v>
      </c>
      <c r="AA227" s="38">
        <v>40.96</v>
      </c>
      <c r="AB227" s="38">
        <v>43.59</v>
      </c>
      <c r="AC227" s="38">
        <v>45.32</v>
      </c>
      <c r="AD227" s="38">
        <v>45.24</v>
      </c>
      <c r="AE227" s="38">
        <v>42.52</v>
      </c>
      <c r="AF227" s="38">
        <v>36.89</v>
      </c>
      <c r="AG227" s="38">
        <v>34.47</v>
      </c>
      <c r="AH227" s="38">
        <v>33.36</v>
      </c>
      <c r="AI227" s="38">
        <v>33.450000000000003</v>
      </c>
      <c r="AJ227" s="38">
        <v>34.67</v>
      </c>
      <c r="AK227" s="38">
        <v>37.549999999999997</v>
      </c>
      <c r="AL227" s="38">
        <v>43.04</v>
      </c>
      <c r="AM227" s="38">
        <v>45.32</v>
      </c>
      <c r="AN227" s="38">
        <v>45.6</v>
      </c>
      <c r="AO227" s="38">
        <v>45.54</v>
      </c>
      <c r="AP227" s="38">
        <v>42.87</v>
      </c>
      <c r="AQ227" s="38">
        <v>40.25</v>
      </c>
      <c r="AR227" s="38">
        <v>36.08</v>
      </c>
      <c r="AS227" s="38">
        <v>35.67</v>
      </c>
      <c r="AT227" s="38">
        <v>35.35</v>
      </c>
      <c r="AU227" s="38">
        <v>35.450000000000003</v>
      </c>
      <c r="AV227" s="38">
        <v>35.36</v>
      </c>
      <c r="AW227" s="38">
        <v>36.94</v>
      </c>
      <c r="AX227" s="38">
        <v>41.43</v>
      </c>
      <c r="AY227" s="38">
        <v>44.59</v>
      </c>
      <c r="BA227" s="37">
        <v>39.68</v>
      </c>
      <c r="BB227" s="38">
        <v>1.2994000000000001</v>
      </c>
    </row>
    <row r="228" spans="1:54" x14ac:dyDescent="0.35">
      <c r="A228" s="2">
        <f t="shared" si="3"/>
        <v>44140</v>
      </c>
      <c r="B228" t="s">
        <v>270</v>
      </c>
      <c r="C228" s="32">
        <v>44140</v>
      </c>
      <c r="D228" s="38">
        <v>41.37</v>
      </c>
      <c r="E228" s="38">
        <v>42.65</v>
      </c>
      <c r="F228" s="38">
        <v>42.97</v>
      </c>
      <c r="G228" s="38">
        <v>40.15</v>
      </c>
      <c r="H228" s="38">
        <v>37.549999999999997</v>
      </c>
      <c r="I228" s="38">
        <v>35.299999999999997</v>
      </c>
      <c r="J228" s="38">
        <v>33.46</v>
      </c>
      <c r="K228" s="38">
        <v>32.93</v>
      </c>
      <c r="L228" s="38">
        <v>33.44</v>
      </c>
      <c r="M228" s="38">
        <v>34.97</v>
      </c>
      <c r="N228" s="38">
        <v>36.46</v>
      </c>
      <c r="O228" s="38">
        <v>41.47</v>
      </c>
      <c r="P228" s="38">
        <v>43.57</v>
      </c>
      <c r="Q228" s="38">
        <v>45.46</v>
      </c>
      <c r="R228" s="38">
        <v>45.95</v>
      </c>
      <c r="S228" s="38">
        <v>42.27</v>
      </c>
      <c r="T228" s="38">
        <v>37.46</v>
      </c>
      <c r="U228" s="38">
        <v>35.15</v>
      </c>
      <c r="V228" s="38">
        <v>34.01</v>
      </c>
      <c r="W228" s="38">
        <v>33.07</v>
      </c>
      <c r="X228" s="38">
        <v>33.47</v>
      </c>
      <c r="Y228" s="38">
        <v>34.29</v>
      </c>
      <c r="Z228" s="38">
        <v>38.159999999999997</v>
      </c>
      <c r="AA228" s="38">
        <v>41.64</v>
      </c>
      <c r="AB228" s="38">
        <v>44.33</v>
      </c>
      <c r="AC228" s="38">
        <v>46.05</v>
      </c>
      <c r="AD228" s="38">
        <v>45.9</v>
      </c>
      <c r="AE228" s="38">
        <v>43.1</v>
      </c>
      <c r="AF228" s="38">
        <v>37.369999999999997</v>
      </c>
      <c r="AG228" s="38">
        <v>34.86</v>
      </c>
      <c r="AH228" s="38">
        <v>33.659999999999997</v>
      </c>
      <c r="AI228" s="38">
        <v>33.67</v>
      </c>
      <c r="AJ228" s="38">
        <v>34.86</v>
      </c>
      <c r="AK228" s="38">
        <v>37.74</v>
      </c>
      <c r="AL228" s="38">
        <v>43.28</v>
      </c>
      <c r="AM228" s="38">
        <v>45.59</v>
      </c>
      <c r="AN228" s="38">
        <v>45.9</v>
      </c>
      <c r="AO228" s="38">
        <v>45.84</v>
      </c>
      <c r="AP228" s="38">
        <v>43.17</v>
      </c>
      <c r="AQ228" s="38">
        <v>40.549999999999997</v>
      </c>
      <c r="AR228" s="38">
        <v>36.380000000000003</v>
      </c>
      <c r="AS228" s="38">
        <v>35.97</v>
      </c>
      <c r="AT228" s="38">
        <v>35.65</v>
      </c>
      <c r="AU228" s="38">
        <v>35.75</v>
      </c>
      <c r="AV228" s="38">
        <v>35.659999999999997</v>
      </c>
      <c r="AW228" s="38">
        <v>37.24</v>
      </c>
      <c r="AX228" s="38">
        <v>41.73</v>
      </c>
      <c r="AY228" s="38">
        <v>44.89</v>
      </c>
      <c r="BA228" s="37">
        <v>39.47</v>
      </c>
      <c r="BB228" s="38">
        <v>1.3022</v>
      </c>
    </row>
    <row r="229" spans="1:54" x14ac:dyDescent="0.35">
      <c r="A229" s="2">
        <f t="shared" si="3"/>
        <v>44141</v>
      </c>
      <c r="B229" t="s">
        <v>271</v>
      </c>
      <c r="C229" s="32">
        <v>44141</v>
      </c>
      <c r="D229" s="38">
        <v>39.979999999999997</v>
      </c>
      <c r="E229" s="38">
        <v>41.37</v>
      </c>
      <c r="F229" s="38">
        <v>41.6</v>
      </c>
      <c r="G229" s="38">
        <v>39</v>
      </c>
      <c r="H229" s="38">
        <v>36.6</v>
      </c>
      <c r="I229" s="38">
        <v>34.4</v>
      </c>
      <c r="J229" s="38">
        <v>32.6</v>
      </c>
      <c r="K229" s="38">
        <v>32.119999999999997</v>
      </c>
      <c r="L229" s="38">
        <v>32.69</v>
      </c>
      <c r="M229" s="38">
        <v>34.29</v>
      </c>
      <c r="N229" s="38">
        <v>35.65</v>
      </c>
      <c r="O229" s="38">
        <v>40.67</v>
      </c>
      <c r="P229" s="38">
        <v>42.78</v>
      </c>
      <c r="Q229" s="38">
        <v>44.68</v>
      </c>
      <c r="R229" s="38">
        <v>45.18</v>
      </c>
      <c r="S229" s="38">
        <v>41.51</v>
      </c>
      <c r="T229" s="38">
        <v>36.700000000000003</v>
      </c>
      <c r="U229" s="38">
        <v>34.49</v>
      </c>
      <c r="V229" s="38">
        <v>33.450000000000003</v>
      </c>
      <c r="W229" s="38">
        <v>32.590000000000003</v>
      </c>
      <c r="X229" s="38">
        <v>33.01</v>
      </c>
      <c r="Y229" s="38">
        <v>33.85</v>
      </c>
      <c r="Z229" s="38">
        <v>37.65</v>
      </c>
      <c r="AA229" s="38">
        <v>40.98</v>
      </c>
      <c r="AB229" s="38">
        <v>43.61</v>
      </c>
      <c r="AC229" s="38">
        <v>45.27</v>
      </c>
      <c r="AD229" s="38">
        <v>45.08</v>
      </c>
      <c r="AE229" s="38">
        <v>42.26</v>
      </c>
      <c r="AF229" s="38">
        <v>36.57</v>
      </c>
      <c r="AG229" s="38">
        <v>34.1</v>
      </c>
      <c r="AH229" s="38">
        <v>32.94</v>
      </c>
      <c r="AI229" s="38">
        <v>32.950000000000003</v>
      </c>
      <c r="AJ229" s="38">
        <v>34.14</v>
      </c>
      <c r="AK229" s="38">
        <v>37.020000000000003</v>
      </c>
      <c r="AL229" s="38">
        <v>42.56</v>
      </c>
      <c r="AM229" s="38">
        <v>44.87</v>
      </c>
      <c r="AN229" s="38">
        <v>45.18</v>
      </c>
      <c r="AO229" s="38">
        <v>45.12</v>
      </c>
      <c r="AP229" s="38">
        <v>42.45</v>
      </c>
      <c r="AQ229" s="38">
        <v>39.83</v>
      </c>
      <c r="AR229" s="38">
        <v>35.659999999999997</v>
      </c>
      <c r="AS229" s="38">
        <v>35.25</v>
      </c>
      <c r="AT229" s="38">
        <v>34.93</v>
      </c>
      <c r="AU229" s="38">
        <v>35.03</v>
      </c>
      <c r="AV229" s="38">
        <v>34.94</v>
      </c>
      <c r="AW229" s="38">
        <v>36.520000000000003</v>
      </c>
      <c r="AX229" s="38">
        <v>41.01</v>
      </c>
      <c r="AY229" s="38">
        <v>44.17</v>
      </c>
      <c r="BA229" s="37">
        <v>38.08</v>
      </c>
      <c r="BB229" s="38">
        <v>1.3160000000000001</v>
      </c>
    </row>
    <row r="230" spans="1:54" x14ac:dyDescent="0.35">
      <c r="A230" s="2">
        <f t="shared" si="3"/>
        <v>44144</v>
      </c>
      <c r="B230" t="s">
        <v>272</v>
      </c>
      <c r="C230" s="32">
        <v>44144</v>
      </c>
      <c r="D230" s="38">
        <v>39.72</v>
      </c>
      <c r="E230" s="38">
        <v>41.22</v>
      </c>
      <c r="F230" s="38">
        <v>41.58</v>
      </c>
      <c r="G230" s="38">
        <v>38.86</v>
      </c>
      <c r="H230" s="38">
        <v>36.590000000000003</v>
      </c>
      <c r="I230" s="38">
        <v>34.79</v>
      </c>
      <c r="J230" s="38">
        <v>32.86</v>
      </c>
      <c r="K230" s="38">
        <v>32.39</v>
      </c>
      <c r="L230" s="38">
        <v>33.07</v>
      </c>
      <c r="M230" s="38">
        <v>34.49</v>
      </c>
      <c r="N230" s="38">
        <v>35.92</v>
      </c>
      <c r="O230" s="38">
        <v>41</v>
      </c>
      <c r="P230" s="38">
        <v>43.19</v>
      </c>
      <c r="Q230" s="38">
        <v>45.13</v>
      </c>
      <c r="R230" s="38">
        <v>45.66</v>
      </c>
      <c r="S230" s="38">
        <v>41.99</v>
      </c>
      <c r="T230" s="38">
        <v>37.24</v>
      </c>
      <c r="U230" s="38">
        <v>35.049999999999997</v>
      </c>
      <c r="V230" s="38">
        <v>34.01</v>
      </c>
      <c r="W230" s="38">
        <v>33.15</v>
      </c>
      <c r="X230" s="38">
        <v>33.57</v>
      </c>
      <c r="Y230" s="38">
        <v>34.409999999999997</v>
      </c>
      <c r="Z230" s="38">
        <v>38.200000000000003</v>
      </c>
      <c r="AA230" s="38">
        <v>41.42</v>
      </c>
      <c r="AB230" s="38">
        <v>44.05</v>
      </c>
      <c r="AC230" s="38">
        <v>45.71</v>
      </c>
      <c r="AD230" s="38">
        <v>45.52</v>
      </c>
      <c r="AE230" s="38">
        <v>42.7</v>
      </c>
      <c r="AF230" s="38">
        <v>37.090000000000003</v>
      </c>
      <c r="AG230" s="38">
        <v>34.659999999999997</v>
      </c>
      <c r="AH230" s="38">
        <v>33.43</v>
      </c>
      <c r="AI230" s="38">
        <v>33.42</v>
      </c>
      <c r="AJ230" s="38">
        <v>34.61</v>
      </c>
      <c r="AK230" s="38">
        <v>37.49</v>
      </c>
      <c r="AL230" s="38">
        <v>43.05</v>
      </c>
      <c r="AM230" s="38">
        <v>45.38</v>
      </c>
      <c r="AN230" s="38">
        <v>45.73</v>
      </c>
      <c r="AO230" s="38">
        <v>45.71</v>
      </c>
      <c r="AP230" s="38">
        <v>43.07</v>
      </c>
      <c r="AQ230" s="38">
        <v>40.450000000000003</v>
      </c>
      <c r="AR230" s="38">
        <v>36.229999999999997</v>
      </c>
      <c r="AS230" s="38">
        <v>35.770000000000003</v>
      </c>
      <c r="AT230" s="38">
        <v>35.4</v>
      </c>
      <c r="AU230" s="38">
        <v>35.5</v>
      </c>
      <c r="AV230" s="38">
        <v>35.409999999999997</v>
      </c>
      <c r="AW230" s="38">
        <v>36.99</v>
      </c>
      <c r="AX230" s="38">
        <v>41.69</v>
      </c>
      <c r="AY230" s="38">
        <v>44.94</v>
      </c>
      <c r="BA230" s="37">
        <v>40.93</v>
      </c>
      <c r="BB230" s="38">
        <v>1.3149999999999999</v>
      </c>
    </row>
    <row r="231" spans="1:54" x14ac:dyDescent="0.35">
      <c r="A231" s="2">
        <f t="shared" si="3"/>
        <v>44145</v>
      </c>
      <c r="B231" t="s">
        <v>273</v>
      </c>
      <c r="C231" s="32">
        <v>44145</v>
      </c>
      <c r="D231" s="38">
        <v>39.53</v>
      </c>
      <c r="E231" s="38">
        <v>41.18</v>
      </c>
      <c r="F231" s="38">
        <v>41.53</v>
      </c>
      <c r="G231" s="38">
        <v>38.979999999999997</v>
      </c>
      <c r="H231" s="38">
        <v>36.67</v>
      </c>
      <c r="I231" s="38">
        <v>34.619999999999997</v>
      </c>
      <c r="J231" s="38">
        <v>32.67</v>
      </c>
      <c r="K231" s="38">
        <v>32.22</v>
      </c>
      <c r="L231" s="38">
        <v>32.909999999999997</v>
      </c>
      <c r="M231" s="38">
        <v>34.409999999999997</v>
      </c>
      <c r="N231" s="38">
        <v>35.909999999999997</v>
      </c>
      <c r="O231" s="38">
        <v>41.01</v>
      </c>
      <c r="P231" s="38">
        <v>43.21</v>
      </c>
      <c r="Q231" s="38">
        <v>45.08</v>
      </c>
      <c r="R231" s="38">
        <v>45.56</v>
      </c>
      <c r="S231" s="38">
        <v>41.86</v>
      </c>
      <c r="T231" s="38">
        <v>37.22</v>
      </c>
      <c r="U231" s="38">
        <v>35.08</v>
      </c>
      <c r="V231" s="38">
        <v>34.090000000000003</v>
      </c>
      <c r="W231" s="38">
        <v>33.270000000000003</v>
      </c>
      <c r="X231" s="38">
        <v>33.72</v>
      </c>
      <c r="Y231" s="38">
        <v>34.590000000000003</v>
      </c>
      <c r="Z231" s="38">
        <v>38.31</v>
      </c>
      <c r="AA231" s="38">
        <v>41.53</v>
      </c>
      <c r="AB231" s="38">
        <v>44.16</v>
      </c>
      <c r="AC231" s="38">
        <v>45.82</v>
      </c>
      <c r="AD231" s="38">
        <v>45.63</v>
      </c>
      <c r="AE231" s="38">
        <v>42.81</v>
      </c>
      <c r="AF231" s="38">
        <v>37.159999999999997</v>
      </c>
      <c r="AG231" s="38">
        <v>34.71</v>
      </c>
      <c r="AH231" s="38">
        <v>33.479999999999997</v>
      </c>
      <c r="AI231" s="38">
        <v>33.47</v>
      </c>
      <c r="AJ231" s="38">
        <v>34.659999999999997</v>
      </c>
      <c r="AK231" s="38">
        <v>37.54</v>
      </c>
      <c r="AL231" s="38">
        <v>43.09</v>
      </c>
      <c r="AM231" s="38">
        <v>45.49</v>
      </c>
      <c r="AN231" s="38">
        <v>45.85</v>
      </c>
      <c r="AO231" s="38">
        <v>45.83</v>
      </c>
      <c r="AP231" s="38">
        <v>43.19</v>
      </c>
      <c r="AQ231" s="38">
        <v>40.57</v>
      </c>
      <c r="AR231" s="38">
        <v>36.28</v>
      </c>
      <c r="AS231" s="38">
        <v>35.799999999999997</v>
      </c>
      <c r="AT231" s="38">
        <v>35.42</v>
      </c>
      <c r="AU231" s="38">
        <v>35.53</v>
      </c>
      <c r="AV231" s="38">
        <v>35.450000000000003</v>
      </c>
      <c r="AW231" s="38">
        <v>37.04</v>
      </c>
      <c r="AX231" s="38">
        <v>41.76</v>
      </c>
      <c r="AY231" s="38">
        <v>45.04</v>
      </c>
      <c r="BA231" s="37">
        <v>42.25</v>
      </c>
      <c r="BB231" s="38">
        <v>1.325</v>
      </c>
    </row>
    <row r="232" spans="1:54" x14ac:dyDescent="0.35">
      <c r="A232" s="2">
        <f t="shared" si="3"/>
        <v>44146</v>
      </c>
      <c r="B232" t="s">
        <v>274</v>
      </c>
      <c r="C232" s="32">
        <v>44146</v>
      </c>
      <c r="D232" s="38">
        <v>39.799999999999997</v>
      </c>
      <c r="E232" s="38">
        <v>41.23</v>
      </c>
      <c r="F232" s="38">
        <v>41.63</v>
      </c>
      <c r="G232" s="38">
        <v>39.03</v>
      </c>
      <c r="H232" s="38">
        <v>36.92</v>
      </c>
      <c r="I232" s="38">
        <v>34.92</v>
      </c>
      <c r="J232" s="38">
        <v>33.020000000000003</v>
      </c>
      <c r="K232" s="38">
        <v>32.549999999999997</v>
      </c>
      <c r="L232" s="38">
        <v>33.22</v>
      </c>
      <c r="M232" s="38">
        <v>34.72</v>
      </c>
      <c r="N232" s="38">
        <v>36.14</v>
      </c>
      <c r="O232" s="38">
        <v>41.17</v>
      </c>
      <c r="P232" s="38">
        <v>43.25</v>
      </c>
      <c r="Q232" s="38">
        <v>45.12</v>
      </c>
      <c r="R232" s="38">
        <v>45.6</v>
      </c>
      <c r="S232" s="38">
        <v>41.9</v>
      </c>
      <c r="T232" s="38">
        <v>37.22</v>
      </c>
      <c r="U232" s="38">
        <v>35.08</v>
      </c>
      <c r="V232" s="38">
        <v>34.090000000000003</v>
      </c>
      <c r="W232" s="38">
        <v>33.11</v>
      </c>
      <c r="X232" s="38">
        <v>33.520000000000003</v>
      </c>
      <c r="Y232" s="38">
        <v>34.36</v>
      </c>
      <c r="Z232" s="38">
        <v>38.270000000000003</v>
      </c>
      <c r="AA232" s="38">
        <v>41.56</v>
      </c>
      <c r="AB232" s="38">
        <v>44.23</v>
      </c>
      <c r="AC232" s="38">
        <v>45.93</v>
      </c>
      <c r="AD232" s="38">
        <v>45.74</v>
      </c>
      <c r="AE232" s="38">
        <v>42.92</v>
      </c>
      <c r="AF232" s="38">
        <v>37.15</v>
      </c>
      <c r="AG232" s="38">
        <v>34.590000000000003</v>
      </c>
      <c r="AH232" s="38">
        <v>33.26</v>
      </c>
      <c r="AI232" s="38">
        <v>33.17</v>
      </c>
      <c r="AJ232" s="38">
        <v>34.31</v>
      </c>
      <c r="AK232" s="38">
        <v>37.18</v>
      </c>
      <c r="AL232" s="38">
        <v>42.73</v>
      </c>
      <c r="AM232" s="38">
        <v>45.13</v>
      </c>
      <c r="AN232" s="38">
        <v>45.49</v>
      </c>
      <c r="AO232" s="38">
        <v>45.47</v>
      </c>
      <c r="AP232" s="38">
        <v>42.83</v>
      </c>
      <c r="AQ232" s="38">
        <v>40.21</v>
      </c>
      <c r="AR232" s="38">
        <v>36</v>
      </c>
      <c r="AS232" s="38">
        <v>35.58</v>
      </c>
      <c r="AT232" s="38">
        <v>35.26</v>
      </c>
      <c r="AU232" s="38">
        <v>35.33</v>
      </c>
      <c r="AV232" s="38">
        <v>35.409999999999997</v>
      </c>
      <c r="AW232" s="38">
        <v>37</v>
      </c>
      <c r="AX232" s="38">
        <v>41.72</v>
      </c>
      <c r="AY232" s="38">
        <v>45</v>
      </c>
      <c r="BA232" s="37">
        <v>42.5</v>
      </c>
      <c r="BB232" s="38">
        <v>1.3197000000000001</v>
      </c>
    </row>
    <row r="233" spans="1:54" x14ac:dyDescent="0.35">
      <c r="A233" s="2">
        <f t="shared" si="3"/>
        <v>44147</v>
      </c>
      <c r="B233" t="s">
        <v>275</v>
      </c>
      <c r="C233" s="32">
        <v>44147</v>
      </c>
      <c r="D233" s="38">
        <v>39.65</v>
      </c>
      <c r="E233" s="38">
        <v>41.17</v>
      </c>
      <c r="F233" s="38">
        <v>41.69</v>
      </c>
      <c r="G233" s="38">
        <v>39</v>
      </c>
      <c r="H233" s="38">
        <v>36.89</v>
      </c>
      <c r="I233" s="38">
        <v>34.79</v>
      </c>
      <c r="J233" s="38">
        <v>32.83</v>
      </c>
      <c r="K233" s="38">
        <v>32.46</v>
      </c>
      <c r="L233" s="38">
        <v>33.229999999999997</v>
      </c>
      <c r="M233" s="38">
        <v>34.770000000000003</v>
      </c>
      <c r="N233" s="38">
        <v>36.17</v>
      </c>
      <c r="O233" s="38">
        <v>41.22</v>
      </c>
      <c r="P233" s="38">
        <v>43.32</v>
      </c>
      <c r="Q233" s="38">
        <v>45.21</v>
      </c>
      <c r="R233" s="38">
        <v>45.71</v>
      </c>
      <c r="S233" s="38">
        <v>42.01</v>
      </c>
      <c r="T233" s="38">
        <v>37.270000000000003</v>
      </c>
      <c r="U233" s="38">
        <v>35.1</v>
      </c>
      <c r="V233" s="38">
        <v>34.08</v>
      </c>
      <c r="W233" s="38">
        <v>33.1</v>
      </c>
      <c r="X233" s="38">
        <v>33.51</v>
      </c>
      <c r="Y233" s="38">
        <v>34.35</v>
      </c>
      <c r="Z233" s="38">
        <v>38.26</v>
      </c>
      <c r="AA233" s="38">
        <v>41.47</v>
      </c>
      <c r="AB233" s="38">
        <v>44.06</v>
      </c>
      <c r="AC233" s="38">
        <v>45.72</v>
      </c>
      <c r="AD233" s="38">
        <v>45.53</v>
      </c>
      <c r="AE233" s="38">
        <v>42.71</v>
      </c>
      <c r="AF233" s="38">
        <v>37.130000000000003</v>
      </c>
      <c r="AG233" s="38">
        <v>34.729999999999997</v>
      </c>
      <c r="AH233" s="38">
        <v>33.5</v>
      </c>
      <c r="AI233" s="38">
        <v>33.409999999999997</v>
      </c>
      <c r="AJ233" s="38">
        <v>34.549999999999997</v>
      </c>
      <c r="AK233" s="38">
        <v>37.42</v>
      </c>
      <c r="AL233" s="38">
        <v>42.84</v>
      </c>
      <c r="AM233" s="38">
        <v>45.18</v>
      </c>
      <c r="AN233" s="38">
        <v>45.54</v>
      </c>
      <c r="AO233" s="38">
        <v>45.52</v>
      </c>
      <c r="AP233" s="38">
        <v>42.88</v>
      </c>
      <c r="AQ233" s="38">
        <v>40.26</v>
      </c>
      <c r="AR233" s="38">
        <v>35.96</v>
      </c>
      <c r="AS233" s="38">
        <v>35.409999999999997</v>
      </c>
      <c r="AT233" s="38">
        <v>35.090000000000003</v>
      </c>
      <c r="AU233" s="38">
        <v>35.159999999999997</v>
      </c>
      <c r="AV233" s="38">
        <v>35.24</v>
      </c>
      <c r="AW233" s="38">
        <v>36.83</v>
      </c>
      <c r="AX233" s="38">
        <v>41.58</v>
      </c>
      <c r="AY233" s="38">
        <v>44.88</v>
      </c>
      <c r="BA233" s="37">
        <v>42.16</v>
      </c>
      <c r="BB233" s="38">
        <v>1.3129</v>
      </c>
    </row>
    <row r="234" spans="1:54" x14ac:dyDescent="0.35">
      <c r="A234" s="2">
        <f t="shared" si="3"/>
        <v>44148</v>
      </c>
      <c r="B234" t="s">
        <v>276</v>
      </c>
      <c r="C234" s="32">
        <v>44148</v>
      </c>
      <c r="D234" s="38">
        <v>40.270000000000003</v>
      </c>
      <c r="E234" s="38">
        <v>41.8</v>
      </c>
      <c r="F234" s="38">
        <v>42.2</v>
      </c>
      <c r="G234" s="38">
        <v>39.520000000000003</v>
      </c>
      <c r="H234" s="38">
        <v>37.200000000000003</v>
      </c>
      <c r="I234" s="38">
        <v>34.81</v>
      </c>
      <c r="J234" s="38">
        <v>32.92</v>
      </c>
      <c r="K234" s="38">
        <v>32.520000000000003</v>
      </c>
      <c r="L234" s="38">
        <v>33.200000000000003</v>
      </c>
      <c r="M234" s="38">
        <v>34.74</v>
      </c>
      <c r="N234" s="38">
        <v>36.200000000000003</v>
      </c>
      <c r="O234" s="38">
        <v>41.32</v>
      </c>
      <c r="P234" s="38">
        <v>43.5</v>
      </c>
      <c r="Q234" s="38">
        <v>45.31</v>
      </c>
      <c r="R234" s="38">
        <v>45.81</v>
      </c>
      <c r="S234" s="38">
        <v>42.11</v>
      </c>
      <c r="T234" s="38">
        <v>37.26</v>
      </c>
      <c r="U234" s="38">
        <v>35.07</v>
      </c>
      <c r="V234" s="38">
        <v>34.06</v>
      </c>
      <c r="W234" s="38">
        <v>33.04</v>
      </c>
      <c r="X234" s="38">
        <v>33.47</v>
      </c>
      <c r="Y234" s="38">
        <v>34.31</v>
      </c>
      <c r="Z234" s="38">
        <v>38.25</v>
      </c>
      <c r="AA234" s="38">
        <v>41.46</v>
      </c>
      <c r="AB234" s="38">
        <v>44.08</v>
      </c>
      <c r="AC234" s="38">
        <v>45.78</v>
      </c>
      <c r="AD234" s="38">
        <v>45.58</v>
      </c>
      <c r="AE234" s="38">
        <v>42.74</v>
      </c>
      <c r="AF234" s="38">
        <v>37.19</v>
      </c>
      <c r="AG234" s="38">
        <v>34.770000000000003</v>
      </c>
      <c r="AH234" s="38">
        <v>33.51</v>
      </c>
      <c r="AI234" s="38">
        <v>33.43</v>
      </c>
      <c r="AJ234" s="38">
        <v>34.58</v>
      </c>
      <c r="AK234" s="38">
        <v>37.46</v>
      </c>
      <c r="AL234" s="38">
        <v>42.91</v>
      </c>
      <c r="AM234" s="38">
        <v>45.29</v>
      </c>
      <c r="AN234" s="38">
        <v>45.74</v>
      </c>
      <c r="AO234" s="38">
        <v>45.77</v>
      </c>
      <c r="AP234" s="38">
        <v>43.17</v>
      </c>
      <c r="AQ234" s="38">
        <v>40.549999999999997</v>
      </c>
      <c r="AR234" s="38">
        <v>36.200000000000003</v>
      </c>
      <c r="AS234" s="38">
        <v>35.590000000000003</v>
      </c>
      <c r="AT234" s="38">
        <v>35.22</v>
      </c>
      <c r="AU234" s="38">
        <v>35.26</v>
      </c>
      <c r="AV234" s="38">
        <v>35.340000000000003</v>
      </c>
      <c r="AW234" s="38">
        <v>36.93</v>
      </c>
      <c r="AX234" s="38">
        <v>41.64</v>
      </c>
      <c r="AY234" s="38">
        <v>44.89</v>
      </c>
      <c r="BA234" s="37">
        <v>41.51</v>
      </c>
      <c r="BB234" s="38">
        <v>1.3159000000000001</v>
      </c>
    </row>
    <row r="235" spans="1:54" x14ac:dyDescent="0.35">
      <c r="A235" s="2">
        <f t="shared" si="3"/>
        <v>44151</v>
      </c>
      <c r="B235" t="s">
        <v>277</v>
      </c>
      <c r="C235" s="32">
        <v>44151</v>
      </c>
      <c r="D235" s="38">
        <v>41.19</v>
      </c>
      <c r="E235" s="38">
        <v>42.34</v>
      </c>
      <c r="F235" s="38">
        <v>42.54</v>
      </c>
      <c r="G235" s="38">
        <v>39.94</v>
      </c>
      <c r="H235" s="38">
        <v>37.409999999999997</v>
      </c>
      <c r="I235" s="38">
        <v>34.909999999999997</v>
      </c>
      <c r="J235" s="38">
        <v>32.909999999999997</v>
      </c>
      <c r="K235" s="38">
        <v>32.61</v>
      </c>
      <c r="L235" s="38">
        <v>33.42</v>
      </c>
      <c r="M235" s="38">
        <v>34.630000000000003</v>
      </c>
      <c r="N235" s="38">
        <v>36.36</v>
      </c>
      <c r="O235" s="38">
        <v>41.38</v>
      </c>
      <c r="P235" s="38">
        <v>43.58</v>
      </c>
      <c r="Q235" s="38">
        <v>45.33</v>
      </c>
      <c r="R235" s="38">
        <v>45.76</v>
      </c>
      <c r="S235" s="38">
        <v>42.06</v>
      </c>
      <c r="T235" s="38">
        <v>37.299999999999997</v>
      </c>
      <c r="U235" s="38">
        <v>35.15</v>
      </c>
      <c r="V235" s="38">
        <v>34.159999999999997</v>
      </c>
      <c r="W235" s="38">
        <v>33.229999999999997</v>
      </c>
      <c r="X235" s="38">
        <v>33.659999999999997</v>
      </c>
      <c r="Y235" s="38">
        <v>34.5</v>
      </c>
      <c r="Z235" s="38">
        <v>38.35</v>
      </c>
      <c r="AA235" s="38">
        <v>41.5</v>
      </c>
      <c r="AB235" s="38">
        <v>44.08</v>
      </c>
      <c r="AC235" s="38">
        <v>45.77</v>
      </c>
      <c r="AD235" s="38">
        <v>45.6</v>
      </c>
      <c r="AE235" s="38">
        <v>42.76</v>
      </c>
      <c r="AF235" s="38">
        <v>37.200000000000003</v>
      </c>
      <c r="AG235" s="38">
        <v>34.74</v>
      </c>
      <c r="AH235" s="38">
        <v>33.450000000000003</v>
      </c>
      <c r="AI235" s="38">
        <v>33.369999999999997</v>
      </c>
      <c r="AJ235" s="38">
        <v>34.520000000000003</v>
      </c>
      <c r="AK235" s="38">
        <v>37.4</v>
      </c>
      <c r="AL235" s="38">
        <v>42.92</v>
      </c>
      <c r="AM235" s="38">
        <v>45.39</v>
      </c>
      <c r="AN235" s="38">
        <v>45.97</v>
      </c>
      <c r="AO235" s="38">
        <v>46.03</v>
      </c>
      <c r="AP235" s="38">
        <v>43.43</v>
      </c>
      <c r="AQ235" s="38">
        <v>40.81</v>
      </c>
      <c r="AR235" s="38">
        <v>36.369999999999997</v>
      </c>
      <c r="AS235" s="38">
        <v>35.64</v>
      </c>
      <c r="AT235" s="38">
        <v>35.270000000000003</v>
      </c>
      <c r="AU235" s="38">
        <v>35.31</v>
      </c>
      <c r="AV235" s="38">
        <v>35.39</v>
      </c>
      <c r="AW235" s="38">
        <v>36.979999999999997</v>
      </c>
      <c r="AX235" s="38">
        <v>41.69</v>
      </c>
      <c r="AY235" s="38">
        <v>44.94</v>
      </c>
      <c r="BA235" s="37">
        <v>42.71</v>
      </c>
      <c r="BB235" s="38">
        <v>1.3176000000000001</v>
      </c>
    </row>
    <row r="236" spans="1:54" x14ac:dyDescent="0.35">
      <c r="A236" s="2">
        <f t="shared" si="3"/>
        <v>44152</v>
      </c>
      <c r="B236" t="s">
        <v>278</v>
      </c>
      <c r="C236" s="32">
        <v>44152</v>
      </c>
      <c r="D236" s="38">
        <v>39.380000000000003</v>
      </c>
      <c r="E236" s="38">
        <v>40.67</v>
      </c>
      <c r="F236" s="38">
        <v>40.97</v>
      </c>
      <c r="G236" s="38">
        <v>38.450000000000003</v>
      </c>
      <c r="H236" s="38">
        <v>35.979999999999997</v>
      </c>
      <c r="I236" s="38">
        <v>33.92</v>
      </c>
      <c r="J236" s="38">
        <v>32.119999999999997</v>
      </c>
      <c r="K236" s="38">
        <v>31.76</v>
      </c>
      <c r="L236" s="38">
        <v>32.4</v>
      </c>
      <c r="M236" s="38">
        <v>33.61</v>
      </c>
      <c r="N236" s="38">
        <v>35.450000000000003</v>
      </c>
      <c r="O236" s="38">
        <v>40.47</v>
      </c>
      <c r="P236" s="38">
        <v>42.67</v>
      </c>
      <c r="Q236" s="38">
        <v>44.46</v>
      </c>
      <c r="R236" s="38">
        <v>44.96</v>
      </c>
      <c r="S236" s="38">
        <v>41.3</v>
      </c>
      <c r="T236" s="38">
        <v>36.61</v>
      </c>
      <c r="U236" s="38">
        <v>34.53</v>
      </c>
      <c r="V236" s="38">
        <v>33.61</v>
      </c>
      <c r="W236" s="38">
        <v>32.78</v>
      </c>
      <c r="X236" s="38">
        <v>33.21</v>
      </c>
      <c r="Y236" s="38">
        <v>34.049999999999997</v>
      </c>
      <c r="Z236" s="38">
        <v>37.9</v>
      </c>
      <c r="AA236" s="38">
        <v>41</v>
      </c>
      <c r="AB236" s="38">
        <v>43.58</v>
      </c>
      <c r="AC236" s="38">
        <v>45.27</v>
      </c>
      <c r="AD236" s="38">
        <v>45.1</v>
      </c>
      <c r="AE236" s="38">
        <v>42.26</v>
      </c>
      <c r="AF236" s="38">
        <v>36.700000000000003</v>
      </c>
      <c r="AG236" s="38">
        <v>34.24</v>
      </c>
      <c r="AH236" s="38">
        <v>32.950000000000003</v>
      </c>
      <c r="AI236" s="38">
        <v>32.869999999999997</v>
      </c>
      <c r="AJ236" s="38">
        <v>34.020000000000003</v>
      </c>
      <c r="AK236" s="38">
        <v>36.9</v>
      </c>
      <c r="AL236" s="38">
        <v>42.34</v>
      </c>
      <c r="AM236" s="38">
        <v>44.76</v>
      </c>
      <c r="AN236" s="38">
        <v>45.29</v>
      </c>
      <c r="AO236" s="38">
        <v>45.25</v>
      </c>
      <c r="AP236" s="38">
        <v>42.65</v>
      </c>
      <c r="AQ236" s="38">
        <v>40.03</v>
      </c>
      <c r="AR236" s="38">
        <v>35.64</v>
      </c>
      <c r="AS236" s="38">
        <v>34.93</v>
      </c>
      <c r="AT236" s="38">
        <v>34.56</v>
      </c>
      <c r="AU236" s="38">
        <v>34.6</v>
      </c>
      <c r="AV236" s="38">
        <v>34.68</v>
      </c>
      <c r="AW236" s="38">
        <v>36.270000000000003</v>
      </c>
      <c r="AX236" s="38">
        <v>40.98</v>
      </c>
      <c r="AY236" s="38">
        <v>44.23</v>
      </c>
      <c r="BA236" s="37">
        <v>42.54</v>
      </c>
      <c r="BB236" s="38">
        <v>1.3260000000000001</v>
      </c>
    </row>
    <row r="237" spans="1:54" x14ac:dyDescent="0.35">
      <c r="A237" s="2">
        <f t="shared" si="3"/>
        <v>44153</v>
      </c>
      <c r="B237" t="s">
        <v>279</v>
      </c>
      <c r="C237" s="32">
        <v>44153</v>
      </c>
      <c r="D237" s="38">
        <v>38.4</v>
      </c>
      <c r="E237" s="38">
        <v>39.61</v>
      </c>
      <c r="F237" s="38">
        <v>39.78</v>
      </c>
      <c r="G237" s="38">
        <v>37.43</v>
      </c>
      <c r="H237" s="38">
        <v>35.58</v>
      </c>
      <c r="I237" s="38">
        <v>33.58</v>
      </c>
      <c r="J237" s="38">
        <v>31.75</v>
      </c>
      <c r="K237" s="38">
        <v>31.45</v>
      </c>
      <c r="L237" s="38">
        <v>32.07</v>
      </c>
      <c r="M237" s="38">
        <v>33.28</v>
      </c>
      <c r="N237" s="38">
        <v>35.17</v>
      </c>
      <c r="O237" s="38">
        <v>40.270000000000003</v>
      </c>
      <c r="P237" s="38">
        <v>42.52</v>
      </c>
      <c r="Q237" s="38">
        <v>44.26</v>
      </c>
      <c r="R237" s="38">
        <v>44.78</v>
      </c>
      <c r="S237" s="38">
        <v>41.16</v>
      </c>
      <c r="T237" s="38">
        <v>36.619999999999997</v>
      </c>
      <c r="U237" s="38">
        <v>34.58</v>
      </c>
      <c r="V237" s="38">
        <v>33.700000000000003</v>
      </c>
      <c r="W237" s="38">
        <v>32.94</v>
      </c>
      <c r="X237" s="38">
        <v>33.31</v>
      </c>
      <c r="Y237" s="38">
        <v>34.090000000000003</v>
      </c>
      <c r="Z237" s="38">
        <v>37.94</v>
      </c>
      <c r="AA237" s="38">
        <v>41.04</v>
      </c>
      <c r="AB237" s="38">
        <v>43.62</v>
      </c>
      <c r="AC237" s="38">
        <v>45.31</v>
      </c>
      <c r="AD237" s="38">
        <v>45.14</v>
      </c>
      <c r="AE237" s="38">
        <v>42.3</v>
      </c>
      <c r="AF237" s="38">
        <v>36.71</v>
      </c>
      <c r="AG237" s="38">
        <v>34.229999999999997</v>
      </c>
      <c r="AH237" s="38">
        <v>32.94</v>
      </c>
      <c r="AI237" s="38">
        <v>32.86</v>
      </c>
      <c r="AJ237" s="38">
        <v>34.01</v>
      </c>
      <c r="AK237" s="38">
        <v>36.89</v>
      </c>
      <c r="AL237" s="38">
        <v>42.33</v>
      </c>
      <c r="AM237" s="38">
        <v>44.75</v>
      </c>
      <c r="AN237" s="38">
        <v>45.28</v>
      </c>
      <c r="AO237" s="38">
        <v>45.24</v>
      </c>
      <c r="AP237" s="38">
        <v>42.64</v>
      </c>
      <c r="AQ237" s="38">
        <v>40.020000000000003</v>
      </c>
      <c r="AR237" s="38">
        <v>35.630000000000003</v>
      </c>
      <c r="AS237" s="38">
        <v>34.92</v>
      </c>
      <c r="AT237" s="38">
        <v>34.549999999999997</v>
      </c>
      <c r="AU237" s="38">
        <v>34.590000000000003</v>
      </c>
      <c r="AV237" s="38">
        <v>34.67</v>
      </c>
      <c r="AW237" s="38">
        <v>36.26</v>
      </c>
      <c r="AX237" s="38">
        <v>40.97</v>
      </c>
      <c r="AY237" s="38">
        <v>44.22</v>
      </c>
      <c r="BA237" s="37">
        <v>42.91</v>
      </c>
      <c r="BB237" s="38">
        <v>1.3302</v>
      </c>
    </row>
    <row r="238" spans="1:54" x14ac:dyDescent="0.35">
      <c r="A238" s="2">
        <f t="shared" si="3"/>
        <v>44154</v>
      </c>
      <c r="B238" t="s">
        <v>280</v>
      </c>
      <c r="C238" s="32">
        <v>44154</v>
      </c>
      <c r="D238" s="38">
        <v>36.840000000000003</v>
      </c>
      <c r="E238" s="38">
        <v>37.97</v>
      </c>
      <c r="F238" s="38">
        <v>38.369999999999997</v>
      </c>
      <c r="G238" s="38">
        <v>35.99</v>
      </c>
      <c r="H238" s="38">
        <v>33.86</v>
      </c>
      <c r="I238" s="38">
        <v>31.96</v>
      </c>
      <c r="J238" s="38">
        <v>30.27</v>
      </c>
      <c r="K238" s="38">
        <v>29.98</v>
      </c>
      <c r="L238" s="38">
        <v>30.45</v>
      </c>
      <c r="M238" s="38">
        <v>31.65</v>
      </c>
      <c r="N238" s="38">
        <v>34.24</v>
      </c>
      <c r="O238" s="38">
        <v>39.36</v>
      </c>
      <c r="P238" s="38">
        <v>41.81</v>
      </c>
      <c r="Q238" s="38">
        <v>43.45</v>
      </c>
      <c r="R238" s="38">
        <v>43.93</v>
      </c>
      <c r="S238" s="38">
        <v>40.31</v>
      </c>
      <c r="T238" s="38">
        <v>35.75</v>
      </c>
      <c r="U238" s="38">
        <v>33.69</v>
      </c>
      <c r="V238" s="38">
        <v>32.74</v>
      </c>
      <c r="W238" s="38">
        <v>32.06</v>
      </c>
      <c r="X238" s="38">
        <v>32.43</v>
      </c>
      <c r="Y238" s="38">
        <v>33.21</v>
      </c>
      <c r="Z238" s="38">
        <v>37.36</v>
      </c>
      <c r="AA238" s="38">
        <v>40.51</v>
      </c>
      <c r="AB238" s="38">
        <v>43.16</v>
      </c>
      <c r="AC238" s="38">
        <v>44.85</v>
      </c>
      <c r="AD238" s="38">
        <v>44.68</v>
      </c>
      <c r="AE238" s="38">
        <v>41.84</v>
      </c>
      <c r="AF238" s="38">
        <v>36.25</v>
      </c>
      <c r="AG238" s="38">
        <v>33.69</v>
      </c>
      <c r="AH238" s="38">
        <v>32.32</v>
      </c>
      <c r="AI238" s="38">
        <v>32.25</v>
      </c>
      <c r="AJ238" s="38">
        <v>33.409999999999997</v>
      </c>
      <c r="AK238" s="38">
        <v>36.299999999999997</v>
      </c>
      <c r="AL238" s="38">
        <v>41.96</v>
      </c>
      <c r="AM238" s="38">
        <v>44.5</v>
      </c>
      <c r="AN238" s="38">
        <v>45.16</v>
      </c>
      <c r="AO238" s="38">
        <v>45.15</v>
      </c>
      <c r="AP238" s="38">
        <v>42.58</v>
      </c>
      <c r="AQ238" s="38">
        <v>39.979999999999997</v>
      </c>
      <c r="AR238" s="38">
        <v>35.450000000000003</v>
      </c>
      <c r="AS238" s="38">
        <v>34.49</v>
      </c>
      <c r="AT238" s="38">
        <v>34.119999999999997</v>
      </c>
      <c r="AU238" s="38">
        <v>34.159999999999997</v>
      </c>
      <c r="AV238" s="38">
        <v>34.24</v>
      </c>
      <c r="AW238" s="38">
        <v>35.83</v>
      </c>
      <c r="AX238" s="38">
        <v>40.54</v>
      </c>
      <c r="AY238" s="38">
        <v>43.62</v>
      </c>
      <c r="BA238" s="37">
        <v>43.09</v>
      </c>
      <c r="BB238" s="38">
        <v>1.3226</v>
      </c>
    </row>
    <row r="239" spans="1:54" x14ac:dyDescent="0.35">
      <c r="A239" s="2">
        <f t="shared" si="3"/>
        <v>44155</v>
      </c>
      <c r="B239" t="s">
        <v>281</v>
      </c>
      <c r="C239" s="32">
        <v>44155</v>
      </c>
      <c r="D239" s="38">
        <v>36.21</v>
      </c>
      <c r="E239" s="38">
        <v>37.42</v>
      </c>
      <c r="F239" s="38">
        <v>37.729999999999997</v>
      </c>
      <c r="G239" s="38">
        <v>35.46</v>
      </c>
      <c r="H239" s="38">
        <v>33.409999999999997</v>
      </c>
      <c r="I239" s="38">
        <v>31.49</v>
      </c>
      <c r="J239" s="38">
        <v>29.78</v>
      </c>
      <c r="K239" s="38">
        <v>29.65</v>
      </c>
      <c r="L239" s="38">
        <v>30.03</v>
      </c>
      <c r="M239" s="38">
        <v>31.27</v>
      </c>
      <c r="N239" s="38">
        <v>34.25</v>
      </c>
      <c r="O239" s="38">
        <v>39.200000000000003</v>
      </c>
      <c r="P239" s="38">
        <v>41.71</v>
      </c>
      <c r="Q239" s="38">
        <v>43.37</v>
      </c>
      <c r="R239" s="38">
        <v>43.89</v>
      </c>
      <c r="S239" s="38">
        <v>40.28</v>
      </c>
      <c r="T239" s="38">
        <v>35.71</v>
      </c>
      <c r="U239" s="38">
        <v>33.74</v>
      </c>
      <c r="V239" s="38">
        <v>32.71</v>
      </c>
      <c r="W239" s="38">
        <v>32.04</v>
      </c>
      <c r="X239" s="38">
        <v>32.42</v>
      </c>
      <c r="Y239" s="38">
        <v>33.21</v>
      </c>
      <c r="Z239" s="38">
        <v>37.51</v>
      </c>
      <c r="AA239" s="38">
        <v>40.64</v>
      </c>
      <c r="AB239" s="38">
        <v>43.31</v>
      </c>
      <c r="AC239" s="38">
        <v>45.03</v>
      </c>
      <c r="AD239" s="38">
        <v>44.88</v>
      </c>
      <c r="AE239" s="38">
        <v>42.02</v>
      </c>
      <c r="AF239" s="38">
        <v>36.49</v>
      </c>
      <c r="AG239" s="38">
        <v>33.81</v>
      </c>
      <c r="AH239" s="38">
        <v>32.32</v>
      </c>
      <c r="AI239" s="38">
        <v>32.25</v>
      </c>
      <c r="AJ239" s="38">
        <v>33.409999999999997</v>
      </c>
      <c r="AK239" s="38">
        <v>36.299999999999997</v>
      </c>
      <c r="AL239" s="38">
        <v>41.96</v>
      </c>
      <c r="AM239" s="38">
        <v>44.5</v>
      </c>
      <c r="AN239" s="38">
        <v>45.16</v>
      </c>
      <c r="AO239" s="38">
        <v>45.15</v>
      </c>
      <c r="AP239" s="38">
        <v>42.58</v>
      </c>
      <c r="AQ239" s="38">
        <v>39.979999999999997</v>
      </c>
      <c r="AR239" s="38">
        <v>35.450000000000003</v>
      </c>
      <c r="AS239" s="38">
        <v>34.49</v>
      </c>
      <c r="AT239" s="38">
        <v>34.119999999999997</v>
      </c>
      <c r="AU239" s="38">
        <v>34.159999999999997</v>
      </c>
      <c r="AV239" s="38">
        <v>34.24</v>
      </c>
      <c r="AW239" s="38">
        <v>35.83</v>
      </c>
      <c r="AX239" s="38">
        <v>40.54</v>
      </c>
      <c r="AY239" s="38">
        <v>43.62</v>
      </c>
      <c r="BA239" s="37">
        <v>43.79</v>
      </c>
      <c r="BB239" s="38">
        <v>1.3286</v>
      </c>
    </row>
    <row r="240" spans="1:54" x14ac:dyDescent="0.35">
      <c r="A240" s="2">
        <f t="shared" si="3"/>
        <v>44158</v>
      </c>
      <c r="B240" t="s">
        <v>282</v>
      </c>
      <c r="C240" s="32">
        <v>44158</v>
      </c>
      <c r="D240" s="38">
        <v>37.97</v>
      </c>
      <c r="E240" s="38">
        <v>38.92</v>
      </c>
      <c r="F240" s="38">
        <v>39.15</v>
      </c>
      <c r="G240" s="38">
        <v>36.78</v>
      </c>
      <c r="H240" s="38">
        <v>34.32</v>
      </c>
      <c r="I240" s="38">
        <v>32.130000000000003</v>
      </c>
      <c r="J240" s="38">
        <v>30.65</v>
      </c>
      <c r="K240" s="38">
        <v>30.36</v>
      </c>
      <c r="L240" s="38">
        <v>30.81</v>
      </c>
      <c r="M240" s="38">
        <v>31.91</v>
      </c>
      <c r="N240" s="38">
        <v>35.06</v>
      </c>
      <c r="O240" s="38">
        <v>39.53</v>
      </c>
      <c r="P240" s="38">
        <v>41.86</v>
      </c>
      <c r="Q240" s="38">
        <v>43.39</v>
      </c>
      <c r="R240" s="38">
        <v>43.84</v>
      </c>
      <c r="S240" s="38">
        <v>40.26</v>
      </c>
      <c r="T240" s="38">
        <v>35.840000000000003</v>
      </c>
      <c r="U240" s="38">
        <v>33.93</v>
      </c>
      <c r="V240" s="38">
        <v>33.020000000000003</v>
      </c>
      <c r="W240" s="38">
        <v>32.630000000000003</v>
      </c>
      <c r="X240" s="38">
        <v>32.94</v>
      </c>
      <c r="Y240" s="38">
        <v>33.65</v>
      </c>
      <c r="Z240" s="38">
        <v>37.78</v>
      </c>
      <c r="AA240" s="38">
        <v>40.64</v>
      </c>
      <c r="AB240" s="38">
        <v>43.17</v>
      </c>
      <c r="AC240" s="38">
        <v>44.73</v>
      </c>
      <c r="AD240" s="38">
        <v>44.58</v>
      </c>
      <c r="AE240" s="38">
        <v>41.72</v>
      </c>
      <c r="AF240" s="38">
        <v>36.19</v>
      </c>
      <c r="AG240" s="38">
        <v>33.51</v>
      </c>
      <c r="AH240" s="38">
        <v>32.020000000000003</v>
      </c>
      <c r="AI240" s="38">
        <v>31.95</v>
      </c>
      <c r="AJ240" s="38">
        <v>33.11</v>
      </c>
      <c r="AK240" s="38">
        <v>36</v>
      </c>
      <c r="AL240" s="38">
        <v>41.66</v>
      </c>
      <c r="AM240" s="38">
        <v>44.2</v>
      </c>
      <c r="AN240" s="38">
        <v>44.86</v>
      </c>
      <c r="AO240" s="38">
        <v>44.85</v>
      </c>
      <c r="AP240" s="38">
        <v>42.28</v>
      </c>
      <c r="AQ240" s="38">
        <v>39.68</v>
      </c>
      <c r="AR240" s="38">
        <v>35.24</v>
      </c>
      <c r="AS240" s="38">
        <v>34.380000000000003</v>
      </c>
      <c r="AT240" s="38">
        <v>34.119999999999997</v>
      </c>
      <c r="AU240" s="38">
        <v>34.159999999999997</v>
      </c>
      <c r="AV240" s="38">
        <v>34.24</v>
      </c>
      <c r="AW240" s="38">
        <v>35.83</v>
      </c>
      <c r="AX240" s="38">
        <v>40.54</v>
      </c>
      <c r="AY240" s="38">
        <v>43.52</v>
      </c>
      <c r="BA240" s="37">
        <v>45</v>
      </c>
      <c r="BB240" s="38">
        <v>1.3293999999999999</v>
      </c>
    </row>
    <row r="241" spans="1:54" x14ac:dyDescent="0.35">
      <c r="A241" s="2">
        <f t="shared" si="3"/>
        <v>44159</v>
      </c>
      <c r="B241" t="s">
        <v>283</v>
      </c>
      <c r="C241" s="32">
        <v>44159</v>
      </c>
      <c r="D241" s="38">
        <v>39.04</v>
      </c>
      <c r="E241" s="38">
        <v>40.06</v>
      </c>
      <c r="F241" s="38">
        <v>40.21</v>
      </c>
      <c r="G241" s="38">
        <v>37.770000000000003</v>
      </c>
      <c r="H241" s="38">
        <v>35.270000000000003</v>
      </c>
      <c r="I241" s="38">
        <v>32.840000000000003</v>
      </c>
      <c r="J241" s="38">
        <v>31.18</v>
      </c>
      <c r="K241" s="38">
        <v>31.03</v>
      </c>
      <c r="L241" s="38">
        <v>31.58</v>
      </c>
      <c r="M241" s="38">
        <v>32.58</v>
      </c>
      <c r="N241" s="38">
        <v>35.78</v>
      </c>
      <c r="O241" s="38">
        <v>40.03</v>
      </c>
      <c r="P241" s="38">
        <v>42.46</v>
      </c>
      <c r="Q241" s="38">
        <v>44.13</v>
      </c>
      <c r="R241" s="38">
        <v>44.61</v>
      </c>
      <c r="S241" s="38">
        <v>40.880000000000003</v>
      </c>
      <c r="T241" s="38">
        <v>36.25</v>
      </c>
      <c r="U241" s="38">
        <v>34.299999999999997</v>
      </c>
      <c r="V241" s="38">
        <v>33.380000000000003</v>
      </c>
      <c r="W241" s="38">
        <v>32.97</v>
      </c>
      <c r="X241" s="38">
        <v>33.24</v>
      </c>
      <c r="Y241" s="38">
        <v>33.909999999999997</v>
      </c>
      <c r="Z241" s="38">
        <v>38.130000000000003</v>
      </c>
      <c r="AA241" s="38">
        <v>40.99</v>
      </c>
      <c r="AB241" s="38">
        <v>43.43</v>
      </c>
      <c r="AC241" s="38">
        <v>45</v>
      </c>
      <c r="AD241" s="38">
        <v>44.84</v>
      </c>
      <c r="AE241" s="38">
        <v>41.98</v>
      </c>
      <c r="AF241" s="38">
        <v>36.74</v>
      </c>
      <c r="AG241" s="38">
        <v>34.06</v>
      </c>
      <c r="AH241" s="38">
        <v>32.57</v>
      </c>
      <c r="AI241" s="38">
        <v>32.5</v>
      </c>
      <c r="AJ241" s="38">
        <v>33.659999999999997</v>
      </c>
      <c r="AK241" s="38">
        <v>36.549999999999997</v>
      </c>
      <c r="AL241" s="38">
        <v>42.06</v>
      </c>
      <c r="AM241" s="38">
        <v>44.48</v>
      </c>
      <c r="AN241" s="38">
        <v>45.14</v>
      </c>
      <c r="AO241" s="38">
        <v>45.13</v>
      </c>
      <c r="AP241" s="38">
        <v>42.6</v>
      </c>
      <c r="AQ241" s="38">
        <v>39.96</v>
      </c>
      <c r="AR241" s="38">
        <v>35.51</v>
      </c>
      <c r="AS241" s="38">
        <v>34.65</v>
      </c>
      <c r="AT241" s="38">
        <v>34.39</v>
      </c>
      <c r="AU241" s="38">
        <v>34.43</v>
      </c>
      <c r="AV241" s="38">
        <v>34.51</v>
      </c>
      <c r="AW241" s="38">
        <v>36.1</v>
      </c>
      <c r="AX241" s="38">
        <v>40.81</v>
      </c>
      <c r="AY241" s="38">
        <v>43.79</v>
      </c>
      <c r="BA241" s="37">
        <v>46.63</v>
      </c>
      <c r="BB241" s="38">
        <v>1.3354999999999999</v>
      </c>
    </row>
    <row r="242" spans="1:54" x14ac:dyDescent="0.35">
      <c r="A242" s="2">
        <f t="shared" si="3"/>
        <v>44160</v>
      </c>
      <c r="B242" t="s">
        <v>284</v>
      </c>
      <c r="C242" s="32">
        <v>44160</v>
      </c>
      <c r="D242" s="38">
        <v>39.479999999999997</v>
      </c>
      <c r="E242" s="38">
        <v>40.299999999999997</v>
      </c>
      <c r="F242" s="38">
        <v>40.44</v>
      </c>
      <c r="G242" s="38">
        <v>37.799999999999997</v>
      </c>
      <c r="H242" s="38">
        <v>35.29</v>
      </c>
      <c r="I242" s="38">
        <v>33.159999999999997</v>
      </c>
      <c r="J242" s="38">
        <v>31.78</v>
      </c>
      <c r="K242" s="38">
        <v>31.27</v>
      </c>
      <c r="L242" s="38">
        <v>31.75</v>
      </c>
      <c r="M242" s="38">
        <v>33.03</v>
      </c>
      <c r="N242" s="38">
        <v>36.090000000000003</v>
      </c>
      <c r="O242" s="38">
        <v>40.21</v>
      </c>
      <c r="P242" s="38">
        <v>42.56</v>
      </c>
      <c r="Q242" s="38">
        <v>44.38</v>
      </c>
      <c r="R242" s="38">
        <v>44.92</v>
      </c>
      <c r="S242" s="38">
        <v>41.18</v>
      </c>
      <c r="T242" s="38">
        <v>36.57</v>
      </c>
      <c r="U242" s="38">
        <v>34.64</v>
      </c>
      <c r="V242" s="38">
        <v>33.700000000000003</v>
      </c>
      <c r="W242" s="38">
        <v>33.270000000000003</v>
      </c>
      <c r="X242" s="38">
        <v>33.51</v>
      </c>
      <c r="Y242" s="38">
        <v>34.18</v>
      </c>
      <c r="Z242" s="38">
        <v>38.4</v>
      </c>
      <c r="AA242" s="38">
        <v>41.19</v>
      </c>
      <c r="AB242" s="38">
        <v>43.54</v>
      </c>
      <c r="AC242" s="38">
        <v>45.08</v>
      </c>
      <c r="AD242" s="38">
        <v>44.92</v>
      </c>
      <c r="AE242" s="38">
        <v>42.06</v>
      </c>
      <c r="AF242" s="38">
        <v>36.869999999999997</v>
      </c>
      <c r="AG242" s="38">
        <v>34.25</v>
      </c>
      <c r="AH242" s="38">
        <v>32.83</v>
      </c>
      <c r="AI242" s="38">
        <v>32.880000000000003</v>
      </c>
      <c r="AJ242" s="38">
        <v>34.07</v>
      </c>
      <c r="AK242" s="38">
        <v>36.96</v>
      </c>
      <c r="AL242" s="38">
        <v>42.47</v>
      </c>
      <c r="AM242" s="38">
        <v>44.85</v>
      </c>
      <c r="AN242" s="38">
        <v>45.51</v>
      </c>
      <c r="AO242" s="38">
        <v>45.5</v>
      </c>
      <c r="AP242" s="38">
        <v>42.97</v>
      </c>
      <c r="AQ242" s="38">
        <v>40.33</v>
      </c>
      <c r="AR242" s="38">
        <v>35.880000000000003</v>
      </c>
      <c r="AS242" s="38">
        <v>34.9</v>
      </c>
      <c r="AT242" s="38">
        <v>34.61</v>
      </c>
      <c r="AU242" s="38">
        <v>34.65</v>
      </c>
      <c r="AV242" s="38">
        <v>34.729999999999997</v>
      </c>
      <c r="AW242" s="38">
        <v>36.299999999999997</v>
      </c>
      <c r="AX242" s="38">
        <v>40.96</v>
      </c>
      <c r="AY242" s="38">
        <v>43.82</v>
      </c>
      <c r="BA242" s="37">
        <v>47.3</v>
      </c>
      <c r="BB242" s="38">
        <v>1.3379000000000001</v>
      </c>
    </row>
    <row r="243" spans="1:54" x14ac:dyDescent="0.35">
      <c r="A243" s="2">
        <f t="shared" si="3"/>
        <v>44161</v>
      </c>
      <c r="B243" t="s">
        <v>285</v>
      </c>
      <c r="C243" s="32">
        <v>44161</v>
      </c>
      <c r="D243" s="38">
        <v>39.619999999999997</v>
      </c>
      <c r="E243" s="38">
        <v>40.42</v>
      </c>
      <c r="F243" s="38">
        <v>40.5</v>
      </c>
      <c r="G243" s="38">
        <v>37.83</v>
      </c>
      <c r="H243" s="38">
        <v>35.18</v>
      </c>
      <c r="I243" s="38">
        <v>32.909999999999997</v>
      </c>
      <c r="J243" s="38">
        <v>31.63</v>
      </c>
      <c r="K243" s="38">
        <v>31.13</v>
      </c>
      <c r="L243" s="38">
        <v>31.53</v>
      </c>
      <c r="M243" s="38">
        <v>32.880000000000003</v>
      </c>
      <c r="N243" s="38">
        <v>35.97</v>
      </c>
      <c r="O243" s="38">
        <v>39.950000000000003</v>
      </c>
      <c r="P243" s="38">
        <v>42.4</v>
      </c>
      <c r="Q243" s="38">
        <v>44.35</v>
      </c>
      <c r="R243" s="38">
        <v>44.91</v>
      </c>
      <c r="S243" s="38">
        <v>41.17</v>
      </c>
      <c r="T243" s="38">
        <v>36.57</v>
      </c>
      <c r="U243" s="38">
        <v>34.42</v>
      </c>
      <c r="V243" s="38">
        <v>33.28</v>
      </c>
      <c r="W243" s="38">
        <v>32.79</v>
      </c>
      <c r="X243" s="38">
        <v>32.97</v>
      </c>
      <c r="Y243" s="38">
        <v>33.590000000000003</v>
      </c>
      <c r="Z243" s="38">
        <v>37.840000000000003</v>
      </c>
      <c r="AA243" s="38">
        <v>40.68</v>
      </c>
      <c r="AB243" s="38">
        <v>43.06</v>
      </c>
      <c r="AC243" s="38">
        <v>44.63</v>
      </c>
      <c r="AD243" s="38">
        <v>44.44</v>
      </c>
      <c r="AE243" s="38">
        <v>41.54</v>
      </c>
      <c r="AF243" s="38">
        <v>36.31</v>
      </c>
      <c r="AG243" s="38">
        <v>33.65</v>
      </c>
      <c r="AH243" s="38">
        <v>32.22</v>
      </c>
      <c r="AI243" s="38">
        <v>32.26</v>
      </c>
      <c r="AJ243" s="38">
        <v>33.43</v>
      </c>
      <c r="AK243" s="38">
        <v>36.32</v>
      </c>
      <c r="AL243" s="38">
        <v>41.83</v>
      </c>
      <c r="AM243" s="38">
        <v>44.21</v>
      </c>
      <c r="AN243" s="38">
        <v>44.87</v>
      </c>
      <c r="AO243" s="38">
        <v>44.86</v>
      </c>
      <c r="AP243" s="38">
        <v>42.33</v>
      </c>
      <c r="AQ243" s="38">
        <v>39.69</v>
      </c>
      <c r="AR243" s="38">
        <v>35.24</v>
      </c>
      <c r="AS243" s="38">
        <v>34.26</v>
      </c>
      <c r="AT243" s="38">
        <v>33.97</v>
      </c>
      <c r="AU243" s="38">
        <v>34.01</v>
      </c>
      <c r="AV243" s="38">
        <v>34.090000000000003</v>
      </c>
      <c r="AW243" s="38">
        <v>35.659999999999997</v>
      </c>
      <c r="AX243" s="38">
        <v>40.32</v>
      </c>
      <c r="AY243" s="38">
        <v>43.18</v>
      </c>
      <c r="BA243" s="37">
        <v>46.32</v>
      </c>
      <c r="BB243" s="38">
        <v>1.333</v>
      </c>
    </row>
    <row r="244" spans="1:54" x14ac:dyDescent="0.35">
      <c r="A244" s="2">
        <f t="shared" si="3"/>
        <v>44162</v>
      </c>
      <c r="B244" t="s">
        <v>286</v>
      </c>
      <c r="C244" s="32">
        <v>44162</v>
      </c>
      <c r="D244" s="38">
        <v>41.68</v>
      </c>
      <c r="E244" s="38">
        <v>42.24</v>
      </c>
      <c r="F244" s="38">
        <v>42.33</v>
      </c>
      <c r="G244" s="38">
        <v>39.33</v>
      </c>
      <c r="H244" s="38">
        <v>36.450000000000003</v>
      </c>
      <c r="I244" s="38">
        <v>34.03</v>
      </c>
      <c r="J244" s="38">
        <v>32.53</v>
      </c>
      <c r="K244" s="38">
        <v>32.130000000000003</v>
      </c>
      <c r="L244" s="38">
        <v>32.53</v>
      </c>
      <c r="M244" s="38">
        <v>33.880000000000003</v>
      </c>
      <c r="N244" s="38">
        <v>36.96</v>
      </c>
      <c r="O244" s="38">
        <v>40.82</v>
      </c>
      <c r="P244" s="38">
        <v>43.27</v>
      </c>
      <c r="Q244" s="38">
        <v>45.19</v>
      </c>
      <c r="R244" s="38">
        <v>45.71</v>
      </c>
      <c r="S244" s="38">
        <v>41.94</v>
      </c>
      <c r="T244" s="38">
        <v>37.380000000000003</v>
      </c>
      <c r="U244" s="38">
        <v>35.24</v>
      </c>
      <c r="V244" s="38">
        <v>34.11</v>
      </c>
      <c r="W244" s="38">
        <v>33.619999999999997</v>
      </c>
      <c r="X244" s="38">
        <v>33.799999999999997</v>
      </c>
      <c r="Y244" s="38">
        <v>34.42</v>
      </c>
      <c r="Z244" s="38">
        <v>38.74</v>
      </c>
      <c r="AA244" s="38">
        <v>41.63</v>
      </c>
      <c r="AB244" s="38">
        <v>44.04</v>
      </c>
      <c r="AC244" s="38">
        <v>45.61</v>
      </c>
      <c r="AD244" s="38">
        <v>45.35</v>
      </c>
      <c r="AE244" s="38">
        <v>42.45</v>
      </c>
      <c r="AF244" s="38">
        <v>37.17</v>
      </c>
      <c r="AG244" s="38">
        <v>34.43</v>
      </c>
      <c r="AH244" s="38">
        <v>32.97</v>
      </c>
      <c r="AI244" s="38">
        <v>33.01</v>
      </c>
      <c r="AJ244" s="38">
        <v>34.18</v>
      </c>
      <c r="AK244" s="38">
        <v>37.07</v>
      </c>
      <c r="AL244" s="38">
        <v>42.58</v>
      </c>
      <c r="AM244" s="38">
        <v>44.99</v>
      </c>
      <c r="AN244" s="38">
        <v>45.68</v>
      </c>
      <c r="AO244" s="38">
        <v>45.67</v>
      </c>
      <c r="AP244" s="38">
        <v>43.14</v>
      </c>
      <c r="AQ244" s="38">
        <v>40.5</v>
      </c>
      <c r="AR244" s="38">
        <v>36.049999999999997</v>
      </c>
      <c r="AS244" s="38">
        <v>34.99</v>
      </c>
      <c r="AT244" s="38">
        <v>34.64</v>
      </c>
      <c r="AU244" s="38">
        <v>34.68</v>
      </c>
      <c r="AV244" s="38">
        <v>34.76</v>
      </c>
      <c r="AW244" s="38">
        <v>36.33</v>
      </c>
      <c r="AX244" s="38">
        <v>40.99</v>
      </c>
      <c r="AY244" s="38">
        <v>43.85</v>
      </c>
      <c r="BA244" s="37">
        <v>46.88</v>
      </c>
      <c r="BB244" s="38">
        <v>1.3344</v>
      </c>
    </row>
    <row r="245" spans="1:54" x14ac:dyDescent="0.35">
      <c r="A245" s="2">
        <f t="shared" si="3"/>
        <v>44165</v>
      </c>
      <c r="B245" t="s">
        <v>287</v>
      </c>
      <c r="C245" s="32">
        <v>44165</v>
      </c>
      <c r="D245" s="38">
        <v>43.67</v>
      </c>
      <c r="E245" s="38">
        <v>43.72</v>
      </c>
      <c r="F245" s="38">
        <v>40.619999999999997</v>
      </c>
      <c r="G245" s="38">
        <v>37.630000000000003</v>
      </c>
      <c r="H245" s="38">
        <v>35.14</v>
      </c>
      <c r="I245" s="38">
        <v>33.47</v>
      </c>
      <c r="J245" s="38">
        <v>33.06</v>
      </c>
      <c r="K245" s="38">
        <v>33.5</v>
      </c>
      <c r="L245" s="38">
        <v>34.840000000000003</v>
      </c>
      <c r="M245" s="38">
        <v>37.950000000000003</v>
      </c>
      <c r="N245" s="38">
        <v>41.77</v>
      </c>
      <c r="O245" s="38">
        <v>44.16</v>
      </c>
      <c r="P245" s="38">
        <v>45.98</v>
      </c>
      <c r="Q245" s="38">
        <v>46.38</v>
      </c>
      <c r="R245" s="38">
        <v>42.52</v>
      </c>
      <c r="S245" s="38">
        <v>37.840000000000003</v>
      </c>
      <c r="T245" s="38">
        <v>35.56</v>
      </c>
      <c r="U245" s="38">
        <v>34.31</v>
      </c>
      <c r="V245" s="38">
        <v>33.880000000000003</v>
      </c>
      <c r="W245" s="38">
        <v>34.06</v>
      </c>
      <c r="X245" s="38">
        <v>34.68</v>
      </c>
      <c r="Y245" s="38">
        <v>38.9</v>
      </c>
      <c r="Z245" s="38">
        <v>41.82</v>
      </c>
      <c r="AA245" s="38">
        <v>44.23</v>
      </c>
      <c r="AB245" s="38">
        <v>45.8</v>
      </c>
      <c r="AC245" s="38">
        <v>45.54</v>
      </c>
      <c r="AD245" s="38">
        <v>42.64</v>
      </c>
      <c r="AE245" s="38">
        <v>37.36</v>
      </c>
      <c r="AF245" s="38">
        <v>34.61</v>
      </c>
      <c r="AG245" s="38">
        <v>33.090000000000003</v>
      </c>
      <c r="AH245" s="38">
        <v>33.130000000000003</v>
      </c>
      <c r="AI245" s="38">
        <v>34.299999999999997</v>
      </c>
      <c r="AJ245" s="38">
        <v>37.19</v>
      </c>
      <c r="AK245" s="38">
        <v>42.68</v>
      </c>
      <c r="AL245" s="38">
        <v>45.07</v>
      </c>
      <c r="AM245" s="38">
        <v>45.76</v>
      </c>
      <c r="AN245" s="38">
        <v>45.73</v>
      </c>
      <c r="AO245" s="38">
        <v>43.2</v>
      </c>
      <c r="AP245" s="38">
        <v>40.56</v>
      </c>
      <c r="AQ245" s="38">
        <v>36.11</v>
      </c>
      <c r="AR245" s="38">
        <v>35.049999999999997</v>
      </c>
      <c r="AS245" s="38">
        <v>34.700000000000003</v>
      </c>
      <c r="AT245" s="38">
        <v>34.74</v>
      </c>
      <c r="AU245" s="38">
        <v>34.82</v>
      </c>
      <c r="AV245" s="38">
        <v>36.39</v>
      </c>
      <c r="AW245" s="38">
        <v>41.05</v>
      </c>
      <c r="AX245" s="38">
        <v>43.91</v>
      </c>
      <c r="AY245" s="38">
        <v>44.86</v>
      </c>
      <c r="BA245" s="37">
        <v>46.84</v>
      </c>
      <c r="BB245" s="38">
        <v>1.3352999999999999</v>
      </c>
    </row>
    <row r="246" spans="1:54" x14ac:dyDescent="0.35">
      <c r="A246" s="2">
        <f t="shared" si="3"/>
        <v>44166</v>
      </c>
      <c r="B246" t="s">
        <v>288</v>
      </c>
      <c r="C246" s="32">
        <v>44166</v>
      </c>
      <c r="D246" s="38">
        <v>43.26</v>
      </c>
      <c r="E246" s="38">
        <v>43.98</v>
      </c>
      <c r="F246" s="38">
        <v>40.39</v>
      </c>
      <c r="G246" s="38">
        <v>37.479999999999997</v>
      </c>
      <c r="H246" s="38">
        <v>34.78</v>
      </c>
      <c r="I246" s="38">
        <v>33.1</v>
      </c>
      <c r="J246" s="38">
        <v>32.659999999999997</v>
      </c>
      <c r="K246" s="38">
        <v>33.19</v>
      </c>
      <c r="L246" s="38">
        <v>34.29</v>
      </c>
      <c r="M246" s="38">
        <v>37.65</v>
      </c>
      <c r="N246" s="38">
        <v>41.55</v>
      </c>
      <c r="O246" s="38">
        <v>44.05</v>
      </c>
      <c r="P246" s="38">
        <v>46</v>
      </c>
      <c r="Q246" s="38">
        <v>46.38</v>
      </c>
      <c r="R246" s="38">
        <v>42.36</v>
      </c>
      <c r="S246" s="38">
        <v>37.58</v>
      </c>
      <c r="T246" s="38">
        <v>35.19</v>
      </c>
      <c r="U246" s="38">
        <v>33.86</v>
      </c>
      <c r="V246" s="38">
        <v>33.35</v>
      </c>
      <c r="W246" s="38">
        <v>33.58</v>
      </c>
      <c r="X246" s="38">
        <v>34.32</v>
      </c>
      <c r="Y246" s="38">
        <v>38.659999999999997</v>
      </c>
      <c r="Z246" s="38">
        <v>41.68</v>
      </c>
      <c r="AA246" s="38">
        <v>44.19</v>
      </c>
      <c r="AB246" s="38">
        <v>45.76</v>
      </c>
      <c r="AC246" s="38">
        <v>45.5</v>
      </c>
      <c r="AD246" s="38">
        <v>42.6</v>
      </c>
      <c r="AE246" s="38">
        <v>37.32</v>
      </c>
      <c r="AF246" s="38">
        <v>34.43</v>
      </c>
      <c r="AG246" s="38">
        <v>32.79</v>
      </c>
      <c r="AH246" s="38">
        <v>32.83</v>
      </c>
      <c r="AI246" s="38">
        <v>34</v>
      </c>
      <c r="AJ246" s="38">
        <v>36.89</v>
      </c>
      <c r="AK246" s="38">
        <v>42.34</v>
      </c>
      <c r="AL246" s="38">
        <v>44.68</v>
      </c>
      <c r="AM246" s="38">
        <v>45.37</v>
      </c>
      <c r="AN246" s="38">
        <v>45.34</v>
      </c>
      <c r="AO246" s="38">
        <v>42.81</v>
      </c>
      <c r="AP246" s="38">
        <v>40.17</v>
      </c>
      <c r="AQ246" s="38">
        <v>35.76</v>
      </c>
      <c r="AR246" s="38">
        <v>34.630000000000003</v>
      </c>
      <c r="AS246" s="38">
        <v>34.28</v>
      </c>
      <c r="AT246" s="38">
        <v>34.32</v>
      </c>
      <c r="AU246" s="38">
        <v>34.4</v>
      </c>
      <c r="AV246" s="38">
        <v>35.97</v>
      </c>
      <c r="AW246" s="38">
        <v>40.630000000000003</v>
      </c>
      <c r="AX246" s="38">
        <v>43.49</v>
      </c>
      <c r="AY246" s="38">
        <v>44.44</v>
      </c>
      <c r="BA246" s="37">
        <v>47.03</v>
      </c>
      <c r="BB246" s="38">
        <v>1.3364</v>
      </c>
    </row>
    <row r="247" spans="1:54" x14ac:dyDescent="0.35">
      <c r="A247" s="2">
        <f t="shared" si="3"/>
        <v>44167</v>
      </c>
      <c r="B247" t="s">
        <v>289</v>
      </c>
      <c r="C247" s="32">
        <v>44167</v>
      </c>
      <c r="D247" s="38">
        <v>43.62</v>
      </c>
      <c r="E247" s="38">
        <v>44.21</v>
      </c>
      <c r="F247" s="38">
        <v>40.79</v>
      </c>
      <c r="G247" s="38">
        <v>38.29</v>
      </c>
      <c r="H247" s="38">
        <v>34.96</v>
      </c>
      <c r="I247" s="38">
        <v>33.32</v>
      </c>
      <c r="J247" s="38">
        <v>32.79</v>
      </c>
      <c r="K247" s="38">
        <v>33.18</v>
      </c>
      <c r="L247" s="38">
        <v>34.26</v>
      </c>
      <c r="M247" s="38">
        <v>37.81</v>
      </c>
      <c r="N247" s="38">
        <v>41.71</v>
      </c>
      <c r="O247" s="38">
        <v>44.2</v>
      </c>
      <c r="P247" s="38">
        <v>45.96</v>
      </c>
      <c r="Q247" s="38">
        <v>46.34</v>
      </c>
      <c r="R247" s="38">
        <v>42.4</v>
      </c>
      <c r="S247" s="38">
        <v>37.700000000000003</v>
      </c>
      <c r="T247" s="38">
        <v>35.39</v>
      </c>
      <c r="U247" s="38">
        <v>34.14</v>
      </c>
      <c r="V247" s="38">
        <v>33.630000000000003</v>
      </c>
      <c r="W247" s="38">
        <v>33.86</v>
      </c>
      <c r="X247" s="38">
        <v>34.6</v>
      </c>
      <c r="Y247" s="38">
        <v>38.97</v>
      </c>
      <c r="Z247" s="38">
        <v>42.04</v>
      </c>
      <c r="AA247" s="38">
        <v>44.5</v>
      </c>
      <c r="AB247" s="38">
        <v>45.91</v>
      </c>
      <c r="AC247" s="38">
        <v>45.65</v>
      </c>
      <c r="AD247" s="38">
        <v>42.75</v>
      </c>
      <c r="AE247" s="38">
        <v>37.42</v>
      </c>
      <c r="AF247" s="38">
        <v>34.46</v>
      </c>
      <c r="AG247" s="38">
        <v>32.770000000000003</v>
      </c>
      <c r="AH247" s="38">
        <v>32.81</v>
      </c>
      <c r="AI247" s="38">
        <v>33.979999999999997</v>
      </c>
      <c r="AJ247" s="38">
        <v>36.799999999999997</v>
      </c>
      <c r="AK247" s="38">
        <v>42.25</v>
      </c>
      <c r="AL247" s="38">
        <v>44.64</v>
      </c>
      <c r="AM247" s="38">
        <v>45.38</v>
      </c>
      <c r="AN247" s="38">
        <v>45.35</v>
      </c>
      <c r="AO247" s="38">
        <v>42.82</v>
      </c>
      <c r="AP247" s="38">
        <v>40.18</v>
      </c>
      <c r="AQ247" s="38">
        <v>35.770000000000003</v>
      </c>
      <c r="AR247" s="38">
        <v>34.64</v>
      </c>
      <c r="AS247" s="38">
        <v>34.29</v>
      </c>
      <c r="AT247" s="38">
        <v>34.33</v>
      </c>
      <c r="AU247" s="38">
        <v>34.409999999999997</v>
      </c>
      <c r="AV247" s="38">
        <v>35.979999999999997</v>
      </c>
      <c r="AW247" s="38">
        <v>40.64</v>
      </c>
      <c r="AX247" s="38">
        <v>43.5</v>
      </c>
      <c r="AY247" s="38">
        <v>44.45</v>
      </c>
      <c r="BA247" s="37">
        <v>47.8</v>
      </c>
      <c r="BB247" s="38">
        <v>1.3326</v>
      </c>
    </row>
    <row r="248" spans="1:54" x14ac:dyDescent="0.35">
      <c r="A248" s="2">
        <f t="shared" si="3"/>
        <v>44168</v>
      </c>
      <c r="B248" t="s">
        <v>290</v>
      </c>
      <c r="C248" s="32">
        <v>44168</v>
      </c>
      <c r="D248" s="38">
        <v>41.2</v>
      </c>
      <c r="E248" s="38">
        <v>41.8</v>
      </c>
      <c r="F248" s="38">
        <v>38.42</v>
      </c>
      <c r="G248" s="38">
        <v>36.270000000000003</v>
      </c>
      <c r="H248" s="38">
        <v>33.15</v>
      </c>
      <c r="I248" s="38">
        <v>31.74</v>
      </c>
      <c r="J248" s="38">
        <v>31.07</v>
      </c>
      <c r="K248" s="38">
        <v>31.59</v>
      </c>
      <c r="L248" s="38">
        <v>32.450000000000003</v>
      </c>
      <c r="M248" s="38">
        <v>36.14</v>
      </c>
      <c r="N248" s="38">
        <v>40.1</v>
      </c>
      <c r="O248" s="38">
        <v>42.78</v>
      </c>
      <c r="P248" s="38">
        <v>44.55</v>
      </c>
      <c r="Q248" s="38">
        <v>44.98</v>
      </c>
      <c r="R248" s="38">
        <v>41.17</v>
      </c>
      <c r="S248" s="38">
        <v>36.659999999999997</v>
      </c>
      <c r="T248" s="38">
        <v>34.4</v>
      </c>
      <c r="U248" s="38">
        <v>33.18</v>
      </c>
      <c r="V248" s="38">
        <v>32.75</v>
      </c>
      <c r="W248" s="38">
        <v>32.979999999999997</v>
      </c>
      <c r="X248" s="38">
        <v>33.72</v>
      </c>
      <c r="Y248" s="38">
        <v>38.159999999999997</v>
      </c>
      <c r="Z248" s="38">
        <v>41.36</v>
      </c>
      <c r="AA248" s="38">
        <v>43.86</v>
      </c>
      <c r="AB248" s="38">
        <v>45.27</v>
      </c>
      <c r="AC248" s="38">
        <v>45.01</v>
      </c>
      <c r="AD248" s="38">
        <v>42.11</v>
      </c>
      <c r="AE248" s="38">
        <v>36.92</v>
      </c>
      <c r="AF248" s="38">
        <v>34.049999999999997</v>
      </c>
      <c r="AG248" s="38">
        <v>32.42</v>
      </c>
      <c r="AH248" s="38">
        <v>32.47</v>
      </c>
      <c r="AI248" s="38">
        <v>33.630000000000003</v>
      </c>
      <c r="AJ248" s="38">
        <v>36.44</v>
      </c>
      <c r="AK248" s="38">
        <v>41.88</v>
      </c>
      <c r="AL248" s="38">
        <v>44.26</v>
      </c>
      <c r="AM248" s="38">
        <v>45</v>
      </c>
      <c r="AN248" s="38">
        <v>44.97</v>
      </c>
      <c r="AO248" s="38">
        <v>42.44</v>
      </c>
      <c r="AP248" s="38">
        <v>39.799999999999997</v>
      </c>
      <c r="AQ248" s="38">
        <v>35.39</v>
      </c>
      <c r="AR248" s="38">
        <v>34.26</v>
      </c>
      <c r="AS248" s="38">
        <v>33.909999999999997</v>
      </c>
      <c r="AT248" s="38">
        <v>33.950000000000003</v>
      </c>
      <c r="AU248" s="38">
        <v>34.03</v>
      </c>
      <c r="AV248" s="38">
        <v>35.6</v>
      </c>
      <c r="AW248" s="38">
        <v>40.26</v>
      </c>
      <c r="AX248" s="38">
        <v>43.12</v>
      </c>
      <c r="AY248" s="38">
        <v>44.07</v>
      </c>
      <c r="BA248" s="37">
        <v>48.37</v>
      </c>
      <c r="BB248" s="38">
        <v>1.3496999999999999</v>
      </c>
    </row>
    <row r="249" spans="1:54" x14ac:dyDescent="0.35">
      <c r="A249" s="2">
        <f t="shared" si="3"/>
        <v>44169</v>
      </c>
      <c r="B249" t="s">
        <v>291</v>
      </c>
      <c r="C249" s="32">
        <v>44169</v>
      </c>
      <c r="D249" s="38">
        <v>42.57</v>
      </c>
      <c r="E249" s="38">
        <v>43.24</v>
      </c>
      <c r="F249" s="38">
        <v>39.700000000000003</v>
      </c>
      <c r="G249" s="38">
        <v>37.53</v>
      </c>
      <c r="H249" s="38">
        <v>34.25</v>
      </c>
      <c r="I249" s="38">
        <v>32.67</v>
      </c>
      <c r="J249" s="38">
        <v>31.87</v>
      </c>
      <c r="K249" s="38">
        <v>32.31</v>
      </c>
      <c r="L249" s="38">
        <v>33.29</v>
      </c>
      <c r="M249" s="38">
        <v>37.130000000000003</v>
      </c>
      <c r="N249" s="38">
        <v>41.11</v>
      </c>
      <c r="O249" s="38">
        <v>43.78</v>
      </c>
      <c r="P249" s="38">
        <v>45.5</v>
      </c>
      <c r="Q249" s="38">
        <v>45.88</v>
      </c>
      <c r="R249" s="38">
        <v>42.07</v>
      </c>
      <c r="S249" s="38">
        <v>37.520000000000003</v>
      </c>
      <c r="T249" s="38">
        <v>35.29</v>
      </c>
      <c r="U249" s="38">
        <v>34.06</v>
      </c>
      <c r="V249" s="38">
        <v>33.630000000000003</v>
      </c>
      <c r="W249" s="38">
        <v>33.82</v>
      </c>
      <c r="X249" s="38">
        <v>34.520000000000003</v>
      </c>
      <c r="Y249" s="38">
        <v>38.799999999999997</v>
      </c>
      <c r="Z249" s="38">
        <v>41.85</v>
      </c>
      <c r="AA249" s="38">
        <v>44.17</v>
      </c>
      <c r="AB249" s="38">
        <v>45.59</v>
      </c>
      <c r="AC249" s="38">
        <v>45.4</v>
      </c>
      <c r="AD249" s="38">
        <v>42.56</v>
      </c>
      <c r="AE249" s="38">
        <v>37.18</v>
      </c>
      <c r="AF249" s="38">
        <v>34.380000000000003</v>
      </c>
      <c r="AG249" s="38">
        <v>32.770000000000003</v>
      </c>
      <c r="AH249" s="38">
        <v>32.85</v>
      </c>
      <c r="AI249" s="38">
        <v>34.01</v>
      </c>
      <c r="AJ249" s="38">
        <v>36.82</v>
      </c>
      <c r="AK249" s="38">
        <v>42.31</v>
      </c>
      <c r="AL249" s="38">
        <v>44.8</v>
      </c>
      <c r="AM249" s="38">
        <v>45.73</v>
      </c>
      <c r="AN249" s="38">
        <v>45.7</v>
      </c>
      <c r="AO249" s="38">
        <v>43.17</v>
      </c>
      <c r="AP249" s="38">
        <v>40.53</v>
      </c>
      <c r="AQ249" s="38">
        <v>36</v>
      </c>
      <c r="AR249" s="38">
        <v>34.659999999999997</v>
      </c>
      <c r="AS249" s="38">
        <v>34.130000000000003</v>
      </c>
      <c r="AT249" s="38">
        <v>34.17</v>
      </c>
      <c r="AU249" s="38">
        <v>34.25</v>
      </c>
      <c r="AV249" s="38">
        <v>35.82</v>
      </c>
      <c r="AW249" s="38">
        <v>40.479999999999997</v>
      </c>
      <c r="AX249" s="38">
        <v>43.34</v>
      </c>
      <c r="AY249" s="38">
        <v>44.29</v>
      </c>
      <c r="BA249" s="37">
        <v>49.1</v>
      </c>
      <c r="BB249" s="38">
        <v>1.3472999999999999</v>
      </c>
    </row>
    <row r="250" spans="1:54" x14ac:dyDescent="0.35">
      <c r="A250" s="2">
        <f t="shared" si="3"/>
        <v>44172</v>
      </c>
      <c r="B250" t="s">
        <v>292</v>
      </c>
      <c r="C250" s="32">
        <v>44172</v>
      </c>
      <c r="D250" s="38">
        <v>42.11</v>
      </c>
      <c r="E250" s="38">
        <v>42.85</v>
      </c>
      <c r="F250" s="38">
        <v>39.5</v>
      </c>
      <c r="G250" s="38">
        <v>37.1</v>
      </c>
      <c r="H250" s="38">
        <v>33.950000000000003</v>
      </c>
      <c r="I250" s="38">
        <v>32.5</v>
      </c>
      <c r="J250" s="38">
        <v>31.72</v>
      </c>
      <c r="K250" s="38">
        <v>32.21</v>
      </c>
      <c r="L250" s="38">
        <v>33.520000000000003</v>
      </c>
      <c r="M250" s="38">
        <v>36.68</v>
      </c>
      <c r="N250" s="38">
        <v>41.18</v>
      </c>
      <c r="O250" s="38">
        <v>43.95</v>
      </c>
      <c r="P250" s="38">
        <v>45.47</v>
      </c>
      <c r="Q250" s="38">
        <v>45.75</v>
      </c>
      <c r="R250" s="38">
        <v>41.96</v>
      </c>
      <c r="S250" s="38">
        <v>37.4</v>
      </c>
      <c r="T250" s="38">
        <v>35.229999999999997</v>
      </c>
      <c r="U250" s="38">
        <v>34</v>
      </c>
      <c r="V250" s="38">
        <v>33.71</v>
      </c>
      <c r="W250" s="38">
        <v>33.909999999999997</v>
      </c>
      <c r="X250" s="38">
        <v>34.61</v>
      </c>
      <c r="Y250" s="38">
        <v>38.92</v>
      </c>
      <c r="Z250" s="38">
        <v>41.97</v>
      </c>
      <c r="AA250" s="38">
        <v>44.29</v>
      </c>
      <c r="AB250" s="38">
        <v>45.76</v>
      </c>
      <c r="AC250" s="38">
        <v>45.62</v>
      </c>
      <c r="AD250" s="38">
        <v>42.83</v>
      </c>
      <c r="AE250" s="38">
        <v>37.450000000000003</v>
      </c>
      <c r="AF250" s="38">
        <v>34.65</v>
      </c>
      <c r="AG250" s="38">
        <v>33.04</v>
      </c>
      <c r="AH250" s="38">
        <v>33.119999999999997</v>
      </c>
      <c r="AI250" s="38">
        <v>34.28</v>
      </c>
      <c r="AJ250" s="38">
        <v>37.090000000000003</v>
      </c>
      <c r="AK250" s="38">
        <v>42.58</v>
      </c>
      <c r="AL250" s="38">
        <v>45.07</v>
      </c>
      <c r="AM250" s="38">
        <v>46</v>
      </c>
      <c r="AN250" s="38">
        <v>45.97</v>
      </c>
      <c r="AO250" s="38">
        <v>43.44</v>
      </c>
      <c r="AP250" s="38">
        <v>40.799999999999997</v>
      </c>
      <c r="AQ250" s="38">
        <v>36.270000000000003</v>
      </c>
      <c r="AR250" s="38">
        <v>34.93</v>
      </c>
      <c r="AS250" s="38">
        <v>34.4</v>
      </c>
      <c r="AT250" s="38">
        <v>34.44</v>
      </c>
      <c r="AU250" s="38">
        <v>34.520000000000003</v>
      </c>
      <c r="AV250" s="38">
        <v>36.090000000000003</v>
      </c>
      <c r="AW250" s="38">
        <v>40.75</v>
      </c>
      <c r="AX250" s="38">
        <v>43.61</v>
      </c>
      <c r="AY250" s="38">
        <v>44.56</v>
      </c>
      <c r="BA250" s="37">
        <v>48.63</v>
      </c>
      <c r="BB250" s="38">
        <v>1.3312999999999999</v>
      </c>
    </row>
    <row r="251" spans="1:54" x14ac:dyDescent="0.35">
      <c r="A251" s="2">
        <f t="shared" si="3"/>
        <v>44173</v>
      </c>
      <c r="B251" t="s">
        <v>293</v>
      </c>
      <c r="C251" s="32">
        <v>44173</v>
      </c>
      <c r="D251" s="38">
        <v>42.15</v>
      </c>
      <c r="E251" s="38">
        <v>42.82</v>
      </c>
      <c r="F251" s="38">
        <v>39.520000000000003</v>
      </c>
      <c r="G251" s="38">
        <v>36.93</v>
      </c>
      <c r="H251" s="38">
        <v>33.92</v>
      </c>
      <c r="I251" s="38">
        <v>32.43</v>
      </c>
      <c r="J251" s="38">
        <v>31.61</v>
      </c>
      <c r="K251" s="38">
        <v>32.07</v>
      </c>
      <c r="L251" s="38">
        <v>33.35</v>
      </c>
      <c r="M251" s="38">
        <v>36.479999999999997</v>
      </c>
      <c r="N251" s="38">
        <v>41</v>
      </c>
      <c r="O251" s="38">
        <v>43.79</v>
      </c>
      <c r="P251" s="38">
        <v>45.33</v>
      </c>
      <c r="Q251" s="38">
        <v>45.61</v>
      </c>
      <c r="R251" s="38">
        <v>41.82</v>
      </c>
      <c r="S251" s="38">
        <v>37.32</v>
      </c>
      <c r="T251" s="38">
        <v>35.15</v>
      </c>
      <c r="U251" s="38">
        <v>33.92</v>
      </c>
      <c r="V251" s="38">
        <v>33.630000000000003</v>
      </c>
      <c r="W251" s="38">
        <v>33.82</v>
      </c>
      <c r="X251" s="38">
        <v>34.51</v>
      </c>
      <c r="Y251" s="38">
        <v>38.76</v>
      </c>
      <c r="Z251" s="38">
        <v>41.76</v>
      </c>
      <c r="AA251" s="38">
        <v>44.04</v>
      </c>
      <c r="AB251" s="38">
        <v>45.56</v>
      </c>
      <c r="AC251" s="38">
        <v>45.48</v>
      </c>
      <c r="AD251" s="38">
        <v>42.75</v>
      </c>
      <c r="AE251" s="38">
        <v>37.39</v>
      </c>
      <c r="AF251" s="38">
        <v>34.61</v>
      </c>
      <c r="AG251" s="38">
        <v>32.979999999999997</v>
      </c>
      <c r="AH251" s="38">
        <v>33.03</v>
      </c>
      <c r="AI251" s="38">
        <v>34.159999999999997</v>
      </c>
      <c r="AJ251" s="38">
        <v>36.94</v>
      </c>
      <c r="AK251" s="38">
        <v>42.39</v>
      </c>
      <c r="AL251" s="38">
        <v>44.88</v>
      </c>
      <c r="AM251" s="38">
        <v>45.81</v>
      </c>
      <c r="AN251" s="38">
        <v>45.78</v>
      </c>
      <c r="AO251" s="38">
        <v>43.25</v>
      </c>
      <c r="AP251" s="38">
        <v>40.61</v>
      </c>
      <c r="AQ251" s="38">
        <v>36.090000000000003</v>
      </c>
      <c r="AR251" s="38">
        <v>34.76</v>
      </c>
      <c r="AS251" s="38">
        <v>34.24</v>
      </c>
      <c r="AT251" s="38">
        <v>34.28</v>
      </c>
      <c r="AU251" s="38">
        <v>34.380000000000003</v>
      </c>
      <c r="AV251" s="38">
        <v>35.979999999999997</v>
      </c>
      <c r="AW251" s="38">
        <v>40.67</v>
      </c>
      <c r="AX251" s="38">
        <v>43.56</v>
      </c>
      <c r="AY251" s="38">
        <v>44.54</v>
      </c>
      <c r="BA251" s="37">
        <v>48.84</v>
      </c>
      <c r="BB251" s="38">
        <v>1.3361000000000001</v>
      </c>
    </row>
    <row r="252" spans="1:54" x14ac:dyDescent="0.35">
      <c r="A252" s="2">
        <f t="shared" si="3"/>
        <v>44174</v>
      </c>
      <c r="B252" t="s">
        <v>294</v>
      </c>
      <c r="C252" s="32">
        <v>44174</v>
      </c>
      <c r="D252" s="38">
        <v>42.34</v>
      </c>
      <c r="E252" s="38">
        <v>43.24</v>
      </c>
      <c r="F252" s="38">
        <v>40.07</v>
      </c>
      <c r="G252" s="38">
        <v>37.58</v>
      </c>
      <c r="H252" s="38">
        <v>34.549999999999997</v>
      </c>
      <c r="I252" s="38">
        <v>32.94</v>
      </c>
      <c r="J252" s="38">
        <v>32.119999999999997</v>
      </c>
      <c r="K252" s="38">
        <v>32.47</v>
      </c>
      <c r="L252" s="38">
        <v>33.65</v>
      </c>
      <c r="M252" s="38">
        <v>36.74</v>
      </c>
      <c r="N252" s="38">
        <v>41.2</v>
      </c>
      <c r="O252" s="38">
        <v>43.92</v>
      </c>
      <c r="P252" s="38">
        <v>45.41</v>
      </c>
      <c r="Q252" s="38">
        <v>45.66</v>
      </c>
      <c r="R252" s="38">
        <v>41.86</v>
      </c>
      <c r="S252" s="38">
        <v>37.369999999999997</v>
      </c>
      <c r="T252" s="38">
        <v>35.18</v>
      </c>
      <c r="U252" s="38">
        <v>33.93</v>
      </c>
      <c r="V252" s="38">
        <v>33.619999999999997</v>
      </c>
      <c r="W252" s="38">
        <v>33.81</v>
      </c>
      <c r="X252" s="38">
        <v>34.5</v>
      </c>
      <c r="Y252" s="38">
        <v>38.75</v>
      </c>
      <c r="Z252" s="38">
        <v>41.75</v>
      </c>
      <c r="AA252" s="38">
        <v>44.01</v>
      </c>
      <c r="AB252" s="38">
        <v>45.51</v>
      </c>
      <c r="AC252" s="38">
        <v>45.4</v>
      </c>
      <c r="AD252" s="38">
        <v>42.65</v>
      </c>
      <c r="AE252" s="38">
        <v>37.29</v>
      </c>
      <c r="AF252" s="38">
        <v>34.51</v>
      </c>
      <c r="AG252" s="38">
        <v>32.880000000000003</v>
      </c>
      <c r="AH252" s="38">
        <v>32.93</v>
      </c>
      <c r="AI252" s="38">
        <v>34.06</v>
      </c>
      <c r="AJ252" s="38">
        <v>36.840000000000003</v>
      </c>
      <c r="AK252" s="38">
        <v>42.29</v>
      </c>
      <c r="AL252" s="38">
        <v>44.78</v>
      </c>
      <c r="AM252" s="38">
        <v>45.71</v>
      </c>
      <c r="AN252" s="38">
        <v>45.68</v>
      </c>
      <c r="AO252" s="38">
        <v>43.15</v>
      </c>
      <c r="AP252" s="38">
        <v>40.51</v>
      </c>
      <c r="AQ252" s="38">
        <v>35.99</v>
      </c>
      <c r="AR252" s="38">
        <v>34.659999999999997</v>
      </c>
      <c r="AS252" s="38">
        <v>34.14</v>
      </c>
      <c r="AT252" s="38">
        <v>34.18</v>
      </c>
      <c r="AU252" s="38">
        <v>34.28</v>
      </c>
      <c r="AV252" s="38">
        <v>35.880000000000003</v>
      </c>
      <c r="AW252" s="38">
        <v>40.57</v>
      </c>
      <c r="AX252" s="38">
        <v>43.46</v>
      </c>
      <c r="AY252" s="38">
        <v>44.44</v>
      </c>
      <c r="BA252" s="37">
        <v>48.81</v>
      </c>
      <c r="BB252" s="38">
        <v>1.3395999999999999</v>
      </c>
    </row>
    <row r="253" spans="1:54" x14ac:dyDescent="0.35">
      <c r="A253" s="2">
        <f t="shared" si="3"/>
        <v>44175</v>
      </c>
      <c r="B253" t="s">
        <v>295</v>
      </c>
      <c r="C253" s="32">
        <v>44175</v>
      </c>
      <c r="D253" s="38">
        <v>45.15</v>
      </c>
      <c r="E253" s="38">
        <v>46.08</v>
      </c>
      <c r="F253" s="38">
        <v>42.83</v>
      </c>
      <c r="G253" s="38">
        <v>39.74</v>
      </c>
      <c r="H253" s="38">
        <v>36.58</v>
      </c>
      <c r="I253" s="38">
        <v>35.549999999999997</v>
      </c>
      <c r="J253" s="38">
        <v>34.75</v>
      </c>
      <c r="K253" s="38">
        <v>35.049999999999997</v>
      </c>
      <c r="L253" s="38">
        <v>34.869999999999997</v>
      </c>
      <c r="M253" s="38">
        <v>38.83</v>
      </c>
      <c r="N253" s="38">
        <v>43.28</v>
      </c>
      <c r="O253" s="38">
        <v>45.98</v>
      </c>
      <c r="P253" s="38">
        <v>47.5</v>
      </c>
      <c r="Q253" s="38">
        <v>47.69</v>
      </c>
      <c r="R253" s="38">
        <v>43.78</v>
      </c>
      <c r="S253" s="38">
        <v>38.83</v>
      </c>
      <c r="T253" s="38">
        <v>36.409999999999997</v>
      </c>
      <c r="U253" s="38">
        <v>34.96</v>
      </c>
      <c r="V253" s="38">
        <v>34.450000000000003</v>
      </c>
      <c r="W253" s="38">
        <v>34.42</v>
      </c>
      <c r="X253" s="38">
        <v>35.1</v>
      </c>
      <c r="Y253" s="38">
        <v>39.53</v>
      </c>
      <c r="Z253" s="38">
        <v>42.69</v>
      </c>
      <c r="AA253" s="38">
        <v>45.07</v>
      </c>
      <c r="AB253" s="38">
        <v>46.51</v>
      </c>
      <c r="AC253" s="38">
        <v>46.44</v>
      </c>
      <c r="AD253" s="38">
        <v>43.63</v>
      </c>
      <c r="AE253" s="38">
        <v>38.090000000000003</v>
      </c>
      <c r="AF253" s="38">
        <v>35.17</v>
      </c>
      <c r="AG253" s="38">
        <v>33.409999999999997</v>
      </c>
      <c r="AH253" s="38">
        <v>33.36</v>
      </c>
      <c r="AI253" s="38">
        <v>34.409999999999997</v>
      </c>
      <c r="AJ253" s="38">
        <v>37.17</v>
      </c>
      <c r="AK253" s="38">
        <v>42.72</v>
      </c>
      <c r="AL253" s="38">
        <v>45.22</v>
      </c>
      <c r="AM253" s="38">
        <v>46.16</v>
      </c>
      <c r="AN253" s="38">
        <v>46.14</v>
      </c>
      <c r="AO253" s="38">
        <v>43.61</v>
      </c>
      <c r="AP253" s="38">
        <v>40.97</v>
      </c>
      <c r="AQ253" s="38">
        <v>36.4</v>
      </c>
      <c r="AR253" s="38">
        <v>35.049999999999997</v>
      </c>
      <c r="AS253" s="38">
        <v>34.479999999999997</v>
      </c>
      <c r="AT253" s="38">
        <v>34.44</v>
      </c>
      <c r="AU253" s="38">
        <v>34.49</v>
      </c>
      <c r="AV253" s="38">
        <v>36.090000000000003</v>
      </c>
      <c r="AW253" s="38">
        <v>41.29</v>
      </c>
      <c r="AX253" s="38">
        <v>44.33</v>
      </c>
      <c r="AY253" s="38">
        <v>45.44</v>
      </c>
      <c r="BA253" s="37">
        <v>50.33</v>
      </c>
      <c r="BB253" s="38">
        <v>1.3274999999999999</v>
      </c>
    </row>
    <row r="254" spans="1:54" x14ac:dyDescent="0.35">
      <c r="A254" s="2">
        <f t="shared" si="3"/>
        <v>44176</v>
      </c>
      <c r="B254" t="s">
        <v>296</v>
      </c>
      <c r="C254" s="32">
        <v>44176</v>
      </c>
      <c r="D254" s="38">
        <v>46.35</v>
      </c>
      <c r="E254" s="38">
        <v>47.64</v>
      </c>
      <c r="F254" s="38">
        <v>44.09</v>
      </c>
      <c r="G254" s="38">
        <v>40.86</v>
      </c>
      <c r="H254" s="38">
        <v>37.6</v>
      </c>
      <c r="I254" s="38">
        <v>36.31</v>
      </c>
      <c r="J254" s="38">
        <v>35.47</v>
      </c>
      <c r="K254" s="38">
        <v>35.82</v>
      </c>
      <c r="L254" s="38">
        <v>36.42</v>
      </c>
      <c r="M254" s="38">
        <v>40</v>
      </c>
      <c r="N254" s="38">
        <v>44.28</v>
      </c>
      <c r="O254" s="38">
        <v>46.86</v>
      </c>
      <c r="P254" s="38">
        <v>48.4</v>
      </c>
      <c r="Q254" s="38">
        <v>48.61</v>
      </c>
      <c r="R254" s="38">
        <v>44.72</v>
      </c>
      <c r="S254" s="38">
        <v>39.700000000000003</v>
      </c>
      <c r="T254" s="38">
        <v>37.14</v>
      </c>
      <c r="U254" s="38">
        <v>35.58</v>
      </c>
      <c r="V254" s="38">
        <v>35</v>
      </c>
      <c r="W254" s="38">
        <v>34.89</v>
      </c>
      <c r="X254" s="38">
        <v>35.57</v>
      </c>
      <c r="Y254" s="38">
        <v>40.28</v>
      </c>
      <c r="Z254" s="38">
        <v>43.52</v>
      </c>
      <c r="AA254" s="38">
        <v>45.95</v>
      </c>
      <c r="AB254" s="38">
        <v>47.43</v>
      </c>
      <c r="AC254" s="38">
        <v>47.39</v>
      </c>
      <c r="AD254" s="38">
        <v>44.46</v>
      </c>
      <c r="AE254" s="38">
        <v>38.799999999999997</v>
      </c>
      <c r="AF254" s="38">
        <v>35.700000000000003</v>
      </c>
      <c r="AG254" s="38">
        <v>33.76</v>
      </c>
      <c r="AH254" s="38">
        <v>33.53</v>
      </c>
      <c r="AI254" s="38">
        <v>34.450000000000003</v>
      </c>
      <c r="AJ254" s="38">
        <v>37.17</v>
      </c>
      <c r="AK254" s="38">
        <v>42.86</v>
      </c>
      <c r="AL254" s="38">
        <v>45.48</v>
      </c>
      <c r="AM254" s="38">
        <v>46.53</v>
      </c>
      <c r="AN254" s="38">
        <v>46.58</v>
      </c>
      <c r="AO254" s="38">
        <v>44.09</v>
      </c>
      <c r="AP254" s="38">
        <v>41.47</v>
      </c>
      <c r="AQ254" s="38">
        <v>36.9</v>
      </c>
      <c r="AR254" s="38">
        <v>35.549999999999997</v>
      </c>
      <c r="AS254" s="38">
        <v>34.979999999999997</v>
      </c>
      <c r="AT254" s="38">
        <v>34.94</v>
      </c>
      <c r="AU254" s="38">
        <v>34.99</v>
      </c>
      <c r="AV254" s="38">
        <v>36.590000000000003</v>
      </c>
      <c r="AW254" s="38">
        <v>41.79</v>
      </c>
      <c r="AX254" s="38">
        <v>44.83</v>
      </c>
      <c r="AY254" s="38">
        <v>45.94</v>
      </c>
      <c r="BA254" s="37">
        <v>50.01</v>
      </c>
      <c r="BB254" s="38">
        <v>1.3216000000000001</v>
      </c>
    </row>
    <row r="255" spans="1:54" x14ac:dyDescent="0.35">
      <c r="A255" s="2">
        <f t="shared" si="3"/>
        <v>44179</v>
      </c>
      <c r="B255" t="s">
        <v>297</v>
      </c>
      <c r="C255" s="32">
        <v>44179</v>
      </c>
      <c r="D255" s="38">
        <v>48.17</v>
      </c>
      <c r="E255" s="38">
        <v>49.42</v>
      </c>
      <c r="F255" s="38">
        <v>46.12</v>
      </c>
      <c r="G255" s="38">
        <v>42.07</v>
      </c>
      <c r="H255" s="38">
        <v>38.729999999999997</v>
      </c>
      <c r="I255" s="38">
        <v>37.15</v>
      </c>
      <c r="J255" s="38">
        <v>36.340000000000003</v>
      </c>
      <c r="K255" s="38">
        <v>36.840000000000003</v>
      </c>
      <c r="L255" s="38">
        <v>37.54</v>
      </c>
      <c r="M255" s="38">
        <v>41.06</v>
      </c>
      <c r="N255" s="38">
        <v>45.28</v>
      </c>
      <c r="O255" s="38">
        <v>47.8</v>
      </c>
      <c r="P255" s="38">
        <v>49.28</v>
      </c>
      <c r="Q255" s="38">
        <v>49.43</v>
      </c>
      <c r="R255" s="38">
        <v>45.49</v>
      </c>
      <c r="S255" s="38">
        <v>40.49</v>
      </c>
      <c r="T255" s="38">
        <v>37.97</v>
      </c>
      <c r="U255" s="38">
        <v>36.44</v>
      </c>
      <c r="V255" s="38">
        <v>35.49</v>
      </c>
      <c r="W255" s="38">
        <v>35.4</v>
      </c>
      <c r="X255" s="38">
        <v>36.1</v>
      </c>
      <c r="Y255" s="38">
        <v>40.67</v>
      </c>
      <c r="Z255" s="38">
        <v>43.96</v>
      </c>
      <c r="AA255" s="38">
        <v>46.44</v>
      </c>
      <c r="AB255" s="38">
        <v>47.97</v>
      </c>
      <c r="AC255" s="38">
        <v>47.96</v>
      </c>
      <c r="AD255" s="38">
        <v>45.06</v>
      </c>
      <c r="AE255" s="38">
        <v>39.53</v>
      </c>
      <c r="AF255" s="38">
        <v>36.39</v>
      </c>
      <c r="AG255" s="38">
        <v>34.42</v>
      </c>
      <c r="AH255" s="38">
        <v>34.159999999999997</v>
      </c>
      <c r="AI255" s="38">
        <v>35.06</v>
      </c>
      <c r="AJ255" s="38">
        <v>37.770000000000003</v>
      </c>
      <c r="AK255" s="38">
        <v>43.45</v>
      </c>
      <c r="AL255" s="38">
        <v>46.06</v>
      </c>
      <c r="AM255" s="38">
        <v>47.1</v>
      </c>
      <c r="AN255" s="38">
        <v>47.14</v>
      </c>
      <c r="AO255" s="38">
        <v>44.65</v>
      </c>
      <c r="AP255" s="38">
        <v>42.03</v>
      </c>
      <c r="AQ255" s="38">
        <v>37.4</v>
      </c>
      <c r="AR255" s="38">
        <v>36</v>
      </c>
      <c r="AS255" s="38">
        <v>35.380000000000003</v>
      </c>
      <c r="AT255" s="38">
        <v>35.32</v>
      </c>
      <c r="AU255" s="38">
        <v>35.36</v>
      </c>
      <c r="AV255" s="38">
        <v>36.96</v>
      </c>
      <c r="AW255" s="38">
        <v>42.16</v>
      </c>
      <c r="AX255" s="38">
        <v>45.2</v>
      </c>
      <c r="AY255" s="38">
        <v>46.31</v>
      </c>
      <c r="BA255" s="37">
        <v>50.27</v>
      </c>
      <c r="BB255" s="38">
        <v>1.333</v>
      </c>
    </row>
    <row r="256" spans="1:54" x14ac:dyDescent="0.35">
      <c r="A256" s="2">
        <f t="shared" si="3"/>
        <v>44180</v>
      </c>
      <c r="B256" t="s">
        <v>298</v>
      </c>
      <c r="C256" s="32">
        <v>44180</v>
      </c>
      <c r="D256" s="38">
        <v>49.55</v>
      </c>
      <c r="E256" s="38">
        <v>50.81</v>
      </c>
      <c r="F256" s="38">
        <v>47.5</v>
      </c>
      <c r="G256" s="38">
        <v>42.95</v>
      </c>
      <c r="H256" s="38">
        <v>39.39</v>
      </c>
      <c r="I256" s="38">
        <v>37.89</v>
      </c>
      <c r="J256" s="38">
        <v>37.049999999999997</v>
      </c>
      <c r="K256" s="38">
        <v>37.47</v>
      </c>
      <c r="L256" s="38">
        <v>38.130000000000003</v>
      </c>
      <c r="M256" s="38">
        <v>41.75</v>
      </c>
      <c r="N256" s="38">
        <v>46.07</v>
      </c>
      <c r="O256" s="38">
        <v>48.69</v>
      </c>
      <c r="P256" s="38">
        <v>50.23</v>
      </c>
      <c r="Q256" s="38">
        <v>50.25</v>
      </c>
      <c r="R256" s="38">
        <v>46.18</v>
      </c>
      <c r="S256" s="38">
        <v>40.92</v>
      </c>
      <c r="T256" s="38">
        <v>38.18</v>
      </c>
      <c r="U256" s="38">
        <v>36.51</v>
      </c>
      <c r="V256" s="38">
        <v>35.61</v>
      </c>
      <c r="W256" s="38">
        <v>35.549999999999997</v>
      </c>
      <c r="X256" s="38">
        <v>36.25</v>
      </c>
      <c r="Y256" s="38">
        <v>40.85</v>
      </c>
      <c r="Z256" s="38">
        <v>44.16</v>
      </c>
      <c r="AA256" s="38">
        <v>46.66</v>
      </c>
      <c r="AB256" s="38">
        <v>48.19</v>
      </c>
      <c r="AC256" s="38">
        <v>48.18</v>
      </c>
      <c r="AD256" s="38">
        <v>45.28</v>
      </c>
      <c r="AE256" s="38">
        <v>39.65</v>
      </c>
      <c r="AF256" s="38">
        <v>36.409999999999997</v>
      </c>
      <c r="AG256" s="38">
        <v>34.36</v>
      </c>
      <c r="AH256" s="38">
        <v>34.020000000000003</v>
      </c>
      <c r="AI256" s="38">
        <v>34.89</v>
      </c>
      <c r="AJ256" s="38">
        <v>37.58</v>
      </c>
      <c r="AK256" s="38">
        <v>43.3</v>
      </c>
      <c r="AL256" s="38">
        <v>45.94</v>
      </c>
      <c r="AM256" s="38">
        <v>47</v>
      </c>
      <c r="AN256" s="38">
        <v>47.06</v>
      </c>
      <c r="AO256" s="38">
        <v>44.58</v>
      </c>
      <c r="AP256" s="38">
        <v>41.96</v>
      </c>
      <c r="AQ256" s="38">
        <v>37.33</v>
      </c>
      <c r="AR256" s="38">
        <v>35.93</v>
      </c>
      <c r="AS256" s="38">
        <v>35.31</v>
      </c>
      <c r="AT256" s="38">
        <v>35.25</v>
      </c>
      <c r="AU256" s="38">
        <v>35.29</v>
      </c>
      <c r="AV256" s="38">
        <v>36.89</v>
      </c>
      <c r="AW256" s="38">
        <v>42.1</v>
      </c>
      <c r="AX256" s="38">
        <v>45.14</v>
      </c>
      <c r="AY256" s="38">
        <v>46.25</v>
      </c>
      <c r="BA256" s="37">
        <v>50.77</v>
      </c>
      <c r="BB256" s="38">
        <v>1.3448</v>
      </c>
    </row>
    <row r="257" spans="1:54" x14ac:dyDescent="0.35">
      <c r="A257" s="2">
        <f t="shared" si="3"/>
        <v>44181</v>
      </c>
      <c r="B257" t="s">
        <v>299</v>
      </c>
      <c r="C257" s="32">
        <v>44181</v>
      </c>
      <c r="D257" s="38">
        <v>47.21</v>
      </c>
      <c r="E257" s="38">
        <v>48.61</v>
      </c>
      <c r="F257" s="38">
        <v>45.5</v>
      </c>
      <c r="G257" s="38">
        <v>41.35</v>
      </c>
      <c r="H257" s="38">
        <v>38.049999999999997</v>
      </c>
      <c r="I257" s="38">
        <v>36.6</v>
      </c>
      <c r="J257" s="38">
        <v>35.75</v>
      </c>
      <c r="K257" s="38">
        <v>36.15</v>
      </c>
      <c r="L257" s="38">
        <v>37</v>
      </c>
      <c r="M257" s="38">
        <v>40.43</v>
      </c>
      <c r="N257" s="38">
        <v>44.63</v>
      </c>
      <c r="O257" s="38">
        <v>47.23</v>
      </c>
      <c r="P257" s="38">
        <v>48.8</v>
      </c>
      <c r="Q257" s="38">
        <v>48.85</v>
      </c>
      <c r="R257" s="38">
        <v>44.81</v>
      </c>
      <c r="S257" s="38">
        <v>39.700000000000003</v>
      </c>
      <c r="T257" s="38">
        <v>37.090000000000003</v>
      </c>
      <c r="U257" s="38">
        <v>35.54</v>
      </c>
      <c r="V257" s="38">
        <v>34.729999999999997</v>
      </c>
      <c r="W257" s="38">
        <v>34.729999999999997</v>
      </c>
      <c r="X257" s="38">
        <v>35.479999999999997</v>
      </c>
      <c r="Y257" s="38">
        <v>39.96</v>
      </c>
      <c r="Z257" s="38">
        <v>43.27</v>
      </c>
      <c r="AA257" s="38">
        <v>45.77</v>
      </c>
      <c r="AB257" s="38">
        <v>47.3</v>
      </c>
      <c r="AC257" s="38">
        <v>47.29</v>
      </c>
      <c r="AD257" s="38">
        <v>44.39</v>
      </c>
      <c r="AE257" s="38">
        <v>38.799999999999997</v>
      </c>
      <c r="AF257" s="38">
        <v>35.56</v>
      </c>
      <c r="AG257" s="38">
        <v>33.51</v>
      </c>
      <c r="AH257" s="38">
        <v>33.17</v>
      </c>
      <c r="AI257" s="38">
        <v>34.04</v>
      </c>
      <c r="AJ257" s="38">
        <v>36.729999999999997</v>
      </c>
      <c r="AK257" s="38">
        <v>42.45</v>
      </c>
      <c r="AL257" s="38">
        <v>45.09</v>
      </c>
      <c r="AM257" s="38">
        <v>46.15</v>
      </c>
      <c r="AN257" s="38">
        <v>46.21</v>
      </c>
      <c r="AO257" s="38">
        <v>43.73</v>
      </c>
      <c r="AP257" s="38">
        <v>41.11</v>
      </c>
      <c r="AQ257" s="38">
        <v>36.479999999999997</v>
      </c>
      <c r="AR257" s="38">
        <v>35.08</v>
      </c>
      <c r="AS257" s="38">
        <v>34.46</v>
      </c>
      <c r="AT257" s="38">
        <v>34.4</v>
      </c>
      <c r="AU257" s="38">
        <v>34.44</v>
      </c>
      <c r="AV257" s="38">
        <v>36.04</v>
      </c>
      <c r="AW257" s="38">
        <v>41.25</v>
      </c>
      <c r="AX257" s="38">
        <v>44.29</v>
      </c>
      <c r="AY257" s="38">
        <v>45.4</v>
      </c>
      <c r="BA257" s="37">
        <v>50.83</v>
      </c>
      <c r="BB257" s="38">
        <v>1.3494999999999999</v>
      </c>
    </row>
    <row r="258" spans="1:54" x14ac:dyDescent="0.35">
      <c r="A258" s="2">
        <f t="shared" si="3"/>
        <v>44182</v>
      </c>
      <c r="B258" t="s">
        <v>300</v>
      </c>
      <c r="C258" s="32">
        <v>44182</v>
      </c>
      <c r="D258" s="38">
        <v>45.67</v>
      </c>
      <c r="E258" s="38">
        <v>47.07</v>
      </c>
      <c r="F258" s="38">
        <v>43.81</v>
      </c>
      <c r="G258" s="38">
        <v>40.22</v>
      </c>
      <c r="H258" s="38">
        <v>37.22</v>
      </c>
      <c r="I258" s="38">
        <v>35.97</v>
      </c>
      <c r="J258" s="38">
        <v>35.17</v>
      </c>
      <c r="K258" s="38">
        <v>35.32</v>
      </c>
      <c r="L258" s="38">
        <v>36.1</v>
      </c>
      <c r="M258" s="38">
        <v>39.56</v>
      </c>
      <c r="N258" s="38">
        <v>43.85</v>
      </c>
      <c r="O258" s="38">
        <v>46.52</v>
      </c>
      <c r="P258" s="38">
        <v>48.15</v>
      </c>
      <c r="Q258" s="38">
        <v>48.26</v>
      </c>
      <c r="R258" s="38">
        <v>44.26</v>
      </c>
      <c r="S258" s="38">
        <v>39.26</v>
      </c>
      <c r="T258" s="38">
        <v>36.72</v>
      </c>
      <c r="U258" s="38">
        <v>35.17</v>
      </c>
      <c r="V258" s="38">
        <v>34.36</v>
      </c>
      <c r="W258" s="38">
        <v>34.36</v>
      </c>
      <c r="X258" s="38">
        <v>35.11</v>
      </c>
      <c r="Y258" s="38">
        <v>39.590000000000003</v>
      </c>
      <c r="Z258" s="38">
        <v>42.9</v>
      </c>
      <c r="AA258" s="38">
        <v>45.4</v>
      </c>
      <c r="AB258" s="38">
        <v>46.93</v>
      </c>
      <c r="AC258" s="38">
        <v>46.92</v>
      </c>
      <c r="AD258" s="38">
        <v>44.02</v>
      </c>
      <c r="AE258" s="38">
        <v>38.43</v>
      </c>
      <c r="AF258" s="38">
        <v>35.19</v>
      </c>
      <c r="AG258" s="38">
        <v>33.14</v>
      </c>
      <c r="AH258" s="38">
        <v>32.799999999999997</v>
      </c>
      <c r="AI258" s="38">
        <v>33.67</v>
      </c>
      <c r="AJ258" s="38">
        <v>36.44</v>
      </c>
      <c r="AK258" s="38">
        <v>42.22</v>
      </c>
      <c r="AL258" s="38">
        <v>44.86</v>
      </c>
      <c r="AM258" s="38">
        <v>45.92</v>
      </c>
      <c r="AN258" s="38">
        <v>45.98</v>
      </c>
      <c r="AO258" s="38">
        <v>43.5</v>
      </c>
      <c r="AP258" s="38">
        <v>40.98</v>
      </c>
      <c r="AQ258" s="38">
        <v>36.42</v>
      </c>
      <c r="AR258" s="38">
        <v>35.11</v>
      </c>
      <c r="AS258" s="38">
        <v>34.58</v>
      </c>
      <c r="AT258" s="38">
        <v>34.57</v>
      </c>
      <c r="AU258" s="38">
        <v>34.630000000000003</v>
      </c>
      <c r="AV258" s="38">
        <v>36.119999999999997</v>
      </c>
      <c r="AW258" s="38">
        <v>41.23</v>
      </c>
      <c r="AX258" s="38">
        <v>44.24</v>
      </c>
      <c r="AY258" s="38">
        <v>45.35</v>
      </c>
      <c r="BA258" s="37">
        <v>51.2</v>
      </c>
      <c r="BB258" s="38">
        <v>1.3591</v>
      </c>
    </row>
    <row r="259" spans="1:54" x14ac:dyDescent="0.35">
      <c r="A259" s="2">
        <f t="shared" si="3"/>
        <v>44183</v>
      </c>
      <c r="B259" t="s">
        <v>301</v>
      </c>
      <c r="C259" s="32">
        <v>44183</v>
      </c>
      <c r="D259" s="38">
        <v>45.97</v>
      </c>
      <c r="E259" s="38">
        <v>47.36</v>
      </c>
      <c r="F259" s="38">
        <v>44.22</v>
      </c>
      <c r="G259" s="38">
        <v>40.78</v>
      </c>
      <c r="H259" s="38">
        <v>37.67</v>
      </c>
      <c r="I259" s="38">
        <v>36.22</v>
      </c>
      <c r="J259" s="38">
        <v>35.57</v>
      </c>
      <c r="K259" s="38">
        <v>35.950000000000003</v>
      </c>
      <c r="L259" s="38">
        <v>36.79</v>
      </c>
      <c r="M259" s="38">
        <v>40.36</v>
      </c>
      <c r="N259" s="38">
        <v>44.76</v>
      </c>
      <c r="O259" s="38">
        <v>47.54</v>
      </c>
      <c r="P259" s="38">
        <v>49.01</v>
      </c>
      <c r="Q259" s="38">
        <v>49.02</v>
      </c>
      <c r="R259" s="38">
        <v>44.99</v>
      </c>
      <c r="S259" s="38">
        <v>39.97</v>
      </c>
      <c r="T259" s="38">
        <v>37.39</v>
      </c>
      <c r="U259" s="38">
        <v>35.82</v>
      </c>
      <c r="V259" s="38">
        <v>35.01</v>
      </c>
      <c r="W259" s="38">
        <v>35.01</v>
      </c>
      <c r="X259" s="38">
        <v>35.76</v>
      </c>
      <c r="Y259" s="38">
        <v>40.159999999999997</v>
      </c>
      <c r="Z259" s="38">
        <v>43.39</v>
      </c>
      <c r="AA259" s="38">
        <v>45.81</v>
      </c>
      <c r="AB259" s="38">
        <v>47.26</v>
      </c>
      <c r="AC259" s="38">
        <v>47.2</v>
      </c>
      <c r="AD259" s="38">
        <v>44.34</v>
      </c>
      <c r="AE259" s="38">
        <v>38.950000000000003</v>
      </c>
      <c r="AF259" s="38">
        <v>35.840000000000003</v>
      </c>
      <c r="AG259" s="38">
        <v>33.909999999999997</v>
      </c>
      <c r="AH259" s="38">
        <v>33.68</v>
      </c>
      <c r="AI259" s="38">
        <v>34.6</v>
      </c>
      <c r="AJ259" s="38">
        <v>37.369999999999997</v>
      </c>
      <c r="AK259" s="38">
        <v>43.07</v>
      </c>
      <c r="AL259" s="38">
        <v>45.62</v>
      </c>
      <c r="AM259" s="38">
        <v>46.65</v>
      </c>
      <c r="AN259" s="38">
        <v>46.69</v>
      </c>
      <c r="AO259" s="38">
        <v>44.19</v>
      </c>
      <c r="AP259" s="38">
        <v>41.67</v>
      </c>
      <c r="AQ259" s="38">
        <v>37.11</v>
      </c>
      <c r="AR259" s="38">
        <v>35.799999999999997</v>
      </c>
      <c r="AS259" s="38">
        <v>35.270000000000003</v>
      </c>
      <c r="AT259" s="38">
        <v>35.26</v>
      </c>
      <c r="AU259" s="38">
        <v>35.32</v>
      </c>
      <c r="AV259" s="38">
        <v>36.81</v>
      </c>
      <c r="AW259" s="38">
        <v>41.92</v>
      </c>
      <c r="AX259" s="38">
        <v>44.93</v>
      </c>
      <c r="AY259" s="38">
        <v>46.04</v>
      </c>
      <c r="BA259" s="37">
        <v>52.17</v>
      </c>
      <c r="BB259" s="38">
        <v>1.3485</v>
      </c>
    </row>
    <row r="260" spans="1:54" x14ac:dyDescent="0.35">
      <c r="A260" s="2">
        <f t="shared" si="3"/>
        <v>44186</v>
      </c>
      <c r="B260" t="s">
        <v>302</v>
      </c>
      <c r="C260" s="32">
        <v>44186</v>
      </c>
      <c r="D260" s="38">
        <v>49.1</v>
      </c>
      <c r="E260" s="38">
        <v>50.34</v>
      </c>
      <c r="F260" s="38">
        <v>47.16</v>
      </c>
      <c r="G260" s="38">
        <v>43.02</v>
      </c>
      <c r="H260" s="38">
        <v>39.65</v>
      </c>
      <c r="I260" s="38">
        <v>38.159999999999997</v>
      </c>
      <c r="J260" s="38">
        <v>37.5</v>
      </c>
      <c r="K260" s="38">
        <v>37.89</v>
      </c>
      <c r="L260" s="38">
        <v>38.75</v>
      </c>
      <c r="M260" s="38">
        <v>42.32</v>
      </c>
      <c r="N260" s="38">
        <v>46.72</v>
      </c>
      <c r="O260" s="38">
        <v>49.51</v>
      </c>
      <c r="P260" s="38">
        <v>50.99</v>
      </c>
      <c r="Q260" s="38">
        <v>51.01</v>
      </c>
      <c r="R260" s="38">
        <v>46.75</v>
      </c>
      <c r="S260" s="38">
        <v>41.44</v>
      </c>
      <c r="T260" s="38">
        <v>38.590000000000003</v>
      </c>
      <c r="U260" s="38">
        <v>36.99</v>
      </c>
      <c r="V260" s="38">
        <v>36.18</v>
      </c>
      <c r="W260" s="38">
        <v>36.14</v>
      </c>
      <c r="X260" s="38">
        <v>36.89</v>
      </c>
      <c r="Y260" s="38">
        <v>41.35</v>
      </c>
      <c r="Z260" s="38">
        <v>44.64</v>
      </c>
      <c r="AA260" s="38">
        <v>47.12</v>
      </c>
      <c r="AB260" s="38">
        <v>48.54</v>
      </c>
      <c r="AC260" s="38">
        <v>48.37</v>
      </c>
      <c r="AD260" s="38">
        <v>45.34</v>
      </c>
      <c r="AE260" s="38">
        <v>39.68</v>
      </c>
      <c r="AF260" s="38">
        <v>36.33</v>
      </c>
      <c r="AG260" s="38">
        <v>34.15</v>
      </c>
      <c r="AH260" s="38">
        <v>33.92</v>
      </c>
      <c r="AI260" s="38">
        <v>34.840000000000003</v>
      </c>
      <c r="AJ260" s="38">
        <v>37.61</v>
      </c>
      <c r="AK260" s="38">
        <v>43.38</v>
      </c>
      <c r="AL260" s="38">
        <v>46</v>
      </c>
      <c r="AM260" s="38">
        <v>47.03</v>
      </c>
      <c r="AN260" s="38">
        <v>47.07</v>
      </c>
      <c r="AO260" s="38">
        <v>44.57</v>
      </c>
      <c r="AP260" s="38">
        <v>42.05</v>
      </c>
      <c r="AQ260" s="38">
        <v>37.49</v>
      </c>
      <c r="AR260" s="38">
        <v>36.18</v>
      </c>
      <c r="AS260" s="38">
        <v>35.65</v>
      </c>
      <c r="AT260" s="38">
        <v>35.64</v>
      </c>
      <c r="AU260" s="38">
        <v>35.700000000000003</v>
      </c>
      <c r="AV260" s="38">
        <v>37.19</v>
      </c>
      <c r="AW260" s="38">
        <v>42.3</v>
      </c>
      <c r="AX260" s="38">
        <v>45.31</v>
      </c>
      <c r="AY260" s="38">
        <v>46.42</v>
      </c>
      <c r="BA260" s="37">
        <v>50.61</v>
      </c>
      <c r="BB260" s="38">
        <v>1.3313999999999999</v>
      </c>
    </row>
    <row r="261" spans="1:54" x14ac:dyDescent="0.35">
      <c r="A261" s="2">
        <f t="shared" si="3"/>
        <v>44187</v>
      </c>
      <c r="B261" t="s">
        <v>303</v>
      </c>
      <c r="C261" s="32">
        <v>44187</v>
      </c>
      <c r="D261" s="38">
        <v>51.62</v>
      </c>
      <c r="E261" s="38">
        <v>52.69</v>
      </c>
      <c r="F261" s="38">
        <v>49.04</v>
      </c>
      <c r="G261" s="38">
        <v>44.41</v>
      </c>
      <c r="H261" s="38">
        <v>40.9</v>
      </c>
      <c r="I261" s="38">
        <v>39.450000000000003</v>
      </c>
      <c r="J261" s="38">
        <v>38.840000000000003</v>
      </c>
      <c r="K261" s="38">
        <v>39.229999999999997</v>
      </c>
      <c r="L261" s="38">
        <v>40.020000000000003</v>
      </c>
      <c r="M261" s="38">
        <v>43.49</v>
      </c>
      <c r="N261" s="38">
        <v>47.79</v>
      </c>
      <c r="O261" s="38">
        <v>50.53</v>
      </c>
      <c r="P261" s="38">
        <v>52</v>
      </c>
      <c r="Q261" s="38">
        <v>51.99</v>
      </c>
      <c r="R261" s="38">
        <v>47.65</v>
      </c>
      <c r="S261" s="38">
        <v>42.26</v>
      </c>
      <c r="T261" s="38">
        <v>39.409999999999997</v>
      </c>
      <c r="U261" s="38">
        <v>37.81</v>
      </c>
      <c r="V261" s="38">
        <v>37</v>
      </c>
      <c r="W261" s="38">
        <v>36.97</v>
      </c>
      <c r="X261" s="38">
        <v>37.74</v>
      </c>
      <c r="Y261" s="38">
        <v>42.08</v>
      </c>
      <c r="Z261" s="38">
        <v>45.26</v>
      </c>
      <c r="AA261" s="38">
        <v>47.66</v>
      </c>
      <c r="AB261" s="38">
        <v>49</v>
      </c>
      <c r="AC261" s="38">
        <v>48.75</v>
      </c>
      <c r="AD261" s="38">
        <v>45.62</v>
      </c>
      <c r="AE261" s="38">
        <v>39.9</v>
      </c>
      <c r="AF261" s="38">
        <v>36.47</v>
      </c>
      <c r="AG261" s="38">
        <v>34.29</v>
      </c>
      <c r="AH261" s="38">
        <v>34.06</v>
      </c>
      <c r="AI261" s="38">
        <v>34.979999999999997</v>
      </c>
      <c r="AJ261" s="38">
        <v>37.75</v>
      </c>
      <c r="AK261" s="38">
        <v>43.52</v>
      </c>
      <c r="AL261" s="38">
        <v>46.14</v>
      </c>
      <c r="AM261" s="38">
        <v>47.17</v>
      </c>
      <c r="AN261" s="38">
        <v>47.21</v>
      </c>
      <c r="AO261" s="38">
        <v>44.71</v>
      </c>
      <c r="AP261" s="38">
        <v>42.11</v>
      </c>
      <c r="AQ261" s="38">
        <v>37.47</v>
      </c>
      <c r="AR261" s="38">
        <v>36.130000000000003</v>
      </c>
      <c r="AS261" s="38">
        <v>35.6</v>
      </c>
      <c r="AT261" s="38">
        <v>35.590000000000003</v>
      </c>
      <c r="AU261" s="38">
        <v>35.65</v>
      </c>
      <c r="AV261" s="38">
        <v>37.14</v>
      </c>
      <c r="AW261" s="38">
        <v>42.25</v>
      </c>
      <c r="AX261" s="38">
        <v>45.26</v>
      </c>
      <c r="AY261" s="38">
        <v>46.37</v>
      </c>
      <c r="BA261" s="37">
        <v>49.88</v>
      </c>
      <c r="BB261" s="38">
        <v>1.3322000000000001</v>
      </c>
    </row>
    <row r="262" spans="1:54" x14ac:dyDescent="0.35">
      <c r="A262" s="2">
        <f t="shared" si="3"/>
        <v>44188</v>
      </c>
      <c r="B262" t="s">
        <v>304</v>
      </c>
      <c r="C262" s="32">
        <v>44188</v>
      </c>
      <c r="D262" s="38">
        <v>50.89</v>
      </c>
      <c r="E262" s="38">
        <v>51.59</v>
      </c>
      <c r="F262" s="38">
        <v>47.7</v>
      </c>
      <c r="G262" s="38">
        <v>43.84</v>
      </c>
      <c r="H262" s="38">
        <v>40.5</v>
      </c>
      <c r="I262" s="38">
        <v>39.049999999999997</v>
      </c>
      <c r="J262" s="38">
        <v>38.32</v>
      </c>
      <c r="K262" s="38">
        <v>38.58</v>
      </c>
      <c r="L262" s="38">
        <v>39.369999999999997</v>
      </c>
      <c r="M262" s="38">
        <v>42.97</v>
      </c>
      <c r="N262" s="38">
        <v>47.27</v>
      </c>
      <c r="O262" s="38">
        <v>50.02</v>
      </c>
      <c r="P262" s="38">
        <v>51.5</v>
      </c>
      <c r="Q262" s="38">
        <v>51.49</v>
      </c>
      <c r="R262" s="38">
        <v>47.11</v>
      </c>
      <c r="S262" s="38">
        <v>41.72</v>
      </c>
      <c r="T262" s="38">
        <v>39.020000000000003</v>
      </c>
      <c r="U262" s="38">
        <v>37.42</v>
      </c>
      <c r="V262" s="38">
        <v>36.61</v>
      </c>
      <c r="W262" s="38">
        <v>36.58</v>
      </c>
      <c r="X262" s="38">
        <v>37.15</v>
      </c>
      <c r="Y262" s="38">
        <v>41.37</v>
      </c>
      <c r="Z262" s="38">
        <v>44.29</v>
      </c>
      <c r="AA262" s="38">
        <v>46.69</v>
      </c>
      <c r="AB262" s="38">
        <v>48.03</v>
      </c>
      <c r="AC262" s="38">
        <v>47.78</v>
      </c>
      <c r="AD262" s="38">
        <v>44.94</v>
      </c>
      <c r="AE262" s="38">
        <v>39.549999999999997</v>
      </c>
      <c r="AF262" s="38">
        <v>36.42</v>
      </c>
      <c r="AG262" s="38">
        <v>34.5</v>
      </c>
      <c r="AH262" s="38">
        <v>34.270000000000003</v>
      </c>
      <c r="AI262" s="38">
        <v>35.19</v>
      </c>
      <c r="AJ262" s="38">
        <v>37.67</v>
      </c>
      <c r="AK262" s="38">
        <v>43.14</v>
      </c>
      <c r="AL262" s="38">
        <v>45.47</v>
      </c>
      <c r="AM262" s="38">
        <v>46.5</v>
      </c>
      <c r="AN262" s="38">
        <v>46.54</v>
      </c>
      <c r="AO262" s="38">
        <v>44.04</v>
      </c>
      <c r="AP262" s="38">
        <v>41.44</v>
      </c>
      <c r="AQ262" s="38">
        <v>37</v>
      </c>
      <c r="AR262" s="38">
        <v>35.659999999999997</v>
      </c>
      <c r="AS262" s="38">
        <v>35.130000000000003</v>
      </c>
      <c r="AT262" s="38">
        <v>35.119999999999997</v>
      </c>
      <c r="AU262" s="38">
        <v>35.18</v>
      </c>
      <c r="AV262" s="38">
        <v>36.67</v>
      </c>
      <c r="AW262" s="38">
        <v>41.84</v>
      </c>
      <c r="AX262" s="38">
        <v>44.85</v>
      </c>
      <c r="AY262" s="38">
        <v>45.96</v>
      </c>
      <c r="BA262" s="37">
        <v>51.05</v>
      </c>
      <c r="BB262" s="38">
        <v>1.3522000000000001</v>
      </c>
    </row>
    <row r="263" spans="1:54" x14ac:dyDescent="0.35">
      <c r="A263" s="2">
        <f t="shared" si="3"/>
        <v>44189</v>
      </c>
      <c r="B263" t="s">
        <v>305</v>
      </c>
      <c r="C263" s="32">
        <v>44189</v>
      </c>
      <c r="D263" s="38">
        <v>51.07</v>
      </c>
      <c r="E263" s="38">
        <v>51.77</v>
      </c>
      <c r="F263" s="38">
        <v>48.07</v>
      </c>
      <c r="G263" s="38">
        <v>43.87</v>
      </c>
      <c r="H263" s="38">
        <v>40.4</v>
      </c>
      <c r="I263" s="38">
        <v>38.85</v>
      </c>
      <c r="J263" s="38">
        <v>38.33</v>
      </c>
      <c r="K263" s="38">
        <v>38.71</v>
      </c>
      <c r="L263" s="38">
        <v>39.5</v>
      </c>
      <c r="M263" s="38">
        <v>42.92</v>
      </c>
      <c r="N263" s="38">
        <v>47.06</v>
      </c>
      <c r="O263" s="38">
        <v>49.81</v>
      </c>
      <c r="P263" s="38">
        <v>51.29</v>
      </c>
      <c r="Q263" s="38">
        <v>51.28</v>
      </c>
      <c r="R263" s="38">
        <v>47.01</v>
      </c>
      <c r="S263" s="38">
        <v>41.75</v>
      </c>
      <c r="T263" s="38">
        <v>39.049999999999997</v>
      </c>
      <c r="U263" s="38">
        <v>37.450000000000003</v>
      </c>
      <c r="V263" s="38">
        <v>36.64</v>
      </c>
      <c r="W263" s="38">
        <v>36.61</v>
      </c>
      <c r="X263" s="38">
        <v>37.18</v>
      </c>
      <c r="Y263" s="38">
        <v>41.4</v>
      </c>
      <c r="Z263" s="38">
        <v>44.32</v>
      </c>
      <c r="AA263" s="38">
        <v>46.72</v>
      </c>
      <c r="AB263" s="38">
        <v>48.06</v>
      </c>
      <c r="AC263" s="38">
        <v>47.81</v>
      </c>
      <c r="AD263" s="38">
        <v>44.97</v>
      </c>
      <c r="AE263" s="38">
        <v>39.58</v>
      </c>
      <c r="AF263" s="38">
        <v>36.450000000000003</v>
      </c>
      <c r="AG263" s="38">
        <v>34.53</v>
      </c>
      <c r="AH263" s="38">
        <v>34.299999999999997</v>
      </c>
      <c r="AI263" s="38">
        <v>35.22</v>
      </c>
      <c r="AJ263" s="38">
        <v>37.700000000000003</v>
      </c>
      <c r="AK263" s="38">
        <v>43.17</v>
      </c>
      <c r="AL263" s="38">
        <v>45.5</v>
      </c>
      <c r="AM263" s="38">
        <v>46.53</v>
      </c>
      <c r="AN263" s="38">
        <v>46.57</v>
      </c>
      <c r="AO263" s="38">
        <v>44.07</v>
      </c>
      <c r="AP263" s="38">
        <v>41.47</v>
      </c>
      <c r="AQ263" s="38">
        <v>37.03</v>
      </c>
      <c r="AR263" s="38">
        <v>35.69</v>
      </c>
      <c r="AS263" s="38">
        <v>35.159999999999997</v>
      </c>
      <c r="AT263" s="38">
        <v>35.15</v>
      </c>
      <c r="AU263" s="38">
        <v>35.21</v>
      </c>
      <c r="AV263" s="38">
        <v>36.700000000000003</v>
      </c>
      <c r="AW263" s="38">
        <v>41.87</v>
      </c>
      <c r="AX263" s="38">
        <v>44.88</v>
      </c>
      <c r="AY263" s="38">
        <v>45.99</v>
      </c>
      <c r="BA263" s="37">
        <v>50.88</v>
      </c>
      <c r="BB263" s="38">
        <v>1.3588</v>
      </c>
    </row>
    <row r="264" spans="1:54" x14ac:dyDescent="0.35">
      <c r="A264" s="2">
        <f t="shared" si="3"/>
        <v>44190</v>
      </c>
      <c r="B264" t="s">
        <v>306</v>
      </c>
      <c r="C264" s="32">
        <v>44190</v>
      </c>
      <c r="D264" s="38" t="e">
        <v>#N/A</v>
      </c>
      <c r="E264" s="38" t="e">
        <v>#N/A</v>
      </c>
      <c r="F264" s="38" t="e">
        <v>#N/A</v>
      </c>
      <c r="G264" s="38" t="e">
        <v>#N/A</v>
      </c>
      <c r="H264" s="38" t="e">
        <v>#N/A</v>
      </c>
      <c r="I264" s="38" t="e">
        <v>#N/A</v>
      </c>
      <c r="J264" s="38" t="e">
        <v>#N/A</v>
      </c>
      <c r="K264" s="38" t="e">
        <v>#N/A</v>
      </c>
      <c r="L264" s="38" t="e">
        <v>#N/A</v>
      </c>
      <c r="M264" s="38" t="e">
        <v>#N/A</v>
      </c>
      <c r="N264" s="38" t="e">
        <v>#N/A</v>
      </c>
      <c r="O264" s="38" t="e">
        <v>#N/A</v>
      </c>
      <c r="P264" s="38" t="e">
        <v>#N/A</v>
      </c>
      <c r="Q264" s="38" t="e">
        <v>#N/A</v>
      </c>
      <c r="R264" s="38" t="e">
        <v>#N/A</v>
      </c>
      <c r="S264" s="38" t="e">
        <v>#N/A</v>
      </c>
      <c r="T264" s="38" t="e">
        <v>#N/A</v>
      </c>
      <c r="U264" s="38" t="e">
        <v>#N/A</v>
      </c>
      <c r="V264" s="38" t="e">
        <v>#N/A</v>
      </c>
      <c r="W264" s="38" t="e">
        <v>#N/A</v>
      </c>
      <c r="X264" s="38" t="e">
        <v>#N/A</v>
      </c>
      <c r="Y264" s="38" t="e">
        <v>#N/A</v>
      </c>
      <c r="Z264" s="38" t="e">
        <v>#N/A</v>
      </c>
      <c r="AA264" s="38" t="e">
        <v>#N/A</v>
      </c>
      <c r="AB264" s="38" t="e">
        <v>#N/A</v>
      </c>
      <c r="AC264" s="38" t="e">
        <v>#N/A</v>
      </c>
      <c r="AD264" s="38" t="e">
        <v>#N/A</v>
      </c>
      <c r="AE264" s="38" t="e">
        <v>#N/A</v>
      </c>
      <c r="AF264" s="38" t="e">
        <v>#N/A</v>
      </c>
      <c r="AG264" s="38" t="e">
        <v>#N/A</v>
      </c>
      <c r="AH264" s="38" t="e">
        <v>#N/A</v>
      </c>
      <c r="AI264" s="38" t="e">
        <v>#N/A</v>
      </c>
      <c r="AJ264" s="38" t="e">
        <v>#N/A</v>
      </c>
      <c r="AK264" s="38" t="e">
        <v>#N/A</v>
      </c>
      <c r="AL264" s="38" t="e">
        <v>#N/A</v>
      </c>
      <c r="AM264" s="38" t="e">
        <v>#N/A</v>
      </c>
      <c r="AN264" s="38" t="e">
        <v>#N/A</v>
      </c>
      <c r="AO264" s="38" t="e">
        <v>#N/A</v>
      </c>
      <c r="AP264" s="38" t="e">
        <v>#N/A</v>
      </c>
      <c r="AQ264" s="38" t="e">
        <v>#N/A</v>
      </c>
      <c r="AR264" s="38" t="e">
        <v>#N/A</v>
      </c>
      <c r="AS264" s="38" t="e">
        <v>#N/A</v>
      </c>
      <c r="AT264" s="38" t="e">
        <v>#N/A</v>
      </c>
      <c r="AU264" s="38" t="e">
        <v>#N/A</v>
      </c>
      <c r="AV264" s="38" t="e">
        <v>#N/A</v>
      </c>
      <c r="AW264" s="38" t="e">
        <v>#N/A</v>
      </c>
      <c r="AX264" s="38" t="e">
        <v>#N/A</v>
      </c>
      <c r="AY264" s="38" t="e">
        <v>#N/A</v>
      </c>
      <c r="BA264" s="37" t="e">
        <v>#N/A</v>
      </c>
      <c r="BB264" s="38" t="e">
        <v>#N/A</v>
      </c>
    </row>
    <row r="265" spans="1:54" x14ac:dyDescent="0.35">
      <c r="A265" s="2">
        <f t="shared" si="3"/>
        <v>44193</v>
      </c>
      <c r="B265" t="s">
        <v>307</v>
      </c>
      <c r="C265" s="32">
        <v>44193</v>
      </c>
      <c r="D265" s="38">
        <v>51.07</v>
      </c>
      <c r="E265" s="38">
        <v>51.77</v>
      </c>
      <c r="F265" s="38">
        <v>48.07</v>
      </c>
      <c r="G265" s="38">
        <v>43.87</v>
      </c>
      <c r="H265" s="38">
        <v>40.4</v>
      </c>
      <c r="I265" s="38">
        <v>38.85</v>
      </c>
      <c r="J265" s="38">
        <v>38.33</v>
      </c>
      <c r="K265" s="38">
        <v>38.71</v>
      </c>
      <c r="L265" s="38">
        <v>39.5</v>
      </c>
      <c r="M265" s="38">
        <v>42.92</v>
      </c>
      <c r="N265" s="38">
        <v>47.06</v>
      </c>
      <c r="O265" s="38">
        <v>49.81</v>
      </c>
      <c r="P265" s="38">
        <v>51.29</v>
      </c>
      <c r="Q265" s="38">
        <v>51.28</v>
      </c>
      <c r="R265" s="38">
        <v>47.01</v>
      </c>
      <c r="S265" s="38">
        <v>41.75</v>
      </c>
      <c r="T265" s="38">
        <v>39.049999999999997</v>
      </c>
      <c r="U265" s="38">
        <v>37.450000000000003</v>
      </c>
      <c r="V265" s="38">
        <v>36.64</v>
      </c>
      <c r="W265" s="38">
        <v>36.61</v>
      </c>
      <c r="X265" s="38">
        <v>37.18</v>
      </c>
      <c r="Y265" s="38">
        <v>41.4</v>
      </c>
      <c r="Z265" s="38">
        <v>44.32</v>
      </c>
      <c r="AA265" s="38">
        <v>46.72</v>
      </c>
      <c r="AB265" s="38">
        <v>48.06</v>
      </c>
      <c r="AC265" s="38">
        <v>47.81</v>
      </c>
      <c r="AD265" s="38">
        <v>44.97</v>
      </c>
      <c r="AE265" s="38">
        <v>39.58</v>
      </c>
      <c r="AF265" s="38">
        <v>36.450000000000003</v>
      </c>
      <c r="AG265" s="38">
        <v>34.53</v>
      </c>
      <c r="AH265" s="38">
        <v>34.299999999999997</v>
      </c>
      <c r="AI265" s="38">
        <v>35.22</v>
      </c>
      <c r="AJ265" s="38">
        <v>37.700000000000003</v>
      </c>
      <c r="AK265" s="38">
        <v>43.17</v>
      </c>
      <c r="AL265" s="38">
        <v>45.5</v>
      </c>
      <c r="AM265" s="38">
        <v>46.53</v>
      </c>
      <c r="AN265" s="38">
        <v>46.57</v>
      </c>
      <c r="AO265" s="38">
        <v>44.07</v>
      </c>
      <c r="AP265" s="38">
        <v>41.47</v>
      </c>
      <c r="AQ265" s="38">
        <v>37.03</v>
      </c>
      <c r="AR265" s="38">
        <v>35.69</v>
      </c>
      <c r="AS265" s="38">
        <v>35.159999999999997</v>
      </c>
      <c r="AT265" s="38">
        <v>35.15</v>
      </c>
      <c r="AU265" s="38">
        <v>35.21</v>
      </c>
      <c r="AV265" s="38">
        <v>36.700000000000003</v>
      </c>
      <c r="AW265" s="38">
        <v>41.87</v>
      </c>
      <c r="AX265" s="38">
        <v>44.88</v>
      </c>
      <c r="AY265" s="38">
        <v>45.99</v>
      </c>
      <c r="BA265" s="37" t="e">
        <v>#N/A</v>
      </c>
      <c r="BB265" s="38" t="e">
        <v>#N/A</v>
      </c>
    </row>
    <row r="266" spans="1:54" x14ac:dyDescent="0.35">
      <c r="A266" s="2">
        <f t="shared" si="3"/>
        <v>44194</v>
      </c>
      <c r="B266" t="s">
        <v>308</v>
      </c>
      <c r="C266" s="32">
        <v>44194</v>
      </c>
      <c r="D266" s="38">
        <v>55.51</v>
      </c>
      <c r="E266" s="38">
        <v>55.68</v>
      </c>
      <c r="F266" s="38">
        <v>51.3</v>
      </c>
      <c r="G266" s="38">
        <v>46.37</v>
      </c>
      <c r="H266" s="38">
        <v>42.58</v>
      </c>
      <c r="I266" s="38">
        <v>40.909999999999997</v>
      </c>
      <c r="J266" s="38">
        <v>40.21</v>
      </c>
      <c r="K266" s="38">
        <v>40.520000000000003</v>
      </c>
      <c r="L266" s="38">
        <v>41.27</v>
      </c>
      <c r="M266" s="38">
        <v>44.74</v>
      </c>
      <c r="N266" s="38">
        <v>48.92</v>
      </c>
      <c r="O266" s="38">
        <v>51.51</v>
      </c>
      <c r="P266" s="38">
        <v>53.17</v>
      </c>
      <c r="Q266" s="38">
        <v>53.04</v>
      </c>
      <c r="R266" s="38">
        <v>48.34</v>
      </c>
      <c r="S266" s="38">
        <v>42.83</v>
      </c>
      <c r="T266" s="38">
        <v>39.659999999999997</v>
      </c>
      <c r="U266" s="38">
        <v>37.56</v>
      </c>
      <c r="V266" s="38">
        <v>36.68</v>
      </c>
      <c r="W266" s="38">
        <v>36.65</v>
      </c>
      <c r="X266" s="38">
        <v>37.22</v>
      </c>
      <c r="Y266" s="38">
        <v>41.85</v>
      </c>
      <c r="Z266" s="38">
        <v>45.15</v>
      </c>
      <c r="AA266" s="38">
        <v>47.78</v>
      </c>
      <c r="AB266" s="38">
        <v>49.12</v>
      </c>
      <c r="AC266" s="38">
        <v>48.87</v>
      </c>
      <c r="AD266" s="38">
        <v>46.03</v>
      </c>
      <c r="AE266" s="38">
        <v>40.64</v>
      </c>
      <c r="AF266" s="38">
        <v>37.39</v>
      </c>
      <c r="AG266" s="38">
        <v>35.36</v>
      </c>
      <c r="AH266" s="38">
        <v>35.130000000000003</v>
      </c>
      <c r="AI266" s="38">
        <v>36.049999999999997</v>
      </c>
      <c r="AJ266" s="38">
        <v>38.53</v>
      </c>
      <c r="AK266" s="38">
        <v>43.97</v>
      </c>
      <c r="AL266" s="38">
        <v>46.52</v>
      </c>
      <c r="AM266" s="38">
        <v>47.78</v>
      </c>
      <c r="AN266" s="38">
        <v>47.82</v>
      </c>
      <c r="AO266" s="38">
        <v>45.32</v>
      </c>
      <c r="AP266" s="38">
        <v>42.72</v>
      </c>
      <c r="AQ266" s="38">
        <v>38.28</v>
      </c>
      <c r="AR266" s="38">
        <v>36.94</v>
      </c>
      <c r="AS266" s="38">
        <v>36.409999999999997</v>
      </c>
      <c r="AT266" s="38">
        <v>36.4</v>
      </c>
      <c r="AU266" s="38">
        <v>36.46</v>
      </c>
      <c r="AV266" s="38">
        <v>37.950000000000003</v>
      </c>
      <c r="AW266" s="38">
        <v>43.12</v>
      </c>
      <c r="AX266" s="38">
        <v>46.13</v>
      </c>
      <c r="AY266" s="38">
        <v>47.24</v>
      </c>
      <c r="BA266" s="37">
        <v>50.44</v>
      </c>
      <c r="BB266" s="38">
        <v>1.3493999999999999</v>
      </c>
    </row>
    <row r="267" spans="1:54" x14ac:dyDescent="0.35">
      <c r="A267" s="2">
        <f t="shared" si="3"/>
        <v>44195</v>
      </c>
      <c r="B267" t="s">
        <v>309</v>
      </c>
      <c r="C267" s="32">
        <v>44195</v>
      </c>
      <c r="D267" s="38">
        <v>55.82</v>
      </c>
      <c r="E267" s="38">
        <v>55.88</v>
      </c>
      <c r="F267" s="38">
        <v>51.69</v>
      </c>
      <c r="G267" s="38">
        <v>46.38</v>
      </c>
      <c r="H267" s="38">
        <v>42.58</v>
      </c>
      <c r="I267" s="38">
        <v>40.96</v>
      </c>
      <c r="J267" s="38">
        <v>40.25</v>
      </c>
      <c r="K267" s="38">
        <v>40.68</v>
      </c>
      <c r="L267" s="38">
        <v>41.46</v>
      </c>
      <c r="M267" s="38">
        <v>44.66</v>
      </c>
      <c r="N267" s="38">
        <v>48.62</v>
      </c>
      <c r="O267" s="38">
        <v>51.13</v>
      </c>
      <c r="P267" s="38">
        <v>53.43</v>
      </c>
      <c r="Q267" s="38">
        <v>53.36</v>
      </c>
      <c r="R267" s="38">
        <v>48.71</v>
      </c>
      <c r="S267" s="38">
        <v>43</v>
      </c>
      <c r="T267" s="38">
        <v>39.58</v>
      </c>
      <c r="U267" s="38">
        <v>37.409999999999997</v>
      </c>
      <c r="V267" s="38">
        <v>36.5</v>
      </c>
      <c r="W267" s="38">
        <v>36.44</v>
      </c>
      <c r="X267" s="38">
        <v>36.950000000000003</v>
      </c>
      <c r="Y267" s="38">
        <v>41.54</v>
      </c>
      <c r="Z267" s="38">
        <v>44.78</v>
      </c>
      <c r="AA267" s="38">
        <v>47.41</v>
      </c>
      <c r="AB267" s="38">
        <v>48.67</v>
      </c>
      <c r="AC267" s="38">
        <v>48.5</v>
      </c>
      <c r="AD267" s="38">
        <v>45.8</v>
      </c>
      <c r="AE267" s="38">
        <v>40.61</v>
      </c>
      <c r="AF267" s="38">
        <v>37.479999999999997</v>
      </c>
      <c r="AG267" s="38">
        <v>35.47</v>
      </c>
      <c r="AH267" s="38">
        <v>35.19</v>
      </c>
      <c r="AI267" s="38">
        <v>36.06</v>
      </c>
      <c r="AJ267" s="38">
        <v>38.49</v>
      </c>
      <c r="AK267" s="38">
        <v>43.57</v>
      </c>
      <c r="AL267" s="38">
        <v>45.94</v>
      </c>
      <c r="AM267" s="38">
        <v>47.13</v>
      </c>
      <c r="AN267" s="38">
        <v>47.17</v>
      </c>
      <c r="AO267" s="38">
        <v>44.67</v>
      </c>
      <c r="AP267" s="38">
        <v>42.07</v>
      </c>
      <c r="AQ267" s="38">
        <v>37.67</v>
      </c>
      <c r="AR267" s="38">
        <v>36.33</v>
      </c>
      <c r="AS267" s="38">
        <v>35.799999999999997</v>
      </c>
      <c r="AT267" s="38">
        <v>35.79</v>
      </c>
      <c r="AU267" s="38">
        <v>35.85</v>
      </c>
      <c r="AV267" s="38">
        <v>37.340000000000003</v>
      </c>
      <c r="AW267" s="38">
        <v>42.51</v>
      </c>
      <c r="AX267" s="38">
        <v>45.52</v>
      </c>
      <c r="AY267" s="38">
        <v>46.63</v>
      </c>
      <c r="BA267" s="37">
        <v>50.74</v>
      </c>
      <c r="BB267" s="38">
        <v>1.3608</v>
      </c>
    </row>
    <row r="268" spans="1:54" x14ac:dyDescent="0.35">
      <c r="A268" s="2">
        <f t="shared" si="3"/>
        <v>44196</v>
      </c>
      <c r="B268" t="s">
        <v>310</v>
      </c>
      <c r="C268" s="32">
        <v>44196</v>
      </c>
      <c r="D268" s="38">
        <v>56.4</v>
      </c>
      <c r="E268" s="38">
        <v>52.31</v>
      </c>
      <c r="F268" s="38">
        <v>46.85</v>
      </c>
      <c r="G268" s="38">
        <v>42.85</v>
      </c>
      <c r="H268" s="38">
        <v>41.05</v>
      </c>
      <c r="I268" s="38">
        <v>40.35</v>
      </c>
      <c r="J268" s="38">
        <v>41.04</v>
      </c>
      <c r="K268" s="38">
        <v>41.9</v>
      </c>
      <c r="L268" s="38">
        <v>44.85</v>
      </c>
      <c r="M268" s="38">
        <v>48.81</v>
      </c>
      <c r="N268" s="38">
        <v>51.24</v>
      </c>
      <c r="O268" s="38">
        <v>53.3</v>
      </c>
      <c r="P268" s="38">
        <v>53.23</v>
      </c>
      <c r="Q268" s="38">
        <v>48.58</v>
      </c>
      <c r="R268" s="38">
        <v>43.32</v>
      </c>
      <c r="S268" s="38">
        <v>39.9</v>
      </c>
      <c r="T268" s="38">
        <v>37.729999999999997</v>
      </c>
      <c r="U268" s="38">
        <v>37.08</v>
      </c>
      <c r="V268" s="38">
        <v>37.020000000000003</v>
      </c>
      <c r="W268" s="38">
        <v>37.53</v>
      </c>
      <c r="X268" s="38">
        <v>41.72</v>
      </c>
      <c r="Y268" s="38">
        <v>44.96</v>
      </c>
      <c r="Z268" s="38">
        <v>47.59</v>
      </c>
      <c r="AA268" s="38">
        <v>48.85</v>
      </c>
      <c r="AB268" s="38">
        <v>48.69</v>
      </c>
      <c r="AC268" s="38">
        <v>46</v>
      </c>
      <c r="AD268" s="38">
        <v>40.380000000000003</v>
      </c>
      <c r="AE268" s="38">
        <v>37.25</v>
      </c>
      <c r="AF268" s="38">
        <v>35.24</v>
      </c>
      <c r="AG268" s="38">
        <v>34.96</v>
      </c>
      <c r="AH268" s="38">
        <v>35.83</v>
      </c>
      <c r="AI268" s="38">
        <v>38.26</v>
      </c>
      <c r="AJ268" s="38">
        <v>43.34</v>
      </c>
      <c r="AK268" s="38">
        <v>45.71</v>
      </c>
      <c r="AL268" s="38">
        <v>46.9</v>
      </c>
      <c r="AM268" s="38">
        <v>46.94</v>
      </c>
      <c r="AN268" s="38">
        <v>44.44</v>
      </c>
      <c r="AO268" s="38">
        <v>41.76</v>
      </c>
      <c r="AP268" s="38">
        <v>37.28</v>
      </c>
      <c r="AQ268" s="38">
        <v>35.94</v>
      </c>
      <c r="AR268" s="38">
        <v>35.409999999999997</v>
      </c>
      <c r="AS268" s="38">
        <v>35.4</v>
      </c>
      <c r="AT268" s="38">
        <v>35.46</v>
      </c>
      <c r="AU268" s="38">
        <v>36.950000000000003</v>
      </c>
      <c r="AV268" s="38">
        <v>42.12</v>
      </c>
      <c r="AW268" s="38">
        <v>45.13</v>
      </c>
      <c r="AX268" s="38">
        <v>46.24</v>
      </c>
      <c r="AY268" s="38">
        <v>46.84</v>
      </c>
      <c r="BA268" s="37">
        <v>51.22</v>
      </c>
      <c r="BB268" s="38">
        <v>1.3649</v>
      </c>
    </row>
    <row r="269" spans="1:54" x14ac:dyDescent="0.35">
      <c r="A269" s="2">
        <f t="shared" ref="A269:A332" si="4">+A264+7</f>
        <v>44197</v>
      </c>
      <c r="B269" t="s">
        <v>311</v>
      </c>
      <c r="C269" s="32">
        <v>44197</v>
      </c>
      <c r="D269" s="38" t="e">
        <v>#N/A</v>
      </c>
      <c r="E269" s="38" t="e">
        <v>#N/A</v>
      </c>
      <c r="F269" s="38" t="e">
        <v>#N/A</v>
      </c>
      <c r="G269" s="38" t="e">
        <v>#N/A</v>
      </c>
      <c r="H269" s="38" t="e">
        <v>#N/A</v>
      </c>
      <c r="I269" s="38" t="e">
        <v>#N/A</v>
      </c>
      <c r="J269" s="38" t="e">
        <v>#N/A</v>
      </c>
      <c r="K269" s="38" t="e">
        <v>#N/A</v>
      </c>
      <c r="L269" s="38" t="e">
        <v>#N/A</v>
      </c>
      <c r="M269" s="38" t="e">
        <v>#N/A</v>
      </c>
      <c r="N269" s="38" t="e">
        <v>#N/A</v>
      </c>
      <c r="O269" s="38" t="e">
        <v>#N/A</v>
      </c>
      <c r="P269" s="38" t="e">
        <v>#N/A</v>
      </c>
      <c r="Q269" s="38" t="e">
        <v>#N/A</v>
      </c>
      <c r="R269" s="38" t="e">
        <v>#N/A</v>
      </c>
      <c r="S269" s="38" t="e">
        <v>#N/A</v>
      </c>
      <c r="T269" s="38" t="e">
        <v>#N/A</v>
      </c>
      <c r="U269" s="38" t="e">
        <v>#N/A</v>
      </c>
      <c r="V269" s="38" t="e">
        <v>#N/A</v>
      </c>
      <c r="W269" s="38" t="e">
        <v>#N/A</v>
      </c>
      <c r="X269" s="38" t="e">
        <v>#N/A</v>
      </c>
      <c r="Y269" s="38" t="e">
        <v>#N/A</v>
      </c>
      <c r="Z269" s="38" t="e">
        <v>#N/A</v>
      </c>
      <c r="AA269" s="38" t="e">
        <v>#N/A</v>
      </c>
      <c r="AB269" s="38" t="e">
        <v>#N/A</v>
      </c>
      <c r="AC269" s="38" t="e">
        <v>#N/A</v>
      </c>
      <c r="AD269" s="38" t="e">
        <v>#N/A</v>
      </c>
      <c r="AE269" s="38" t="e">
        <v>#N/A</v>
      </c>
      <c r="AF269" s="38" t="e">
        <v>#N/A</v>
      </c>
      <c r="AG269" s="38" t="e">
        <v>#N/A</v>
      </c>
      <c r="AH269" s="38" t="e">
        <v>#N/A</v>
      </c>
      <c r="AI269" s="38" t="e">
        <v>#N/A</v>
      </c>
      <c r="AJ269" s="38" t="e">
        <v>#N/A</v>
      </c>
      <c r="AK269" s="38" t="e">
        <v>#N/A</v>
      </c>
      <c r="AL269" s="38" t="e">
        <v>#N/A</v>
      </c>
      <c r="AM269" s="38" t="e">
        <v>#N/A</v>
      </c>
      <c r="AN269" s="38" t="e">
        <v>#N/A</v>
      </c>
      <c r="AO269" s="38" t="e">
        <v>#N/A</v>
      </c>
      <c r="AP269" s="38" t="e">
        <v>#N/A</v>
      </c>
      <c r="AQ269" s="38" t="e">
        <v>#N/A</v>
      </c>
      <c r="AR269" s="38" t="e">
        <v>#N/A</v>
      </c>
      <c r="AS269" s="38" t="e">
        <v>#N/A</v>
      </c>
      <c r="AT269" s="38" t="e">
        <v>#N/A</v>
      </c>
      <c r="AU269" s="38" t="e">
        <v>#N/A</v>
      </c>
      <c r="AV269" s="38" t="e">
        <v>#N/A</v>
      </c>
      <c r="AW269" s="38" t="e">
        <v>#N/A</v>
      </c>
      <c r="AX269" s="38" t="e">
        <v>#N/A</v>
      </c>
      <c r="AY269" s="38" t="e">
        <v>#N/A</v>
      </c>
      <c r="BA269" s="37" t="e">
        <v>#N/A</v>
      </c>
      <c r="BB269" s="38" t="e">
        <v>#N/A</v>
      </c>
    </row>
    <row r="270" spans="1:54" x14ac:dyDescent="0.35">
      <c r="A270" s="2">
        <f t="shared" si="4"/>
        <v>44200</v>
      </c>
      <c r="B270" t="s">
        <v>312</v>
      </c>
      <c r="C270" s="32">
        <v>44200</v>
      </c>
      <c r="D270" s="38">
        <v>59.45</v>
      </c>
      <c r="E270" s="38">
        <v>54.77</v>
      </c>
      <c r="F270" s="38">
        <v>48.21</v>
      </c>
      <c r="G270" s="38">
        <v>43.8</v>
      </c>
      <c r="H270" s="38">
        <v>42.05</v>
      </c>
      <c r="I270" s="38">
        <v>41.25</v>
      </c>
      <c r="J270" s="38">
        <v>41.79</v>
      </c>
      <c r="K270" s="38">
        <v>42.72</v>
      </c>
      <c r="L270" s="38">
        <v>45.76</v>
      </c>
      <c r="M270" s="38">
        <v>49.78</v>
      </c>
      <c r="N270" s="38">
        <v>52.16</v>
      </c>
      <c r="O270" s="38">
        <v>54.19</v>
      </c>
      <c r="P270" s="38">
        <v>54.04</v>
      </c>
      <c r="Q270" s="38">
        <v>49.27</v>
      </c>
      <c r="R270" s="38">
        <v>43.79</v>
      </c>
      <c r="S270" s="38">
        <v>40.299999999999997</v>
      </c>
      <c r="T270" s="38">
        <v>38.090000000000003</v>
      </c>
      <c r="U270" s="38">
        <v>37.42</v>
      </c>
      <c r="V270" s="38">
        <v>37.36</v>
      </c>
      <c r="W270" s="38">
        <v>37.869999999999997</v>
      </c>
      <c r="X270" s="38">
        <v>42.15</v>
      </c>
      <c r="Y270" s="38">
        <v>45.39</v>
      </c>
      <c r="Z270" s="38">
        <v>48.02</v>
      </c>
      <c r="AA270" s="38">
        <v>49.28</v>
      </c>
      <c r="AB270" s="38">
        <v>49.12</v>
      </c>
      <c r="AC270" s="38">
        <v>46.43</v>
      </c>
      <c r="AD270" s="38">
        <v>40.700000000000003</v>
      </c>
      <c r="AE270" s="38">
        <v>37.5</v>
      </c>
      <c r="AF270" s="38">
        <v>35.42</v>
      </c>
      <c r="AG270" s="38">
        <v>35.08</v>
      </c>
      <c r="AH270" s="38">
        <v>35.9</v>
      </c>
      <c r="AI270" s="38">
        <v>38.24</v>
      </c>
      <c r="AJ270" s="38">
        <v>43.27</v>
      </c>
      <c r="AK270" s="38">
        <v>45.62</v>
      </c>
      <c r="AL270" s="38">
        <v>46.79</v>
      </c>
      <c r="AM270" s="38">
        <v>46.82</v>
      </c>
      <c r="AN270" s="38">
        <v>44.32</v>
      </c>
      <c r="AO270" s="38">
        <v>41.64</v>
      </c>
      <c r="AP270" s="38">
        <v>37.159999999999997</v>
      </c>
      <c r="AQ270" s="38">
        <v>35.82</v>
      </c>
      <c r="AR270" s="38">
        <v>35.29</v>
      </c>
      <c r="AS270" s="38">
        <v>35.28</v>
      </c>
      <c r="AT270" s="38">
        <v>35.340000000000003</v>
      </c>
      <c r="AU270" s="38">
        <v>36.83</v>
      </c>
      <c r="AV270" s="38">
        <v>42.02</v>
      </c>
      <c r="AW270" s="38">
        <v>45.05</v>
      </c>
      <c r="AX270" s="38">
        <v>46.18</v>
      </c>
      <c r="AY270" s="38">
        <v>46.79</v>
      </c>
      <c r="BA270" s="37">
        <v>50.37</v>
      </c>
      <c r="BB270" s="38">
        <v>1.3579000000000001</v>
      </c>
    </row>
    <row r="271" spans="1:54" x14ac:dyDescent="0.35">
      <c r="A271" s="2">
        <f t="shared" si="4"/>
        <v>44201</v>
      </c>
      <c r="B271" t="s">
        <v>313</v>
      </c>
      <c r="C271" s="32">
        <v>44201</v>
      </c>
      <c r="D271" s="38">
        <v>54.02</v>
      </c>
      <c r="E271" s="38">
        <v>50.15</v>
      </c>
      <c r="F271" s="38">
        <v>45.53</v>
      </c>
      <c r="G271" s="38">
        <v>41.74</v>
      </c>
      <c r="H271" s="38">
        <v>40.22</v>
      </c>
      <c r="I271" s="38">
        <v>39.58</v>
      </c>
      <c r="J271" s="38">
        <v>40.049999999999997</v>
      </c>
      <c r="K271" s="38">
        <v>40.81</v>
      </c>
      <c r="L271" s="38">
        <v>44.04</v>
      </c>
      <c r="M271" s="38">
        <v>48.25</v>
      </c>
      <c r="N271" s="38">
        <v>50.7</v>
      </c>
      <c r="O271" s="38">
        <v>52.72</v>
      </c>
      <c r="P271" s="38">
        <v>52.57</v>
      </c>
      <c r="Q271" s="38">
        <v>47.8</v>
      </c>
      <c r="R271" s="38">
        <v>42.43</v>
      </c>
      <c r="S271" s="38">
        <v>39.01</v>
      </c>
      <c r="T271" s="38">
        <v>36.83</v>
      </c>
      <c r="U271" s="38">
        <v>36.229999999999997</v>
      </c>
      <c r="V271" s="38">
        <v>36.19</v>
      </c>
      <c r="W271" s="38">
        <v>36.72</v>
      </c>
      <c r="X271" s="38">
        <v>40.97</v>
      </c>
      <c r="Y271" s="38">
        <v>44.19</v>
      </c>
      <c r="Z271" s="38">
        <v>46.8</v>
      </c>
      <c r="AA271" s="38">
        <v>48.06</v>
      </c>
      <c r="AB271" s="38">
        <v>47.9</v>
      </c>
      <c r="AC271" s="38">
        <v>45.19</v>
      </c>
      <c r="AD271" s="38">
        <v>39.53</v>
      </c>
      <c r="AE271" s="38">
        <v>36.340000000000003</v>
      </c>
      <c r="AF271" s="38">
        <v>34.26</v>
      </c>
      <c r="AG271" s="38">
        <v>33.92</v>
      </c>
      <c r="AH271" s="38">
        <v>34.74</v>
      </c>
      <c r="AI271" s="38">
        <v>37.08</v>
      </c>
      <c r="AJ271" s="38">
        <v>42.16</v>
      </c>
      <c r="AK271" s="38">
        <v>44.53</v>
      </c>
      <c r="AL271" s="38">
        <v>45.7</v>
      </c>
      <c r="AM271" s="38">
        <v>45.73</v>
      </c>
      <c r="AN271" s="38">
        <v>43.23</v>
      </c>
      <c r="AO271" s="38">
        <v>40.549999999999997</v>
      </c>
      <c r="AP271" s="38">
        <v>36.14</v>
      </c>
      <c r="AQ271" s="38">
        <v>34.96</v>
      </c>
      <c r="AR271" s="38">
        <v>34.51</v>
      </c>
      <c r="AS271" s="38">
        <v>34.56</v>
      </c>
      <c r="AT271" s="38">
        <v>34.65</v>
      </c>
      <c r="AU271" s="38">
        <v>36.17</v>
      </c>
      <c r="AV271" s="38">
        <v>41.42</v>
      </c>
      <c r="AW271" s="38">
        <v>44.51</v>
      </c>
      <c r="AX271" s="38">
        <v>45.72</v>
      </c>
      <c r="AY271" s="38">
        <v>46.4</v>
      </c>
      <c r="BA271" s="37">
        <v>53.16</v>
      </c>
      <c r="BB271" s="38">
        <v>1.3593</v>
      </c>
    </row>
    <row r="272" spans="1:54" x14ac:dyDescent="0.35">
      <c r="A272" s="2">
        <f t="shared" si="4"/>
        <v>44202</v>
      </c>
      <c r="B272" t="s">
        <v>314</v>
      </c>
      <c r="C272" s="32">
        <v>44202</v>
      </c>
      <c r="D272" s="38">
        <v>52.95</v>
      </c>
      <c r="E272" s="38">
        <v>49.26</v>
      </c>
      <c r="F272" s="38">
        <v>44.95</v>
      </c>
      <c r="G272" s="38">
        <v>41.32</v>
      </c>
      <c r="H272" s="38">
        <v>39.75</v>
      </c>
      <c r="I272" s="38">
        <v>39.08</v>
      </c>
      <c r="J272" s="38">
        <v>39.83</v>
      </c>
      <c r="K272" s="38">
        <v>40.590000000000003</v>
      </c>
      <c r="L272" s="38">
        <v>43.69</v>
      </c>
      <c r="M272" s="38">
        <v>47.77</v>
      </c>
      <c r="N272" s="38">
        <v>50.22</v>
      </c>
      <c r="O272" s="38">
        <v>52.24</v>
      </c>
      <c r="P272" s="38">
        <v>52.1</v>
      </c>
      <c r="Q272" s="38">
        <v>47.5</v>
      </c>
      <c r="R272" s="38">
        <v>42.3</v>
      </c>
      <c r="S272" s="38">
        <v>39.07</v>
      </c>
      <c r="T272" s="38">
        <v>36.89</v>
      </c>
      <c r="U272" s="38">
        <v>36.29</v>
      </c>
      <c r="V272" s="38">
        <v>36.25</v>
      </c>
      <c r="W272" s="38">
        <v>36.840000000000003</v>
      </c>
      <c r="X272" s="38">
        <v>41.17</v>
      </c>
      <c r="Y272" s="38">
        <v>44.45</v>
      </c>
      <c r="Z272" s="38">
        <v>47.06</v>
      </c>
      <c r="AA272" s="38">
        <v>48.32</v>
      </c>
      <c r="AB272" s="38">
        <v>48.16</v>
      </c>
      <c r="AC272" s="38">
        <v>45.2</v>
      </c>
      <c r="AD272" s="38">
        <v>39.229999999999997</v>
      </c>
      <c r="AE272" s="38">
        <v>35.700000000000003</v>
      </c>
      <c r="AF272" s="38">
        <v>33.619999999999997</v>
      </c>
      <c r="AG272" s="38">
        <v>33.28</v>
      </c>
      <c r="AH272" s="38">
        <v>34.1</v>
      </c>
      <c r="AI272" s="38">
        <v>36.65</v>
      </c>
      <c r="AJ272" s="38">
        <v>41.92</v>
      </c>
      <c r="AK272" s="38">
        <v>44.5</v>
      </c>
      <c r="AL272" s="38">
        <v>45.67</v>
      </c>
      <c r="AM272" s="38">
        <v>45.7</v>
      </c>
      <c r="AN272" s="38">
        <v>43.2</v>
      </c>
      <c r="AO272" s="38">
        <v>40.520000000000003</v>
      </c>
      <c r="AP272" s="38">
        <v>36.11</v>
      </c>
      <c r="AQ272" s="38">
        <v>34.93</v>
      </c>
      <c r="AR272" s="38">
        <v>34.479999999999997</v>
      </c>
      <c r="AS272" s="38">
        <v>34.53</v>
      </c>
      <c r="AT272" s="38">
        <v>34.619999999999997</v>
      </c>
      <c r="AU272" s="38">
        <v>36.14</v>
      </c>
      <c r="AV272" s="38">
        <v>41.39</v>
      </c>
      <c r="AW272" s="38">
        <v>44.48</v>
      </c>
      <c r="AX272" s="38">
        <v>45.69</v>
      </c>
      <c r="AY272" s="38">
        <v>46.37</v>
      </c>
      <c r="BA272" s="37">
        <v>53.8</v>
      </c>
      <c r="BB272" s="38">
        <v>1.355</v>
      </c>
    </row>
    <row r="273" spans="1:54" x14ac:dyDescent="0.35">
      <c r="A273" s="2">
        <f t="shared" si="4"/>
        <v>44203</v>
      </c>
      <c r="B273" t="s">
        <v>315</v>
      </c>
      <c r="C273" s="32">
        <v>44203</v>
      </c>
      <c r="D273" s="38">
        <v>58.08</v>
      </c>
      <c r="E273" s="38">
        <v>53.38</v>
      </c>
      <c r="F273" s="38">
        <v>47.93</v>
      </c>
      <c r="G273" s="38">
        <v>43.48</v>
      </c>
      <c r="H273" s="38">
        <v>41.98</v>
      </c>
      <c r="I273" s="38">
        <v>41.26</v>
      </c>
      <c r="J273" s="38">
        <v>41.96</v>
      </c>
      <c r="K273" s="38">
        <v>42.67</v>
      </c>
      <c r="L273" s="38">
        <v>45.91</v>
      </c>
      <c r="M273" s="38">
        <v>50.06</v>
      </c>
      <c r="N273" s="38">
        <v>52.58</v>
      </c>
      <c r="O273" s="38">
        <v>54.55</v>
      </c>
      <c r="P273" s="38">
        <v>54.36</v>
      </c>
      <c r="Q273" s="38">
        <v>49.73</v>
      </c>
      <c r="R273" s="38">
        <v>43.99</v>
      </c>
      <c r="S273" s="38">
        <v>40.32</v>
      </c>
      <c r="T273" s="38">
        <v>37.74</v>
      </c>
      <c r="U273" s="38">
        <v>36.840000000000003</v>
      </c>
      <c r="V273" s="38">
        <v>36.6</v>
      </c>
      <c r="W273" s="38">
        <v>37.119999999999997</v>
      </c>
      <c r="X273" s="38">
        <v>41.67</v>
      </c>
      <c r="Y273" s="38">
        <v>45.03</v>
      </c>
      <c r="Z273" s="38">
        <v>47.68</v>
      </c>
      <c r="AA273" s="38">
        <v>48.97</v>
      </c>
      <c r="AB273" s="38">
        <v>48.84</v>
      </c>
      <c r="AC273" s="38">
        <v>45.91</v>
      </c>
      <c r="AD273" s="38">
        <v>39.979999999999997</v>
      </c>
      <c r="AE273" s="38">
        <v>36.47</v>
      </c>
      <c r="AF273" s="38">
        <v>34.42</v>
      </c>
      <c r="AG273" s="38">
        <v>34.1</v>
      </c>
      <c r="AH273" s="38">
        <v>34.94</v>
      </c>
      <c r="AI273" s="38">
        <v>37.5</v>
      </c>
      <c r="AJ273" s="38">
        <v>42.78</v>
      </c>
      <c r="AK273" s="38">
        <v>45.37</v>
      </c>
      <c r="AL273" s="38">
        <v>46.54</v>
      </c>
      <c r="AM273" s="38">
        <v>46.57</v>
      </c>
      <c r="AN273" s="38">
        <v>44.07</v>
      </c>
      <c r="AO273" s="38">
        <v>41.39</v>
      </c>
      <c r="AP273" s="38">
        <v>36.94</v>
      </c>
      <c r="AQ273" s="38">
        <v>35.729999999999997</v>
      </c>
      <c r="AR273" s="38">
        <v>35.26</v>
      </c>
      <c r="AS273" s="38">
        <v>35.299999999999997</v>
      </c>
      <c r="AT273" s="38">
        <v>35.39</v>
      </c>
      <c r="AU273" s="38">
        <v>36.909999999999997</v>
      </c>
      <c r="AV273" s="38">
        <v>42.07</v>
      </c>
      <c r="AW273" s="38">
        <v>45.06</v>
      </c>
      <c r="AX273" s="38">
        <v>46.2</v>
      </c>
      <c r="AY273" s="38">
        <v>46.82</v>
      </c>
      <c r="BA273" s="37">
        <v>53.7</v>
      </c>
      <c r="BB273" s="38">
        <v>1.3544</v>
      </c>
    </row>
    <row r="274" spans="1:54" x14ac:dyDescent="0.35">
      <c r="A274" s="2">
        <f t="shared" si="4"/>
        <v>44204</v>
      </c>
      <c r="B274" t="s">
        <v>316</v>
      </c>
      <c r="C274" s="32">
        <v>44204</v>
      </c>
      <c r="D274" s="38">
        <v>60.69</v>
      </c>
      <c r="E274" s="38">
        <v>55.26</v>
      </c>
      <c r="F274" s="38">
        <v>48.39</v>
      </c>
      <c r="G274" s="38">
        <v>43.5</v>
      </c>
      <c r="H274" s="38">
        <v>41.95</v>
      </c>
      <c r="I274" s="38">
        <v>41.35</v>
      </c>
      <c r="J274" s="38">
        <v>42.17</v>
      </c>
      <c r="K274" s="38">
        <v>42.96</v>
      </c>
      <c r="L274" s="38">
        <v>46.08</v>
      </c>
      <c r="M274" s="38">
        <v>50.23</v>
      </c>
      <c r="N274" s="38">
        <v>52.76</v>
      </c>
      <c r="O274" s="38">
        <v>54.73</v>
      </c>
      <c r="P274" s="38">
        <v>54.54</v>
      </c>
      <c r="Q274" s="38">
        <v>49.9</v>
      </c>
      <c r="R274" s="38">
        <v>44.02</v>
      </c>
      <c r="S274" s="38">
        <v>40.200000000000003</v>
      </c>
      <c r="T274" s="38">
        <v>37.520000000000003</v>
      </c>
      <c r="U274" s="38">
        <v>37.07</v>
      </c>
      <c r="V274" s="38">
        <v>37.090000000000003</v>
      </c>
      <c r="W274" s="38">
        <v>37.729999999999997</v>
      </c>
      <c r="X274" s="38">
        <v>42.26</v>
      </c>
      <c r="Y274" s="38">
        <v>45.59</v>
      </c>
      <c r="Z274" s="38">
        <v>48.22</v>
      </c>
      <c r="AA274" s="38">
        <v>49.49</v>
      </c>
      <c r="AB274" s="38">
        <v>49.34</v>
      </c>
      <c r="AC274" s="38">
        <v>46.4</v>
      </c>
      <c r="AD274" s="38">
        <v>40.340000000000003</v>
      </c>
      <c r="AE274" s="38">
        <v>36.69</v>
      </c>
      <c r="AF274" s="38">
        <v>34.549999999999997</v>
      </c>
      <c r="AG274" s="38">
        <v>34.229999999999997</v>
      </c>
      <c r="AH274" s="38">
        <v>35.07</v>
      </c>
      <c r="AI274" s="38">
        <v>37.630000000000003</v>
      </c>
      <c r="AJ274" s="38">
        <v>42.95</v>
      </c>
      <c r="AK274" s="38">
        <v>45.56</v>
      </c>
      <c r="AL274" s="38">
        <v>46.73</v>
      </c>
      <c r="AM274" s="38">
        <v>46.72</v>
      </c>
      <c r="AN274" s="38">
        <v>44.22</v>
      </c>
      <c r="AO274" s="38">
        <v>41.54</v>
      </c>
      <c r="AP274" s="38">
        <v>37.090000000000003</v>
      </c>
      <c r="AQ274" s="38">
        <v>35.880000000000003</v>
      </c>
      <c r="AR274" s="38">
        <v>35.409999999999997</v>
      </c>
      <c r="AS274" s="38">
        <v>35.450000000000003</v>
      </c>
      <c r="AT274" s="38">
        <v>35.54</v>
      </c>
      <c r="AU274" s="38">
        <v>37.06</v>
      </c>
      <c r="AV274" s="38">
        <v>42.22</v>
      </c>
      <c r="AW274" s="38">
        <v>45.21</v>
      </c>
      <c r="AX274" s="38">
        <v>46.35</v>
      </c>
      <c r="AY274" s="38">
        <v>46.97</v>
      </c>
      <c r="BA274" s="37">
        <v>55.51</v>
      </c>
      <c r="BB274" s="38">
        <v>1.359</v>
      </c>
    </row>
    <row r="275" spans="1:54" x14ac:dyDescent="0.35">
      <c r="A275" s="2">
        <f t="shared" si="4"/>
        <v>44207</v>
      </c>
      <c r="B275" t="s">
        <v>317</v>
      </c>
      <c r="C275" s="32">
        <v>44207</v>
      </c>
      <c r="D275" s="38">
        <v>66.3</v>
      </c>
      <c r="E275" s="38">
        <v>59.32</v>
      </c>
      <c r="F275" s="38">
        <v>50.82</v>
      </c>
      <c r="G275" s="38">
        <v>44.72</v>
      </c>
      <c r="H275" s="38">
        <v>43.18</v>
      </c>
      <c r="I275" s="38">
        <v>42.58</v>
      </c>
      <c r="J275" s="38">
        <v>43.36</v>
      </c>
      <c r="K275" s="38">
        <v>44.26</v>
      </c>
      <c r="L275" s="38">
        <v>47.17</v>
      </c>
      <c r="M275" s="38">
        <v>51.51</v>
      </c>
      <c r="N275" s="38">
        <v>54.19</v>
      </c>
      <c r="O275" s="38">
        <v>56.18</v>
      </c>
      <c r="P275" s="38">
        <v>56.01</v>
      </c>
      <c r="Q275" s="38">
        <v>51.39</v>
      </c>
      <c r="R275" s="38">
        <v>45.12</v>
      </c>
      <c r="S275" s="38">
        <v>40.950000000000003</v>
      </c>
      <c r="T275" s="38">
        <v>37.92</v>
      </c>
      <c r="U275" s="38">
        <v>37.270000000000003</v>
      </c>
      <c r="V275" s="38">
        <v>37.15</v>
      </c>
      <c r="W275" s="38">
        <v>37.72</v>
      </c>
      <c r="X275" s="38">
        <v>42.33</v>
      </c>
      <c r="Y275" s="38">
        <v>45.74</v>
      </c>
      <c r="Z275" s="38">
        <v>48.44</v>
      </c>
      <c r="AA275" s="38">
        <v>49.75</v>
      </c>
      <c r="AB275" s="38">
        <v>49.63</v>
      </c>
      <c r="AC275" s="38">
        <v>46.71</v>
      </c>
      <c r="AD275" s="38">
        <v>40.51</v>
      </c>
      <c r="AE275" s="38">
        <v>36.75</v>
      </c>
      <c r="AF275" s="38">
        <v>34.54</v>
      </c>
      <c r="AG275" s="38">
        <v>34.200000000000003</v>
      </c>
      <c r="AH275" s="38">
        <v>35.03</v>
      </c>
      <c r="AI275" s="38">
        <v>37.64</v>
      </c>
      <c r="AJ275" s="38">
        <v>43.11</v>
      </c>
      <c r="AK275" s="38">
        <v>45.89</v>
      </c>
      <c r="AL275" s="38">
        <v>47.21</v>
      </c>
      <c r="AM275" s="38">
        <v>47.3</v>
      </c>
      <c r="AN275" s="38">
        <v>44.87</v>
      </c>
      <c r="AO275" s="38">
        <v>42.24</v>
      </c>
      <c r="AP275" s="38">
        <v>37.79</v>
      </c>
      <c r="AQ275" s="38">
        <v>36.58</v>
      </c>
      <c r="AR275" s="38">
        <v>36.11</v>
      </c>
      <c r="AS275" s="38">
        <v>36.15</v>
      </c>
      <c r="AT275" s="38">
        <v>36.24</v>
      </c>
      <c r="AU275" s="38">
        <v>37.76</v>
      </c>
      <c r="AV275" s="38">
        <v>42.92</v>
      </c>
      <c r="AW275" s="38">
        <v>45.91</v>
      </c>
      <c r="AX275" s="38">
        <v>47.05</v>
      </c>
      <c r="AY275" s="38">
        <v>47.67</v>
      </c>
      <c r="BA275" s="37">
        <v>54.84</v>
      </c>
      <c r="BB275" s="38">
        <v>1.3492</v>
      </c>
    </row>
    <row r="276" spans="1:54" x14ac:dyDescent="0.35">
      <c r="A276" s="2">
        <f t="shared" si="4"/>
        <v>44208</v>
      </c>
      <c r="B276" t="s">
        <v>318</v>
      </c>
      <c r="C276" s="32">
        <v>44208</v>
      </c>
      <c r="D276" s="38">
        <v>77.430000000000007</v>
      </c>
      <c r="E276" s="38">
        <v>68.06</v>
      </c>
      <c r="F276" s="38">
        <v>52.75</v>
      </c>
      <c r="G276" s="38">
        <v>46.37</v>
      </c>
      <c r="H276" s="38">
        <v>44.75</v>
      </c>
      <c r="I276" s="38">
        <v>43.55</v>
      </c>
      <c r="J276" s="38">
        <v>44.1</v>
      </c>
      <c r="K276" s="38">
        <v>44.34</v>
      </c>
      <c r="L276" s="38">
        <v>47.34</v>
      </c>
      <c r="M276" s="38">
        <v>52.93</v>
      </c>
      <c r="N276" s="38">
        <v>55.91</v>
      </c>
      <c r="O276" s="38">
        <v>57.72</v>
      </c>
      <c r="P276" s="38">
        <v>57.24</v>
      </c>
      <c r="Q276" s="38">
        <v>52.26</v>
      </c>
      <c r="R276" s="38">
        <v>45.45</v>
      </c>
      <c r="S276" s="38">
        <v>41.01</v>
      </c>
      <c r="T276" s="38">
        <v>38.1</v>
      </c>
      <c r="U276" s="38">
        <v>37.67</v>
      </c>
      <c r="V276" s="38">
        <v>37.74</v>
      </c>
      <c r="W276" s="38">
        <v>38.33</v>
      </c>
      <c r="X276" s="38">
        <v>42.98</v>
      </c>
      <c r="Y276" s="38">
        <v>46.35</v>
      </c>
      <c r="Z276" s="38">
        <v>49.02</v>
      </c>
      <c r="AA276" s="38">
        <v>50.27</v>
      </c>
      <c r="AB276" s="38">
        <v>50.09</v>
      </c>
      <c r="AC276" s="38">
        <v>47.1</v>
      </c>
      <c r="AD276" s="38">
        <v>40.840000000000003</v>
      </c>
      <c r="AE276" s="38">
        <v>37.01</v>
      </c>
      <c r="AF276" s="38">
        <v>34.729999999999997</v>
      </c>
      <c r="AG276" s="38">
        <v>34.32</v>
      </c>
      <c r="AH276" s="38">
        <v>35.08</v>
      </c>
      <c r="AI276" s="38">
        <v>37.630000000000003</v>
      </c>
      <c r="AJ276" s="38">
        <v>42.96</v>
      </c>
      <c r="AK276" s="38">
        <v>45.74</v>
      </c>
      <c r="AL276" s="38">
        <v>47.06</v>
      </c>
      <c r="AM276" s="38">
        <v>47.15</v>
      </c>
      <c r="AN276" s="38">
        <v>44.72</v>
      </c>
      <c r="AO276" s="38">
        <v>42.09</v>
      </c>
      <c r="AP276" s="38">
        <v>37.64</v>
      </c>
      <c r="AQ276" s="38">
        <v>36.43</v>
      </c>
      <c r="AR276" s="38">
        <v>35.96</v>
      </c>
      <c r="AS276" s="38">
        <v>36</v>
      </c>
      <c r="AT276" s="38">
        <v>36.090000000000003</v>
      </c>
      <c r="AU276" s="38">
        <v>37.61</v>
      </c>
      <c r="AV276" s="38">
        <v>42.77</v>
      </c>
      <c r="AW276" s="38">
        <v>45.76</v>
      </c>
      <c r="AX276" s="38">
        <v>46.9</v>
      </c>
      <c r="AY276" s="38">
        <v>47.52</v>
      </c>
      <c r="BA276" s="37">
        <v>55.98</v>
      </c>
      <c r="BB276" s="38">
        <v>1.3624000000000001</v>
      </c>
    </row>
    <row r="277" spans="1:54" x14ac:dyDescent="0.35">
      <c r="A277" s="2">
        <f t="shared" si="4"/>
        <v>44209</v>
      </c>
      <c r="B277" t="s">
        <v>319</v>
      </c>
      <c r="C277" s="32">
        <v>44209</v>
      </c>
      <c r="D277" s="38">
        <v>65.16</v>
      </c>
      <c r="E277" s="38">
        <v>57.01</v>
      </c>
      <c r="F277" s="38">
        <v>48.54</v>
      </c>
      <c r="G277" s="38">
        <v>43.23</v>
      </c>
      <c r="H277" s="38">
        <v>41.93</v>
      </c>
      <c r="I277" s="38">
        <v>41.08</v>
      </c>
      <c r="J277" s="38">
        <v>41.53</v>
      </c>
      <c r="K277" s="38">
        <v>42.92</v>
      </c>
      <c r="L277" s="38">
        <v>45</v>
      </c>
      <c r="M277" s="38">
        <v>50.45</v>
      </c>
      <c r="N277" s="38">
        <v>53.26</v>
      </c>
      <c r="O277" s="38">
        <v>54.81</v>
      </c>
      <c r="P277" s="38">
        <v>54.42</v>
      </c>
      <c r="Q277" s="38">
        <v>49.52</v>
      </c>
      <c r="R277" s="38">
        <v>43.05</v>
      </c>
      <c r="S277" s="38">
        <v>38.85</v>
      </c>
      <c r="T277" s="38">
        <v>36.18</v>
      </c>
      <c r="U277" s="38">
        <v>35.950000000000003</v>
      </c>
      <c r="V277" s="38">
        <v>36.130000000000003</v>
      </c>
      <c r="W277" s="38">
        <v>37.01</v>
      </c>
      <c r="X277" s="38">
        <v>41.65</v>
      </c>
      <c r="Y277" s="38">
        <v>45.02</v>
      </c>
      <c r="Z277" s="38">
        <v>47.69</v>
      </c>
      <c r="AA277" s="38">
        <v>48.94</v>
      </c>
      <c r="AB277" s="38">
        <v>48.85</v>
      </c>
      <c r="AC277" s="38">
        <v>46.01</v>
      </c>
      <c r="AD277" s="38">
        <v>40.03</v>
      </c>
      <c r="AE277" s="38">
        <v>36.229999999999997</v>
      </c>
      <c r="AF277" s="38">
        <v>34.01</v>
      </c>
      <c r="AG277" s="38">
        <v>33.659999999999997</v>
      </c>
      <c r="AH277" s="38">
        <v>34.479999999999997</v>
      </c>
      <c r="AI277" s="38">
        <v>37.090000000000003</v>
      </c>
      <c r="AJ277" s="38">
        <v>42.59</v>
      </c>
      <c r="AK277" s="38">
        <v>45.46</v>
      </c>
      <c r="AL277" s="38">
        <v>46.85</v>
      </c>
      <c r="AM277" s="38">
        <v>46.99</v>
      </c>
      <c r="AN277" s="38">
        <v>44.56</v>
      </c>
      <c r="AO277" s="38">
        <v>41.76</v>
      </c>
      <c r="AP277" s="38">
        <v>36.96</v>
      </c>
      <c r="AQ277" s="38">
        <v>35.75</v>
      </c>
      <c r="AR277" s="38">
        <v>35.28</v>
      </c>
      <c r="AS277" s="38">
        <v>35.32</v>
      </c>
      <c r="AT277" s="38">
        <v>35.409999999999997</v>
      </c>
      <c r="AU277" s="38">
        <v>37.01</v>
      </c>
      <c r="AV277" s="38">
        <v>42.26</v>
      </c>
      <c r="AW277" s="38">
        <v>45.25</v>
      </c>
      <c r="AX277" s="38">
        <v>46.39</v>
      </c>
      <c r="AY277" s="38">
        <v>47.01</v>
      </c>
      <c r="BA277" s="37">
        <v>55.52</v>
      </c>
      <c r="BB277" s="38">
        <v>1.3633999999999999</v>
      </c>
    </row>
    <row r="278" spans="1:54" x14ac:dyDescent="0.35">
      <c r="A278" s="2">
        <f t="shared" si="4"/>
        <v>44210</v>
      </c>
      <c r="B278" t="s">
        <v>320</v>
      </c>
      <c r="C278" s="32">
        <v>44210</v>
      </c>
      <c r="D278" s="38">
        <v>63.15</v>
      </c>
      <c r="E278" s="38">
        <v>56.35</v>
      </c>
      <c r="F278" s="38">
        <v>47.5</v>
      </c>
      <c r="G278" s="38">
        <v>43</v>
      </c>
      <c r="H278" s="38">
        <v>41.5</v>
      </c>
      <c r="I278" s="38">
        <v>40.01</v>
      </c>
      <c r="J278" s="38">
        <v>41.29</v>
      </c>
      <c r="K278" s="38">
        <v>43.62</v>
      </c>
      <c r="L278" s="38">
        <v>45.27</v>
      </c>
      <c r="M278" s="38">
        <v>50.39</v>
      </c>
      <c r="N278" s="38">
        <v>52.17</v>
      </c>
      <c r="O278" s="38">
        <v>53.94</v>
      </c>
      <c r="P278" s="38">
        <v>53.76</v>
      </c>
      <c r="Q278" s="38">
        <v>49.83</v>
      </c>
      <c r="R278" s="38">
        <v>43.73</v>
      </c>
      <c r="S278" s="38">
        <v>39.64</v>
      </c>
      <c r="T278" s="38">
        <v>37.08</v>
      </c>
      <c r="U278" s="38">
        <v>36.950000000000003</v>
      </c>
      <c r="V278" s="38">
        <v>37.17</v>
      </c>
      <c r="W278" s="38">
        <v>38</v>
      </c>
      <c r="X278" s="38">
        <v>42.58</v>
      </c>
      <c r="Y278" s="38">
        <v>45.87</v>
      </c>
      <c r="Z278" s="38">
        <v>48.46</v>
      </c>
      <c r="AA278" s="38">
        <v>49.62</v>
      </c>
      <c r="AB278" s="38">
        <v>49.47</v>
      </c>
      <c r="AC278" s="38">
        <v>46.63</v>
      </c>
      <c r="AD278" s="38">
        <v>40.65</v>
      </c>
      <c r="AE278" s="38">
        <v>36.75</v>
      </c>
      <c r="AF278" s="38">
        <v>34.46</v>
      </c>
      <c r="AG278" s="38">
        <v>34.07</v>
      </c>
      <c r="AH278" s="38">
        <v>34.89</v>
      </c>
      <c r="AI278" s="38">
        <v>37.4</v>
      </c>
      <c r="AJ278" s="38">
        <v>42.77</v>
      </c>
      <c r="AK278" s="38">
        <v>45.54</v>
      </c>
      <c r="AL278" s="38">
        <v>46.83</v>
      </c>
      <c r="AM278" s="38">
        <v>46.89</v>
      </c>
      <c r="AN278" s="38">
        <v>44.46</v>
      </c>
      <c r="AO278" s="38">
        <v>41.66</v>
      </c>
      <c r="AP278" s="38">
        <v>36.86</v>
      </c>
      <c r="AQ278" s="38">
        <v>35.65</v>
      </c>
      <c r="AR278" s="38">
        <v>35.18</v>
      </c>
      <c r="AS278" s="38">
        <v>35.22</v>
      </c>
      <c r="AT278" s="38">
        <v>35.31</v>
      </c>
      <c r="AU278" s="38">
        <v>36.909999999999997</v>
      </c>
      <c r="AV278" s="38">
        <v>42.16</v>
      </c>
      <c r="AW278" s="38">
        <v>45.15</v>
      </c>
      <c r="AX278" s="38">
        <v>46.29</v>
      </c>
      <c r="AY278" s="38">
        <v>46.91</v>
      </c>
      <c r="BA278" s="37">
        <v>55.76</v>
      </c>
      <c r="BB278" s="38">
        <v>1.3691</v>
      </c>
    </row>
    <row r="279" spans="1:54" x14ac:dyDescent="0.35">
      <c r="A279" s="2">
        <f t="shared" si="4"/>
        <v>44211</v>
      </c>
      <c r="B279" t="s">
        <v>321</v>
      </c>
      <c r="C279" s="32">
        <v>44211</v>
      </c>
      <c r="D279" s="38">
        <v>59.35</v>
      </c>
      <c r="E279" s="38">
        <v>53.45</v>
      </c>
      <c r="F279" s="38">
        <v>45.92</v>
      </c>
      <c r="G279" s="38">
        <v>41.58</v>
      </c>
      <c r="H279" s="38">
        <v>40.28</v>
      </c>
      <c r="I279" s="38">
        <v>38.96</v>
      </c>
      <c r="J279" s="38">
        <v>39.909999999999997</v>
      </c>
      <c r="K279" s="38">
        <v>42.21</v>
      </c>
      <c r="L279" s="38">
        <v>44.07</v>
      </c>
      <c r="M279" s="38">
        <v>49.27</v>
      </c>
      <c r="N279" s="38">
        <v>51.1</v>
      </c>
      <c r="O279" s="38">
        <v>52.75</v>
      </c>
      <c r="P279" s="38">
        <v>52.54</v>
      </c>
      <c r="Q279" s="38">
        <v>48.81</v>
      </c>
      <c r="R279" s="38">
        <v>42.91</v>
      </c>
      <c r="S279" s="38">
        <v>39.020000000000003</v>
      </c>
      <c r="T279" s="38">
        <v>36.619999999999997</v>
      </c>
      <c r="U279" s="38">
        <v>36.49</v>
      </c>
      <c r="V279" s="38">
        <v>36.71</v>
      </c>
      <c r="W279" s="38">
        <v>37.54</v>
      </c>
      <c r="X279" s="38">
        <v>42.01</v>
      </c>
      <c r="Y279" s="38">
        <v>45.2</v>
      </c>
      <c r="Z279" s="38">
        <v>47.73</v>
      </c>
      <c r="AA279" s="38">
        <v>48.85</v>
      </c>
      <c r="AB279" s="38">
        <v>48.7</v>
      </c>
      <c r="AC279" s="38">
        <v>45.86</v>
      </c>
      <c r="AD279" s="38">
        <v>40.130000000000003</v>
      </c>
      <c r="AE279" s="38">
        <v>36.479999999999997</v>
      </c>
      <c r="AF279" s="38">
        <v>34.29</v>
      </c>
      <c r="AG279" s="38">
        <v>34</v>
      </c>
      <c r="AH279" s="38">
        <v>34.92</v>
      </c>
      <c r="AI279" s="38">
        <v>37.53</v>
      </c>
      <c r="AJ279" s="38">
        <v>42.75</v>
      </c>
      <c r="AK279" s="38">
        <v>45.34</v>
      </c>
      <c r="AL279" s="38">
        <v>46.53</v>
      </c>
      <c r="AM279" s="38">
        <v>46.59</v>
      </c>
      <c r="AN279" s="38">
        <v>44.16</v>
      </c>
      <c r="AO279" s="38">
        <v>41.36</v>
      </c>
      <c r="AP279" s="38">
        <v>36.56</v>
      </c>
      <c r="AQ279" s="38">
        <v>35.35</v>
      </c>
      <c r="AR279" s="38">
        <v>34.880000000000003</v>
      </c>
      <c r="AS279" s="38">
        <v>34.92</v>
      </c>
      <c r="AT279" s="38">
        <v>35.01</v>
      </c>
      <c r="AU279" s="38">
        <v>36.61</v>
      </c>
      <c r="AV279" s="38">
        <v>41.86</v>
      </c>
      <c r="AW279" s="38">
        <v>44.85</v>
      </c>
      <c r="AX279" s="38">
        <v>45.99</v>
      </c>
      <c r="AY279" s="38">
        <v>46.61</v>
      </c>
      <c r="BA279" s="37">
        <v>54.8</v>
      </c>
      <c r="BB279" s="38">
        <v>1.3585</v>
      </c>
    </row>
    <row r="280" spans="1:54" x14ac:dyDescent="0.35">
      <c r="A280" s="2">
        <f t="shared" si="4"/>
        <v>44214</v>
      </c>
      <c r="B280" t="s">
        <v>322</v>
      </c>
      <c r="C280" s="32">
        <v>44214</v>
      </c>
      <c r="D280" s="38">
        <v>54.86</v>
      </c>
      <c r="E280" s="38">
        <v>50.35</v>
      </c>
      <c r="F280" s="38">
        <v>44.48</v>
      </c>
      <c r="G280" s="38">
        <v>40.659999999999997</v>
      </c>
      <c r="H280" s="38">
        <v>39.92</v>
      </c>
      <c r="I280" s="38">
        <v>38.64</v>
      </c>
      <c r="J280" s="38">
        <v>39.31</v>
      </c>
      <c r="K280" s="38">
        <v>41.51</v>
      </c>
      <c r="L280" s="38">
        <v>43.48</v>
      </c>
      <c r="M280" s="38">
        <v>48.72</v>
      </c>
      <c r="N280" s="38">
        <v>50.57</v>
      </c>
      <c r="O280" s="38">
        <v>52.28</v>
      </c>
      <c r="P280" s="38">
        <v>52.07</v>
      </c>
      <c r="Q280" s="38">
        <v>48.36</v>
      </c>
      <c r="R280" s="38">
        <v>42.41</v>
      </c>
      <c r="S280" s="38">
        <v>38.54</v>
      </c>
      <c r="T280" s="38">
        <v>36.14</v>
      </c>
      <c r="U280" s="38">
        <v>36.01</v>
      </c>
      <c r="V280" s="38">
        <v>36.270000000000003</v>
      </c>
      <c r="W280" s="38">
        <v>37.19</v>
      </c>
      <c r="X280" s="38">
        <v>41.9</v>
      </c>
      <c r="Y280" s="38">
        <v>45.21</v>
      </c>
      <c r="Z280" s="38">
        <v>47.89</v>
      </c>
      <c r="AA280" s="38">
        <v>49.01</v>
      </c>
      <c r="AB280" s="38">
        <v>48.86</v>
      </c>
      <c r="AC280" s="38">
        <v>46.02</v>
      </c>
      <c r="AD280" s="38">
        <v>40.28</v>
      </c>
      <c r="AE280" s="38">
        <v>36.549999999999997</v>
      </c>
      <c r="AF280" s="38">
        <v>34.32</v>
      </c>
      <c r="AG280" s="38">
        <v>34.03</v>
      </c>
      <c r="AH280" s="38">
        <v>34.950000000000003</v>
      </c>
      <c r="AI280" s="38">
        <v>37.56</v>
      </c>
      <c r="AJ280" s="38">
        <v>42.87</v>
      </c>
      <c r="AK280" s="38">
        <v>45.55</v>
      </c>
      <c r="AL280" s="38">
        <v>46.74</v>
      </c>
      <c r="AM280" s="38">
        <v>46.8</v>
      </c>
      <c r="AN280" s="38">
        <v>44.37</v>
      </c>
      <c r="AO280" s="38">
        <v>41.57</v>
      </c>
      <c r="AP280" s="38">
        <v>36.770000000000003</v>
      </c>
      <c r="AQ280" s="38">
        <v>35.56</v>
      </c>
      <c r="AR280" s="38">
        <v>35.090000000000003</v>
      </c>
      <c r="AS280" s="38">
        <v>35.130000000000003</v>
      </c>
      <c r="AT280" s="38">
        <v>35.22</v>
      </c>
      <c r="AU280" s="38">
        <v>36.82</v>
      </c>
      <c r="AV280" s="38">
        <v>42.07</v>
      </c>
      <c r="AW280" s="38">
        <v>45.06</v>
      </c>
      <c r="AX280" s="38">
        <v>46.2</v>
      </c>
      <c r="AY280" s="38">
        <v>46.82</v>
      </c>
      <c r="BA280" s="37">
        <v>54.21</v>
      </c>
      <c r="BB280" s="38">
        <v>1.3574999999999999</v>
      </c>
    </row>
    <row r="281" spans="1:54" x14ac:dyDescent="0.35">
      <c r="A281" s="2">
        <f t="shared" si="4"/>
        <v>44215</v>
      </c>
      <c r="B281" t="s">
        <v>323</v>
      </c>
      <c r="C281" s="32">
        <v>44215</v>
      </c>
      <c r="D281" s="38">
        <v>57.77</v>
      </c>
      <c r="E281" s="38">
        <v>53.41</v>
      </c>
      <c r="F281" s="38">
        <v>46.84</v>
      </c>
      <c r="G281" s="38">
        <v>42.97</v>
      </c>
      <c r="H281" s="38">
        <v>41.88</v>
      </c>
      <c r="I281" s="38">
        <v>40.72</v>
      </c>
      <c r="J281" s="38">
        <v>41.33</v>
      </c>
      <c r="K281" s="38">
        <v>43.49</v>
      </c>
      <c r="L281" s="38">
        <v>45.62</v>
      </c>
      <c r="M281" s="38">
        <v>50.9</v>
      </c>
      <c r="N281" s="38">
        <v>52.82</v>
      </c>
      <c r="O281" s="38">
        <v>54.71</v>
      </c>
      <c r="P281" s="38">
        <v>54.14</v>
      </c>
      <c r="Q281" s="38">
        <v>50.16</v>
      </c>
      <c r="R281" s="38">
        <v>44.09</v>
      </c>
      <c r="S281" s="38">
        <v>39.96</v>
      </c>
      <c r="T281" s="38">
        <v>37.36</v>
      </c>
      <c r="U281" s="38">
        <v>37.270000000000003</v>
      </c>
      <c r="V281" s="38">
        <v>37.54</v>
      </c>
      <c r="W281" s="38">
        <v>38.58</v>
      </c>
      <c r="X281" s="38">
        <v>43.29</v>
      </c>
      <c r="Y281" s="38">
        <v>46.61</v>
      </c>
      <c r="Z281" s="38">
        <v>49.3</v>
      </c>
      <c r="AA281" s="38">
        <v>50.24</v>
      </c>
      <c r="AB281" s="38">
        <v>50.01</v>
      </c>
      <c r="AC281" s="38">
        <v>46.94</v>
      </c>
      <c r="AD281" s="38">
        <v>41.06</v>
      </c>
      <c r="AE281" s="38">
        <v>36.880000000000003</v>
      </c>
      <c r="AF281" s="38">
        <v>34.47</v>
      </c>
      <c r="AG281" s="38">
        <v>34.18</v>
      </c>
      <c r="AH281" s="38">
        <v>35.19</v>
      </c>
      <c r="AI281" s="38">
        <v>37.94</v>
      </c>
      <c r="AJ281" s="38">
        <v>43.35</v>
      </c>
      <c r="AK281" s="38">
        <v>46.04</v>
      </c>
      <c r="AL281" s="38">
        <v>47.23</v>
      </c>
      <c r="AM281" s="38">
        <v>47.29</v>
      </c>
      <c r="AN281" s="38">
        <v>44.95</v>
      </c>
      <c r="AO281" s="38">
        <v>42.35</v>
      </c>
      <c r="AP281" s="38">
        <v>37.549999999999997</v>
      </c>
      <c r="AQ281" s="38">
        <v>36.33</v>
      </c>
      <c r="AR281" s="38">
        <v>35.86</v>
      </c>
      <c r="AS281" s="38">
        <v>35.9</v>
      </c>
      <c r="AT281" s="38">
        <v>35.99</v>
      </c>
      <c r="AU281" s="38">
        <v>37.590000000000003</v>
      </c>
      <c r="AV281" s="38">
        <v>42.61</v>
      </c>
      <c r="AW281" s="38">
        <v>45.36</v>
      </c>
      <c r="AX281" s="38">
        <v>46.37</v>
      </c>
      <c r="AY281" s="38">
        <v>46.99</v>
      </c>
      <c r="BA281" s="37">
        <v>55.38</v>
      </c>
      <c r="BB281" s="38">
        <v>1.3617999999999999</v>
      </c>
    </row>
    <row r="282" spans="1:54" x14ac:dyDescent="0.35">
      <c r="A282" s="2">
        <f t="shared" si="4"/>
        <v>44216</v>
      </c>
      <c r="B282" t="s">
        <v>324</v>
      </c>
      <c r="C282" s="32">
        <v>44216</v>
      </c>
      <c r="D282" s="38">
        <v>57.44</v>
      </c>
      <c r="E282" s="38">
        <v>53.1</v>
      </c>
      <c r="F282" s="38">
        <v>46.76</v>
      </c>
      <c r="G282" s="38">
        <v>42.93</v>
      </c>
      <c r="H282" s="38">
        <v>41.76</v>
      </c>
      <c r="I282" s="38">
        <v>40.729999999999997</v>
      </c>
      <c r="J282" s="38">
        <v>41.31</v>
      </c>
      <c r="K282" s="38">
        <v>43.12</v>
      </c>
      <c r="L282" s="38">
        <v>45.18</v>
      </c>
      <c r="M282" s="38">
        <v>50.34</v>
      </c>
      <c r="N282" s="38">
        <v>52.23</v>
      </c>
      <c r="O282" s="38">
        <v>54.26</v>
      </c>
      <c r="P282" s="38">
        <v>53.92</v>
      </c>
      <c r="Q282" s="38">
        <v>50.01</v>
      </c>
      <c r="R282" s="38">
        <v>43.99</v>
      </c>
      <c r="S282" s="38">
        <v>40.04</v>
      </c>
      <c r="T282" s="38">
        <v>37.43</v>
      </c>
      <c r="U282" s="38">
        <v>37.28</v>
      </c>
      <c r="V282" s="38">
        <v>37.49</v>
      </c>
      <c r="W282" s="38">
        <v>38.46</v>
      </c>
      <c r="X282" s="38">
        <v>43.09</v>
      </c>
      <c r="Y282" s="38">
        <v>46.29</v>
      </c>
      <c r="Z282" s="38">
        <v>48.89</v>
      </c>
      <c r="AA282" s="38">
        <v>49.76</v>
      </c>
      <c r="AB282" s="38">
        <v>49.53</v>
      </c>
      <c r="AC282" s="38">
        <v>46.46</v>
      </c>
      <c r="AD282" s="38">
        <v>40.659999999999997</v>
      </c>
      <c r="AE282" s="38">
        <v>36.549999999999997</v>
      </c>
      <c r="AF282" s="38">
        <v>34.14</v>
      </c>
      <c r="AG282" s="38">
        <v>33.85</v>
      </c>
      <c r="AH282" s="38">
        <v>34.86</v>
      </c>
      <c r="AI282" s="38">
        <v>37.61</v>
      </c>
      <c r="AJ282" s="38">
        <v>42.87</v>
      </c>
      <c r="AK282" s="38">
        <v>45.56</v>
      </c>
      <c r="AL282" s="38">
        <v>46.75</v>
      </c>
      <c r="AM282" s="38">
        <v>46.81</v>
      </c>
      <c r="AN282" s="38">
        <v>44.47</v>
      </c>
      <c r="AO282" s="38">
        <v>41.87</v>
      </c>
      <c r="AP282" s="38">
        <v>37.159999999999997</v>
      </c>
      <c r="AQ282" s="38">
        <v>35.94</v>
      </c>
      <c r="AR282" s="38">
        <v>35.47</v>
      </c>
      <c r="AS282" s="38">
        <v>35.51</v>
      </c>
      <c r="AT282" s="38">
        <v>35.6</v>
      </c>
      <c r="AU282" s="38">
        <v>37.26</v>
      </c>
      <c r="AV282" s="38">
        <v>42.33</v>
      </c>
      <c r="AW282" s="38">
        <v>45.16</v>
      </c>
      <c r="AX282" s="38">
        <v>46.17</v>
      </c>
      <c r="AY282" s="38">
        <v>46.79</v>
      </c>
      <c r="BA282" s="37">
        <v>55.66</v>
      </c>
      <c r="BB282" s="38">
        <v>1.363</v>
      </c>
    </row>
    <row r="283" spans="1:54" x14ac:dyDescent="0.35">
      <c r="A283" s="2">
        <f t="shared" si="4"/>
        <v>44217</v>
      </c>
      <c r="B283" t="s">
        <v>325</v>
      </c>
      <c r="C283" s="32">
        <v>44217</v>
      </c>
      <c r="D283" s="38">
        <v>56.57</v>
      </c>
      <c r="E283" s="38">
        <v>52.94</v>
      </c>
      <c r="F283" s="38">
        <v>47.07</v>
      </c>
      <c r="G283" s="38">
        <v>43.2</v>
      </c>
      <c r="H283" s="38">
        <v>42.06</v>
      </c>
      <c r="I283" s="38">
        <v>41.04</v>
      </c>
      <c r="J283" s="38">
        <v>41.6</v>
      </c>
      <c r="K283" s="38">
        <v>43.19</v>
      </c>
      <c r="L283" s="38">
        <v>45.32</v>
      </c>
      <c r="M283" s="38">
        <v>50.5</v>
      </c>
      <c r="N283" s="38">
        <v>52.41</v>
      </c>
      <c r="O283" s="38">
        <v>54.44</v>
      </c>
      <c r="P283" s="38">
        <v>54.1</v>
      </c>
      <c r="Q283" s="38">
        <v>50.12</v>
      </c>
      <c r="R283" s="38">
        <v>44.04</v>
      </c>
      <c r="S283" s="38">
        <v>40</v>
      </c>
      <c r="T283" s="38">
        <v>37.39</v>
      </c>
      <c r="U283" s="38">
        <v>37.24</v>
      </c>
      <c r="V283" s="38">
        <v>37.450000000000003</v>
      </c>
      <c r="W283" s="38">
        <v>38.31</v>
      </c>
      <c r="X283" s="38">
        <v>43.1</v>
      </c>
      <c r="Y283" s="38">
        <v>46.35</v>
      </c>
      <c r="Z283" s="38">
        <v>48.98</v>
      </c>
      <c r="AA283" s="38">
        <v>49.85</v>
      </c>
      <c r="AB283" s="38">
        <v>49.62</v>
      </c>
      <c r="AC283" s="38">
        <v>46.55</v>
      </c>
      <c r="AD283" s="38">
        <v>40.69</v>
      </c>
      <c r="AE283" s="38">
        <v>36.47</v>
      </c>
      <c r="AF283" s="38">
        <v>34.020000000000003</v>
      </c>
      <c r="AG283" s="38">
        <v>33.729999999999997</v>
      </c>
      <c r="AH283" s="38">
        <v>34.74</v>
      </c>
      <c r="AI283" s="38">
        <v>37.49</v>
      </c>
      <c r="AJ283" s="38">
        <v>42.77</v>
      </c>
      <c r="AK283" s="38">
        <v>45.43</v>
      </c>
      <c r="AL283" s="38">
        <v>46.57</v>
      </c>
      <c r="AM283" s="38">
        <v>46.63</v>
      </c>
      <c r="AN283" s="38">
        <v>44.29</v>
      </c>
      <c r="AO283" s="38">
        <v>41.69</v>
      </c>
      <c r="AP283" s="38">
        <v>36.950000000000003</v>
      </c>
      <c r="AQ283" s="38">
        <v>35.61</v>
      </c>
      <c r="AR283" s="38">
        <v>35.049999999999997</v>
      </c>
      <c r="AS283" s="38">
        <v>35.090000000000003</v>
      </c>
      <c r="AT283" s="38">
        <v>35.18</v>
      </c>
      <c r="AU283" s="38">
        <v>36.840000000000003</v>
      </c>
      <c r="AV283" s="38">
        <v>41.91</v>
      </c>
      <c r="AW283" s="38">
        <v>44.74</v>
      </c>
      <c r="AX283" s="38">
        <v>45.75</v>
      </c>
      <c r="AY283" s="38">
        <v>46.37</v>
      </c>
      <c r="BA283" s="37">
        <v>55.68</v>
      </c>
      <c r="BB283" s="38">
        <v>1.3720000000000001</v>
      </c>
    </row>
    <row r="284" spans="1:54" x14ac:dyDescent="0.35">
      <c r="A284" s="2">
        <f t="shared" si="4"/>
        <v>44218</v>
      </c>
      <c r="B284" t="s">
        <v>326</v>
      </c>
      <c r="C284" s="32">
        <v>44218</v>
      </c>
      <c r="D284" s="38">
        <v>60.15</v>
      </c>
      <c r="E284" s="38">
        <v>56.81</v>
      </c>
      <c r="F284" s="38">
        <v>48.68</v>
      </c>
      <c r="G284" s="38">
        <v>44.38</v>
      </c>
      <c r="H284" s="38">
        <v>42.93</v>
      </c>
      <c r="I284" s="38">
        <v>41.88</v>
      </c>
      <c r="J284" s="38">
        <v>42.47</v>
      </c>
      <c r="K284" s="38">
        <v>44.06</v>
      </c>
      <c r="L284" s="38">
        <v>46.31</v>
      </c>
      <c r="M284" s="38">
        <v>51.45</v>
      </c>
      <c r="N284" s="38">
        <v>53.39</v>
      </c>
      <c r="O284" s="38">
        <v>55.41</v>
      </c>
      <c r="P284" s="38">
        <v>55.06</v>
      </c>
      <c r="Q284" s="38">
        <v>51.02</v>
      </c>
      <c r="R284" s="38">
        <v>44.68</v>
      </c>
      <c r="S284" s="38">
        <v>40.409999999999997</v>
      </c>
      <c r="T284" s="38">
        <v>37.75</v>
      </c>
      <c r="U284" s="38">
        <v>37.6</v>
      </c>
      <c r="V284" s="38">
        <v>37.75</v>
      </c>
      <c r="W284" s="38">
        <v>38.51</v>
      </c>
      <c r="X284" s="38">
        <v>43.36</v>
      </c>
      <c r="Y284" s="38">
        <v>46.63</v>
      </c>
      <c r="Z284" s="38">
        <v>49.26</v>
      </c>
      <c r="AA284" s="38">
        <v>50.13</v>
      </c>
      <c r="AB284" s="38">
        <v>49.9</v>
      </c>
      <c r="AC284" s="38">
        <v>46.83</v>
      </c>
      <c r="AD284" s="38">
        <v>40.9</v>
      </c>
      <c r="AE284" s="38">
        <v>36.61</v>
      </c>
      <c r="AF284" s="38">
        <v>34.159999999999997</v>
      </c>
      <c r="AG284" s="38">
        <v>33.869999999999997</v>
      </c>
      <c r="AH284" s="38">
        <v>34.880000000000003</v>
      </c>
      <c r="AI284" s="38">
        <v>37.6</v>
      </c>
      <c r="AJ284" s="38">
        <v>42.85</v>
      </c>
      <c r="AK284" s="38">
        <v>45.49</v>
      </c>
      <c r="AL284" s="38">
        <v>46.61</v>
      </c>
      <c r="AM284" s="38">
        <v>46.67</v>
      </c>
      <c r="AN284" s="38">
        <v>44.33</v>
      </c>
      <c r="AO284" s="38">
        <v>41.73</v>
      </c>
      <c r="AP284" s="38">
        <v>37.06</v>
      </c>
      <c r="AQ284" s="38">
        <v>35.770000000000003</v>
      </c>
      <c r="AR284" s="38">
        <v>35.21</v>
      </c>
      <c r="AS284" s="38">
        <v>35.25</v>
      </c>
      <c r="AT284" s="38">
        <v>35.39</v>
      </c>
      <c r="AU284" s="38">
        <v>37.1</v>
      </c>
      <c r="AV284" s="38">
        <v>42.17</v>
      </c>
      <c r="AW284" s="38">
        <v>45.06</v>
      </c>
      <c r="AX284" s="38">
        <v>46.07</v>
      </c>
      <c r="AY284" s="38">
        <v>46.69</v>
      </c>
      <c r="BA284" s="37">
        <v>55.22</v>
      </c>
      <c r="BB284" s="38">
        <v>1.367</v>
      </c>
    </row>
    <row r="285" spans="1:54" x14ac:dyDescent="0.35">
      <c r="A285" s="2">
        <f t="shared" si="4"/>
        <v>44221</v>
      </c>
      <c r="B285" t="s">
        <v>327</v>
      </c>
      <c r="C285" s="32">
        <v>44221</v>
      </c>
      <c r="D285" s="38">
        <v>56.55</v>
      </c>
      <c r="E285" s="38">
        <v>53.36</v>
      </c>
      <c r="F285" s="38">
        <v>46.72</v>
      </c>
      <c r="G285" s="38">
        <v>42.91</v>
      </c>
      <c r="H285" s="38">
        <v>41.7</v>
      </c>
      <c r="I285" s="38">
        <v>40.71</v>
      </c>
      <c r="J285" s="38">
        <v>41.3</v>
      </c>
      <c r="K285" s="38">
        <v>42.84</v>
      </c>
      <c r="L285" s="38">
        <v>44.97</v>
      </c>
      <c r="M285" s="38">
        <v>49.98</v>
      </c>
      <c r="N285" s="38">
        <v>51.94</v>
      </c>
      <c r="O285" s="38">
        <v>54.06</v>
      </c>
      <c r="P285" s="38">
        <v>53.86</v>
      </c>
      <c r="Q285" s="38">
        <v>49.97</v>
      </c>
      <c r="R285" s="38">
        <v>43.82</v>
      </c>
      <c r="S285" s="38">
        <v>39.72</v>
      </c>
      <c r="T285" s="38">
        <v>37.159999999999997</v>
      </c>
      <c r="U285" s="38">
        <v>37.01</v>
      </c>
      <c r="V285" s="38">
        <v>37.159999999999997</v>
      </c>
      <c r="W285" s="38">
        <v>38.020000000000003</v>
      </c>
      <c r="X285" s="38">
        <v>42.87</v>
      </c>
      <c r="Y285" s="38">
        <v>46.14</v>
      </c>
      <c r="Z285" s="38">
        <v>48.86</v>
      </c>
      <c r="AA285" s="38">
        <v>49.99</v>
      </c>
      <c r="AB285" s="38">
        <v>49.87</v>
      </c>
      <c r="AC285" s="38">
        <v>46.8</v>
      </c>
      <c r="AD285" s="38">
        <v>40.61</v>
      </c>
      <c r="AE285" s="38">
        <v>36.090000000000003</v>
      </c>
      <c r="AF285" s="38">
        <v>33.409999999999997</v>
      </c>
      <c r="AG285" s="38">
        <v>32.909999999999997</v>
      </c>
      <c r="AH285" s="38">
        <v>33.770000000000003</v>
      </c>
      <c r="AI285" s="38">
        <v>36.619999999999997</v>
      </c>
      <c r="AJ285" s="38">
        <v>42.17</v>
      </c>
      <c r="AK285" s="38">
        <v>45.05</v>
      </c>
      <c r="AL285" s="38">
        <v>46.38</v>
      </c>
      <c r="AM285" s="38">
        <v>46.63</v>
      </c>
      <c r="AN285" s="38">
        <v>44.46</v>
      </c>
      <c r="AO285" s="38">
        <v>41.94</v>
      </c>
      <c r="AP285" s="38">
        <v>37.270000000000003</v>
      </c>
      <c r="AQ285" s="38">
        <v>35.979999999999997</v>
      </c>
      <c r="AR285" s="38">
        <v>35.42</v>
      </c>
      <c r="AS285" s="38">
        <v>35.46</v>
      </c>
      <c r="AT285" s="38">
        <v>35.6</v>
      </c>
      <c r="AU285" s="38">
        <v>37.31</v>
      </c>
      <c r="AV285" s="38">
        <v>42.23</v>
      </c>
      <c r="AW285" s="38">
        <v>45.01</v>
      </c>
      <c r="AX285" s="38">
        <v>45.93</v>
      </c>
      <c r="AY285" s="38">
        <v>46.46</v>
      </c>
      <c r="BA285" s="37">
        <v>55.44</v>
      </c>
      <c r="BB285" s="38">
        <v>1.3671</v>
      </c>
    </row>
    <row r="286" spans="1:54" x14ac:dyDescent="0.35">
      <c r="A286" s="2">
        <f t="shared" si="4"/>
        <v>44222</v>
      </c>
      <c r="B286" t="s">
        <v>328</v>
      </c>
      <c r="C286" s="32">
        <v>44222</v>
      </c>
      <c r="D286" s="38">
        <v>54.1</v>
      </c>
      <c r="E286" s="38">
        <v>51.51</v>
      </c>
      <c r="F286" s="38">
        <v>46</v>
      </c>
      <c r="G286" s="38">
        <v>42.5</v>
      </c>
      <c r="H286" s="38">
        <v>41.4</v>
      </c>
      <c r="I286" s="38">
        <v>40.56</v>
      </c>
      <c r="J286" s="38">
        <v>41.26</v>
      </c>
      <c r="K286" s="38">
        <v>42.72</v>
      </c>
      <c r="L286" s="38">
        <v>44.73</v>
      </c>
      <c r="M286" s="38">
        <v>49.62</v>
      </c>
      <c r="N286" s="38">
        <v>51.66</v>
      </c>
      <c r="O286" s="38">
        <v>53.91</v>
      </c>
      <c r="P286" s="38">
        <v>53.74</v>
      </c>
      <c r="Q286" s="38">
        <v>49.86</v>
      </c>
      <c r="R286" s="38">
        <v>43.65</v>
      </c>
      <c r="S286" s="38">
        <v>39.479999999999997</v>
      </c>
      <c r="T286" s="38">
        <v>36.869999999999997</v>
      </c>
      <c r="U286" s="38">
        <v>36.67</v>
      </c>
      <c r="V286" s="38">
        <v>36.770000000000003</v>
      </c>
      <c r="W286" s="38">
        <v>37.58</v>
      </c>
      <c r="X286" s="38">
        <v>42.46</v>
      </c>
      <c r="Y286" s="38">
        <v>45.72</v>
      </c>
      <c r="Z286" s="38">
        <v>48.4</v>
      </c>
      <c r="AA286" s="38">
        <v>49.53</v>
      </c>
      <c r="AB286" s="38">
        <v>49.41</v>
      </c>
      <c r="AC286" s="38">
        <v>46.45</v>
      </c>
      <c r="AD286" s="38">
        <v>40.4</v>
      </c>
      <c r="AE286" s="38">
        <v>36.01</v>
      </c>
      <c r="AF286" s="38">
        <v>33.44</v>
      </c>
      <c r="AG286" s="38">
        <v>33.020000000000003</v>
      </c>
      <c r="AH286" s="38">
        <v>33.93</v>
      </c>
      <c r="AI286" s="38">
        <v>36.76</v>
      </c>
      <c r="AJ286" s="38">
        <v>42.2</v>
      </c>
      <c r="AK286" s="38">
        <v>44.99</v>
      </c>
      <c r="AL286" s="38">
        <v>46.27</v>
      </c>
      <c r="AM286" s="38">
        <v>46.47</v>
      </c>
      <c r="AN286" s="38">
        <v>44.25</v>
      </c>
      <c r="AO286" s="38">
        <v>41.69</v>
      </c>
      <c r="AP286" s="38">
        <v>36.979999999999997</v>
      </c>
      <c r="AQ286" s="38">
        <v>35.659999999999997</v>
      </c>
      <c r="AR286" s="38">
        <v>35.08</v>
      </c>
      <c r="AS286" s="38">
        <v>35.1</v>
      </c>
      <c r="AT286" s="38">
        <v>35.21</v>
      </c>
      <c r="AU286" s="38">
        <v>36.909999999999997</v>
      </c>
      <c r="AV286" s="38">
        <v>41.83</v>
      </c>
      <c r="AW286" s="38">
        <v>44.61</v>
      </c>
      <c r="AX286" s="38">
        <v>45.53</v>
      </c>
      <c r="AY286" s="38">
        <v>46.06</v>
      </c>
      <c r="BA286" s="37">
        <v>55.26</v>
      </c>
      <c r="BB286" s="38">
        <v>1.3742000000000001</v>
      </c>
    </row>
    <row r="287" spans="1:54" x14ac:dyDescent="0.35">
      <c r="A287" s="2">
        <f t="shared" si="4"/>
        <v>44223</v>
      </c>
      <c r="B287" t="s">
        <v>329</v>
      </c>
      <c r="C287" s="32">
        <v>44223</v>
      </c>
      <c r="D287" s="38">
        <v>54.09</v>
      </c>
      <c r="E287" s="38">
        <v>51.93</v>
      </c>
      <c r="F287" s="38">
        <v>46.25</v>
      </c>
      <c r="G287" s="38">
        <v>42.62</v>
      </c>
      <c r="H287" s="38">
        <v>41.43</v>
      </c>
      <c r="I287" s="38">
        <v>40.880000000000003</v>
      </c>
      <c r="J287" s="38">
        <v>41.62</v>
      </c>
      <c r="K287" s="38">
        <v>42.99</v>
      </c>
      <c r="L287" s="38">
        <v>45.03</v>
      </c>
      <c r="M287" s="38">
        <v>49.81</v>
      </c>
      <c r="N287" s="38">
        <v>51.74</v>
      </c>
      <c r="O287" s="38">
        <v>54.16</v>
      </c>
      <c r="P287" s="38">
        <v>54.09</v>
      </c>
      <c r="Q287" s="38">
        <v>50.23</v>
      </c>
      <c r="R287" s="38">
        <v>43.83</v>
      </c>
      <c r="S287" s="38">
        <v>39.5</v>
      </c>
      <c r="T287" s="38">
        <v>36.76</v>
      </c>
      <c r="U287" s="38">
        <v>36.69</v>
      </c>
      <c r="V287" s="38">
        <v>36.92</v>
      </c>
      <c r="W287" s="38">
        <v>37.86</v>
      </c>
      <c r="X287" s="38">
        <v>42.69</v>
      </c>
      <c r="Y287" s="38">
        <v>45.89</v>
      </c>
      <c r="Z287" s="38">
        <v>48.49</v>
      </c>
      <c r="AA287" s="38">
        <v>49.54</v>
      </c>
      <c r="AB287" s="38">
        <v>49.35</v>
      </c>
      <c r="AC287" s="38">
        <v>46.32</v>
      </c>
      <c r="AD287" s="38">
        <v>40.4</v>
      </c>
      <c r="AE287" s="38">
        <v>36.14</v>
      </c>
      <c r="AF287" s="38">
        <v>33.67</v>
      </c>
      <c r="AG287" s="38">
        <v>33.35</v>
      </c>
      <c r="AH287" s="38">
        <v>34.36</v>
      </c>
      <c r="AI287" s="38">
        <v>37.229999999999997</v>
      </c>
      <c r="AJ287" s="38">
        <v>42.53</v>
      </c>
      <c r="AK287" s="38">
        <v>45.19</v>
      </c>
      <c r="AL287" s="38">
        <v>46.37</v>
      </c>
      <c r="AM287" s="38">
        <v>46.51</v>
      </c>
      <c r="AN287" s="38">
        <v>44.26</v>
      </c>
      <c r="AO287" s="38">
        <v>41.67</v>
      </c>
      <c r="AP287" s="38">
        <v>37</v>
      </c>
      <c r="AQ287" s="38">
        <v>35.72</v>
      </c>
      <c r="AR287" s="38">
        <v>35.18</v>
      </c>
      <c r="AS287" s="38">
        <v>35.24</v>
      </c>
      <c r="AT287" s="38">
        <v>35.369999999999997</v>
      </c>
      <c r="AU287" s="38">
        <v>37.08</v>
      </c>
      <c r="AV287" s="38">
        <v>42</v>
      </c>
      <c r="AW287" s="38">
        <v>44.78</v>
      </c>
      <c r="AX287" s="38">
        <v>45.7</v>
      </c>
      <c r="AY287" s="38">
        <v>46.23</v>
      </c>
      <c r="BA287" s="37">
        <v>55.07</v>
      </c>
      <c r="BB287" s="38">
        <v>1.3704000000000001</v>
      </c>
    </row>
    <row r="288" spans="1:54" x14ac:dyDescent="0.35">
      <c r="A288" s="2">
        <f t="shared" si="4"/>
        <v>44224</v>
      </c>
      <c r="B288" t="s">
        <v>330</v>
      </c>
      <c r="C288" s="32">
        <v>44224</v>
      </c>
      <c r="D288" s="38">
        <v>58.24</v>
      </c>
      <c r="E288" s="38">
        <v>55.06</v>
      </c>
      <c r="F288" s="38">
        <v>47.65</v>
      </c>
      <c r="G288" s="38">
        <v>43.81</v>
      </c>
      <c r="H288" s="38">
        <v>42.68</v>
      </c>
      <c r="I288" s="38">
        <v>42</v>
      </c>
      <c r="J288" s="38">
        <v>42.71</v>
      </c>
      <c r="K288" s="38">
        <v>44.03</v>
      </c>
      <c r="L288" s="38">
        <v>46.1</v>
      </c>
      <c r="M288" s="38">
        <v>50.91</v>
      </c>
      <c r="N288" s="38">
        <v>52.87</v>
      </c>
      <c r="O288" s="38">
        <v>55.18</v>
      </c>
      <c r="P288" s="38">
        <v>55.05</v>
      </c>
      <c r="Q288" s="38">
        <v>51.07</v>
      </c>
      <c r="R288" s="38">
        <v>44.62</v>
      </c>
      <c r="S288" s="38">
        <v>40.26</v>
      </c>
      <c r="T288" s="38">
        <v>37.49</v>
      </c>
      <c r="U288" s="38">
        <v>37.39</v>
      </c>
      <c r="V288" s="38">
        <v>37.619999999999997</v>
      </c>
      <c r="W288" s="38">
        <v>38.479999999999997</v>
      </c>
      <c r="X288" s="38">
        <v>43.3</v>
      </c>
      <c r="Y288" s="38">
        <v>46.49</v>
      </c>
      <c r="Z288" s="38">
        <v>49.08</v>
      </c>
      <c r="AA288" s="38">
        <v>50.13</v>
      </c>
      <c r="AB288" s="38">
        <v>49.94</v>
      </c>
      <c r="AC288" s="38">
        <v>46.89</v>
      </c>
      <c r="AD288" s="38">
        <v>40.85</v>
      </c>
      <c r="AE288" s="38">
        <v>36.51</v>
      </c>
      <c r="AF288" s="38">
        <v>33.93</v>
      </c>
      <c r="AG288" s="38">
        <v>33.58</v>
      </c>
      <c r="AH288" s="38">
        <v>34.51</v>
      </c>
      <c r="AI288" s="38">
        <v>37.35</v>
      </c>
      <c r="AJ288" s="38">
        <v>42.66</v>
      </c>
      <c r="AK288" s="38">
        <v>45.32</v>
      </c>
      <c r="AL288" s="38">
        <v>46.5</v>
      </c>
      <c r="AM288" s="38">
        <v>46.64</v>
      </c>
      <c r="AN288" s="38">
        <v>44.39</v>
      </c>
      <c r="AO288" s="38">
        <v>41.81</v>
      </c>
      <c r="AP288" s="38">
        <v>37.11</v>
      </c>
      <c r="AQ288" s="38">
        <v>35.79</v>
      </c>
      <c r="AR288" s="38">
        <v>35.25</v>
      </c>
      <c r="AS288" s="38">
        <v>35.31</v>
      </c>
      <c r="AT288" s="38">
        <v>35.44</v>
      </c>
      <c r="AU288" s="38">
        <v>37.15</v>
      </c>
      <c r="AV288" s="38">
        <v>42.07</v>
      </c>
      <c r="AW288" s="38">
        <v>44.85</v>
      </c>
      <c r="AX288" s="38">
        <v>45.77</v>
      </c>
      <c r="AY288" s="38">
        <v>46.3</v>
      </c>
      <c r="BA288" s="37">
        <v>54.87</v>
      </c>
      <c r="BB288" s="38">
        <v>1.3718999999999999</v>
      </c>
    </row>
    <row r="289" spans="1:54" x14ac:dyDescent="0.35">
      <c r="A289" s="2">
        <f t="shared" si="4"/>
        <v>44225</v>
      </c>
      <c r="B289" t="s">
        <v>331</v>
      </c>
      <c r="C289" s="32">
        <v>44225</v>
      </c>
      <c r="D289" s="38">
        <v>53.15</v>
      </c>
      <c r="E289" s="38">
        <v>46.71</v>
      </c>
      <c r="F289" s="38">
        <v>42.67</v>
      </c>
      <c r="G289" s="38">
        <v>41.58</v>
      </c>
      <c r="H289" s="38">
        <v>41.01</v>
      </c>
      <c r="I289" s="38">
        <v>41.77</v>
      </c>
      <c r="J289" s="38">
        <v>43.13</v>
      </c>
      <c r="K289" s="38">
        <v>45.26</v>
      </c>
      <c r="L289" s="38">
        <v>50.12</v>
      </c>
      <c r="M289" s="38">
        <v>52.13</v>
      </c>
      <c r="N289" s="38">
        <v>54.49</v>
      </c>
      <c r="O289" s="38">
        <v>54.41</v>
      </c>
      <c r="P289" s="38">
        <v>50.48</v>
      </c>
      <c r="Q289" s="38">
        <v>44.06</v>
      </c>
      <c r="R289" s="38">
        <v>39.81</v>
      </c>
      <c r="S289" s="38">
        <v>37.130000000000003</v>
      </c>
      <c r="T289" s="38">
        <v>37.090000000000003</v>
      </c>
      <c r="U289" s="38">
        <v>37.270000000000003</v>
      </c>
      <c r="V289" s="38">
        <v>38.14</v>
      </c>
      <c r="W289" s="38">
        <v>42.95</v>
      </c>
      <c r="X289" s="38">
        <v>46.14</v>
      </c>
      <c r="Y289" s="38">
        <v>48.73</v>
      </c>
      <c r="Z289" s="38">
        <v>49.78</v>
      </c>
      <c r="AA289" s="38">
        <v>49.59</v>
      </c>
      <c r="AB289" s="38">
        <v>46.58</v>
      </c>
      <c r="AC289" s="38">
        <v>40.54</v>
      </c>
      <c r="AD289" s="38">
        <v>36.229999999999997</v>
      </c>
      <c r="AE289" s="38">
        <v>33.68</v>
      </c>
      <c r="AF289" s="38">
        <v>33.36</v>
      </c>
      <c r="AG289" s="38">
        <v>34.32</v>
      </c>
      <c r="AH289" s="38">
        <v>37.19</v>
      </c>
      <c r="AI289" s="38">
        <v>42.5</v>
      </c>
      <c r="AJ289" s="38">
        <v>45.16</v>
      </c>
      <c r="AK289" s="38">
        <v>46.34</v>
      </c>
      <c r="AL289" s="38">
        <v>46.45</v>
      </c>
      <c r="AM289" s="38">
        <v>44.17</v>
      </c>
      <c r="AN289" s="38">
        <v>41.56</v>
      </c>
      <c r="AO289" s="38">
        <v>36.86</v>
      </c>
      <c r="AP289" s="38">
        <v>35.54</v>
      </c>
      <c r="AQ289" s="38">
        <v>35</v>
      </c>
      <c r="AR289" s="38">
        <v>35.06</v>
      </c>
      <c r="AS289" s="38">
        <v>35.19</v>
      </c>
      <c r="AT289" s="38">
        <v>36.9</v>
      </c>
      <c r="AU289" s="38">
        <v>41.82</v>
      </c>
      <c r="AV289" s="38">
        <v>44.6</v>
      </c>
      <c r="AW289" s="38">
        <v>45.52</v>
      </c>
      <c r="AX289" s="38">
        <v>46.05</v>
      </c>
      <c r="AY289" s="38">
        <v>45.25</v>
      </c>
      <c r="BA289" s="37">
        <v>55.25</v>
      </c>
      <c r="BB289" s="38">
        <v>1.3728</v>
      </c>
    </row>
    <row r="290" spans="1:54" x14ac:dyDescent="0.35">
      <c r="A290" s="2">
        <f t="shared" si="4"/>
        <v>44228</v>
      </c>
      <c r="B290" t="s">
        <v>332</v>
      </c>
      <c r="C290" s="32">
        <v>44228</v>
      </c>
      <c r="D290" s="38">
        <v>48.24</v>
      </c>
      <c r="E290" s="38">
        <v>44.4</v>
      </c>
      <c r="F290" s="38">
        <v>41.4</v>
      </c>
      <c r="G290" s="38">
        <v>40.67</v>
      </c>
      <c r="H290" s="38">
        <v>39.979999999999997</v>
      </c>
      <c r="I290" s="38">
        <v>40.82</v>
      </c>
      <c r="J290" s="38">
        <v>42.09</v>
      </c>
      <c r="K290" s="38">
        <v>44.09</v>
      </c>
      <c r="L290" s="38">
        <v>48.69</v>
      </c>
      <c r="M290" s="38">
        <v>51.09</v>
      </c>
      <c r="N290" s="38">
        <v>53.4</v>
      </c>
      <c r="O290" s="38">
        <v>53.52</v>
      </c>
      <c r="P290" s="38">
        <v>49.7</v>
      </c>
      <c r="Q290" s="38">
        <v>43.73</v>
      </c>
      <c r="R290" s="38">
        <v>39.74</v>
      </c>
      <c r="S290" s="38">
        <v>37.159999999999997</v>
      </c>
      <c r="T290" s="38">
        <v>36.979999999999997</v>
      </c>
      <c r="U290" s="38">
        <v>36.869999999999997</v>
      </c>
      <c r="V290" s="38">
        <v>37.5</v>
      </c>
      <c r="W290" s="38">
        <v>42.08</v>
      </c>
      <c r="X290" s="38">
        <v>45.37</v>
      </c>
      <c r="Y290" s="38">
        <v>48.21</v>
      </c>
      <c r="Z290" s="38">
        <v>49.72</v>
      </c>
      <c r="AA290" s="38">
        <v>50.12</v>
      </c>
      <c r="AB290" s="38">
        <v>47.13</v>
      </c>
      <c r="AC290" s="38">
        <v>40.869999999999997</v>
      </c>
      <c r="AD290" s="38">
        <v>36.29</v>
      </c>
      <c r="AE290" s="38">
        <v>33.479999999999997</v>
      </c>
      <c r="AF290" s="38">
        <v>33.06</v>
      </c>
      <c r="AG290" s="38">
        <v>34.15</v>
      </c>
      <c r="AH290" s="38">
        <v>37.15</v>
      </c>
      <c r="AI290" s="38">
        <v>42.58</v>
      </c>
      <c r="AJ290" s="38">
        <v>45.4</v>
      </c>
      <c r="AK290" s="38">
        <v>46.62</v>
      </c>
      <c r="AL290" s="38">
        <v>46.73</v>
      </c>
      <c r="AM290" s="38">
        <v>44.45</v>
      </c>
      <c r="AN290" s="38">
        <v>41.84</v>
      </c>
      <c r="AO290" s="38">
        <v>37</v>
      </c>
      <c r="AP290" s="38">
        <v>35.5</v>
      </c>
      <c r="AQ290" s="38">
        <v>34.83</v>
      </c>
      <c r="AR290" s="38">
        <v>34.89</v>
      </c>
      <c r="AS290" s="38">
        <v>35.020000000000003</v>
      </c>
      <c r="AT290" s="38">
        <v>36.729999999999997</v>
      </c>
      <c r="AU290" s="38">
        <v>41.65</v>
      </c>
      <c r="AV290" s="38">
        <v>44.43</v>
      </c>
      <c r="AW290" s="38">
        <v>45.35</v>
      </c>
      <c r="AX290" s="38">
        <v>45.88</v>
      </c>
      <c r="AY290" s="38">
        <v>45.08</v>
      </c>
      <c r="BA290" s="37">
        <v>56.42</v>
      </c>
      <c r="BB290" s="38">
        <v>1.3663000000000001</v>
      </c>
    </row>
    <row r="291" spans="1:54" x14ac:dyDescent="0.35">
      <c r="A291" s="2">
        <f t="shared" si="4"/>
        <v>44229</v>
      </c>
      <c r="B291" t="s">
        <v>333</v>
      </c>
      <c r="C291" s="32">
        <v>44229</v>
      </c>
      <c r="D291" s="38">
        <v>48.64</v>
      </c>
      <c r="E291" s="38">
        <v>44.84</v>
      </c>
      <c r="F291" s="38">
        <v>41.81</v>
      </c>
      <c r="G291" s="38">
        <v>41.02</v>
      </c>
      <c r="H291" s="38">
        <v>40.31</v>
      </c>
      <c r="I291" s="38">
        <v>41.22</v>
      </c>
      <c r="J291" s="38">
        <v>42.4</v>
      </c>
      <c r="K291" s="38">
        <v>44.4</v>
      </c>
      <c r="L291" s="38">
        <v>48.89</v>
      </c>
      <c r="M291" s="38">
        <v>51.6</v>
      </c>
      <c r="N291" s="38">
        <v>53.69</v>
      </c>
      <c r="O291" s="38">
        <v>53.81</v>
      </c>
      <c r="P291" s="38">
        <v>49.99</v>
      </c>
      <c r="Q291" s="38">
        <v>43.96</v>
      </c>
      <c r="R291" s="38">
        <v>39.97</v>
      </c>
      <c r="S291" s="38">
        <v>37.35</v>
      </c>
      <c r="T291" s="38">
        <v>37.130000000000003</v>
      </c>
      <c r="U291" s="38">
        <v>36.979999999999997</v>
      </c>
      <c r="V291" s="38">
        <v>37.58</v>
      </c>
      <c r="W291" s="38">
        <v>42.18</v>
      </c>
      <c r="X291" s="38">
        <v>45.51</v>
      </c>
      <c r="Y291" s="38">
        <v>48.35</v>
      </c>
      <c r="Z291" s="38">
        <v>49.83</v>
      </c>
      <c r="AA291" s="38">
        <v>50.28</v>
      </c>
      <c r="AB291" s="38">
        <v>47.31</v>
      </c>
      <c r="AC291" s="38">
        <v>41.02</v>
      </c>
      <c r="AD291" s="38">
        <v>36.44</v>
      </c>
      <c r="AE291" s="38">
        <v>33.630000000000003</v>
      </c>
      <c r="AF291" s="38">
        <v>33.21</v>
      </c>
      <c r="AG291" s="38">
        <v>34.32</v>
      </c>
      <c r="AH291" s="38">
        <v>37.35</v>
      </c>
      <c r="AI291" s="38">
        <v>42.73</v>
      </c>
      <c r="AJ291" s="38">
        <v>45.63</v>
      </c>
      <c r="AK291" s="38">
        <v>46.9</v>
      </c>
      <c r="AL291" s="38">
        <v>47.03</v>
      </c>
      <c r="AM291" s="38">
        <v>44.75</v>
      </c>
      <c r="AN291" s="38">
        <v>42.08</v>
      </c>
      <c r="AO291" s="38">
        <v>37.090000000000003</v>
      </c>
      <c r="AP291" s="38">
        <v>35.44</v>
      </c>
      <c r="AQ291" s="38">
        <v>34.71</v>
      </c>
      <c r="AR291" s="38">
        <v>34.770000000000003</v>
      </c>
      <c r="AS291" s="38">
        <v>34.9</v>
      </c>
      <c r="AT291" s="38">
        <v>36.61</v>
      </c>
      <c r="AU291" s="38">
        <v>41.53</v>
      </c>
      <c r="AV291" s="38">
        <v>44.31</v>
      </c>
      <c r="AW291" s="38">
        <v>45.23</v>
      </c>
      <c r="AX291" s="38">
        <v>45.76</v>
      </c>
      <c r="AY291" s="38">
        <v>44.96</v>
      </c>
      <c r="BA291" s="37">
        <v>57.62</v>
      </c>
      <c r="BB291" s="38">
        <v>1.3629</v>
      </c>
    </row>
    <row r="292" spans="1:54" x14ac:dyDescent="0.35">
      <c r="A292" s="2">
        <f t="shared" si="4"/>
        <v>44230</v>
      </c>
      <c r="B292" t="s">
        <v>334</v>
      </c>
      <c r="C292" s="32">
        <v>44230</v>
      </c>
      <c r="D292" s="38">
        <v>47.23</v>
      </c>
      <c r="E292" s="38">
        <v>44.25</v>
      </c>
      <c r="F292" s="38">
        <v>41.61</v>
      </c>
      <c r="G292" s="38">
        <v>40.78</v>
      </c>
      <c r="H292" s="38">
        <v>40.1</v>
      </c>
      <c r="I292" s="38">
        <v>40.98</v>
      </c>
      <c r="J292" s="38">
        <v>42.43</v>
      </c>
      <c r="K292" s="38">
        <v>44.6</v>
      </c>
      <c r="L292" s="38">
        <v>49.06</v>
      </c>
      <c r="M292" s="38">
        <v>51.84</v>
      </c>
      <c r="N292" s="38">
        <v>53.95</v>
      </c>
      <c r="O292" s="38">
        <v>54.2</v>
      </c>
      <c r="P292" s="38">
        <v>50.39</v>
      </c>
      <c r="Q292" s="38">
        <v>44.43</v>
      </c>
      <c r="R292" s="38">
        <v>40.51</v>
      </c>
      <c r="S292" s="38">
        <v>37.96</v>
      </c>
      <c r="T292" s="38">
        <v>37.700000000000003</v>
      </c>
      <c r="U292" s="38">
        <v>37.51</v>
      </c>
      <c r="V292" s="38">
        <v>38.07</v>
      </c>
      <c r="W292" s="38">
        <v>42.74</v>
      </c>
      <c r="X292" s="38">
        <v>46.16</v>
      </c>
      <c r="Y292" s="38">
        <v>49.06</v>
      </c>
      <c r="Z292" s="38">
        <v>50.59</v>
      </c>
      <c r="AA292" s="38">
        <v>51.12</v>
      </c>
      <c r="AB292" s="38">
        <v>48.22</v>
      </c>
      <c r="AC292" s="38">
        <v>41.93</v>
      </c>
      <c r="AD292" s="38">
        <v>37.35</v>
      </c>
      <c r="AE292" s="38">
        <v>34.54</v>
      </c>
      <c r="AF292" s="38">
        <v>34.119999999999997</v>
      </c>
      <c r="AG292" s="38">
        <v>35.229999999999997</v>
      </c>
      <c r="AH292" s="38">
        <v>38.18</v>
      </c>
      <c r="AI292" s="38">
        <v>43.43</v>
      </c>
      <c r="AJ292" s="38">
        <v>46.22</v>
      </c>
      <c r="AK292" s="38">
        <v>47.36</v>
      </c>
      <c r="AL292" s="38">
        <v>47.49</v>
      </c>
      <c r="AM292" s="38">
        <v>45.21</v>
      </c>
      <c r="AN292" s="38">
        <v>42.54</v>
      </c>
      <c r="AO292" s="38">
        <v>37.619999999999997</v>
      </c>
      <c r="AP292" s="38">
        <v>35.979999999999997</v>
      </c>
      <c r="AQ292" s="38">
        <v>35.25</v>
      </c>
      <c r="AR292" s="38">
        <v>35.31</v>
      </c>
      <c r="AS292" s="38">
        <v>35.44</v>
      </c>
      <c r="AT292" s="38">
        <v>37.15</v>
      </c>
      <c r="AU292" s="38">
        <v>42.1</v>
      </c>
      <c r="AV292" s="38">
        <v>44.96</v>
      </c>
      <c r="AW292" s="38">
        <v>45.97</v>
      </c>
      <c r="AX292" s="38">
        <v>46.5</v>
      </c>
      <c r="AY292" s="38">
        <v>45.7</v>
      </c>
      <c r="BA292" s="37">
        <v>58.61</v>
      </c>
      <c r="BB292" s="38">
        <v>1.3644000000000001</v>
      </c>
    </row>
    <row r="293" spans="1:54" x14ac:dyDescent="0.35">
      <c r="A293" s="2">
        <f t="shared" si="4"/>
        <v>44231</v>
      </c>
      <c r="B293" t="s">
        <v>335</v>
      </c>
      <c r="C293" s="32">
        <v>44231</v>
      </c>
      <c r="D293" s="38">
        <v>47.64</v>
      </c>
      <c r="E293" s="38">
        <v>44.64</v>
      </c>
      <c r="F293" s="38">
        <v>42.07</v>
      </c>
      <c r="G293" s="38">
        <v>41.27</v>
      </c>
      <c r="H293" s="38">
        <v>40.590000000000003</v>
      </c>
      <c r="I293" s="38">
        <v>41.7</v>
      </c>
      <c r="J293" s="38">
        <v>42.89</v>
      </c>
      <c r="K293" s="38">
        <v>44.97</v>
      </c>
      <c r="L293" s="38">
        <v>49.55</v>
      </c>
      <c r="M293" s="38">
        <v>52.45</v>
      </c>
      <c r="N293" s="38">
        <v>54.53</v>
      </c>
      <c r="O293" s="38">
        <v>54.71</v>
      </c>
      <c r="P293" s="38">
        <v>50.81</v>
      </c>
      <c r="Q293" s="38">
        <v>44.74</v>
      </c>
      <c r="R293" s="38">
        <v>40.65</v>
      </c>
      <c r="S293" s="38">
        <v>37.92</v>
      </c>
      <c r="T293" s="38">
        <v>37.68</v>
      </c>
      <c r="U293" s="38">
        <v>37.49</v>
      </c>
      <c r="V293" s="38">
        <v>38.049999999999997</v>
      </c>
      <c r="W293" s="38">
        <v>42.68</v>
      </c>
      <c r="X293" s="38">
        <v>46.06</v>
      </c>
      <c r="Y293" s="38">
        <v>48.96</v>
      </c>
      <c r="Z293" s="38">
        <v>50.49</v>
      </c>
      <c r="AA293" s="38">
        <v>51.02</v>
      </c>
      <c r="AB293" s="38">
        <v>48.13</v>
      </c>
      <c r="AC293" s="38">
        <v>41.82</v>
      </c>
      <c r="AD293" s="38">
        <v>37.21</v>
      </c>
      <c r="AE293" s="38">
        <v>34.39</v>
      </c>
      <c r="AF293" s="38">
        <v>34</v>
      </c>
      <c r="AG293" s="38">
        <v>35.159999999999997</v>
      </c>
      <c r="AH293" s="38">
        <v>38.11</v>
      </c>
      <c r="AI293" s="38">
        <v>43.47</v>
      </c>
      <c r="AJ293" s="38">
        <v>46.27</v>
      </c>
      <c r="AK293" s="38">
        <v>47.41</v>
      </c>
      <c r="AL293" s="38">
        <v>47.54</v>
      </c>
      <c r="AM293" s="38">
        <v>45.26</v>
      </c>
      <c r="AN293" s="38">
        <v>42.58</v>
      </c>
      <c r="AO293" s="38">
        <v>37.61</v>
      </c>
      <c r="AP293" s="38">
        <v>35.96</v>
      </c>
      <c r="AQ293" s="38">
        <v>35.21</v>
      </c>
      <c r="AR293" s="38">
        <v>35.270000000000003</v>
      </c>
      <c r="AS293" s="38">
        <v>35.44</v>
      </c>
      <c r="AT293" s="38">
        <v>37.18</v>
      </c>
      <c r="AU293" s="38">
        <v>42.26</v>
      </c>
      <c r="AV293" s="38">
        <v>45.06</v>
      </c>
      <c r="AW293" s="38">
        <v>46.08</v>
      </c>
      <c r="AX293" s="38">
        <v>46.61</v>
      </c>
      <c r="AY293" s="38">
        <v>45.81</v>
      </c>
      <c r="BA293" s="37">
        <v>58.98</v>
      </c>
      <c r="BB293" s="38">
        <v>1.3658999999999999</v>
      </c>
    </row>
    <row r="294" spans="1:54" x14ac:dyDescent="0.35">
      <c r="A294" s="2">
        <f t="shared" si="4"/>
        <v>44232</v>
      </c>
      <c r="B294" t="s">
        <v>336</v>
      </c>
      <c r="C294" s="32">
        <v>44232</v>
      </c>
      <c r="D294" s="38">
        <v>48.17</v>
      </c>
      <c r="E294" s="38">
        <v>44.97</v>
      </c>
      <c r="F294" s="38">
        <v>42.55</v>
      </c>
      <c r="G294" s="38">
        <v>41.88</v>
      </c>
      <c r="H294" s="38">
        <v>41.03</v>
      </c>
      <c r="I294" s="38">
        <v>41.98</v>
      </c>
      <c r="J294" s="38">
        <v>43.22</v>
      </c>
      <c r="K294" s="38">
        <v>45.6</v>
      </c>
      <c r="L294" s="38">
        <v>50.53</v>
      </c>
      <c r="M294" s="38">
        <v>53.66</v>
      </c>
      <c r="N294" s="38">
        <v>55.52</v>
      </c>
      <c r="O294" s="38">
        <v>55.68</v>
      </c>
      <c r="P294" s="38">
        <v>51.59</v>
      </c>
      <c r="Q294" s="38">
        <v>45.4</v>
      </c>
      <c r="R294" s="38">
        <v>41.18</v>
      </c>
      <c r="S294" s="38">
        <v>38.46</v>
      </c>
      <c r="T294" s="38">
        <v>38.28</v>
      </c>
      <c r="U294" s="38">
        <v>38.1</v>
      </c>
      <c r="V294" s="38">
        <v>38.65</v>
      </c>
      <c r="W294" s="38">
        <v>43.3</v>
      </c>
      <c r="X294" s="38">
        <v>46.67</v>
      </c>
      <c r="Y294" s="38">
        <v>49.67</v>
      </c>
      <c r="Z294" s="38">
        <v>51.23</v>
      </c>
      <c r="AA294" s="38">
        <v>51.78</v>
      </c>
      <c r="AB294" s="38">
        <v>48.92</v>
      </c>
      <c r="AC294" s="38">
        <v>42.7</v>
      </c>
      <c r="AD294" s="38">
        <v>38.049999999999997</v>
      </c>
      <c r="AE294" s="38">
        <v>35.26</v>
      </c>
      <c r="AF294" s="38">
        <v>34.89</v>
      </c>
      <c r="AG294" s="38">
        <v>36.07</v>
      </c>
      <c r="AH294" s="38">
        <v>39.020000000000003</v>
      </c>
      <c r="AI294" s="38">
        <v>44.43</v>
      </c>
      <c r="AJ294" s="38">
        <v>47.29</v>
      </c>
      <c r="AK294" s="38">
        <v>48.42</v>
      </c>
      <c r="AL294" s="38">
        <v>48.55</v>
      </c>
      <c r="AM294" s="38">
        <v>46.25</v>
      </c>
      <c r="AN294" s="38">
        <v>43.56</v>
      </c>
      <c r="AO294" s="38">
        <v>38.57</v>
      </c>
      <c r="AP294" s="38">
        <v>36.909999999999997</v>
      </c>
      <c r="AQ294" s="38">
        <v>36.14</v>
      </c>
      <c r="AR294" s="38">
        <v>36.19</v>
      </c>
      <c r="AS294" s="38">
        <v>36.35</v>
      </c>
      <c r="AT294" s="38">
        <v>37.9</v>
      </c>
      <c r="AU294" s="38">
        <v>42.67</v>
      </c>
      <c r="AV294" s="38">
        <v>45.16</v>
      </c>
      <c r="AW294" s="38">
        <v>45.98</v>
      </c>
      <c r="AX294" s="38">
        <v>46.48</v>
      </c>
      <c r="AY294" s="38">
        <v>45.71</v>
      </c>
      <c r="BA294" s="37">
        <v>59.48</v>
      </c>
      <c r="BB294" s="38">
        <v>1.3724000000000001</v>
      </c>
    </row>
    <row r="295" spans="1:54" x14ac:dyDescent="0.35">
      <c r="A295" s="2">
        <f t="shared" si="4"/>
        <v>44235</v>
      </c>
      <c r="B295" t="s">
        <v>337</v>
      </c>
      <c r="C295" s="32">
        <v>44235</v>
      </c>
      <c r="D295" s="38">
        <v>53.11</v>
      </c>
      <c r="E295" s="38">
        <v>47.82</v>
      </c>
      <c r="F295" s="38">
        <v>44.52</v>
      </c>
      <c r="G295" s="38">
        <v>43.77</v>
      </c>
      <c r="H295" s="38">
        <v>43.13</v>
      </c>
      <c r="I295" s="38">
        <v>44.2</v>
      </c>
      <c r="J295" s="38">
        <v>45.43</v>
      </c>
      <c r="K295" s="38">
        <v>47.76</v>
      </c>
      <c r="L295" s="38">
        <v>52.57</v>
      </c>
      <c r="M295" s="38">
        <v>55.62</v>
      </c>
      <c r="N295" s="38">
        <v>57.4</v>
      </c>
      <c r="O295" s="38">
        <v>57.42</v>
      </c>
      <c r="P295" s="38">
        <v>53.24</v>
      </c>
      <c r="Q295" s="38">
        <v>46.94</v>
      </c>
      <c r="R295" s="38">
        <v>42.63</v>
      </c>
      <c r="S295" s="38">
        <v>39.85</v>
      </c>
      <c r="T295" s="38">
        <v>39.74</v>
      </c>
      <c r="U295" s="38">
        <v>39.630000000000003</v>
      </c>
      <c r="V295" s="38">
        <v>40.200000000000003</v>
      </c>
      <c r="W295" s="38">
        <v>44.79</v>
      </c>
      <c r="X295" s="38">
        <v>48.16</v>
      </c>
      <c r="Y295" s="38">
        <v>51.16</v>
      </c>
      <c r="Z295" s="38">
        <v>52.89</v>
      </c>
      <c r="AA295" s="38">
        <v>52.92</v>
      </c>
      <c r="AB295" s="38">
        <v>49.59</v>
      </c>
      <c r="AC295" s="38">
        <v>43.56</v>
      </c>
      <c r="AD295" s="38">
        <v>39.24</v>
      </c>
      <c r="AE295" s="38">
        <v>36.46</v>
      </c>
      <c r="AF295" s="38">
        <v>36.4</v>
      </c>
      <c r="AG295" s="38">
        <v>36.9</v>
      </c>
      <c r="AH295" s="38">
        <v>39.76</v>
      </c>
      <c r="AI295" s="38">
        <v>44.76</v>
      </c>
      <c r="AJ295" s="38">
        <v>48.13</v>
      </c>
      <c r="AK295" s="38">
        <v>49.93</v>
      </c>
      <c r="AL295" s="38">
        <v>50.23</v>
      </c>
      <c r="AM295" s="38">
        <v>48.15</v>
      </c>
      <c r="AN295" s="38">
        <v>45.46</v>
      </c>
      <c r="AO295" s="38">
        <v>39.96</v>
      </c>
      <c r="AP295" s="38">
        <v>38.08</v>
      </c>
      <c r="AQ295" s="38">
        <v>37.130000000000003</v>
      </c>
      <c r="AR295" s="38">
        <v>37.01</v>
      </c>
      <c r="AS295" s="38">
        <v>37.01</v>
      </c>
      <c r="AT295" s="38">
        <v>38.450000000000003</v>
      </c>
      <c r="AU295" s="38">
        <v>43.25</v>
      </c>
      <c r="AV295" s="38">
        <v>45.77</v>
      </c>
      <c r="AW295" s="38">
        <v>46.77</v>
      </c>
      <c r="AX295" s="38">
        <v>47.38</v>
      </c>
      <c r="AY295" s="38">
        <v>46.82</v>
      </c>
      <c r="BA295" s="37">
        <v>60.17</v>
      </c>
      <c r="BB295" s="38">
        <v>1.3740000000000001</v>
      </c>
    </row>
    <row r="296" spans="1:54" x14ac:dyDescent="0.35">
      <c r="A296" s="2">
        <f t="shared" si="4"/>
        <v>44236</v>
      </c>
      <c r="B296" t="s">
        <v>338</v>
      </c>
      <c r="C296" s="32">
        <v>44236</v>
      </c>
      <c r="D296" s="38">
        <v>49.73</v>
      </c>
      <c r="E296" s="38">
        <v>46.52</v>
      </c>
      <c r="F296" s="38">
        <v>43.89</v>
      </c>
      <c r="G296" s="38">
        <v>43.42</v>
      </c>
      <c r="H296" s="38">
        <v>42.72</v>
      </c>
      <c r="I296" s="38">
        <v>43.78</v>
      </c>
      <c r="J296" s="38">
        <v>44.9</v>
      </c>
      <c r="K296" s="38">
        <v>47</v>
      </c>
      <c r="L296" s="38">
        <v>51.63</v>
      </c>
      <c r="M296" s="38">
        <v>54.66</v>
      </c>
      <c r="N296" s="38">
        <v>56.51</v>
      </c>
      <c r="O296" s="38">
        <v>56.6</v>
      </c>
      <c r="P296" s="38">
        <v>52.45</v>
      </c>
      <c r="Q296" s="38">
        <v>46.23</v>
      </c>
      <c r="R296" s="38">
        <v>41.98</v>
      </c>
      <c r="S296" s="38">
        <v>39.229999999999997</v>
      </c>
      <c r="T296" s="38">
        <v>39.119999999999997</v>
      </c>
      <c r="U296" s="38">
        <v>39.01</v>
      </c>
      <c r="V296" s="38">
        <v>39.619999999999997</v>
      </c>
      <c r="W296" s="38">
        <v>44.34</v>
      </c>
      <c r="X296" s="38">
        <v>47.74</v>
      </c>
      <c r="Y296" s="38">
        <v>50.74</v>
      </c>
      <c r="Z296" s="38">
        <v>52.42</v>
      </c>
      <c r="AA296" s="38">
        <v>52.45</v>
      </c>
      <c r="AB296" s="38">
        <v>49.19</v>
      </c>
      <c r="AC296" s="38">
        <v>43.14</v>
      </c>
      <c r="AD296" s="38">
        <v>38.869999999999997</v>
      </c>
      <c r="AE296" s="38">
        <v>35.99</v>
      </c>
      <c r="AF296" s="38">
        <v>35.74</v>
      </c>
      <c r="AG296" s="38">
        <v>36.03</v>
      </c>
      <c r="AH296" s="38">
        <v>38.75</v>
      </c>
      <c r="AI296" s="38">
        <v>43.57</v>
      </c>
      <c r="AJ296" s="38">
        <v>46.77</v>
      </c>
      <c r="AK296" s="38">
        <v>48.58</v>
      </c>
      <c r="AL296" s="38">
        <v>49.68</v>
      </c>
      <c r="AM296" s="38">
        <v>48.39</v>
      </c>
      <c r="AN296" s="38">
        <v>45.05</v>
      </c>
      <c r="AO296" s="38">
        <v>39.18</v>
      </c>
      <c r="AP296" s="38">
        <v>36.979999999999997</v>
      </c>
      <c r="AQ296" s="38">
        <v>35.71</v>
      </c>
      <c r="AR296" s="38">
        <v>36.020000000000003</v>
      </c>
      <c r="AS296" s="38">
        <v>35.97</v>
      </c>
      <c r="AT296" s="38">
        <v>37.03</v>
      </c>
      <c r="AU296" s="38">
        <v>41.63</v>
      </c>
      <c r="AV296" s="38">
        <v>44.68</v>
      </c>
      <c r="AW296" s="38">
        <v>46.33</v>
      </c>
      <c r="AX296" s="38">
        <v>47.58</v>
      </c>
      <c r="AY296" s="38">
        <v>46.42</v>
      </c>
      <c r="BA296" s="37">
        <v>60.74</v>
      </c>
      <c r="BB296" s="38">
        <v>1.3795999999999999</v>
      </c>
    </row>
    <row r="297" spans="1:54" x14ac:dyDescent="0.35">
      <c r="A297" s="2">
        <f t="shared" si="4"/>
        <v>44237</v>
      </c>
      <c r="B297" t="s">
        <v>339</v>
      </c>
      <c r="C297" s="32">
        <v>44237</v>
      </c>
      <c r="D297" s="38">
        <v>47.91</v>
      </c>
      <c r="E297" s="38">
        <v>45.4</v>
      </c>
      <c r="F297" s="38">
        <v>43.21</v>
      </c>
      <c r="G297" s="38">
        <v>42.65</v>
      </c>
      <c r="H297" s="38">
        <v>41.88</v>
      </c>
      <c r="I297" s="38">
        <v>43.31</v>
      </c>
      <c r="J297" s="38">
        <v>44.61</v>
      </c>
      <c r="K297" s="38">
        <v>46.53</v>
      </c>
      <c r="L297" s="38">
        <v>51.14</v>
      </c>
      <c r="M297" s="38">
        <v>54.15</v>
      </c>
      <c r="N297" s="38">
        <v>56.09</v>
      </c>
      <c r="O297" s="38">
        <v>56.17</v>
      </c>
      <c r="P297" s="38">
        <v>51.79</v>
      </c>
      <c r="Q297" s="38">
        <v>45.12</v>
      </c>
      <c r="R297" s="38">
        <v>41.09</v>
      </c>
      <c r="S297" s="38">
        <v>38.840000000000003</v>
      </c>
      <c r="T297" s="38">
        <v>39.270000000000003</v>
      </c>
      <c r="U297" s="38">
        <v>39.24</v>
      </c>
      <c r="V297" s="38">
        <v>39.799999999999997</v>
      </c>
      <c r="W297" s="38">
        <v>44.36</v>
      </c>
      <c r="X297" s="38">
        <v>47.67</v>
      </c>
      <c r="Y297" s="38">
        <v>50.6</v>
      </c>
      <c r="Z297" s="38">
        <v>52.23</v>
      </c>
      <c r="AA297" s="38">
        <v>52.26</v>
      </c>
      <c r="AB297" s="38">
        <v>49</v>
      </c>
      <c r="AC297" s="38">
        <v>43.02</v>
      </c>
      <c r="AD297" s="38">
        <v>38.83</v>
      </c>
      <c r="AE297" s="38">
        <v>36.020000000000003</v>
      </c>
      <c r="AF297" s="38">
        <v>35.840000000000003</v>
      </c>
      <c r="AG297" s="38">
        <v>36.200000000000003</v>
      </c>
      <c r="AH297" s="38">
        <v>38.96</v>
      </c>
      <c r="AI297" s="38">
        <v>43.76</v>
      </c>
      <c r="AJ297" s="38">
        <v>46.94</v>
      </c>
      <c r="AK297" s="38">
        <v>48.73</v>
      </c>
      <c r="AL297" s="38">
        <v>49.81</v>
      </c>
      <c r="AM297" s="38">
        <v>48.5</v>
      </c>
      <c r="AN297" s="38">
        <v>45.14</v>
      </c>
      <c r="AO297" s="38">
        <v>39.200000000000003</v>
      </c>
      <c r="AP297" s="38">
        <v>36.93</v>
      </c>
      <c r="AQ297" s="38">
        <v>35.61</v>
      </c>
      <c r="AR297" s="38">
        <v>35.869999999999997</v>
      </c>
      <c r="AS297" s="38">
        <v>35.79</v>
      </c>
      <c r="AT297" s="38">
        <v>36.83</v>
      </c>
      <c r="AU297" s="38">
        <v>41.45</v>
      </c>
      <c r="AV297" s="38">
        <v>44.52</v>
      </c>
      <c r="AW297" s="38">
        <v>46.19</v>
      </c>
      <c r="AX297" s="38">
        <v>47.46</v>
      </c>
      <c r="AY297" s="38">
        <v>46.32</v>
      </c>
      <c r="BA297" s="37">
        <v>61.17</v>
      </c>
      <c r="BB297" s="38">
        <v>1.3845000000000001</v>
      </c>
    </row>
    <row r="298" spans="1:54" x14ac:dyDescent="0.35">
      <c r="A298" s="2">
        <f t="shared" si="4"/>
        <v>44238</v>
      </c>
      <c r="B298" t="s">
        <v>340</v>
      </c>
      <c r="C298" s="32">
        <v>44238</v>
      </c>
      <c r="D298" s="38">
        <v>44.43</v>
      </c>
      <c r="E298" s="38">
        <v>43.16</v>
      </c>
      <c r="F298" s="38">
        <v>41.25</v>
      </c>
      <c r="G298" s="38">
        <v>40.74</v>
      </c>
      <c r="H298" s="38">
        <v>40.340000000000003</v>
      </c>
      <c r="I298" s="38">
        <v>41.4</v>
      </c>
      <c r="J298" s="38">
        <v>43.05</v>
      </c>
      <c r="K298" s="38">
        <v>45.15</v>
      </c>
      <c r="L298" s="38">
        <v>49.22</v>
      </c>
      <c r="M298" s="38">
        <v>52.31</v>
      </c>
      <c r="N298" s="38">
        <v>54.01</v>
      </c>
      <c r="O298" s="38">
        <v>54.09</v>
      </c>
      <c r="P298" s="38">
        <v>50.84</v>
      </c>
      <c r="Q298" s="38">
        <v>44.37</v>
      </c>
      <c r="R298" s="38">
        <v>40.47</v>
      </c>
      <c r="S298" s="38">
        <v>38.33</v>
      </c>
      <c r="T298" s="38">
        <v>38.79</v>
      </c>
      <c r="U298" s="38">
        <v>38.78</v>
      </c>
      <c r="V298" s="38">
        <v>39.340000000000003</v>
      </c>
      <c r="W298" s="38">
        <v>43.98</v>
      </c>
      <c r="X298" s="38">
        <v>47.29</v>
      </c>
      <c r="Y298" s="38">
        <v>50.22</v>
      </c>
      <c r="Z298" s="38">
        <v>51.85</v>
      </c>
      <c r="AA298" s="38">
        <v>51.88</v>
      </c>
      <c r="AB298" s="38">
        <v>48.62</v>
      </c>
      <c r="AC298" s="38">
        <v>42.64</v>
      </c>
      <c r="AD298" s="38">
        <v>38.450000000000003</v>
      </c>
      <c r="AE298" s="38">
        <v>35.64</v>
      </c>
      <c r="AF298" s="38">
        <v>35.46</v>
      </c>
      <c r="AG298" s="38">
        <v>35.81</v>
      </c>
      <c r="AH298" s="38">
        <v>38.57</v>
      </c>
      <c r="AI298" s="38">
        <v>43.37</v>
      </c>
      <c r="AJ298" s="38">
        <v>46.55</v>
      </c>
      <c r="AK298" s="38">
        <v>48.34</v>
      </c>
      <c r="AL298" s="38">
        <v>49.42</v>
      </c>
      <c r="AM298" s="38">
        <v>48.11</v>
      </c>
      <c r="AN298" s="38">
        <v>44.75</v>
      </c>
      <c r="AO298" s="38">
        <v>38.81</v>
      </c>
      <c r="AP298" s="38">
        <v>36.57</v>
      </c>
      <c r="AQ298" s="38">
        <v>35.270000000000003</v>
      </c>
      <c r="AR298" s="38">
        <v>35.549999999999997</v>
      </c>
      <c r="AS298" s="38">
        <v>35.49</v>
      </c>
      <c r="AT298" s="38">
        <v>36.549999999999997</v>
      </c>
      <c r="AU298" s="38">
        <v>41.99</v>
      </c>
      <c r="AV298" s="38">
        <v>45.12</v>
      </c>
      <c r="AW298" s="38">
        <v>46.84</v>
      </c>
      <c r="AX298" s="38">
        <v>48.16</v>
      </c>
      <c r="AY298" s="38">
        <v>47.07</v>
      </c>
      <c r="BA298" s="37">
        <v>61.09</v>
      </c>
      <c r="BB298" s="38">
        <v>1.3826000000000001</v>
      </c>
    </row>
    <row r="299" spans="1:54" x14ac:dyDescent="0.35">
      <c r="A299" s="2">
        <f t="shared" si="4"/>
        <v>44239</v>
      </c>
      <c r="B299" t="s">
        <v>341</v>
      </c>
      <c r="C299" s="32">
        <v>44239</v>
      </c>
      <c r="D299" s="38">
        <v>44.85</v>
      </c>
      <c r="E299" s="38">
        <v>43.06</v>
      </c>
      <c r="F299" s="38">
        <v>41.3</v>
      </c>
      <c r="G299" s="38">
        <v>41</v>
      </c>
      <c r="H299" s="38">
        <v>40.61</v>
      </c>
      <c r="I299" s="38">
        <v>41.32</v>
      </c>
      <c r="J299" s="38">
        <v>42.96</v>
      </c>
      <c r="K299" s="38">
        <v>45.09</v>
      </c>
      <c r="L299" s="38">
        <v>49.25</v>
      </c>
      <c r="M299" s="38">
        <v>52.44</v>
      </c>
      <c r="N299" s="38">
        <v>53.97</v>
      </c>
      <c r="O299" s="38">
        <v>54.07</v>
      </c>
      <c r="P299" s="38">
        <v>50.83</v>
      </c>
      <c r="Q299" s="38">
        <v>44.43</v>
      </c>
      <c r="R299" s="38">
        <v>40.17</v>
      </c>
      <c r="S299" s="38">
        <v>37.75</v>
      </c>
      <c r="T299" s="38">
        <v>38.119999999999997</v>
      </c>
      <c r="U299" s="38">
        <v>38.090000000000003</v>
      </c>
      <c r="V299" s="38">
        <v>38.56</v>
      </c>
      <c r="W299" s="38">
        <v>43.15</v>
      </c>
      <c r="X299" s="38">
        <v>46.43</v>
      </c>
      <c r="Y299" s="38">
        <v>49.36</v>
      </c>
      <c r="Z299" s="38">
        <v>50.99</v>
      </c>
      <c r="AA299" s="38">
        <v>51.02</v>
      </c>
      <c r="AB299" s="38">
        <v>47.76</v>
      </c>
      <c r="AC299" s="38">
        <v>41.88</v>
      </c>
      <c r="AD299" s="38">
        <v>37.79</v>
      </c>
      <c r="AE299" s="38">
        <v>35.049999999999997</v>
      </c>
      <c r="AF299" s="38">
        <v>34.909999999999997</v>
      </c>
      <c r="AG299" s="38">
        <v>35.28</v>
      </c>
      <c r="AH299" s="38">
        <v>38.04</v>
      </c>
      <c r="AI299" s="38">
        <v>42.84</v>
      </c>
      <c r="AJ299" s="38">
        <v>46.02</v>
      </c>
      <c r="AK299" s="38">
        <v>47.81</v>
      </c>
      <c r="AL299" s="38">
        <v>48.89</v>
      </c>
      <c r="AM299" s="38">
        <v>47.58</v>
      </c>
      <c r="AN299" s="38">
        <v>44.22</v>
      </c>
      <c r="AO299" s="38">
        <v>38.28</v>
      </c>
      <c r="AP299" s="38">
        <v>36.04</v>
      </c>
      <c r="AQ299" s="38">
        <v>34.74</v>
      </c>
      <c r="AR299" s="38">
        <v>35.020000000000003</v>
      </c>
      <c r="AS299" s="38">
        <v>34.96</v>
      </c>
      <c r="AT299" s="38">
        <v>36.020000000000003</v>
      </c>
      <c r="AU299" s="38">
        <v>41.46</v>
      </c>
      <c r="AV299" s="38">
        <v>44.59</v>
      </c>
      <c r="AW299" s="38">
        <v>46.31</v>
      </c>
      <c r="AX299" s="38">
        <v>47.63</v>
      </c>
      <c r="AY299" s="38">
        <v>46.54</v>
      </c>
      <c r="BA299" s="37">
        <v>62.47</v>
      </c>
      <c r="BB299" s="38">
        <v>1.3849</v>
      </c>
    </row>
    <row r="300" spans="1:54" x14ac:dyDescent="0.35">
      <c r="A300" s="2">
        <f t="shared" si="4"/>
        <v>44242</v>
      </c>
      <c r="B300" t="s">
        <v>342</v>
      </c>
      <c r="C300" s="32">
        <v>44242</v>
      </c>
      <c r="D300" s="38">
        <v>41.58</v>
      </c>
      <c r="E300" s="38">
        <v>41.04</v>
      </c>
      <c r="F300" s="38">
        <v>39.619999999999997</v>
      </c>
      <c r="G300" s="38">
        <v>39.520000000000003</v>
      </c>
      <c r="H300" s="38">
        <v>39.119999999999997</v>
      </c>
      <c r="I300" s="38">
        <v>39.82</v>
      </c>
      <c r="J300" s="38">
        <v>41.36</v>
      </c>
      <c r="K300" s="38">
        <v>43.56</v>
      </c>
      <c r="L300" s="38">
        <v>47.84</v>
      </c>
      <c r="M300" s="38">
        <v>51.13</v>
      </c>
      <c r="N300" s="38">
        <v>52.63</v>
      </c>
      <c r="O300" s="38">
        <v>52.83</v>
      </c>
      <c r="P300" s="38">
        <v>49.69</v>
      </c>
      <c r="Q300" s="38">
        <v>43.36</v>
      </c>
      <c r="R300" s="38">
        <v>39.1</v>
      </c>
      <c r="S300" s="38">
        <v>36.96</v>
      </c>
      <c r="T300" s="38">
        <v>37.590000000000003</v>
      </c>
      <c r="U300" s="38">
        <v>37.69</v>
      </c>
      <c r="V300" s="38">
        <v>38.159999999999997</v>
      </c>
      <c r="W300" s="38">
        <v>42.58</v>
      </c>
      <c r="X300" s="38">
        <v>45.74</v>
      </c>
      <c r="Y300" s="38">
        <v>48.62</v>
      </c>
      <c r="Z300" s="38">
        <v>50.2</v>
      </c>
      <c r="AA300" s="38">
        <v>50.23</v>
      </c>
      <c r="AB300" s="38">
        <v>46.97</v>
      </c>
      <c r="AC300" s="38">
        <v>41.14</v>
      </c>
      <c r="AD300" s="38">
        <v>37.049999999999997</v>
      </c>
      <c r="AE300" s="38">
        <v>34.31</v>
      </c>
      <c r="AF300" s="38">
        <v>34.17</v>
      </c>
      <c r="AG300" s="38">
        <v>34.54</v>
      </c>
      <c r="AH300" s="38">
        <v>37.299999999999997</v>
      </c>
      <c r="AI300" s="38">
        <v>42.1</v>
      </c>
      <c r="AJ300" s="38">
        <v>45.28</v>
      </c>
      <c r="AK300" s="38">
        <v>47.07</v>
      </c>
      <c r="AL300" s="38">
        <v>48.15</v>
      </c>
      <c r="AM300" s="38">
        <v>46.84</v>
      </c>
      <c r="AN300" s="38">
        <v>43.48</v>
      </c>
      <c r="AO300" s="38">
        <v>37.54</v>
      </c>
      <c r="AP300" s="38">
        <v>35.299999999999997</v>
      </c>
      <c r="AQ300" s="38">
        <v>34</v>
      </c>
      <c r="AR300" s="38">
        <v>34.28</v>
      </c>
      <c r="AS300" s="38">
        <v>34.22</v>
      </c>
      <c r="AT300" s="38">
        <v>35.28</v>
      </c>
      <c r="AU300" s="38">
        <v>40.72</v>
      </c>
      <c r="AV300" s="38">
        <v>43.85</v>
      </c>
      <c r="AW300" s="38">
        <v>45.57</v>
      </c>
      <c r="AX300" s="38">
        <v>46.89</v>
      </c>
      <c r="AY300" s="38">
        <v>45.8</v>
      </c>
      <c r="BA300" s="37">
        <v>63.58</v>
      </c>
      <c r="BB300" s="38">
        <v>1.3912</v>
      </c>
    </row>
    <row r="301" spans="1:54" x14ac:dyDescent="0.35">
      <c r="A301" s="2">
        <f t="shared" si="4"/>
        <v>44243</v>
      </c>
      <c r="B301" t="s">
        <v>343</v>
      </c>
      <c r="C301" s="32">
        <v>44243</v>
      </c>
      <c r="D301" s="38">
        <v>42.49</v>
      </c>
      <c r="E301" s="38">
        <v>41.43</v>
      </c>
      <c r="F301" s="38">
        <v>39.89</v>
      </c>
      <c r="G301" s="38">
        <v>39.39</v>
      </c>
      <c r="H301" s="38">
        <v>39.049999999999997</v>
      </c>
      <c r="I301" s="38">
        <v>39.85</v>
      </c>
      <c r="J301" s="38">
        <v>41.35</v>
      </c>
      <c r="K301" s="38">
        <v>43.6</v>
      </c>
      <c r="L301" s="38">
        <v>47.93</v>
      </c>
      <c r="M301" s="38">
        <v>51.22</v>
      </c>
      <c r="N301" s="38">
        <v>52.72</v>
      </c>
      <c r="O301" s="38">
        <v>52.92</v>
      </c>
      <c r="P301" s="38">
        <v>49.83</v>
      </c>
      <c r="Q301" s="38">
        <v>43.54</v>
      </c>
      <c r="R301" s="38">
        <v>39.299999999999997</v>
      </c>
      <c r="S301" s="38">
        <v>37.17</v>
      </c>
      <c r="T301" s="38">
        <v>37.799999999999997</v>
      </c>
      <c r="U301" s="38">
        <v>37.9</v>
      </c>
      <c r="V301" s="38">
        <v>38.369999999999997</v>
      </c>
      <c r="W301" s="38">
        <v>42.84</v>
      </c>
      <c r="X301" s="38">
        <v>46.05</v>
      </c>
      <c r="Y301" s="38">
        <v>49</v>
      </c>
      <c r="Z301" s="38">
        <v>50.65</v>
      </c>
      <c r="AA301" s="38">
        <v>50.68</v>
      </c>
      <c r="AB301" s="38">
        <v>47.47</v>
      </c>
      <c r="AC301" s="38">
        <v>41.8</v>
      </c>
      <c r="AD301" s="38">
        <v>37.869999999999997</v>
      </c>
      <c r="AE301" s="38">
        <v>35.31</v>
      </c>
      <c r="AF301" s="38">
        <v>35.17</v>
      </c>
      <c r="AG301" s="38">
        <v>35.54</v>
      </c>
      <c r="AH301" s="38">
        <v>38.18</v>
      </c>
      <c r="AI301" s="38">
        <v>42.9</v>
      </c>
      <c r="AJ301" s="38">
        <v>46.01</v>
      </c>
      <c r="AK301" s="38">
        <v>47.73</v>
      </c>
      <c r="AL301" s="38">
        <v>48.78</v>
      </c>
      <c r="AM301" s="38">
        <v>47.44</v>
      </c>
      <c r="AN301" s="38">
        <v>44.05</v>
      </c>
      <c r="AO301" s="38">
        <v>38.119999999999997</v>
      </c>
      <c r="AP301" s="38">
        <v>35.89</v>
      </c>
      <c r="AQ301" s="38">
        <v>34.6</v>
      </c>
      <c r="AR301" s="38">
        <v>34.53</v>
      </c>
      <c r="AS301" s="38">
        <v>34.78</v>
      </c>
      <c r="AT301" s="38">
        <v>35.81</v>
      </c>
      <c r="AU301" s="38">
        <v>41.2</v>
      </c>
      <c r="AV301" s="38">
        <v>44.33</v>
      </c>
      <c r="AW301" s="38">
        <v>46.05</v>
      </c>
      <c r="AX301" s="38">
        <v>47.37</v>
      </c>
      <c r="AY301" s="38">
        <v>46.31</v>
      </c>
      <c r="BA301" s="37">
        <v>63.96</v>
      </c>
      <c r="BB301" s="38">
        <v>1.3926000000000001</v>
      </c>
    </row>
    <row r="302" spans="1:54" x14ac:dyDescent="0.35">
      <c r="A302" s="2">
        <f t="shared" si="4"/>
        <v>44244</v>
      </c>
      <c r="B302" t="s">
        <v>344</v>
      </c>
      <c r="C302" s="32">
        <v>44244</v>
      </c>
      <c r="D302" s="38">
        <v>41.81</v>
      </c>
      <c r="E302" s="38">
        <v>40.85</v>
      </c>
      <c r="F302" s="38">
        <v>39.32</v>
      </c>
      <c r="G302" s="38">
        <v>39.07</v>
      </c>
      <c r="H302" s="38">
        <v>38.74</v>
      </c>
      <c r="I302" s="38">
        <v>39.85</v>
      </c>
      <c r="J302" s="38">
        <v>40.97</v>
      </c>
      <c r="K302" s="38">
        <v>43</v>
      </c>
      <c r="L302" s="38">
        <v>47.72</v>
      </c>
      <c r="M302" s="38">
        <v>51.35</v>
      </c>
      <c r="N302" s="38">
        <v>52.79</v>
      </c>
      <c r="O302" s="38">
        <v>52.63</v>
      </c>
      <c r="P302" s="38">
        <v>49.37</v>
      </c>
      <c r="Q302" s="38">
        <v>43.25</v>
      </c>
      <c r="R302" s="38">
        <v>39.17</v>
      </c>
      <c r="S302" s="38">
        <v>37.200000000000003</v>
      </c>
      <c r="T302" s="38">
        <v>37.14</v>
      </c>
      <c r="U302" s="38">
        <v>37.32</v>
      </c>
      <c r="V302" s="38">
        <v>38.33</v>
      </c>
      <c r="W302" s="38">
        <v>42.77</v>
      </c>
      <c r="X302" s="38">
        <v>45.93</v>
      </c>
      <c r="Y302" s="38">
        <v>48.83</v>
      </c>
      <c r="Z302" s="38">
        <v>50.43</v>
      </c>
      <c r="AA302" s="38">
        <v>50.42</v>
      </c>
      <c r="AB302" s="38">
        <v>47.17</v>
      </c>
      <c r="AC302" s="38">
        <v>41.41</v>
      </c>
      <c r="AD302" s="38">
        <v>37.479999999999997</v>
      </c>
      <c r="AE302" s="38">
        <v>34.92</v>
      </c>
      <c r="AF302" s="38">
        <v>34.78</v>
      </c>
      <c r="AG302" s="38">
        <v>35.15</v>
      </c>
      <c r="AH302" s="38">
        <v>37.79</v>
      </c>
      <c r="AI302" s="38">
        <v>42.51</v>
      </c>
      <c r="AJ302" s="38">
        <v>45.62</v>
      </c>
      <c r="AK302" s="38">
        <v>47.34</v>
      </c>
      <c r="AL302" s="38">
        <v>48.39</v>
      </c>
      <c r="AM302" s="38">
        <v>47.1</v>
      </c>
      <c r="AN302" s="38">
        <v>43.75</v>
      </c>
      <c r="AO302" s="38">
        <v>38.08</v>
      </c>
      <c r="AP302" s="38">
        <v>35.85</v>
      </c>
      <c r="AQ302" s="38">
        <v>34.56</v>
      </c>
      <c r="AR302" s="38">
        <v>34.49</v>
      </c>
      <c r="AS302" s="38">
        <v>34.74</v>
      </c>
      <c r="AT302" s="38">
        <v>35.770000000000003</v>
      </c>
      <c r="AU302" s="38">
        <v>41.16</v>
      </c>
      <c r="AV302" s="38">
        <v>44.29</v>
      </c>
      <c r="AW302" s="38">
        <v>46.01</v>
      </c>
      <c r="AX302" s="38">
        <v>47.33</v>
      </c>
      <c r="AY302" s="38">
        <v>46.27</v>
      </c>
      <c r="BA302" s="37">
        <v>65.02</v>
      </c>
      <c r="BB302" s="38">
        <v>1.3853</v>
      </c>
    </row>
    <row r="303" spans="1:54" x14ac:dyDescent="0.35">
      <c r="A303" s="2">
        <f t="shared" si="4"/>
        <v>44245</v>
      </c>
      <c r="B303" t="s">
        <v>345</v>
      </c>
      <c r="C303" s="32">
        <v>44245</v>
      </c>
      <c r="D303" s="38">
        <v>44.04</v>
      </c>
      <c r="E303" s="38">
        <v>42.59</v>
      </c>
      <c r="F303" s="38">
        <v>40.71</v>
      </c>
      <c r="G303" s="38">
        <v>40.409999999999997</v>
      </c>
      <c r="H303" s="38">
        <v>40.22</v>
      </c>
      <c r="I303" s="38">
        <v>41.55</v>
      </c>
      <c r="J303" s="38">
        <v>42.22</v>
      </c>
      <c r="K303" s="38">
        <v>43.97</v>
      </c>
      <c r="L303" s="38">
        <v>48.62</v>
      </c>
      <c r="M303" s="38">
        <v>52.37</v>
      </c>
      <c r="N303" s="38">
        <v>53.69</v>
      </c>
      <c r="O303" s="38">
        <v>53.5</v>
      </c>
      <c r="P303" s="38">
        <v>50.2</v>
      </c>
      <c r="Q303" s="38">
        <v>44.06</v>
      </c>
      <c r="R303" s="38">
        <v>39.909999999999997</v>
      </c>
      <c r="S303" s="38">
        <v>37.9</v>
      </c>
      <c r="T303" s="38">
        <v>37.79</v>
      </c>
      <c r="U303" s="38">
        <v>37.93</v>
      </c>
      <c r="V303" s="38">
        <v>38.909999999999997</v>
      </c>
      <c r="W303" s="38">
        <v>43.23</v>
      </c>
      <c r="X303" s="38">
        <v>46.41</v>
      </c>
      <c r="Y303" s="38">
        <v>49.31</v>
      </c>
      <c r="Z303" s="38">
        <v>50.91</v>
      </c>
      <c r="AA303" s="38">
        <v>50.9</v>
      </c>
      <c r="AB303" s="38">
        <v>47.65</v>
      </c>
      <c r="AC303" s="38">
        <v>41.89</v>
      </c>
      <c r="AD303" s="38">
        <v>37.96</v>
      </c>
      <c r="AE303" s="38">
        <v>35.4</v>
      </c>
      <c r="AF303" s="38">
        <v>35.26</v>
      </c>
      <c r="AG303" s="38">
        <v>35.630000000000003</v>
      </c>
      <c r="AH303" s="38">
        <v>38.270000000000003</v>
      </c>
      <c r="AI303" s="38">
        <v>42.99</v>
      </c>
      <c r="AJ303" s="38">
        <v>46.1</v>
      </c>
      <c r="AK303" s="38">
        <v>47.82</v>
      </c>
      <c r="AL303" s="38">
        <v>48.87</v>
      </c>
      <c r="AM303" s="38">
        <v>47.58</v>
      </c>
      <c r="AN303" s="38">
        <v>44.23</v>
      </c>
      <c r="AO303" s="38">
        <v>38.56</v>
      </c>
      <c r="AP303" s="38">
        <v>36.33</v>
      </c>
      <c r="AQ303" s="38">
        <v>35.04</v>
      </c>
      <c r="AR303" s="38">
        <v>34.97</v>
      </c>
      <c r="AS303" s="38">
        <v>35.22</v>
      </c>
      <c r="AT303" s="38">
        <v>36.25</v>
      </c>
      <c r="AU303" s="38">
        <v>41.64</v>
      </c>
      <c r="AV303" s="38">
        <v>44.77</v>
      </c>
      <c r="AW303" s="38">
        <v>46.49</v>
      </c>
      <c r="AX303" s="38">
        <v>47.81</v>
      </c>
      <c r="AY303" s="38">
        <v>46.75</v>
      </c>
      <c r="BA303" s="37">
        <v>64.09</v>
      </c>
      <c r="BB303" s="38">
        <v>1.3947000000000001</v>
      </c>
    </row>
    <row r="304" spans="1:54" x14ac:dyDescent="0.35">
      <c r="A304" s="2">
        <f t="shared" si="4"/>
        <v>44246</v>
      </c>
      <c r="B304" t="s">
        <v>346</v>
      </c>
      <c r="C304" s="32">
        <v>44246</v>
      </c>
      <c r="D304" s="38">
        <v>42.1</v>
      </c>
      <c r="E304" s="38">
        <v>41.23</v>
      </c>
      <c r="F304" s="38">
        <v>39.56</v>
      </c>
      <c r="G304" s="38">
        <v>39.229999999999997</v>
      </c>
      <c r="H304" s="38">
        <v>38.85</v>
      </c>
      <c r="I304" s="38">
        <v>40.18</v>
      </c>
      <c r="J304" s="38">
        <v>40.97</v>
      </c>
      <c r="K304" s="38">
        <v>42.99</v>
      </c>
      <c r="L304" s="38">
        <v>47.66</v>
      </c>
      <c r="M304" s="38">
        <v>51.5</v>
      </c>
      <c r="N304" s="38">
        <v>52.83</v>
      </c>
      <c r="O304" s="38">
        <v>52.64</v>
      </c>
      <c r="P304" s="38">
        <v>49.34</v>
      </c>
      <c r="Q304" s="38">
        <v>43.2</v>
      </c>
      <c r="R304" s="38">
        <v>39.049999999999997</v>
      </c>
      <c r="S304" s="38">
        <v>37.04</v>
      </c>
      <c r="T304" s="38">
        <v>36.97</v>
      </c>
      <c r="U304" s="38">
        <v>37.14</v>
      </c>
      <c r="V304" s="38">
        <v>38.130000000000003</v>
      </c>
      <c r="W304" s="38">
        <v>42.42</v>
      </c>
      <c r="X304" s="38">
        <v>45.58</v>
      </c>
      <c r="Y304" s="38">
        <v>48.46</v>
      </c>
      <c r="Z304" s="38">
        <v>50.06</v>
      </c>
      <c r="AA304" s="38">
        <v>50.05</v>
      </c>
      <c r="AB304" s="38">
        <v>46.85</v>
      </c>
      <c r="AC304" s="38">
        <v>41.19</v>
      </c>
      <c r="AD304" s="38">
        <v>37.36</v>
      </c>
      <c r="AE304" s="38">
        <v>34.89</v>
      </c>
      <c r="AF304" s="38">
        <v>34.76</v>
      </c>
      <c r="AG304" s="38">
        <v>35.130000000000003</v>
      </c>
      <c r="AH304" s="38">
        <v>37.770000000000003</v>
      </c>
      <c r="AI304" s="38">
        <v>42.49</v>
      </c>
      <c r="AJ304" s="38">
        <v>45.6</v>
      </c>
      <c r="AK304" s="38">
        <v>47.32</v>
      </c>
      <c r="AL304" s="38">
        <v>48.37</v>
      </c>
      <c r="AM304" s="38">
        <v>47.08</v>
      </c>
      <c r="AN304" s="38">
        <v>43.73</v>
      </c>
      <c r="AO304" s="38">
        <v>38.06</v>
      </c>
      <c r="AP304" s="38">
        <v>35.83</v>
      </c>
      <c r="AQ304" s="38">
        <v>34.54</v>
      </c>
      <c r="AR304" s="38">
        <v>34.47</v>
      </c>
      <c r="AS304" s="38">
        <v>34.72</v>
      </c>
      <c r="AT304" s="38">
        <v>35.75</v>
      </c>
      <c r="AU304" s="38">
        <v>41.14</v>
      </c>
      <c r="AV304" s="38">
        <v>44.27</v>
      </c>
      <c r="AW304" s="38">
        <v>45.99</v>
      </c>
      <c r="AX304" s="38">
        <v>47.31</v>
      </c>
      <c r="AY304" s="38">
        <v>46.25</v>
      </c>
      <c r="BA304" s="37">
        <v>62.84</v>
      </c>
      <c r="BB304" s="38">
        <v>1.4021999999999999</v>
      </c>
    </row>
    <row r="305" spans="1:54" x14ac:dyDescent="0.35">
      <c r="A305" s="2">
        <f t="shared" si="4"/>
        <v>44249</v>
      </c>
      <c r="B305" t="s">
        <v>347</v>
      </c>
      <c r="C305" s="32">
        <v>44249</v>
      </c>
      <c r="D305" s="38">
        <v>40.03</v>
      </c>
      <c r="E305" s="38">
        <v>39.700000000000003</v>
      </c>
      <c r="F305" s="38">
        <v>38.18</v>
      </c>
      <c r="G305" s="38">
        <v>38.03</v>
      </c>
      <c r="H305" s="38">
        <v>37.729999999999997</v>
      </c>
      <c r="I305" s="38">
        <v>38.659999999999997</v>
      </c>
      <c r="J305" s="38">
        <v>39.65</v>
      </c>
      <c r="K305" s="38">
        <v>42.16</v>
      </c>
      <c r="L305" s="38">
        <v>46.27</v>
      </c>
      <c r="M305" s="38">
        <v>50.2</v>
      </c>
      <c r="N305" s="38">
        <v>51.77</v>
      </c>
      <c r="O305" s="38">
        <v>51.62</v>
      </c>
      <c r="P305" s="38">
        <v>48.37</v>
      </c>
      <c r="Q305" s="38">
        <v>42.34</v>
      </c>
      <c r="R305" s="38">
        <v>38.32</v>
      </c>
      <c r="S305" s="38">
        <v>36.43</v>
      </c>
      <c r="T305" s="38">
        <v>36.380000000000003</v>
      </c>
      <c r="U305" s="38">
        <v>36.549999999999997</v>
      </c>
      <c r="V305" s="38">
        <v>37.590000000000003</v>
      </c>
      <c r="W305" s="38">
        <v>41.96</v>
      </c>
      <c r="X305" s="38">
        <v>45.22</v>
      </c>
      <c r="Y305" s="38">
        <v>48.13</v>
      </c>
      <c r="Z305" s="38">
        <v>49.73</v>
      </c>
      <c r="AA305" s="38">
        <v>49.72</v>
      </c>
      <c r="AB305" s="38">
        <v>46.52</v>
      </c>
      <c r="AC305" s="38">
        <v>40.86</v>
      </c>
      <c r="AD305" s="38">
        <v>37.049999999999997</v>
      </c>
      <c r="AE305" s="38">
        <v>34.6</v>
      </c>
      <c r="AF305" s="38">
        <v>34.49</v>
      </c>
      <c r="AG305" s="38">
        <v>34.86</v>
      </c>
      <c r="AH305" s="38">
        <v>37.5</v>
      </c>
      <c r="AI305" s="38">
        <v>42.22</v>
      </c>
      <c r="AJ305" s="38">
        <v>45.33</v>
      </c>
      <c r="AK305" s="38">
        <v>47.05</v>
      </c>
      <c r="AL305" s="38">
        <v>48.1</v>
      </c>
      <c r="AM305" s="38">
        <v>46.89</v>
      </c>
      <c r="AN305" s="38">
        <v>43.63</v>
      </c>
      <c r="AO305" s="38">
        <v>38.06</v>
      </c>
      <c r="AP305" s="38">
        <v>35.869999999999997</v>
      </c>
      <c r="AQ305" s="38">
        <v>34.6</v>
      </c>
      <c r="AR305" s="38">
        <v>34.53</v>
      </c>
      <c r="AS305" s="38">
        <v>34.78</v>
      </c>
      <c r="AT305" s="38">
        <v>35.81</v>
      </c>
      <c r="AU305" s="38">
        <v>41.2</v>
      </c>
      <c r="AV305" s="38">
        <v>44.33</v>
      </c>
      <c r="AW305" s="38">
        <v>46.05</v>
      </c>
      <c r="AX305" s="38">
        <v>47.37</v>
      </c>
      <c r="AY305" s="38">
        <v>46.31</v>
      </c>
      <c r="BA305" s="37">
        <v>64.73</v>
      </c>
      <c r="BB305" s="38">
        <v>1.4052</v>
      </c>
    </row>
    <row r="306" spans="1:54" x14ac:dyDescent="0.35">
      <c r="A306" s="2">
        <f t="shared" si="4"/>
        <v>44250</v>
      </c>
      <c r="B306" t="s">
        <v>348</v>
      </c>
      <c r="C306" s="32">
        <v>44250</v>
      </c>
      <c r="D306" s="38">
        <v>40.659999999999997</v>
      </c>
      <c r="E306" s="38">
        <v>40.4</v>
      </c>
      <c r="F306" s="38">
        <v>38.799999999999997</v>
      </c>
      <c r="G306" s="38">
        <v>38.549999999999997</v>
      </c>
      <c r="H306" s="38">
        <v>38.299999999999997</v>
      </c>
      <c r="I306" s="38">
        <v>39.1</v>
      </c>
      <c r="J306" s="38">
        <v>40.28</v>
      </c>
      <c r="K306" s="38">
        <v>42.76</v>
      </c>
      <c r="L306" s="38">
        <v>46.86</v>
      </c>
      <c r="M306" s="38">
        <v>50.86</v>
      </c>
      <c r="N306" s="38">
        <v>52.18</v>
      </c>
      <c r="O306" s="38">
        <v>52.09</v>
      </c>
      <c r="P306" s="38">
        <v>48.87</v>
      </c>
      <c r="Q306" s="38">
        <v>42.86</v>
      </c>
      <c r="R306" s="38">
        <v>38.82</v>
      </c>
      <c r="S306" s="38">
        <v>36.909999999999997</v>
      </c>
      <c r="T306" s="38">
        <v>36.82</v>
      </c>
      <c r="U306" s="38">
        <v>36.96</v>
      </c>
      <c r="V306" s="38">
        <v>37.97</v>
      </c>
      <c r="W306" s="38">
        <v>42.34</v>
      </c>
      <c r="X306" s="38">
        <v>45.6</v>
      </c>
      <c r="Y306" s="38">
        <v>48.51</v>
      </c>
      <c r="Z306" s="38">
        <v>50.11</v>
      </c>
      <c r="AA306" s="38">
        <v>50.06</v>
      </c>
      <c r="AB306" s="38">
        <v>46.79</v>
      </c>
      <c r="AC306" s="38">
        <v>41.08</v>
      </c>
      <c r="AD306" s="38">
        <v>37.200000000000003</v>
      </c>
      <c r="AE306" s="38">
        <v>34.700000000000003</v>
      </c>
      <c r="AF306" s="38">
        <v>34.590000000000003</v>
      </c>
      <c r="AG306" s="38">
        <v>34.96</v>
      </c>
      <c r="AH306" s="38">
        <v>37.64</v>
      </c>
      <c r="AI306" s="38">
        <v>42.41</v>
      </c>
      <c r="AJ306" s="38">
        <v>45.56</v>
      </c>
      <c r="AK306" s="38">
        <v>47.28</v>
      </c>
      <c r="AL306" s="38">
        <v>48.33</v>
      </c>
      <c r="AM306" s="38">
        <v>47.12</v>
      </c>
      <c r="AN306" s="38">
        <v>43.86</v>
      </c>
      <c r="AO306" s="38">
        <v>38.29</v>
      </c>
      <c r="AP306" s="38">
        <v>36.1</v>
      </c>
      <c r="AQ306" s="38">
        <v>34.83</v>
      </c>
      <c r="AR306" s="38">
        <v>34.76</v>
      </c>
      <c r="AS306" s="38">
        <v>35.01</v>
      </c>
      <c r="AT306" s="38">
        <v>36.04</v>
      </c>
      <c r="AU306" s="38">
        <v>41.43</v>
      </c>
      <c r="AV306" s="38">
        <v>44.56</v>
      </c>
      <c r="AW306" s="38">
        <v>46.28</v>
      </c>
      <c r="AX306" s="38">
        <v>47.6</v>
      </c>
      <c r="AY306" s="38">
        <v>46.54</v>
      </c>
      <c r="BA306" s="37">
        <v>65.16</v>
      </c>
      <c r="BB306" s="38">
        <v>1.4106000000000001</v>
      </c>
    </row>
    <row r="307" spans="1:54" x14ac:dyDescent="0.35">
      <c r="A307" s="2">
        <f t="shared" si="4"/>
        <v>44251</v>
      </c>
      <c r="B307" t="s">
        <v>349</v>
      </c>
      <c r="C307" s="32">
        <v>44251</v>
      </c>
      <c r="D307" s="38">
        <v>41.18</v>
      </c>
      <c r="E307" s="38">
        <v>40.630000000000003</v>
      </c>
      <c r="F307" s="38">
        <v>38.97</v>
      </c>
      <c r="G307" s="38">
        <v>38.81</v>
      </c>
      <c r="H307" s="38">
        <v>38.5</v>
      </c>
      <c r="I307" s="38">
        <v>39.15</v>
      </c>
      <c r="J307" s="38">
        <v>41</v>
      </c>
      <c r="K307" s="38">
        <v>42.75</v>
      </c>
      <c r="L307" s="38">
        <v>47.28</v>
      </c>
      <c r="M307" s="38">
        <v>51.23</v>
      </c>
      <c r="N307" s="38">
        <v>52.45</v>
      </c>
      <c r="O307" s="38">
        <v>52.36</v>
      </c>
      <c r="P307" s="38">
        <v>49.14</v>
      </c>
      <c r="Q307" s="38">
        <v>43.24</v>
      </c>
      <c r="R307" s="38">
        <v>39.22</v>
      </c>
      <c r="S307" s="38">
        <v>37.31</v>
      </c>
      <c r="T307" s="38">
        <v>37.22</v>
      </c>
      <c r="U307" s="38">
        <v>37.36</v>
      </c>
      <c r="V307" s="38">
        <v>38.369999999999997</v>
      </c>
      <c r="W307" s="38">
        <v>42.7</v>
      </c>
      <c r="X307" s="38">
        <v>45.92</v>
      </c>
      <c r="Y307" s="38">
        <v>48.79</v>
      </c>
      <c r="Z307" s="38">
        <v>50.39</v>
      </c>
      <c r="AA307" s="38">
        <v>50.34</v>
      </c>
      <c r="AB307" s="38">
        <v>47.07</v>
      </c>
      <c r="AC307" s="38">
        <v>41.4</v>
      </c>
      <c r="AD307" s="38">
        <v>37.56</v>
      </c>
      <c r="AE307" s="38">
        <v>35.1</v>
      </c>
      <c r="AF307" s="38">
        <v>35.03</v>
      </c>
      <c r="AG307" s="38">
        <v>35.46</v>
      </c>
      <c r="AH307" s="38">
        <v>38.22</v>
      </c>
      <c r="AI307" s="38">
        <v>43.06</v>
      </c>
      <c r="AJ307" s="38">
        <v>46.27</v>
      </c>
      <c r="AK307" s="38">
        <v>47.99</v>
      </c>
      <c r="AL307" s="38">
        <v>49.04</v>
      </c>
      <c r="AM307" s="38">
        <v>47.83</v>
      </c>
      <c r="AN307" s="38">
        <v>44.57</v>
      </c>
      <c r="AO307" s="38">
        <v>39</v>
      </c>
      <c r="AP307" s="38">
        <v>36.81</v>
      </c>
      <c r="AQ307" s="38">
        <v>35.54</v>
      </c>
      <c r="AR307" s="38">
        <v>35.47</v>
      </c>
      <c r="AS307" s="38">
        <v>35.72</v>
      </c>
      <c r="AT307" s="38">
        <v>36.75</v>
      </c>
      <c r="AU307" s="38">
        <v>42.14</v>
      </c>
      <c r="AV307" s="38">
        <v>45.27</v>
      </c>
      <c r="AW307" s="38">
        <v>46.99</v>
      </c>
      <c r="AX307" s="38">
        <v>48.31</v>
      </c>
      <c r="AY307" s="38">
        <v>47.25</v>
      </c>
      <c r="BA307" s="37">
        <v>66.849999999999994</v>
      </c>
      <c r="BB307" s="38">
        <v>1.4103000000000001</v>
      </c>
    </row>
    <row r="308" spans="1:54" x14ac:dyDescent="0.35">
      <c r="A308" s="2">
        <f t="shared" si="4"/>
        <v>44252</v>
      </c>
      <c r="B308" t="s">
        <v>350</v>
      </c>
      <c r="C308" s="32">
        <v>44252</v>
      </c>
      <c r="D308" s="38">
        <v>40.29</v>
      </c>
      <c r="E308" s="38">
        <v>39.64</v>
      </c>
      <c r="F308" s="38">
        <v>38.04</v>
      </c>
      <c r="G308" s="38">
        <v>37.950000000000003</v>
      </c>
      <c r="H308" s="38">
        <v>37.53</v>
      </c>
      <c r="I308" s="38">
        <v>38.32</v>
      </c>
      <c r="J308" s="38">
        <v>40.11</v>
      </c>
      <c r="K308" s="38">
        <v>42.33</v>
      </c>
      <c r="L308" s="38">
        <v>46.73</v>
      </c>
      <c r="M308" s="38">
        <v>50.68</v>
      </c>
      <c r="N308" s="38">
        <v>51.97</v>
      </c>
      <c r="O308" s="38">
        <v>51.88</v>
      </c>
      <c r="P308" s="38">
        <v>48.7</v>
      </c>
      <c r="Q308" s="38">
        <v>42.95</v>
      </c>
      <c r="R308" s="38">
        <v>38.93</v>
      </c>
      <c r="S308" s="38">
        <v>37.020000000000003</v>
      </c>
      <c r="T308" s="38">
        <v>36.93</v>
      </c>
      <c r="U308" s="38">
        <v>37.07</v>
      </c>
      <c r="V308" s="38">
        <v>38.119999999999997</v>
      </c>
      <c r="W308" s="38">
        <v>42.48</v>
      </c>
      <c r="X308" s="38">
        <v>45.7</v>
      </c>
      <c r="Y308" s="38">
        <v>48.57</v>
      </c>
      <c r="Z308" s="38">
        <v>50.2</v>
      </c>
      <c r="AA308" s="38">
        <v>50.16</v>
      </c>
      <c r="AB308" s="38">
        <v>46.97</v>
      </c>
      <c r="AC308" s="38">
        <v>41.41</v>
      </c>
      <c r="AD308" s="38">
        <v>37.68</v>
      </c>
      <c r="AE308" s="38">
        <v>35.32</v>
      </c>
      <c r="AF308" s="38">
        <v>35.28</v>
      </c>
      <c r="AG308" s="38">
        <v>35.71</v>
      </c>
      <c r="AH308" s="38">
        <v>38.4</v>
      </c>
      <c r="AI308" s="38">
        <v>43.17</v>
      </c>
      <c r="AJ308" s="38">
        <v>46.31</v>
      </c>
      <c r="AK308" s="38">
        <v>47.96</v>
      </c>
      <c r="AL308" s="38">
        <v>48.94</v>
      </c>
      <c r="AM308" s="38">
        <v>47.76</v>
      </c>
      <c r="AN308" s="38">
        <v>44.61</v>
      </c>
      <c r="AO308" s="38">
        <v>39.15</v>
      </c>
      <c r="AP308" s="38">
        <v>37.07</v>
      </c>
      <c r="AQ308" s="38">
        <v>35.9</v>
      </c>
      <c r="AR308" s="38">
        <v>35.83</v>
      </c>
      <c r="AS308" s="38">
        <v>36.08</v>
      </c>
      <c r="AT308" s="38">
        <v>37.11</v>
      </c>
      <c r="AU308" s="38">
        <v>42.5</v>
      </c>
      <c r="AV308" s="38">
        <v>45.63</v>
      </c>
      <c r="AW308" s="38">
        <v>47.35</v>
      </c>
      <c r="AX308" s="38">
        <v>48.67</v>
      </c>
      <c r="AY308" s="38">
        <v>47.61</v>
      </c>
      <c r="BA308" s="37">
        <v>66.69</v>
      </c>
      <c r="BB308" s="38">
        <v>1.4134</v>
      </c>
    </row>
    <row r="309" spans="1:54" x14ac:dyDescent="0.35">
      <c r="A309" s="2">
        <f t="shared" si="4"/>
        <v>44253</v>
      </c>
      <c r="B309" t="s">
        <v>351</v>
      </c>
      <c r="C309" s="32">
        <v>44253</v>
      </c>
      <c r="D309" s="38">
        <v>39.79</v>
      </c>
      <c r="E309" s="38">
        <v>37.96</v>
      </c>
      <c r="F309" s="38">
        <v>38.07</v>
      </c>
      <c r="G309" s="38">
        <v>37.85</v>
      </c>
      <c r="H309" s="38">
        <v>38.770000000000003</v>
      </c>
      <c r="I309" s="38">
        <v>39.270000000000003</v>
      </c>
      <c r="J309" s="38">
        <v>42.14</v>
      </c>
      <c r="K309" s="38">
        <v>47.21</v>
      </c>
      <c r="L309" s="38">
        <v>50.98</v>
      </c>
      <c r="M309" s="38">
        <v>52.02</v>
      </c>
      <c r="N309" s="38">
        <v>51.97</v>
      </c>
      <c r="O309" s="38">
        <v>48.74</v>
      </c>
      <c r="P309" s="38">
        <v>42.96</v>
      </c>
      <c r="Q309" s="38">
        <v>38.909999999999997</v>
      </c>
      <c r="R309" s="38">
        <v>36.97</v>
      </c>
      <c r="S309" s="38">
        <v>36.86</v>
      </c>
      <c r="T309" s="38">
        <v>37.06</v>
      </c>
      <c r="U309" s="38">
        <v>38.130000000000003</v>
      </c>
      <c r="V309" s="38">
        <v>42.56</v>
      </c>
      <c r="W309" s="38">
        <v>45.85</v>
      </c>
      <c r="X309" s="38">
        <v>48.77</v>
      </c>
      <c r="Y309" s="38">
        <v>50.37</v>
      </c>
      <c r="Z309" s="38">
        <v>50.29</v>
      </c>
      <c r="AA309" s="38">
        <v>47.05</v>
      </c>
      <c r="AB309" s="38">
        <v>41.44</v>
      </c>
      <c r="AC309" s="38">
        <v>37.659999999999997</v>
      </c>
      <c r="AD309" s="38">
        <v>35.25</v>
      </c>
      <c r="AE309" s="38">
        <v>35.15</v>
      </c>
      <c r="AF309" s="38">
        <v>35.58</v>
      </c>
      <c r="AG309" s="38">
        <v>38.31</v>
      </c>
      <c r="AH309" s="38">
        <v>43.14</v>
      </c>
      <c r="AI309" s="38">
        <v>46.34</v>
      </c>
      <c r="AJ309" s="38">
        <v>48.05</v>
      </c>
      <c r="AK309" s="38">
        <v>49.03</v>
      </c>
      <c r="AL309" s="38">
        <v>47.85</v>
      </c>
      <c r="AM309" s="38">
        <v>44.7</v>
      </c>
      <c r="AN309" s="38">
        <v>39.24</v>
      </c>
      <c r="AO309" s="38">
        <v>37.159999999999997</v>
      </c>
      <c r="AP309" s="38">
        <v>35.99</v>
      </c>
      <c r="AQ309" s="38">
        <v>35.92</v>
      </c>
      <c r="AR309" s="38">
        <v>36.17</v>
      </c>
      <c r="AS309" s="38">
        <v>37.200000000000003</v>
      </c>
      <c r="AT309" s="38">
        <v>42.59</v>
      </c>
      <c r="AU309" s="38">
        <v>45.72</v>
      </c>
      <c r="AV309" s="38">
        <v>47.44</v>
      </c>
      <c r="AW309" s="38">
        <v>48.76</v>
      </c>
      <c r="AX309" s="38">
        <v>47.7</v>
      </c>
      <c r="AY309" s="38">
        <v>44.45</v>
      </c>
      <c r="BA309" s="37">
        <v>65.86</v>
      </c>
      <c r="BB309" s="38">
        <v>1.3976</v>
      </c>
    </row>
    <row r="310" spans="1:54" x14ac:dyDescent="0.35">
      <c r="A310" s="2">
        <f t="shared" si="4"/>
        <v>44256</v>
      </c>
      <c r="B310" t="s">
        <v>352</v>
      </c>
      <c r="C310" s="32">
        <v>44256</v>
      </c>
      <c r="D310" s="38">
        <v>40.92</v>
      </c>
      <c r="E310" s="38">
        <v>38.49</v>
      </c>
      <c r="F310" s="38">
        <v>38.340000000000003</v>
      </c>
      <c r="G310" s="38">
        <v>38.270000000000003</v>
      </c>
      <c r="H310" s="38">
        <v>38.97</v>
      </c>
      <c r="I310" s="38">
        <v>40.1</v>
      </c>
      <c r="J310" s="38">
        <v>42.57</v>
      </c>
      <c r="K310" s="38">
        <v>47.45</v>
      </c>
      <c r="L310" s="38">
        <v>51.27</v>
      </c>
      <c r="M310" s="38">
        <v>52.41</v>
      </c>
      <c r="N310" s="38">
        <v>52.36</v>
      </c>
      <c r="O310" s="38">
        <v>49.1</v>
      </c>
      <c r="P310" s="38">
        <v>43.33</v>
      </c>
      <c r="Q310" s="38">
        <v>39.26</v>
      </c>
      <c r="R310" s="38">
        <v>37.29</v>
      </c>
      <c r="S310" s="38">
        <v>37.15</v>
      </c>
      <c r="T310" s="38">
        <v>37.32</v>
      </c>
      <c r="U310" s="38">
        <v>38.380000000000003</v>
      </c>
      <c r="V310" s="38">
        <v>42.83</v>
      </c>
      <c r="W310" s="38">
        <v>46.12</v>
      </c>
      <c r="X310" s="38">
        <v>49.04</v>
      </c>
      <c r="Y310" s="38">
        <v>50.64</v>
      </c>
      <c r="Z310" s="38">
        <v>50.56</v>
      </c>
      <c r="AA310" s="38">
        <v>47.32</v>
      </c>
      <c r="AB310" s="38">
        <v>41.74</v>
      </c>
      <c r="AC310" s="38">
        <v>37.96</v>
      </c>
      <c r="AD310" s="38">
        <v>35.549999999999997</v>
      </c>
      <c r="AE310" s="38">
        <v>35.409999999999997</v>
      </c>
      <c r="AF310" s="38">
        <v>35.79</v>
      </c>
      <c r="AG310" s="38">
        <v>38.43</v>
      </c>
      <c r="AH310" s="38">
        <v>43.22</v>
      </c>
      <c r="AI310" s="38">
        <v>46.38</v>
      </c>
      <c r="AJ310" s="38">
        <v>48.09</v>
      </c>
      <c r="AK310" s="38">
        <v>49.07</v>
      </c>
      <c r="AL310" s="38">
        <v>47.89</v>
      </c>
      <c r="AM310" s="38">
        <v>44.74</v>
      </c>
      <c r="AN310" s="38">
        <v>39.28</v>
      </c>
      <c r="AO310" s="38">
        <v>37.200000000000003</v>
      </c>
      <c r="AP310" s="38">
        <v>36.03</v>
      </c>
      <c r="AQ310" s="38">
        <v>35.96</v>
      </c>
      <c r="AR310" s="38">
        <v>36.21</v>
      </c>
      <c r="AS310" s="38">
        <v>37.24</v>
      </c>
      <c r="AT310" s="38">
        <v>42.63</v>
      </c>
      <c r="AU310" s="38">
        <v>45.76</v>
      </c>
      <c r="AV310" s="38">
        <v>47.48</v>
      </c>
      <c r="AW310" s="38">
        <v>48.8</v>
      </c>
      <c r="AX310" s="38">
        <v>47.74</v>
      </c>
      <c r="AY310" s="38">
        <v>44.49</v>
      </c>
      <c r="BA310" s="37">
        <v>64.56</v>
      </c>
      <c r="BB310" s="38">
        <v>1.3937999999999999</v>
      </c>
    </row>
    <row r="311" spans="1:54" x14ac:dyDescent="0.35">
      <c r="A311" s="2">
        <f t="shared" si="4"/>
        <v>44257</v>
      </c>
      <c r="B311" t="s">
        <v>353</v>
      </c>
      <c r="C311" s="32">
        <v>44257</v>
      </c>
      <c r="D311" s="38">
        <v>40.51</v>
      </c>
      <c r="E311" s="38">
        <v>38.049999999999997</v>
      </c>
      <c r="F311" s="38">
        <v>38.200000000000003</v>
      </c>
      <c r="G311" s="38">
        <v>37.78</v>
      </c>
      <c r="H311" s="38">
        <v>38.479999999999997</v>
      </c>
      <c r="I311" s="38">
        <v>40</v>
      </c>
      <c r="J311" s="38">
        <v>42.58</v>
      </c>
      <c r="K311" s="38">
        <v>47.57</v>
      </c>
      <c r="L311" s="38">
        <v>50.77</v>
      </c>
      <c r="M311" s="38">
        <v>52.25</v>
      </c>
      <c r="N311" s="38">
        <v>52.22</v>
      </c>
      <c r="O311" s="38">
        <v>48.9</v>
      </c>
      <c r="P311" s="38">
        <v>43.01</v>
      </c>
      <c r="Q311" s="38">
        <v>38.85</v>
      </c>
      <c r="R311" s="38">
        <v>36.82</v>
      </c>
      <c r="S311" s="38">
        <v>36.619999999999997</v>
      </c>
      <c r="T311" s="38">
        <v>36.74</v>
      </c>
      <c r="U311" s="38">
        <v>37.799999999999997</v>
      </c>
      <c r="V311" s="38">
        <v>42.28</v>
      </c>
      <c r="W311" s="38">
        <v>45.59</v>
      </c>
      <c r="X311" s="38">
        <v>48.52</v>
      </c>
      <c r="Y311" s="38">
        <v>50.12</v>
      </c>
      <c r="Z311" s="38">
        <v>50.04</v>
      </c>
      <c r="AA311" s="38">
        <v>46.86</v>
      </c>
      <c r="AB311" s="38">
        <v>41.34</v>
      </c>
      <c r="AC311" s="38">
        <v>37.619999999999997</v>
      </c>
      <c r="AD311" s="38">
        <v>35.25</v>
      </c>
      <c r="AE311" s="38">
        <v>35.15</v>
      </c>
      <c r="AF311" s="38">
        <v>35.56</v>
      </c>
      <c r="AG311" s="38">
        <v>38.200000000000003</v>
      </c>
      <c r="AH311" s="38">
        <v>42.99</v>
      </c>
      <c r="AI311" s="38">
        <v>46.15</v>
      </c>
      <c r="AJ311" s="38">
        <v>47.86</v>
      </c>
      <c r="AK311" s="38">
        <v>48.84</v>
      </c>
      <c r="AL311" s="38">
        <v>47.66</v>
      </c>
      <c r="AM311" s="38">
        <v>44.51</v>
      </c>
      <c r="AN311" s="38">
        <v>39.049999999999997</v>
      </c>
      <c r="AO311" s="38">
        <v>36.97</v>
      </c>
      <c r="AP311" s="38">
        <v>35.799999999999997</v>
      </c>
      <c r="AQ311" s="38">
        <v>35.729999999999997</v>
      </c>
      <c r="AR311" s="38">
        <v>35.979999999999997</v>
      </c>
      <c r="AS311" s="38">
        <v>37.01</v>
      </c>
      <c r="AT311" s="38">
        <v>42.4</v>
      </c>
      <c r="AU311" s="38">
        <v>45.53</v>
      </c>
      <c r="AV311" s="38">
        <v>47.25</v>
      </c>
      <c r="AW311" s="38">
        <v>48.57</v>
      </c>
      <c r="AX311" s="38">
        <v>47.51</v>
      </c>
      <c r="AY311" s="38">
        <v>44.26</v>
      </c>
      <c r="BA311" s="37">
        <v>63.17</v>
      </c>
      <c r="BB311" s="38">
        <v>1.3948</v>
      </c>
    </row>
    <row r="312" spans="1:54" x14ac:dyDescent="0.35">
      <c r="A312" s="2">
        <f t="shared" si="4"/>
        <v>44258</v>
      </c>
      <c r="B312" t="s">
        <v>354</v>
      </c>
      <c r="C312" s="32">
        <v>44258</v>
      </c>
      <c r="D312" s="38">
        <v>38.79</v>
      </c>
      <c r="E312" s="38">
        <v>36.840000000000003</v>
      </c>
      <c r="F312" s="38">
        <v>37.14</v>
      </c>
      <c r="G312" s="38">
        <v>36.81</v>
      </c>
      <c r="H312" s="38">
        <v>37.520000000000003</v>
      </c>
      <c r="I312" s="38">
        <v>39.19</v>
      </c>
      <c r="J312" s="38">
        <v>42.09</v>
      </c>
      <c r="K312" s="38">
        <v>47.13</v>
      </c>
      <c r="L312" s="38">
        <v>50.43</v>
      </c>
      <c r="M312" s="38">
        <v>52.07</v>
      </c>
      <c r="N312" s="38">
        <v>52.23</v>
      </c>
      <c r="O312" s="38">
        <v>48.81</v>
      </c>
      <c r="P312" s="38">
        <v>42.64</v>
      </c>
      <c r="Q312" s="38">
        <v>38.33</v>
      </c>
      <c r="R312" s="38">
        <v>36.380000000000003</v>
      </c>
      <c r="S312" s="38">
        <v>36.5</v>
      </c>
      <c r="T312" s="38">
        <v>36.86</v>
      </c>
      <c r="U312" s="38">
        <v>38.01</v>
      </c>
      <c r="V312" s="38">
        <v>42.33</v>
      </c>
      <c r="W312" s="38">
        <v>45.48</v>
      </c>
      <c r="X312" s="38">
        <v>48.25</v>
      </c>
      <c r="Y312" s="38">
        <v>49.73</v>
      </c>
      <c r="Z312" s="38">
        <v>49.58</v>
      </c>
      <c r="AA312" s="38">
        <v>46.48</v>
      </c>
      <c r="AB312" s="38">
        <v>41.05</v>
      </c>
      <c r="AC312" s="38">
        <v>37.4</v>
      </c>
      <c r="AD312" s="38">
        <v>35.090000000000003</v>
      </c>
      <c r="AE312" s="38">
        <v>35.049999999999997</v>
      </c>
      <c r="AF312" s="38">
        <v>35.49</v>
      </c>
      <c r="AG312" s="38">
        <v>38.130000000000003</v>
      </c>
      <c r="AH312" s="38">
        <v>42.92</v>
      </c>
      <c r="AI312" s="38">
        <v>46.08</v>
      </c>
      <c r="AJ312" s="38">
        <v>47.79</v>
      </c>
      <c r="AK312" s="38">
        <v>48.77</v>
      </c>
      <c r="AL312" s="38">
        <v>47.59</v>
      </c>
      <c r="AM312" s="38">
        <v>44.44</v>
      </c>
      <c r="AN312" s="38">
        <v>38.979999999999997</v>
      </c>
      <c r="AO312" s="38">
        <v>36.9</v>
      </c>
      <c r="AP312" s="38">
        <v>35.729999999999997</v>
      </c>
      <c r="AQ312" s="38">
        <v>35.659999999999997</v>
      </c>
      <c r="AR312" s="38">
        <v>35.909999999999997</v>
      </c>
      <c r="AS312" s="38">
        <v>36.94</v>
      </c>
      <c r="AT312" s="38">
        <v>42.33</v>
      </c>
      <c r="AU312" s="38">
        <v>45.46</v>
      </c>
      <c r="AV312" s="38">
        <v>47.18</v>
      </c>
      <c r="AW312" s="38">
        <v>48.5</v>
      </c>
      <c r="AX312" s="38">
        <v>47.44</v>
      </c>
      <c r="AY312" s="38">
        <v>44.19</v>
      </c>
      <c r="BA312" s="37">
        <v>64.7</v>
      </c>
      <c r="BB312" s="38">
        <v>1.3974</v>
      </c>
    </row>
    <row r="313" spans="1:54" x14ac:dyDescent="0.35">
      <c r="A313" s="2">
        <f t="shared" si="4"/>
        <v>44259</v>
      </c>
      <c r="B313" t="s">
        <v>355</v>
      </c>
      <c r="C313" s="32">
        <v>44259</v>
      </c>
      <c r="D313" s="38">
        <v>39.83</v>
      </c>
      <c r="E313" s="38">
        <v>37.729999999999997</v>
      </c>
      <c r="F313" s="38">
        <v>38.1</v>
      </c>
      <c r="G313" s="38">
        <v>37.75</v>
      </c>
      <c r="H313" s="38">
        <v>38.340000000000003</v>
      </c>
      <c r="I313" s="38">
        <v>40.04</v>
      </c>
      <c r="J313" s="38">
        <v>42.97</v>
      </c>
      <c r="K313" s="38">
        <v>48.08</v>
      </c>
      <c r="L313" s="38">
        <v>51.4</v>
      </c>
      <c r="M313" s="38">
        <v>52.86</v>
      </c>
      <c r="N313" s="38">
        <v>52.91</v>
      </c>
      <c r="O313" s="38">
        <v>49.38</v>
      </c>
      <c r="P313" s="38">
        <v>43.06</v>
      </c>
      <c r="Q313" s="38">
        <v>38.65</v>
      </c>
      <c r="R313" s="38">
        <v>36.619999999999997</v>
      </c>
      <c r="S313" s="38">
        <v>36.74</v>
      </c>
      <c r="T313" s="38">
        <v>37.1</v>
      </c>
      <c r="U313" s="38">
        <v>38.25</v>
      </c>
      <c r="V313" s="38">
        <v>42.53</v>
      </c>
      <c r="W313" s="38">
        <v>45.64</v>
      </c>
      <c r="X313" s="38">
        <v>48.42</v>
      </c>
      <c r="Y313" s="38">
        <v>49.92</v>
      </c>
      <c r="Z313" s="38">
        <v>49.79</v>
      </c>
      <c r="AA313" s="38">
        <v>46.71</v>
      </c>
      <c r="AB313" s="38">
        <v>41.32</v>
      </c>
      <c r="AC313" s="38">
        <v>37.71</v>
      </c>
      <c r="AD313" s="38">
        <v>35.44</v>
      </c>
      <c r="AE313" s="38">
        <v>35.42</v>
      </c>
      <c r="AF313" s="38">
        <v>35.86</v>
      </c>
      <c r="AG313" s="38">
        <v>38.42</v>
      </c>
      <c r="AH313" s="38">
        <v>43.13</v>
      </c>
      <c r="AI313" s="38">
        <v>46.24</v>
      </c>
      <c r="AJ313" s="38">
        <v>47.92</v>
      </c>
      <c r="AK313" s="38">
        <v>48.88</v>
      </c>
      <c r="AL313" s="38">
        <v>47.67</v>
      </c>
      <c r="AM313" s="38">
        <v>44.52</v>
      </c>
      <c r="AN313" s="38">
        <v>39.06</v>
      </c>
      <c r="AO313" s="38">
        <v>36.979999999999997</v>
      </c>
      <c r="AP313" s="38">
        <v>35.81</v>
      </c>
      <c r="AQ313" s="38">
        <v>35.74</v>
      </c>
      <c r="AR313" s="38">
        <v>35.99</v>
      </c>
      <c r="AS313" s="38">
        <v>37.020000000000003</v>
      </c>
      <c r="AT313" s="38">
        <v>42.41</v>
      </c>
      <c r="AU313" s="38">
        <v>45.54</v>
      </c>
      <c r="AV313" s="38">
        <v>47.26</v>
      </c>
      <c r="AW313" s="38">
        <v>48.58</v>
      </c>
      <c r="AX313" s="38">
        <v>47.52</v>
      </c>
      <c r="AY313" s="38">
        <v>44.27</v>
      </c>
      <c r="BA313" s="37">
        <v>67.319999999999993</v>
      </c>
      <c r="BB313" s="38">
        <v>1.3991</v>
      </c>
    </row>
    <row r="314" spans="1:54" x14ac:dyDescent="0.35">
      <c r="A314" s="2">
        <f t="shared" si="4"/>
        <v>44260</v>
      </c>
      <c r="B314" t="s">
        <v>356</v>
      </c>
      <c r="C314" s="32">
        <v>44260</v>
      </c>
      <c r="D314" s="38">
        <v>41.25</v>
      </c>
      <c r="E314" s="38">
        <v>39.22</v>
      </c>
      <c r="F314" s="38">
        <v>39.5</v>
      </c>
      <c r="G314" s="38">
        <v>39.090000000000003</v>
      </c>
      <c r="H314" s="38">
        <v>40.15</v>
      </c>
      <c r="I314" s="38">
        <v>41.15</v>
      </c>
      <c r="J314" s="38">
        <v>44.27</v>
      </c>
      <c r="K314" s="38">
        <v>49.37</v>
      </c>
      <c r="L314" s="38">
        <v>52.57</v>
      </c>
      <c r="M314" s="38">
        <v>54.12</v>
      </c>
      <c r="N314" s="38">
        <v>54.14</v>
      </c>
      <c r="O314" s="38">
        <v>50.56</v>
      </c>
      <c r="P314" s="38">
        <v>43.96</v>
      </c>
      <c r="Q314" s="38">
        <v>39.33</v>
      </c>
      <c r="R314" s="38">
        <v>37.14</v>
      </c>
      <c r="S314" s="38">
        <v>37.299999999999997</v>
      </c>
      <c r="T314" s="38">
        <v>37.72</v>
      </c>
      <c r="U314" s="38">
        <v>38.93</v>
      </c>
      <c r="V314" s="38">
        <v>43.41</v>
      </c>
      <c r="W314" s="38">
        <v>46.56</v>
      </c>
      <c r="X314" s="38">
        <v>49.29</v>
      </c>
      <c r="Y314" s="38">
        <v>50.71</v>
      </c>
      <c r="Z314" s="38">
        <v>50.52</v>
      </c>
      <c r="AA314" s="38">
        <v>47.38</v>
      </c>
      <c r="AB314" s="38">
        <v>41.99</v>
      </c>
      <c r="AC314" s="38">
        <v>38.380000000000003</v>
      </c>
      <c r="AD314" s="38">
        <v>36.1</v>
      </c>
      <c r="AE314" s="38">
        <v>36.07</v>
      </c>
      <c r="AF314" s="38">
        <v>36.5</v>
      </c>
      <c r="AG314" s="38">
        <v>39.049999999999997</v>
      </c>
      <c r="AH314" s="38">
        <v>43.73</v>
      </c>
      <c r="AI314" s="38">
        <v>46.81</v>
      </c>
      <c r="AJ314" s="38">
        <v>48.46</v>
      </c>
      <c r="AK314" s="38">
        <v>49.39</v>
      </c>
      <c r="AL314" s="38">
        <v>48.15</v>
      </c>
      <c r="AM314" s="38">
        <v>44.97</v>
      </c>
      <c r="AN314" s="38">
        <v>39.42</v>
      </c>
      <c r="AO314" s="38">
        <v>37.25</v>
      </c>
      <c r="AP314" s="38">
        <v>35.99</v>
      </c>
      <c r="AQ314" s="38">
        <v>35.86</v>
      </c>
      <c r="AR314" s="38">
        <v>36.090000000000003</v>
      </c>
      <c r="AS314" s="38">
        <v>37.119999999999997</v>
      </c>
      <c r="AT314" s="38">
        <v>42.51</v>
      </c>
      <c r="AU314" s="38">
        <v>45.64</v>
      </c>
      <c r="AV314" s="38">
        <v>47.36</v>
      </c>
      <c r="AW314" s="38">
        <v>48.68</v>
      </c>
      <c r="AX314" s="38">
        <v>47.62</v>
      </c>
      <c r="AY314" s="38">
        <v>44.37</v>
      </c>
      <c r="BA314" s="37">
        <v>69.95</v>
      </c>
      <c r="BB314" s="38">
        <v>1.3816999999999999</v>
      </c>
    </row>
    <row r="315" spans="1:54" x14ac:dyDescent="0.35">
      <c r="A315" s="2">
        <f t="shared" si="4"/>
        <v>44263</v>
      </c>
      <c r="B315" t="s">
        <v>357</v>
      </c>
      <c r="C315" s="32">
        <v>44263</v>
      </c>
      <c r="D315" s="38">
        <v>40.4</v>
      </c>
      <c r="E315" s="38">
        <v>38.4</v>
      </c>
      <c r="F315" s="38">
        <v>38.79</v>
      </c>
      <c r="G315" s="38">
        <v>38.44</v>
      </c>
      <c r="H315" s="38">
        <v>39.200000000000003</v>
      </c>
      <c r="I315" s="38">
        <v>40.39</v>
      </c>
      <c r="J315" s="38">
        <v>43.7</v>
      </c>
      <c r="K315" s="38">
        <v>48.89</v>
      </c>
      <c r="L315" s="38">
        <v>52.15</v>
      </c>
      <c r="M315" s="38">
        <v>53.73</v>
      </c>
      <c r="N315" s="38">
        <v>53.9</v>
      </c>
      <c r="O315" s="38">
        <v>50.32</v>
      </c>
      <c r="P315" s="38">
        <v>43.77</v>
      </c>
      <c r="Q315" s="38">
        <v>39.08</v>
      </c>
      <c r="R315" s="38">
        <v>36.85</v>
      </c>
      <c r="S315" s="38">
        <v>37.01</v>
      </c>
      <c r="T315" s="38">
        <v>37.43</v>
      </c>
      <c r="U315" s="38">
        <v>38.74</v>
      </c>
      <c r="V315" s="38">
        <v>43.3</v>
      </c>
      <c r="W315" s="38">
        <v>46.53</v>
      </c>
      <c r="X315" s="38">
        <v>49.33</v>
      </c>
      <c r="Y315" s="38">
        <v>50.75</v>
      </c>
      <c r="Z315" s="38">
        <v>50.56</v>
      </c>
      <c r="AA315" s="38">
        <v>47.37</v>
      </c>
      <c r="AB315" s="38">
        <v>41.93</v>
      </c>
      <c r="AC315" s="38">
        <v>38.270000000000003</v>
      </c>
      <c r="AD315" s="38">
        <v>35.96</v>
      </c>
      <c r="AE315" s="38">
        <v>35.93</v>
      </c>
      <c r="AF315" s="38">
        <v>36.42</v>
      </c>
      <c r="AG315" s="38">
        <v>39.020000000000003</v>
      </c>
      <c r="AH315" s="38">
        <v>43.75</v>
      </c>
      <c r="AI315" s="38">
        <v>46.86</v>
      </c>
      <c r="AJ315" s="38">
        <v>48.57</v>
      </c>
      <c r="AK315" s="38">
        <v>49.52</v>
      </c>
      <c r="AL315" s="38">
        <v>48.28</v>
      </c>
      <c r="AM315" s="38">
        <v>45.1</v>
      </c>
      <c r="AN315" s="38">
        <v>39.51</v>
      </c>
      <c r="AO315" s="38">
        <v>37.31</v>
      </c>
      <c r="AP315" s="38">
        <v>36.049999999999997</v>
      </c>
      <c r="AQ315" s="38">
        <v>35.92</v>
      </c>
      <c r="AR315" s="38">
        <v>36.15</v>
      </c>
      <c r="AS315" s="38">
        <v>37.18</v>
      </c>
      <c r="AT315" s="38">
        <v>42.57</v>
      </c>
      <c r="AU315" s="38">
        <v>45.7</v>
      </c>
      <c r="AV315" s="38">
        <v>47.42</v>
      </c>
      <c r="AW315" s="38">
        <v>48.74</v>
      </c>
      <c r="AX315" s="38">
        <v>47.68</v>
      </c>
      <c r="AY315" s="38">
        <v>44.43</v>
      </c>
      <c r="BA315" s="37">
        <v>68</v>
      </c>
      <c r="BB315" s="38">
        <v>1.3812</v>
      </c>
    </row>
    <row r="316" spans="1:54" x14ac:dyDescent="0.35">
      <c r="A316" s="2">
        <f t="shared" si="4"/>
        <v>44264</v>
      </c>
      <c r="B316" t="s">
        <v>358</v>
      </c>
      <c r="C316" s="32">
        <v>44264</v>
      </c>
      <c r="D316" s="38">
        <v>42.78</v>
      </c>
      <c r="E316" s="38">
        <v>40.36</v>
      </c>
      <c r="F316" s="38">
        <v>40.64</v>
      </c>
      <c r="G316" s="38">
        <v>40.04</v>
      </c>
      <c r="H316" s="38">
        <v>40.94</v>
      </c>
      <c r="I316" s="38">
        <v>42.19</v>
      </c>
      <c r="J316" s="38">
        <v>45.16</v>
      </c>
      <c r="K316" s="38">
        <v>50.21</v>
      </c>
      <c r="L316" s="38">
        <v>53.32</v>
      </c>
      <c r="M316" s="38">
        <v>54.75</v>
      </c>
      <c r="N316" s="38">
        <v>54.89</v>
      </c>
      <c r="O316" s="38">
        <v>51.29</v>
      </c>
      <c r="P316" s="38">
        <v>44.69</v>
      </c>
      <c r="Q316" s="38">
        <v>39.89</v>
      </c>
      <c r="R316" s="38">
        <v>37.54</v>
      </c>
      <c r="S316" s="38">
        <v>37.590000000000003</v>
      </c>
      <c r="T316" s="38">
        <v>38.01</v>
      </c>
      <c r="U316" s="38">
        <v>39.32</v>
      </c>
      <c r="V316" s="38">
        <v>43.86</v>
      </c>
      <c r="W316" s="38">
        <v>47.07</v>
      </c>
      <c r="X316" s="38">
        <v>49.87</v>
      </c>
      <c r="Y316" s="38">
        <v>51.29</v>
      </c>
      <c r="Z316" s="38">
        <v>51.1</v>
      </c>
      <c r="AA316" s="38">
        <v>47.83</v>
      </c>
      <c r="AB316" s="38">
        <v>42.25</v>
      </c>
      <c r="AC316" s="38">
        <v>38.46</v>
      </c>
      <c r="AD316" s="38">
        <v>36.049999999999997</v>
      </c>
      <c r="AE316" s="38">
        <v>35.92</v>
      </c>
      <c r="AF316" s="38">
        <v>36.36</v>
      </c>
      <c r="AG316" s="38">
        <v>38.99</v>
      </c>
      <c r="AH316" s="38">
        <v>43.77</v>
      </c>
      <c r="AI316" s="38">
        <v>46.93</v>
      </c>
      <c r="AJ316" s="38">
        <v>48.69</v>
      </c>
      <c r="AK316" s="38">
        <v>49.64</v>
      </c>
      <c r="AL316" s="38">
        <v>48.4</v>
      </c>
      <c r="AM316" s="38">
        <v>45.22</v>
      </c>
      <c r="AN316" s="38">
        <v>39.630000000000003</v>
      </c>
      <c r="AO316" s="38">
        <v>37.43</v>
      </c>
      <c r="AP316" s="38">
        <v>36.17</v>
      </c>
      <c r="AQ316" s="38">
        <v>36.04</v>
      </c>
      <c r="AR316" s="38">
        <v>36.270000000000003</v>
      </c>
      <c r="AS316" s="38">
        <v>37.299999999999997</v>
      </c>
      <c r="AT316" s="38">
        <v>42.69</v>
      </c>
      <c r="AU316" s="38">
        <v>45.82</v>
      </c>
      <c r="AV316" s="38">
        <v>47.54</v>
      </c>
      <c r="AW316" s="38">
        <v>48.86</v>
      </c>
      <c r="AX316" s="38">
        <v>47.8</v>
      </c>
      <c r="AY316" s="38">
        <v>44.55</v>
      </c>
      <c r="BA316" s="37">
        <v>67.03</v>
      </c>
      <c r="BB316" s="38">
        <v>1.3893</v>
      </c>
    </row>
    <row r="317" spans="1:54" x14ac:dyDescent="0.35">
      <c r="A317" s="2">
        <f t="shared" si="4"/>
        <v>44265</v>
      </c>
      <c r="B317" t="s">
        <v>359</v>
      </c>
      <c r="C317" s="32">
        <v>44265</v>
      </c>
      <c r="D317" s="38">
        <v>44.89</v>
      </c>
      <c r="E317" s="38">
        <v>42.27</v>
      </c>
      <c r="F317" s="38">
        <v>42.61</v>
      </c>
      <c r="G317" s="38">
        <v>41.77</v>
      </c>
      <c r="H317" s="38">
        <v>42.43</v>
      </c>
      <c r="I317" s="38">
        <v>43.78</v>
      </c>
      <c r="J317" s="38">
        <v>46.55</v>
      </c>
      <c r="K317" s="38">
        <v>51.55</v>
      </c>
      <c r="L317" s="38">
        <v>54.55</v>
      </c>
      <c r="M317" s="38">
        <v>56.15</v>
      </c>
      <c r="N317" s="38">
        <v>56.22</v>
      </c>
      <c r="O317" s="38">
        <v>52.52</v>
      </c>
      <c r="P317" s="38">
        <v>45.68</v>
      </c>
      <c r="Q317" s="38">
        <v>40.729999999999997</v>
      </c>
      <c r="R317" s="38">
        <v>38.229999999999997</v>
      </c>
      <c r="S317" s="38">
        <v>38.17</v>
      </c>
      <c r="T317" s="38">
        <v>38.590000000000003</v>
      </c>
      <c r="U317" s="38">
        <v>39.92</v>
      </c>
      <c r="V317" s="38">
        <v>44.54</v>
      </c>
      <c r="W317" s="38">
        <v>47.79</v>
      </c>
      <c r="X317" s="38">
        <v>50.63</v>
      </c>
      <c r="Y317" s="38">
        <v>51.99</v>
      </c>
      <c r="Z317" s="38">
        <v>51.71</v>
      </c>
      <c r="AA317" s="38">
        <v>48.35</v>
      </c>
      <c r="AB317" s="38">
        <v>42.65</v>
      </c>
      <c r="AC317" s="38">
        <v>38.72</v>
      </c>
      <c r="AD317" s="38">
        <v>36.17</v>
      </c>
      <c r="AE317" s="38">
        <v>35.92</v>
      </c>
      <c r="AF317" s="38">
        <v>36.28</v>
      </c>
      <c r="AG317" s="38">
        <v>38.96</v>
      </c>
      <c r="AH317" s="38">
        <v>43.81</v>
      </c>
      <c r="AI317" s="38">
        <v>47.04</v>
      </c>
      <c r="AJ317" s="38">
        <v>48.87</v>
      </c>
      <c r="AK317" s="38">
        <v>49.87</v>
      </c>
      <c r="AL317" s="38">
        <v>48.64</v>
      </c>
      <c r="AM317" s="38">
        <v>45.46</v>
      </c>
      <c r="AN317" s="38">
        <v>39.869999999999997</v>
      </c>
      <c r="AO317" s="38">
        <v>37.67</v>
      </c>
      <c r="AP317" s="38">
        <v>36.409999999999997</v>
      </c>
      <c r="AQ317" s="38">
        <v>36.28</v>
      </c>
      <c r="AR317" s="38">
        <v>36.51</v>
      </c>
      <c r="AS317" s="38">
        <v>37.54</v>
      </c>
      <c r="AT317" s="38">
        <v>42.93</v>
      </c>
      <c r="AU317" s="38">
        <v>46.06</v>
      </c>
      <c r="AV317" s="38">
        <v>47.78</v>
      </c>
      <c r="AW317" s="38">
        <v>49.1</v>
      </c>
      <c r="AX317" s="38">
        <v>48.04</v>
      </c>
      <c r="AY317" s="38">
        <v>44.79</v>
      </c>
      <c r="BA317" s="37">
        <v>67.53</v>
      </c>
      <c r="BB317" s="38">
        <v>1.3904000000000001</v>
      </c>
    </row>
    <row r="318" spans="1:54" x14ac:dyDescent="0.35">
      <c r="A318" s="2">
        <f t="shared" si="4"/>
        <v>44266</v>
      </c>
      <c r="B318" t="s">
        <v>360</v>
      </c>
      <c r="C318" s="32">
        <v>44266</v>
      </c>
      <c r="D318" s="38">
        <v>46.58</v>
      </c>
      <c r="E318" s="38">
        <v>43.85</v>
      </c>
      <c r="F318" s="38">
        <v>44.19</v>
      </c>
      <c r="G318" s="38">
        <v>43.48</v>
      </c>
      <c r="H318" s="38">
        <v>43.9</v>
      </c>
      <c r="I318" s="38">
        <v>45.39</v>
      </c>
      <c r="J318" s="38">
        <v>47.74</v>
      </c>
      <c r="K318" s="38">
        <v>53.14</v>
      </c>
      <c r="L318" s="38">
        <v>55.75</v>
      </c>
      <c r="M318" s="38">
        <v>57.2</v>
      </c>
      <c r="N318" s="38">
        <v>57.24</v>
      </c>
      <c r="O318" s="38">
        <v>53.5</v>
      </c>
      <c r="P318" s="38">
        <v>46.88</v>
      </c>
      <c r="Q318" s="38">
        <v>41.89</v>
      </c>
      <c r="R318" s="38">
        <v>39.35</v>
      </c>
      <c r="S318" s="38">
        <v>39.29</v>
      </c>
      <c r="T318" s="38">
        <v>39.71</v>
      </c>
      <c r="U318" s="38">
        <v>41.03</v>
      </c>
      <c r="V318" s="38">
        <v>45.61</v>
      </c>
      <c r="W318" s="38">
        <v>48.79</v>
      </c>
      <c r="X318" s="38">
        <v>51.56</v>
      </c>
      <c r="Y318" s="38">
        <v>52.8</v>
      </c>
      <c r="Z318" s="38">
        <v>52.45</v>
      </c>
      <c r="AA318" s="38">
        <v>49</v>
      </c>
      <c r="AB318" s="38">
        <v>43.21</v>
      </c>
      <c r="AC318" s="38">
        <v>39.19</v>
      </c>
      <c r="AD318" s="38">
        <v>36.549999999999997</v>
      </c>
      <c r="AE318" s="38">
        <v>36.229999999999997</v>
      </c>
      <c r="AF318" s="38">
        <v>36.520000000000003</v>
      </c>
      <c r="AG318" s="38">
        <v>39.14</v>
      </c>
      <c r="AH318" s="38">
        <v>43.96</v>
      </c>
      <c r="AI318" s="38">
        <v>47.16</v>
      </c>
      <c r="AJ318" s="38">
        <v>48.96</v>
      </c>
      <c r="AK318" s="38">
        <v>49.96</v>
      </c>
      <c r="AL318" s="38">
        <v>48.73</v>
      </c>
      <c r="AM318" s="38">
        <v>45.55</v>
      </c>
      <c r="AN318" s="38">
        <v>39.97</v>
      </c>
      <c r="AO318" s="38">
        <v>37.78</v>
      </c>
      <c r="AP318" s="38">
        <v>36.520000000000003</v>
      </c>
      <c r="AQ318" s="38">
        <v>36.39</v>
      </c>
      <c r="AR318" s="38">
        <v>36.619999999999997</v>
      </c>
      <c r="AS318" s="38">
        <v>37.65</v>
      </c>
      <c r="AT318" s="38">
        <v>43.03</v>
      </c>
      <c r="AU318" s="38">
        <v>46.16</v>
      </c>
      <c r="AV318" s="38">
        <v>47.88</v>
      </c>
      <c r="AW318" s="38">
        <v>49.2</v>
      </c>
      <c r="AX318" s="38">
        <v>48.14</v>
      </c>
      <c r="AY318" s="38">
        <v>44.89</v>
      </c>
      <c r="BA318" s="37">
        <v>69.34</v>
      </c>
      <c r="BB318" s="38">
        <v>1.3969</v>
      </c>
    </row>
    <row r="319" spans="1:54" x14ac:dyDescent="0.35">
      <c r="A319" s="2">
        <f t="shared" si="4"/>
        <v>44267</v>
      </c>
      <c r="B319" t="s">
        <v>361</v>
      </c>
      <c r="C319" s="32">
        <v>44267</v>
      </c>
      <c r="D319" s="38">
        <v>47.5</v>
      </c>
      <c r="E319" s="38">
        <v>44.89</v>
      </c>
      <c r="F319" s="38">
        <v>45.12</v>
      </c>
      <c r="G319" s="38">
        <v>44.46</v>
      </c>
      <c r="H319" s="38">
        <v>44.71</v>
      </c>
      <c r="I319" s="38">
        <v>46.16</v>
      </c>
      <c r="J319" s="38">
        <v>48.69</v>
      </c>
      <c r="K319" s="38">
        <v>54.1</v>
      </c>
      <c r="L319" s="38">
        <v>56.72</v>
      </c>
      <c r="M319" s="38">
        <v>58.13</v>
      </c>
      <c r="N319" s="38">
        <v>58.23</v>
      </c>
      <c r="O319" s="38">
        <v>54.37</v>
      </c>
      <c r="P319" s="38">
        <v>47.64</v>
      </c>
      <c r="Q319" s="38">
        <v>42.52</v>
      </c>
      <c r="R319" s="38">
        <v>39.82</v>
      </c>
      <c r="S319" s="38">
        <v>39.590000000000003</v>
      </c>
      <c r="T319" s="38">
        <v>39.840000000000003</v>
      </c>
      <c r="U319" s="38">
        <v>41.1</v>
      </c>
      <c r="V319" s="38">
        <v>45.6</v>
      </c>
      <c r="W319" s="38">
        <v>48.82</v>
      </c>
      <c r="X319" s="38">
        <v>51.73</v>
      </c>
      <c r="Y319" s="38">
        <v>53.2</v>
      </c>
      <c r="Z319" s="38">
        <v>53.05</v>
      </c>
      <c r="AA319" s="38">
        <v>49.62</v>
      </c>
      <c r="AB319" s="38">
        <v>43.67</v>
      </c>
      <c r="AC319" s="38">
        <v>39.49</v>
      </c>
      <c r="AD319" s="38">
        <v>36.700000000000003</v>
      </c>
      <c r="AE319" s="38">
        <v>36.229999999999997</v>
      </c>
      <c r="AF319" s="38">
        <v>36.46</v>
      </c>
      <c r="AG319" s="38">
        <v>39.159999999999997</v>
      </c>
      <c r="AH319" s="38">
        <v>44.13</v>
      </c>
      <c r="AI319" s="38">
        <v>47.48</v>
      </c>
      <c r="AJ319" s="38">
        <v>49.47</v>
      </c>
      <c r="AK319" s="38">
        <v>50.52</v>
      </c>
      <c r="AL319" s="38">
        <v>49.33</v>
      </c>
      <c r="AM319" s="38">
        <v>46.11</v>
      </c>
      <c r="AN319" s="38">
        <v>40.369999999999997</v>
      </c>
      <c r="AO319" s="38">
        <v>38.04</v>
      </c>
      <c r="AP319" s="38">
        <v>36.65</v>
      </c>
      <c r="AQ319" s="38">
        <v>36.42</v>
      </c>
      <c r="AR319" s="38">
        <v>36.65</v>
      </c>
      <c r="AS319" s="38">
        <v>37.68</v>
      </c>
      <c r="AT319" s="38">
        <v>43.11</v>
      </c>
      <c r="AU319" s="38">
        <v>46.29</v>
      </c>
      <c r="AV319" s="38">
        <v>48.05</v>
      </c>
      <c r="AW319" s="38">
        <v>49.38</v>
      </c>
      <c r="AX319" s="38">
        <v>48.32</v>
      </c>
      <c r="AY319" s="38">
        <v>45.07</v>
      </c>
      <c r="BA319" s="37">
        <v>68.87</v>
      </c>
      <c r="BB319" s="38">
        <v>1.3893</v>
      </c>
    </row>
    <row r="320" spans="1:54" x14ac:dyDescent="0.35">
      <c r="A320" s="2">
        <f t="shared" si="4"/>
        <v>44270</v>
      </c>
      <c r="B320" t="s">
        <v>362</v>
      </c>
      <c r="C320" s="32">
        <v>44270</v>
      </c>
      <c r="D320" s="38">
        <v>45.29</v>
      </c>
      <c r="E320" s="38">
        <v>43.2</v>
      </c>
      <c r="F320" s="38">
        <v>43.61</v>
      </c>
      <c r="G320" s="38">
        <v>43.01</v>
      </c>
      <c r="H320" s="38">
        <v>43.45</v>
      </c>
      <c r="I320" s="38">
        <v>44.79</v>
      </c>
      <c r="J320" s="38">
        <v>47.54</v>
      </c>
      <c r="K320" s="38">
        <v>52.92</v>
      </c>
      <c r="L320" s="38">
        <v>56.12</v>
      </c>
      <c r="M320" s="38">
        <v>57.8</v>
      </c>
      <c r="N320" s="38">
        <v>57.8</v>
      </c>
      <c r="O320" s="38">
        <v>53.2</v>
      </c>
      <c r="P320" s="38">
        <v>46.7</v>
      </c>
      <c r="Q320" s="38">
        <v>41.73</v>
      </c>
      <c r="R320" s="38">
        <v>39.19</v>
      </c>
      <c r="S320" s="38">
        <v>39.03</v>
      </c>
      <c r="T320" s="38">
        <v>39.28</v>
      </c>
      <c r="U320" s="38">
        <v>40.54</v>
      </c>
      <c r="V320" s="38">
        <v>45.06</v>
      </c>
      <c r="W320" s="38">
        <v>48.3</v>
      </c>
      <c r="X320" s="38">
        <v>51.21</v>
      </c>
      <c r="Y320" s="38">
        <v>52.65</v>
      </c>
      <c r="Z320" s="38">
        <v>52.5</v>
      </c>
      <c r="AA320" s="38">
        <v>49.07</v>
      </c>
      <c r="AB320" s="38">
        <v>43.19</v>
      </c>
      <c r="AC320" s="38">
        <v>39.08</v>
      </c>
      <c r="AD320" s="38">
        <v>36.29</v>
      </c>
      <c r="AE320" s="38">
        <v>35.82</v>
      </c>
      <c r="AF320" s="38">
        <v>36.049999999999997</v>
      </c>
      <c r="AG320" s="38">
        <v>38.67</v>
      </c>
      <c r="AH320" s="38">
        <v>43.68</v>
      </c>
      <c r="AI320" s="38">
        <v>47.07</v>
      </c>
      <c r="AJ320" s="38">
        <v>49.16</v>
      </c>
      <c r="AK320" s="38">
        <v>50.22</v>
      </c>
      <c r="AL320" s="38">
        <v>49.09</v>
      </c>
      <c r="AM320" s="38">
        <v>45.87</v>
      </c>
      <c r="AN320" s="38">
        <v>40.11</v>
      </c>
      <c r="AO320" s="38">
        <v>37.729999999999997</v>
      </c>
      <c r="AP320" s="38">
        <v>36.31</v>
      </c>
      <c r="AQ320" s="38">
        <v>36.06</v>
      </c>
      <c r="AR320" s="38">
        <v>36.299999999999997</v>
      </c>
      <c r="AS320" s="38">
        <v>37.33</v>
      </c>
      <c r="AT320" s="38">
        <v>42.77</v>
      </c>
      <c r="AU320" s="38">
        <v>45.96</v>
      </c>
      <c r="AV320" s="38">
        <v>47.72</v>
      </c>
      <c r="AW320" s="38">
        <v>49.05</v>
      </c>
      <c r="AX320" s="38">
        <v>47.99</v>
      </c>
      <c r="AY320" s="38">
        <v>44.74</v>
      </c>
      <c r="BA320" s="37">
        <v>68.78</v>
      </c>
      <c r="BB320" s="38">
        <v>1.3862000000000001</v>
      </c>
    </row>
    <row r="321" spans="1:54" x14ac:dyDescent="0.35">
      <c r="A321" s="2">
        <f t="shared" si="4"/>
        <v>44271</v>
      </c>
      <c r="B321" t="s">
        <v>363</v>
      </c>
      <c r="C321" s="32">
        <v>44271</v>
      </c>
      <c r="D321" s="38">
        <v>44.05</v>
      </c>
      <c r="E321" s="38">
        <v>42.1</v>
      </c>
      <c r="F321" s="38">
        <v>42.59</v>
      </c>
      <c r="G321" s="38">
        <v>42.01</v>
      </c>
      <c r="H321" s="38">
        <v>42.44</v>
      </c>
      <c r="I321" s="38">
        <v>44</v>
      </c>
      <c r="J321" s="38">
        <v>46.98</v>
      </c>
      <c r="K321" s="38">
        <v>51.98</v>
      </c>
      <c r="L321" s="38">
        <v>55.24</v>
      </c>
      <c r="M321" s="38">
        <v>56.6</v>
      </c>
      <c r="N321" s="38">
        <v>56.6</v>
      </c>
      <c r="O321" s="38">
        <v>52.25</v>
      </c>
      <c r="P321" s="38">
        <v>45.93</v>
      </c>
      <c r="Q321" s="38">
        <v>41.06</v>
      </c>
      <c r="R321" s="38">
        <v>38.520000000000003</v>
      </c>
      <c r="S321" s="38">
        <v>38.36</v>
      </c>
      <c r="T321" s="38">
        <v>38.659999999999997</v>
      </c>
      <c r="U321" s="38">
        <v>39.96</v>
      </c>
      <c r="V321" s="38">
        <v>44.52</v>
      </c>
      <c r="W321" s="38">
        <v>47.79</v>
      </c>
      <c r="X321" s="38">
        <v>50.73</v>
      </c>
      <c r="Y321" s="38">
        <v>52.17</v>
      </c>
      <c r="Z321" s="38">
        <v>52.02</v>
      </c>
      <c r="AA321" s="38">
        <v>48.59</v>
      </c>
      <c r="AB321" s="38">
        <v>42.71</v>
      </c>
      <c r="AC321" s="38">
        <v>38.6</v>
      </c>
      <c r="AD321" s="38">
        <v>35.81</v>
      </c>
      <c r="AE321" s="38">
        <v>35.340000000000003</v>
      </c>
      <c r="AF321" s="38">
        <v>35.57</v>
      </c>
      <c r="AG321" s="38">
        <v>38.200000000000003</v>
      </c>
      <c r="AH321" s="38">
        <v>43.24</v>
      </c>
      <c r="AI321" s="38">
        <v>46.65</v>
      </c>
      <c r="AJ321" s="38">
        <v>48.76</v>
      </c>
      <c r="AK321" s="38">
        <v>49.82</v>
      </c>
      <c r="AL321" s="38">
        <v>48.69</v>
      </c>
      <c r="AM321" s="38">
        <v>45.49</v>
      </c>
      <c r="AN321" s="38">
        <v>39.729999999999997</v>
      </c>
      <c r="AO321" s="38">
        <v>37.35</v>
      </c>
      <c r="AP321" s="38">
        <v>35.93</v>
      </c>
      <c r="AQ321" s="38">
        <v>35.68</v>
      </c>
      <c r="AR321" s="38">
        <v>35.92</v>
      </c>
      <c r="AS321" s="38">
        <v>36.950000000000003</v>
      </c>
      <c r="AT321" s="38">
        <v>42.39</v>
      </c>
      <c r="AU321" s="38">
        <v>45.58</v>
      </c>
      <c r="AV321" s="38">
        <v>47.34</v>
      </c>
      <c r="AW321" s="38">
        <v>48.67</v>
      </c>
      <c r="AX321" s="38">
        <v>47.61</v>
      </c>
      <c r="AY321" s="38">
        <v>44.36</v>
      </c>
      <c r="BA321" s="37">
        <v>67.95</v>
      </c>
      <c r="BB321" s="38">
        <v>1.3892</v>
      </c>
    </row>
    <row r="322" spans="1:54" x14ac:dyDescent="0.35">
      <c r="A322" s="2">
        <f t="shared" si="4"/>
        <v>44272</v>
      </c>
      <c r="B322" t="s">
        <v>364</v>
      </c>
      <c r="C322" s="32">
        <v>44272</v>
      </c>
      <c r="D322" s="38">
        <v>45.17</v>
      </c>
      <c r="E322" s="38">
        <v>42.96</v>
      </c>
      <c r="F322" s="38">
        <v>43.25</v>
      </c>
      <c r="G322" s="38">
        <v>42.55</v>
      </c>
      <c r="H322" s="38">
        <v>42.95</v>
      </c>
      <c r="I322" s="38">
        <v>44.48</v>
      </c>
      <c r="J322" s="38">
        <v>47.25</v>
      </c>
      <c r="K322" s="38">
        <v>52.2</v>
      </c>
      <c r="L322" s="38">
        <v>55.5</v>
      </c>
      <c r="M322" s="38">
        <v>56.89</v>
      </c>
      <c r="N322" s="38">
        <v>56.89</v>
      </c>
      <c r="O322" s="38">
        <v>52.45</v>
      </c>
      <c r="P322" s="38">
        <v>46.09</v>
      </c>
      <c r="Q322" s="38">
        <v>41.22</v>
      </c>
      <c r="R322" s="38">
        <v>38.68</v>
      </c>
      <c r="S322" s="38">
        <v>38.520000000000003</v>
      </c>
      <c r="T322" s="38">
        <v>38.82</v>
      </c>
      <c r="U322" s="38">
        <v>40.119999999999997</v>
      </c>
      <c r="V322" s="38">
        <v>44.66</v>
      </c>
      <c r="W322" s="38">
        <v>47.93</v>
      </c>
      <c r="X322" s="38">
        <v>50.87</v>
      </c>
      <c r="Y322" s="38">
        <v>52.31</v>
      </c>
      <c r="Z322" s="38">
        <v>52.16</v>
      </c>
      <c r="AA322" s="38">
        <v>48.73</v>
      </c>
      <c r="AB322" s="38">
        <v>43.08</v>
      </c>
      <c r="AC322" s="38">
        <v>38.97</v>
      </c>
      <c r="AD322" s="38">
        <v>36.18</v>
      </c>
      <c r="AE322" s="38">
        <v>35.71</v>
      </c>
      <c r="AF322" s="38">
        <v>35.94</v>
      </c>
      <c r="AG322" s="38">
        <v>38.57</v>
      </c>
      <c r="AH322" s="38">
        <v>43.61</v>
      </c>
      <c r="AI322" s="38">
        <v>47.02</v>
      </c>
      <c r="AJ322" s="38">
        <v>49.13</v>
      </c>
      <c r="AK322" s="38">
        <v>50.19</v>
      </c>
      <c r="AL322" s="38">
        <v>49.06</v>
      </c>
      <c r="AM322" s="38">
        <v>45.86</v>
      </c>
      <c r="AN322" s="38">
        <v>40.06</v>
      </c>
      <c r="AO322" s="38">
        <v>37.67</v>
      </c>
      <c r="AP322" s="38">
        <v>36.24</v>
      </c>
      <c r="AQ322" s="38">
        <v>35.979999999999997</v>
      </c>
      <c r="AR322" s="38">
        <v>36.21</v>
      </c>
      <c r="AS322" s="38">
        <v>37.24</v>
      </c>
      <c r="AT322" s="38">
        <v>42.68</v>
      </c>
      <c r="AU322" s="38">
        <v>45.87</v>
      </c>
      <c r="AV322" s="38">
        <v>47.63</v>
      </c>
      <c r="AW322" s="38">
        <v>48.96</v>
      </c>
      <c r="AX322" s="38">
        <v>47.9</v>
      </c>
      <c r="AY322" s="38">
        <v>44.65</v>
      </c>
      <c r="BA322" s="37">
        <v>67.73</v>
      </c>
      <c r="BB322" s="38">
        <v>1.3889</v>
      </c>
    </row>
    <row r="323" spans="1:54" x14ac:dyDescent="0.35">
      <c r="A323" s="2">
        <f t="shared" si="4"/>
        <v>44273</v>
      </c>
      <c r="B323" t="s">
        <v>365</v>
      </c>
      <c r="C323" s="32">
        <v>44273</v>
      </c>
      <c r="D323" s="38">
        <v>44.51</v>
      </c>
      <c r="E323" s="38">
        <v>42.51</v>
      </c>
      <c r="F323" s="38">
        <v>42.86</v>
      </c>
      <c r="G323" s="38">
        <v>42.11</v>
      </c>
      <c r="H323" s="38">
        <v>42.51</v>
      </c>
      <c r="I323" s="38">
        <v>43.88</v>
      </c>
      <c r="J323" s="38">
        <v>46.77</v>
      </c>
      <c r="K323" s="38">
        <v>52.07</v>
      </c>
      <c r="L323" s="38">
        <v>55.58</v>
      </c>
      <c r="M323" s="38">
        <v>56.74</v>
      </c>
      <c r="N323" s="38">
        <v>56.74</v>
      </c>
      <c r="O323" s="38">
        <v>52.3</v>
      </c>
      <c r="P323" s="38">
        <v>45.93</v>
      </c>
      <c r="Q323" s="38">
        <v>41.06</v>
      </c>
      <c r="R323" s="38">
        <v>38.520000000000003</v>
      </c>
      <c r="S323" s="38">
        <v>38.36</v>
      </c>
      <c r="T323" s="38">
        <v>38.659999999999997</v>
      </c>
      <c r="U323" s="38">
        <v>39.96</v>
      </c>
      <c r="V323" s="38">
        <v>44.55</v>
      </c>
      <c r="W323" s="38">
        <v>47.82</v>
      </c>
      <c r="X323" s="38">
        <v>50.76</v>
      </c>
      <c r="Y323" s="38">
        <v>52.2</v>
      </c>
      <c r="Z323" s="38">
        <v>52.05</v>
      </c>
      <c r="AA323" s="38">
        <v>48.62</v>
      </c>
      <c r="AB323" s="38">
        <v>43.02</v>
      </c>
      <c r="AC323" s="38">
        <v>38.909999999999997</v>
      </c>
      <c r="AD323" s="38">
        <v>36.119999999999997</v>
      </c>
      <c r="AE323" s="38">
        <v>35.65</v>
      </c>
      <c r="AF323" s="38">
        <v>35.880000000000003</v>
      </c>
      <c r="AG323" s="38">
        <v>38.46</v>
      </c>
      <c r="AH323" s="38">
        <v>43.5</v>
      </c>
      <c r="AI323" s="38">
        <v>46.91</v>
      </c>
      <c r="AJ323" s="38">
        <v>49.02</v>
      </c>
      <c r="AK323" s="38">
        <v>50.08</v>
      </c>
      <c r="AL323" s="38">
        <v>48.95</v>
      </c>
      <c r="AM323" s="38">
        <v>45.75</v>
      </c>
      <c r="AN323" s="38">
        <v>39.950000000000003</v>
      </c>
      <c r="AO323" s="38">
        <v>37.56</v>
      </c>
      <c r="AP323" s="38">
        <v>36.130000000000003</v>
      </c>
      <c r="AQ323" s="38">
        <v>35.869999999999997</v>
      </c>
      <c r="AR323" s="38">
        <v>36.1</v>
      </c>
      <c r="AS323" s="38">
        <v>37.130000000000003</v>
      </c>
      <c r="AT323" s="38">
        <v>42.57</v>
      </c>
      <c r="AU323" s="38">
        <v>45.76</v>
      </c>
      <c r="AV323" s="38">
        <v>47.52</v>
      </c>
      <c r="AW323" s="38">
        <v>48.85</v>
      </c>
      <c r="AX323" s="38">
        <v>47.79</v>
      </c>
      <c r="AY323" s="38">
        <v>44.54</v>
      </c>
      <c r="BA323" s="37">
        <v>62.11</v>
      </c>
      <c r="BB323" s="38">
        <v>1.3938999999999999</v>
      </c>
    </row>
    <row r="324" spans="1:54" x14ac:dyDescent="0.35">
      <c r="A324" s="2">
        <f t="shared" si="4"/>
        <v>44274</v>
      </c>
      <c r="B324" t="s">
        <v>366</v>
      </c>
      <c r="C324" s="32">
        <v>44274</v>
      </c>
      <c r="D324" s="38">
        <v>43.1</v>
      </c>
      <c r="E324" s="38">
        <v>41.4</v>
      </c>
      <c r="F324" s="38">
        <v>41.9</v>
      </c>
      <c r="G324" s="38">
        <v>41.24</v>
      </c>
      <c r="H324" s="38">
        <v>41.64</v>
      </c>
      <c r="I324" s="38">
        <v>43.09</v>
      </c>
      <c r="J324" s="38">
        <v>45.77</v>
      </c>
      <c r="K324" s="38">
        <v>51.03</v>
      </c>
      <c r="L324" s="38">
        <v>54.71</v>
      </c>
      <c r="M324" s="38">
        <v>55.73</v>
      </c>
      <c r="N324" s="38">
        <v>55.73</v>
      </c>
      <c r="O324" s="38">
        <v>51.29</v>
      </c>
      <c r="P324" s="38">
        <v>45.25</v>
      </c>
      <c r="Q324" s="38">
        <v>40.53</v>
      </c>
      <c r="R324" s="38">
        <v>38.020000000000003</v>
      </c>
      <c r="S324" s="38">
        <v>37.89</v>
      </c>
      <c r="T324" s="38">
        <v>38.25</v>
      </c>
      <c r="U324" s="38">
        <v>39.590000000000003</v>
      </c>
      <c r="V324" s="38">
        <v>44.09</v>
      </c>
      <c r="W324" s="38">
        <v>47.37</v>
      </c>
      <c r="X324" s="38">
        <v>50.31</v>
      </c>
      <c r="Y324" s="38">
        <v>51.75</v>
      </c>
      <c r="Z324" s="38">
        <v>51.6</v>
      </c>
      <c r="AA324" s="38">
        <v>48.17</v>
      </c>
      <c r="AB324" s="38">
        <v>42.78</v>
      </c>
      <c r="AC324" s="38">
        <v>38.67</v>
      </c>
      <c r="AD324" s="38">
        <v>35.880000000000003</v>
      </c>
      <c r="AE324" s="38">
        <v>35.409999999999997</v>
      </c>
      <c r="AF324" s="38">
        <v>35.64</v>
      </c>
      <c r="AG324" s="38">
        <v>38.22</v>
      </c>
      <c r="AH324" s="38">
        <v>43.29</v>
      </c>
      <c r="AI324" s="38">
        <v>46.7</v>
      </c>
      <c r="AJ324" s="38">
        <v>48.81</v>
      </c>
      <c r="AK324" s="38">
        <v>49.87</v>
      </c>
      <c r="AL324" s="38">
        <v>48.74</v>
      </c>
      <c r="AM324" s="38">
        <v>45.54</v>
      </c>
      <c r="AN324" s="38">
        <v>39.840000000000003</v>
      </c>
      <c r="AO324" s="38">
        <v>37.450000000000003</v>
      </c>
      <c r="AP324" s="38">
        <v>36.020000000000003</v>
      </c>
      <c r="AQ324" s="38">
        <v>35.76</v>
      </c>
      <c r="AR324" s="38">
        <v>35.99</v>
      </c>
      <c r="AS324" s="38">
        <v>37.020000000000003</v>
      </c>
      <c r="AT324" s="38">
        <v>42.46</v>
      </c>
      <c r="AU324" s="38">
        <v>45.65</v>
      </c>
      <c r="AV324" s="38">
        <v>47.41</v>
      </c>
      <c r="AW324" s="38">
        <v>48.74</v>
      </c>
      <c r="AX324" s="38">
        <v>47.68</v>
      </c>
      <c r="AY324" s="38">
        <v>44.43</v>
      </c>
      <c r="BA324" s="37">
        <v>64</v>
      </c>
      <c r="BB324" s="38">
        <v>1.3872</v>
      </c>
    </row>
    <row r="325" spans="1:54" x14ac:dyDescent="0.35">
      <c r="A325" s="2">
        <f t="shared" si="4"/>
        <v>44277</v>
      </c>
      <c r="B325" t="s">
        <v>367</v>
      </c>
      <c r="C325" s="32">
        <v>44277</v>
      </c>
      <c r="D325" s="38">
        <v>45.73</v>
      </c>
      <c r="E325" s="38">
        <v>43.74</v>
      </c>
      <c r="F325" s="38">
        <v>44</v>
      </c>
      <c r="G325" s="38">
        <v>43.05</v>
      </c>
      <c r="H325" s="38">
        <v>43.44</v>
      </c>
      <c r="I325" s="38">
        <v>44.84</v>
      </c>
      <c r="J325" s="38">
        <v>46.59</v>
      </c>
      <c r="K325" s="38">
        <v>53.3</v>
      </c>
      <c r="L325" s="38">
        <v>56.82</v>
      </c>
      <c r="M325" s="38">
        <v>57.73</v>
      </c>
      <c r="N325" s="38">
        <v>57.73</v>
      </c>
      <c r="O325" s="38">
        <v>52.24</v>
      </c>
      <c r="P325" s="38">
        <v>46.38</v>
      </c>
      <c r="Q325" s="38">
        <v>41.8</v>
      </c>
      <c r="R325" s="38">
        <v>39.380000000000003</v>
      </c>
      <c r="S325" s="38">
        <v>39.25</v>
      </c>
      <c r="T325" s="38">
        <v>39.61</v>
      </c>
      <c r="U325" s="38">
        <v>40.950000000000003</v>
      </c>
      <c r="V325" s="38">
        <v>45.45</v>
      </c>
      <c r="W325" s="38">
        <v>48.73</v>
      </c>
      <c r="X325" s="38">
        <v>51.67</v>
      </c>
      <c r="Y325" s="38">
        <v>53.11</v>
      </c>
      <c r="Z325" s="38">
        <v>52.96</v>
      </c>
      <c r="AA325" s="38">
        <v>49.53</v>
      </c>
      <c r="AB325" s="38">
        <v>44.09</v>
      </c>
      <c r="AC325" s="38">
        <v>39.93</v>
      </c>
      <c r="AD325" s="38">
        <v>37.090000000000003</v>
      </c>
      <c r="AE325" s="38">
        <v>36.57</v>
      </c>
      <c r="AF325" s="38">
        <v>36.799999999999997</v>
      </c>
      <c r="AG325" s="38">
        <v>39.380000000000003</v>
      </c>
      <c r="AH325" s="38">
        <v>44.45</v>
      </c>
      <c r="AI325" s="38">
        <v>47.86</v>
      </c>
      <c r="AJ325" s="38">
        <v>49.91</v>
      </c>
      <c r="AK325" s="38">
        <v>50.91</v>
      </c>
      <c r="AL325" s="38">
        <v>49.72</v>
      </c>
      <c r="AM325" s="38">
        <v>46.43</v>
      </c>
      <c r="AN325" s="38">
        <v>40.64</v>
      </c>
      <c r="AO325" s="38">
        <v>38.159999999999997</v>
      </c>
      <c r="AP325" s="38">
        <v>36.65</v>
      </c>
      <c r="AQ325" s="38">
        <v>36.340000000000003</v>
      </c>
      <c r="AR325" s="38">
        <v>36.57</v>
      </c>
      <c r="AS325" s="38">
        <v>37.6</v>
      </c>
      <c r="AT325" s="38">
        <v>43.04</v>
      </c>
      <c r="AU325" s="38">
        <v>46.23</v>
      </c>
      <c r="AV325" s="38">
        <v>47.99</v>
      </c>
      <c r="AW325" s="38">
        <v>49.32</v>
      </c>
      <c r="AX325" s="38">
        <v>48.26</v>
      </c>
      <c r="AY325" s="38">
        <v>45.01</v>
      </c>
      <c r="BA325" s="37">
        <v>63.89</v>
      </c>
      <c r="BB325" s="38">
        <v>1.3855</v>
      </c>
    </row>
    <row r="326" spans="1:54" x14ac:dyDescent="0.35">
      <c r="A326" s="2">
        <f t="shared" si="4"/>
        <v>44278</v>
      </c>
      <c r="B326" t="s">
        <v>368</v>
      </c>
      <c r="C326" s="32">
        <v>44278</v>
      </c>
      <c r="D326" s="38">
        <v>46.67</v>
      </c>
      <c r="E326" s="38">
        <v>44.66</v>
      </c>
      <c r="F326" s="38">
        <v>44.9</v>
      </c>
      <c r="G326" s="38">
        <v>44.08</v>
      </c>
      <c r="H326" s="38">
        <v>44.51</v>
      </c>
      <c r="I326" s="38">
        <v>46</v>
      </c>
      <c r="J326" s="38">
        <v>48.07</v>
      </c>
      <c r="K326" s="38">
        <v>53.33</v>
      </c>
      <c r="L326" s="38">
        <v>56.78</v>
      </c>
      <c r="M326" s="38">
        <v>58.23</v>
      </c>
      <c r="N326" s="38">
        <v>58.2</v>
      </c>
      <c r="O326" s="38">
        <v>52.9</v>
      </c>
      <c r="P326" s="38">
        <v>46.63</v>
      </c>
      <c r="Q326" s="38">
        <v>41.69</v>
      </c>
      <c r="R326" s="38">
        <v>39.1</v>
      </c>
      <c r="S326" s="38">
        <v>38.97</v>
      </c>
      <c r="T326" s="38">
        <v>39.33</v>
      </c>
      <c r="U326" s="38">
        <v>40.700000000000003</v>
      </c>
      <c r="V326" s="38">
        <v>45.26</v>
      </c>
      <c r="W326" s="38">
        <v>48.6</v>
      </c>
      <c r="X326" s="38">
        <v>51.6</v>
      </c>
      <c r="Y326" s="38">
        <v>53.08</v>
      </c>
      <c r="Z326" s="38">
        <v>52.88</v>
      </c>
      <c r="AA326" s="38">
        <v>49.4</v>
      </c>
      <c r="AB326" s="38">
        <v>43.96</v>
      </c>
      <c r="AC326" s="38">
        <v>39.799999999999997</v>
      </c>
      <c r="AD326" s="38">
        <v>36.96</v>
      </c>
      <c r="AE326" s="38">
        <v>36.44</v>
      </c>
      <c r="AF326" s="38">
        <v>36.58</v>
      </c>
      <c r="AG326" s="38">
        <v>39.07</v>
      </c>
      <c r="AH326" s="38">
        <v>44.04</v>
      </c>
      <c r="AI326" s="38">
        <v>47.4</v>
      </c>
      <c r="AJ326" s="38">
        <v>49.4</v>
      </c>
      <c r="AK326" s="38">
        <v>50.4</v>
      </c>
      <c r="AL326" s="38">
        <v>49.21</v>
      </c>
      <c r="AM326" s="38">
        <v>45.92</v>
      </c>
      <c r="AN326" s="38">
        <v>40.130000000000003</v>
      </c>
      <c r="AO326" s="38">
        <v>37.65</v>
      </c>
      <c r="AP326" s="38">
        <v>36.14</v>
      </c>
      <c r="AQ326" s="38">
        <v>35.83</v>
      </c>
      <c r="AR326" s="38">
        <v>36.06</v>
      </c>
      <c r="AS326" s="38">
        <v>37.090000000000003</v>
      </c>
      <c r="AT326" s="38">
        <v>42.53</v>
      </c>
      <c r="AU326" s="38">
        <v>45.77</v>
      </c>
      <c r="AV326" s="38">
        <v>47.59</v>
      </c>
      <c r="AW326" s="38">
        <v>48.97</v>
      </c>
      <c r="AX326" s="38">
        <v>47.96</v>
      </c>
      <c r="AY326" s="38">
        <v>44.76</v>
      </c>
      <c r="BA326" s="37">
        <v>59.96</v>
      </c>
      <c r="BB326" s="38">
        <v>1.3793</v>
      </c>
    </row>
    <row r="327" spans="1:54" x14ac:dyDescent="0.35">
      <c r="A327" s="2">
        <f t="shared" si="4"/>
        <v>44279</v>
      </c>
      <c r="B327" t="s">
        <v>369</v>
      </c>
      <c r="C327" s="32">
        <v>44279</v>
      </c>
      <c r="D327" s="38">
        <v>47.45</v>
      </c>
      <c r="E327" s="38">
        <v>45.29</v>
      </c>
      <c r="F327" s="38">
        <v>45.48</v>
      </c>
      <c r="G327" s="38">
        <v>44.69</v>
      </c>
      <c r="H327" s="38">
        <v>44.78</v>
      </c>
      <c r="I327" s="38">
        <v>46.22</v>
      </c>
      <c r="J327" s="38">
        <v>48.67</v>
      </c>
      <c r="K327" s="38">
        <v>53.64</v>
      </c>
      <c r="L327" s="38">
        <v>57.38</v>
      </c>
      <c r="M327" s="38">
        <v>58.6</v>
      </c>
      <c r="N327" s="38">
        <v>58.65</v>
      </c>
      <c r="O327" s="38">
        <v>53.42</v>
      </c>
      <c r="P327" s="38">
        <v>47.02</v>
      </c>
      <c r="Q327" s="38">
        <v>42.14</v>
      </c>
      <c r="R327" s="38">
        <v>39.590000000000003</v>
      </c>
      <c r="S327" s="38">
        <v>39.46</v>
      </c>
      <c r="T327" s="38">
        <v>39.82</v>
      </c>
      <c r="U327" s="38">
        <v>41.11</v>
      </c>
      <c r="V327" s="38">
        <v>45.73</v>
      </c>
      <c r="W327" s="38">
        <v>49.02</v>
      </c>
      <c r="X327" s="38">
        <v>51.98</v>
      </c>
      <c r="Y327" s="38">
        <v>53.47</v>
      </c>
      <c r="Z327" s="38">
        <v>53.26</v>
      </c>
      <c r="AA327" s="38">
        <v>49.75</v>
      </c>
      <c r="AB327" s="38">
        <v>44.24</v>
      </c>
      <c r="AC327" s="38">
        <v>40.020000000000003</v>
      </c>
      <c r="AD327" s="38">
        <v>37.130000000000003</v>
      </c>
      <c r="AE327" s="38">
        <v>36.58</v>
      </c>
      <c r="AF327" s="38">
        <v>36.729999999999997</v>
      </c>
      <c r="AG327" s="38">
        <v>39.14</v>
      </c>
      <c r="AH327" s="38">
        <v>44.12</v>
      </c>
      <c r="AI327" s="38">
        <v>47.43</v>
      </c>
      <c r="AJ327" s="38">
        <v>49.38</v>
      </c>
      <c r="AK327" s="38">
        <v>50.35</v>
      </c>
      <c r="AL327" s="38">
        <v>49.16</v>
      </c>
      <c r="AM327" s="38">
        <v>45.87</v>
      </c>
      <c r="AN327" s="38">
        <v>40.08</v>
      </c>
      <c r="AO327" s="38">
        <v>37.6</v>
      </c>
      <c r="AP327" s="38">
        <v>36.090000000000003</v>
      </c>
      <c r="AQ327" s="38">
        <v>35.78</v>
      </c>
      <c r="AR327" s="38">
        <v>36.01</v>
      </c>
      <c r="AS327" s="38">
        <v>37.04</v>
      </c>
      <c r="AT327" s="38">
        <v>42.48</v>
      </c>
      <c r="AU327" s="38">
        <v>45.76</v>
      </c>
      <c r="AV327" s="38">
        <v>47.62</v>
      </c>
      <c r="AW327" s="38">
        <v>49.03</v>
      </c>
      <c r="AX327" s="38">
        <v>48.05</v>
      </c>
      <c r="AY327" s="38">
        <v>44.95</v>
      </c>
      <c r="BA327" s="37">
        <v>63.7</v>
      </c>
      <c r="BB327" s="38">
        <v>1.3722000000000001</v>
      </c>
    </row>
    <row r="328" spans="1:54" x14ac:dyDescent="0.35">
      <c r="A328" s="2">
        <f t="shared" si="4"/>
        <v>44280</v>
      </c>
      <c r="B328" t="s">
        <v>370</v>
      </c>
      <c r="C328" s="32">
        <v>44280</v>
      </c>
      <c r="D328" s="38">
        <v>47.25</v>
      </c>
      <c r="E328" s="38">
        <v>44.91</v>
      </c>
      <c r="F328" s="38">
        <v>44.99</v>
      </c>
      <c r="G328" s="38">
        <v>44.01</v>
      </c>
      <c r="H328" s="38">
        <v>44.18</v>
      </c>
      <c r="I328" s="38">
        <v>45.49</v>
      </c>
      <c r="J328" s="38">
        <v>47.8</v>
      </c>
      <c r="K328" s="38">
        <v>52.69</v>
      </c>
      <c r="L328" s="38">
        <v>56.24</v>
      </c>
      <c r="M328" s="38">
        <v>57.46</v>
      </c>
      <c r="N328" s="38">
        <v>57.51</v>
      </c>
      <c r="O328" s="38">
        <v>52.28</v>
      </c>
      <c r="P328" s="38">
        <v>45.73</v>
      </c>
      <c r="Q328" s="38">
        <v>41.2</v>
      </c>
      <c r="R328" s="38">
        <v>38.950000000000003</v>
      </c>
      <c r="S328" s="38">
        <v>38.950000000000003</v>
      </c>
      <c r="T328" s="38">
        <v>39.409999999999997</v>
      </c>
      <c r="U328" s="38">
        <v>40.700000000000003</v>
      </c>
      <c r="V328" s="38">
        <v>44.89</v>
      </c>
      <c r="W328" s="38">
        <v>47.84</v>
      </c>
      <c r="X328" s="38">
        <v>50.6</v>
      </c>
      <c r="Y328" s="38">
        <v>52.25</v>
      </c>
      <c r="Z328" s="38">
        <v>52.15</v>
      </c>
      <c r="AA328" s="38">
        <v>48.69</v>
      </c>
      <c r="AB328" s="38">
        <v>43.23</v>
      </c>
      <c r="AC328" s="38">
        <v>39.06</v>
      </c>
      <c r="AD328" s="38">
        <v>36.21</v>
      </c>
      <c r="AE328" s="38">
        <v>35.700000000000003</v>
      </c>
      <c r="AF328" s="38">
        <v>35.89</v>
      </c>
      <c r="AG328" s="38">
        <v>38.340000000000003</v>
      </c>
      <c r="AH328" s="38">
        <v>43.5</v>
      </c>
      <c r="AI328" s="38">
        <v>46.84</v>
      </c>
      <c r="AJ328" s="38">
        <v>48.79</v>
      </c>
      <c r="AK328" s="38">
        <v>49.76</v>
      </c>
      <c r="AL328" s="38">
        <v>48.57</v>
      </c>
      <c r="AM328" s="38">
        <v>45.28</v>
      </c>
      <c r="AN328" s="38">
        <v>39.49</v>
      </c>
      <c r="AO328" s="38">
        <v>37.01</v>
      </c>
      <c r="AP328" s="38">
        <v>35.5</v>
      </c>
      <c r="AQ328" s="38">
        <v>35.19</v>
      </c>
      <c r="AR328" s="38">
        <v>35.42</v>
      </c>
      <c r="AS328" s="38">
        <v>36.450000000000003</v>
      </c>
      <c r="AT328" s="38">
        <v>41.89</v>
      </c>
      <c r="AU328" s="38">
        <v>45.17</v>
      </c>
      <c r="AV328" s="38">
        <v>47.03</v>
      </c>
      <c r="AW328" s="38">
        <v>48.44</v>
      </c>
      <c r="AX328" s="38">
        <v>47.46</v>
      </c>
      <c r="AY328" s="38">
        <v>44.36</v>
      </c>
      <c r="BA328" s="37">
        <v>61.21</v>
      </c>
      <c r="BB328" s="38">
        <v>1.3722000000000001</v>
      </c>
    </row>
    <row r="329" spans="1:54" x14ac:dyDescent="0.35">
      <c r="A329" s="2">
        <f t="shared" si="4"/>
        <v>44281</v>
      </c>
      <c r="B329" t="s">
        <v>371</v>
      </c>
      <c r="C329" s="32">
        <v>44281</v>
      </c>
      <c r="D329" s="38">
        <v>48.39</v>
      </c>
      <c r="E329" s="38">
        <v>45.91</v>
      </c>
      <c r="F329" s="38">
        <v>46.01</v>
      </c>
      <c r="G329" s="38">
        <v>44.96</v>
      </c>
      <c r="H329" s="38">
        <v>45.15</v>
      </c>
      <c r="I329" s="38">
        <v>46</v>
      </c>
      <c r="J329" s="38">
        <v>48.44</v>
      </c>
      <c r="K329" s="38">
        <v>53.4</v>
      </c>
      <c r="L329" s="38">
        <v>56.29</v>
      </c>
      <c r="M329" s="38">
        <v>57.68</v>
      </c>
      <c r="N329" s="38">
        <v>57.76</v>
      </c>
      <c r="O329" s="38">
        <v>52.44</v>
      </c>
      <c r="P329" s="38">
        <v>45.89</v>
      </c>
      <c r="Q329" s="38">
        <v>41.36</v>
      </c>
      <c r="R329" s="38">
        <v>39.11</v>
      </c>
      <c r="S329" s="38">
        <v>39.11</v>
      </c>
      <c r="T329" s="38">
        <v>39.57</v>
      </c>
      <c r="U329" s="38">
        <v>40.909999999999997</v>
      </c>
      <c r="V329" s="38">
        <v>45.15</v>
      </c>
      <c r="W329" s="38">
        <v>48.14</v>
      </c>
      <c r="X329" s="38">
        <v>50.94</v>
      </c>
      <c r="Y329" s="38">
        <v>52.62</v>
      </c>
      <c r="Z329" s="38">
        <v>52.52</v>
      </c>
      <c r="AA329" s="38">
        <v>49.06</v>
      </c>
      <c r="AB329" s="38">
        <v>43.6</v>
      </c>
      <c r="AC329" s="38">
        <v>39.43</v>
      </c>
      <c r="AD329" s="38">
        <v>36.58</v>
      </c>
      <c r="AE329" s="38">
        <v>36.07</v>
      </c>
      <c r="AF329" s="38">
        <v>36.22</v>
      </c>
      <c r="AG329" s="38">
        <v>38.619999999999997</v>
      </c>
      <c r="AH329" s="38">
        <v>43.71</v>
      </c>
      <c r="AI329" s="38">
        <v>46.98</v>
      </c>
      <c r="AJ329" s="38">
        <v>48.86</v>
      </c>
      <c r="AK329" s="38">
        <v>49.76</v>
      </c>
      <c r="AL329" s="38">
        <v>48.57</v>
      </c>
      <c r="AM329" s="38">
        <v>45.28</v>
      </c>
      <c r="AN329" s="38">
        <v>39.49</v>
      </c>
      <c r="AO329" s="38">
        <v>37.01</v>
      </c>
      <c r="AP329" s="38">
        <v>35.5</v>
      </c>
      <c r="AQ329" s="38">
        <v>35.19</v>
      </c>
      <c r="AR329" s="38">
        <v>35.42</v>
      </c>
      <c r="AS329" s="38">
        <v>36.450000000000003</v>
      </c>
      <c r="AT329" s="38">
        <v>41.89</v>
      </c>
      <c r="AU329" s="38">
        <v>45.17</v>
      </c>
      <c r="AV329" s="38">
        <v>47.03</v>
      </c>
      <c r="AW329" s="38">
        <v>48.44</v>
      </c>
      <c r="AX329" s="38">
        <v>47.46</v>
      </c>
      <c r="AY329" s="38">
        <v>44.36</v>
      </c>
      <c r="BA329" s="37">
        <v>63.77</v>
      </c>
      <c r="BB329" s="38">
        <v>1.3792</v>
      </c>
    </row>
    <row r="330" spans="1:54" x14ac:dyDescent="0.35">
      <c r="A330" s="2">
        <f t="shared" si="4"/>
        <v>44284</v>
      </c>
      <c r="B330" t="s">
        <v>372</v>
      </c>
      <c r="C330" s="32">
        <v>44284</v>
      </c>
      <c r="D330" s="38">
        <v>47</v>
      </c>
      <c r="E330" s="38">
        <v>44.9</v>
      </c>
      <c r="F330" s="38">
        <v>45</v>
      </c>
      <c r="G330" s="38">
        <v>44.05</v>
      </c>
      <c r="H330" s="38">
        <v>44.25</v>
      </c>
      <c r="I330" s="38">
        <v>45</v>
      </c>
      <c r="J330" s="38">
        <v>47.9</v>
      </c>
      <c r="K330" s="38">
        <v>53.03</v>
      </c>
      <c r="L330" s="38">
        <v>56.05</v>
      </c>
      <c r="M330" s="38">
        <v>57.44</v>
      </c>
      <c r="N330" s="38">
        <v>57.6</v>
      </c>
      <c r="O330" s="38">
        <v>52.2</v>
      </c>
      <c r="P330" s="38">
        <v>45.56</v>
      </c>
      <c r="Q330" s="38">
        <v>40.9</v>
      </c>
      <c r="R330" s="38">
        <v>38.58</v>
      </c>
      <c r="S330" s="38">
        <v>38.54</v>
      </c>
      <c r="T330" s="38">
        <v>38.97</v>
      </c>
      <c r="U330" s="38">
        <v>40.39</v>
      </c>
      <c r="V330" s="38">
        <v>44.76</v>
      </c>
      <c r="W330" s="38">
        <v>47.83</v>
      </c>
      <c r="X330" s="38">
        <v>50.67</v>
      </c>
      <c r="Y330" s="38">
        <v>52.35</v>
      </c>
      <c r="Z330" s="38">
        <v>52.25</v>
      </c>
      <c r="AA330" s="38">
        <v>48.79</v>
      </c>
      <c r="AB330" s="38">
        <v>43.33</v>
      </c>
      <c r="AC330" s="38">
        <v>39.159999999999997</v>
      </c>
      <c r="AD330" s="38">
        <v>36.31</v>
      </c>
      <c r="AE330" s="38">
        <v>35.799999999999997</v>
      </c>
      <c r="AF330" s="38">
        <v>35.950000000000003</v>
      </c>
      <c r="AG330" s="38">
        <v>38.35</v>
      </c>
      <c r="AH330" s="38">
        <v>43.44</v>
      </c>
      <c r="AI330" s="38">
        <v>46.71</v>
      </c>
      <c r="AJ330" s="38">
        <v>48.59</v>
      </c>
      <c r="AK330" s="38">
        <v>49.49</v>
      </c>
      <c r="AL330" s="38">
        <v>48.3</v>
      </c>
      <c r="AM330" s="38">
        <v>45.01</v>
      </c>
      <c r="AN330" s="38">
        <v>39.22</v>
      </c>
      <c r="AO330" s="38">
        <v>36.74</v>
      </c>
      <c r="AP330" s="38">
        <v>35.229999999999997</v>
      </c>
      <c r="AQ330" s="38">
        <v>34.92</v>
      </c>
      <c r="AR330" s="38">
        <v>35.15</v>
      </c>
      <c r="AS330" s="38">
        <v>36.18</v>
      </c>
      <c r="AT330" s="38">
        <v>41.62</v>
      </c>
      <c r="AU330" s="38">
        <v>44.9</v>
      </c>
      <c r="AV330" s="38">
        <v>46.76</v>
      </c>
      <c r="AW330" s="38">
        <v>48.17</v>
      </c>
      <c r="AX330" s="38">
        <v>47.19</v>
      </c>
      <c r="AY330" s="38">
        <v>44.09</v>
      </c>
      <c r="BA330" s="37">
        <v>64.06</v>
      </c>
      <c r="BB330" s="38">
        <v>1.3772</v>
      </c>
    </row>
    <row r="331" spans="1:54" x14ac:dyDescent="0.35">
      <c r="A331" s="2">
        <f t="shared" si="4"/>
        <v>44285</v>
      </c>
      <c r="B331" t="s">
        <v>373</v>
      </c>
      <c r="C331" s="32">
        <v>44285</v>
      </c>
      <c r="D331" s="38">
        <v>48.2</v>
      </c>
      <c r="E331" s="38">
        <v>45.94</v>
      </c>
      <c r="F331" s="38">
        <v>46.08</v>
      </c>
      <c r="G331" s="38">
        <v>45.06</v>
      </c>
      <c r="H331" s="38">
        <v>45.21</v>
      </c>
      <c r="I331" s="38">
        <v>46.3</v>
      </c>
      <c r="J331" s="38">
        <v>48.75</v>
      </c>
      <c r="K331" s="38">
        <v>53.84</v>
      </c>
      <c r="L331" s="38">
        <v>56.84</v>
      </c>
      <c r="M331" s="38">
        <v>58.32</v>
      </c>
      <c r="N331" s="38">
        <v>58.36</v>
      </c>
      <c r="O331" s="38">
        <v>52.87</v>
      </c>
      <c r="P331" s="38">
        <v>46.17</v>
      </c>
      <c r="Q331" s="38">
        <v>41.44</v>
      </c>
      <c r="R331" s="38">
        <v>39.090000000000003</v>
      </c>
      <c r="S331" s="38">
        <v>39.049999999999997</v>
      </c>
      <c r="T331" s="38">
        <v>39.479999999999997</v>
      </c>
      <c r="U331" s="38">
        <v>40.9</v>
      </c>
      <c r="V331" s="38">
        <v>45.17</v>
      </c>
      <c r="W331" s="38">
        <v>48.28</v>
      </c>
      <c r="X331" s="38">
        <v>51.17</v>
      </c>
      <c r="Y331" s="38">
        <v>52.87</v>
      </c>
      <c r="Z331" s="38">
        <v>52.73</v>
      </c>
      <c r="AA331" s="38">
        <v>49.17</v>
      </c>
      <c r="AB331" s="38">
        <v>43.62</v>
      </c>
      <c r="AC331" s="38">
        <v>39.340000000000003</v>
      </c>
      <c r="AD331" s="38">
        <v>36.409999999999997</v>
      </c>
      <c r="AE331" s="38">
        <v>35.869999999999997</v>
      </c>
      <c r="AF331" s="38">
        <v>36.020000000000003</v>
      </c>
      <c r="AG331" s="38">
        <v>38.42</v>
      </c>
      <c r="AH331" s="38">
        <v>43.5</v>
      </c>
      <c r="AI331" s="38">
        <v>46.76</v>
      </c>
      <c r="AJ331" s="38">
        <v>48.64</v>
      </c>
      <c r="AK331" s="38">
        <v>49.54</v>
      </c>
      <c r="AL331" s="38">
        <v>48.35</v>
      </c>
      <c r="AM331" s="38">
        <v>45.06</v>
      </c>
      <c r="AN331" s="38">
        <v>39.270000000000003</v>
      </c>
      <c r="AO331" s="38">
        <v>36.79</v>
      </c>
      <c r="AP331" s="38">
        <v>35.28</v>
      </c>
      <c r="AQ331" s="38">
        <v>34.97</v>
      </c>
      <c r="AR331" s="38">
        <v>35.200000000000003</v>
      </c>
      <c r="AS331" s="38">
        <v>36.229999999999997</v>
      </c>
      <c r="AT331" s="38">
        <v>41.67</v>
      </c>
      <c r="AU331" s="38">
        <v>44.95</v>
      </c>
      <c r="AV331" s="38">
        <v>46.81</v>
      </c>
      <c r="AW331" s="38">
        <v>48.22</v>
      </c>
      <c r="AX331" s="38">
        <v>47.24</v>
      </c>
      <c r="AY331" s="38">
        <v>44.14</v>
      </c>
      <c r="BA331" s="37">
        <v>63.28</v>
      </c>
      <c r="BB331" s="38">
        <v>1.3711</v>
      </c>
    </row>
    <row r="332" spans="1:54" x14ac:dyDescent="0.35">
      <c r="A332" s="2">
        <f t="shared" si="4"/>
        <v>44286</v>
      </c>
      <c r="B332" t="s">
        <v>374</v>
      </c>
      <c r="C332" s="32">
        <v>44286</v>
      </c>
      <c r="D332" s="38">
        <v>46.8</v>
      </c>
      <c r="E332" s="38">
        <v>46.86</v>
      </c>
      <c r="F332" s="38">
        <v>45.77</v>
      </c>
      <c r="G332" s="38">
        <v>45.82</v>
      </c>
      <c r="H332" s="38">
        <v>46.72</v>
      </c>
      <c r="I332" s="38">
        <v>48.9</v>
      </c>
      <c r="J332" s="38">
        <v>54.04</v>
      </c>
      <c r="K332" s="38">
        <v>57.4</v>
      </c>
      <c r="L332" s="38">
        <v>58.48</v>
      </c>
      <c r="M332" s="38">
        <v>58.43</v>
      </c>
      <c r="N332" s="38">
        <v>53.09</v>
      </c>
      <c r="O332" s="38">
        <v>46.33</v>
      </c>
      <c r="P332" s="38">
        <v>41.6</v>
      </c>
      <c r="Q332" s="38">
        <v>39.24</v>
      </c>
      <c r="R332" s="38">
        <v>39.200000000000003</v>
      </c>
      <c r="S332" s="38">
        <v>39.630000000000003</v>
      </c>
      <c r="T332" s="38">
        <v>41.05</v>
      </c>
      <c r="U332" s="38">
        <v>45.32</v>
      </c>
      <c r="V332" s="38">
        <v>48.43</v>
      </c>
      <c r="W332" s="38">
        <v>51.32</v>
      </c>
      <c r="X332" s="38">
        <v>53.02</v>
      </c>
      <c r="Y332" s="38">
        <v>52.88</v>
      </c>
      <c r="Z332" s="38">
        <v>49.32</v>
      </c>
      <c r="AA332" s="38">
        <v>43.76</v>
      </c>
      <c r="AB332" s="38">
        <v>39.479999999999997</v>
      </c>
      <c r="AC332" s="38">
        <v>36.549999999999997</v>
      </c>
      <c r="AD332" s="38">
        <v>36.01</v>
      </c>
      <c r="AE332" s="38">
        <v>36.159999999999997</v>
      </c>
      <c r="AF332" s="38">
        <v>38.56</v>
      </c>
      <c r="AG332" s="38">
        <v>43.64</v>
      </c>
      <c r="AH332" s="38">
        <v>46.9</v>
      </c>
      <c r="AI332" s="38">
        <v>48.78</v>
      </c>
      <c r="AJ332" s="38">
        <v>49.68</v>
      </c>
      <c r="AK332" s="38">
        <v>48.49</v>
      </c>
      <c r="AL332" s="38">
        <v>45.2</v>
      </c>
      <c r="AM332" s="38">
        <v>39.409999999999997</v>
      </c>
      <c r="AN332" s="38">
        <v>36.93</v>
      </c>
      <c r="AO332" s="38">
        <v>35.42</v>
      </c>
      <c r="AP332" s="38">
        <v>35.11</v>
      </c>
      <c r="AQ332" s="38">
        <v>35.340000000000003</v>
      </c>
      <c r="AR332" s="38">
        <v>36.369999999999997</v>
      </c>
      <c r="AS332" s="38">
        <v>41.81</v>
      </c>
      <c r="AT332" s="38">
        <v>45.09</v>
      </c>
      <c r="AU332" s="38">
        <v>46.95</v>
      </c>
      <c r="AV332" s="38">
        <v>48.36</v>
      </c>
      <c r="AW332" s="38">
        <v>47.38</v>
      </c>
      <c r="AX332" s="38">
        <v>44.28</v>
      </c>
      <c r="AY332" s="38">
        <v>38.979999999999997</v>
      </c>
      <c r="BA332" s="37">
        <v>63.52</v>
      </c>
      <c r="BB332" s="38">
        <v>1.3795999999999999</v>
      </c>
    </row>
    <row r="333" spans="1:54" x14ac:dyDescent="0.35">
      <c r="A333" s="2">
        <f t="shared" ref="A333:A396" si="5">+A328+7</f>
        <v>44287</v>
      </c>
      <c r="B333" t="s">
        <v>375</v>
      </c>
      <c r="C333" s="32">
        <v>44287</v>
      </c>
      <c r="D333" s="38">
        <v>47.21</v>
      </c>
      <c r="E333" s="38">
        <v>47.16</v>
      </c>
      <c r="F333" s="38">
        <v>45.93</v>
      </c>
      <c r="G333" s="38">
        <v>46.03</v>
      </c>
      <c r="H333" s="38">
        <v>47.49</v>
      </c>
      <c r="I333" s="38">
        <v>49.21</v>
      </c>
      <c r="J333" s="38">
        <v>54.38</v>
      </c>
      <c r="K333" s="38">
        <v>57.46</v>
      </c>
      <c r="L333" s="38">
        <v>58.71</v>
      </c>
      <c r="M333" s="38">
        <v>58.85</v>
      </c>
      <c r="N333" s="38">
        <v>53.56</v>
      </c>
      <c r="O333" s="38">
        <v>46.38</v>
      </c>
      <c r="P333" s="38">
        <v>42.16</v>
      </c>
      <c r="Q333" s="38">
        <v>39.44</v>
      </c>
      <c r="R333" s="38">
        <v>39.32</v>
      </c>
      <c r="S333" s="38">
        <v>39.75</v>
      </c>
      <c r="T333" s="38">
        <v>41.17</v>
      </c>
      <c r="U333" s="38">
        <v>45.37</v>
      </c>
      <c r="V333" s="38">
        <v>48.48</v>
      </c>
      <c r="W333" s="38">
        <v>51.31</v>
      </c>
      <c r="X333" s="38">
        <v>52.95</v>
      </c>
      <c r="Y333" s="38">
        <v>52.74</v>
      </c>
      <c r="Z333" s="38">
        <v>49.09</v>
      </c>
      <c r="AA333" s="38">
        <v>43.57</v>
      </c>
      <c r="AB333" s="38">
        <v>39.35</v>
      </c>
      <c r="AC333" s="38">
        <v>36.479999999999997</v>
      </c>
      <c r="AD333" s="38">
        <v>35.97</v>
      </c>
      <c r="AE333" s="38">
        <v>36.200000000000003</v>
      </c>
      <c r="AF333" s="38">
        <v>38.64</v>
      </c>
      <c r="AG333" s="38">
        <v>43.76</v>
      </c>
      <c r="AH333" s="38">
        <v>47.05</v>
      </c>
      <c r="AI333" s="38">
        <v>48.97</v>
      </c>
      <c r="AJ333" s="38">
        <v>49.87</v>
      </c>
      <c r="AK333" s="38">
        <v>48.68</v>
      </c>
      <c r="AL333" s="38">
        <v>45.39</v>
      </c>
      <c r="AM333" s="38">
        <v>39.6</v>
      </c>
      <c r="AN333" s="38">
        <v>37.119999999999997</v>
      </c>
      <c r="AO333" s="38">
        <v>35.61</v>
      </c>
      <c r="AP333" s="38">
        <v>35.299999999999997</v>
      </c>
      <c r="AQ333" s="38">
        <v>35.53</v>
      </c>
      <c r="AR333" s="38">
        <v>36.56</v>
      </c>
      <c r="AS333" s="38">
        <v>42</v>
      </c>
      <c r="AT333" s="38">
        <v>45.28</v>
      </c>
      <c r="AU333" s="38">
        <v>47.14</v>
      </c>
      <c r="AV333" s="38">
        <v>48.55</v>
      </c>
      <c r="AW333" s="38">
        <v>47.57</v>
      </c>
      <c r="AX333" s="38">
        <v>44.47</v>
      </c>
      <c r="AY333" s="38">
        <v>39.14</v>
      </c>
      <c r="BA333" s="37">
        <v>63.85</v>
      </c>
      <c r="BB333" s="38">
        <v>1.3818999999999999</v>
      </c>
    </row>
    <row r="334" spans="1:54" x14ac:dyDescent="0.35">
      <c r="A334" s="2">
        <f t="shared" si="5"/>
        <v>44288</v>
      </c>
      <c r="B334" t="s">
        <v>376</v>
      </c>
      <c r="C334" s="32">
        <v>44288</v>
      </c>
      <c r="D334" s="38" t="e">
        <v>#N/A</v>
      </c>
      <c r="E334" s="38" t="e">
        <v>#N/A</v>
      </c>
      <c r="F334" s="38" t="e">
        <v>#N/A</v>
      </c>
      <c r="G334" s="38" t="e">
        <v>#N/A</v>
      </c>
      <c r="H334" s="38" t="e">
        <v>#N/A</v>
      </c>
      <c r="I334" s="38" t="e">
        <v>#N/A</v>
      </c>
      <c r="J334" s="38" t="e">
        <v>#N/A</v>
      </c>
      <c r="K334" s="38" t="e">
        <v>#N/A</v>
      </c>
      <c r="L334" s="38" t="e">
        <v>#N/A</v>
      </c>
      <c r="M334" s="38" t="e">
        <v>#N/A</v>
      </c>
      <c r="N334" s="38" t="e">
        <v>#N/A</v>
      </c>
      <c r="O334" s="38" t="e">
        <v>#N/A</v>
      </c>
      <c r="P334" s="38" t="e">
        <v>#N/A</v>
      </c>
      <c r="Q334" s="38" t="e">
        <v>#N/A</v>
      </c>
      <c r="R334" s="38" t="e">
        <v>#N/A</v>
      </c>
      <c r="S334" s="38" t="e">
        <v>#N/A</v>
      </c>
      <c r="T334" s="38" t="e">
        <v>#N/A</v>
      </c>
      <c r="U334" s="38" t="e">
        <v>#N/A</v>
      </c>
      <c r="V334" s="38" t="e">
        <v>#N/A</v>
      </c>
      <c r="W334" s="38" t="e">
        <v>#N/A</v>
      </c>
      <c r="X334" s="38" t="e">
        <v>#N/A</v>
      </c>
      <c r="Y334" s="38" t="e">
        <v>#N/A</v>
      </c>
      <c r="Z334" s="38" t="e">
        <v>#N/A</v>
      </c>
      <c r="AA334" s="38" t="e">
        <v>#N/A</v>
      </c>
      <c r="AB334" s="38" t="e">
        <v>#N/A</v>
      </c>
      <c r="AC334" s="38" t="e">
        <v>#N/A</v>
      </c>
      <c r="AD334" s="38" t="e">
        <v>#N/A</v>
      </c>
      <c r="AE334" s="38" t="e">
        <v>#N/A</v>
      </c>
      <c r="AF334" s="38" t="e">
        <v>#N/A</v>
      </c>
      <c r="AG334" s="38" t="e">
        <v>#N/A</v>
      </c>
      <c r="AH334" s="38" t="e">
        <v>#N/A</v>
      </c>
      <c r="AI334" s="38" t="e">
        <v>#N/A</v>
      </c>
      <c r="AJ334" s="38" t="e">
        <v>#N/A</v>
      </c>
      <c r="AK334" s="38" t="e">
        <v>#N/A</v>
      </c>
      <c r="AL334" s="38" t="e">
        <v>#N/A</v>
      </c>
      <c r="AM334" s="38" t="e">
        <v>#N/A</v>
      </c>
      <c r="AN334" s="38" t="e">
        <v>#N/A</v>
      </c>
      <c r="AO334" s="38" t="e">
        <v>#N/A</v>
      </c>
      <c r="AP334" s="38" t="e">
        <v>#N/A</v>
      </c>
      <c r="AQ334" s="38" t="e">
        <v>#N/A</v>
      </c>
      <c r="AR334" s="38" t="e">
        <v>#N/A</v>
      </c>
      <c r="AS334" s="38" t="e">
        <v>#N/A</v>
      </c>
      <c r="AT334" s="38" t="e">
        <v>#N/A</v>
      </c>
      <c r="AU334" s="38" t="e">
        <v>#N/A</v>
      </c>
      <c r="AV334" s="38" t="e">
        <v>#N/A</v>
      </c>
      <c r="AW334" s="38" t="e">
        <v>#N/A</v>
      </c>
      <c r="AX334" s="38" t="e">
        <v>#N/A</v>
      </c>
      <c r="AY334" s="38" t="e">
        <v>#N/A</v>
      </c>
      <c r="BA334" s="37" t="e">
        <v>#N/A</v>
      </c>
      <c r="BB334" s="38" t="e">
        <v>#N/A</v>
      </c>
    </row>
    <row r="335" spans="1:54" x14ac:dyDescent="0.35">
      <c r="A335" s="2">
        <f t="shared" si="5"/>
        <v>44291</v>
      </c>
      <c r="B335" t="s">
        <v>377</v>
      </c>
      <c r="C335" s="32">
        <v>44291</v>
      </c>
      <c r="D335" s="38">
        <v>47.21</v>
      </c>
      <c r="E335" s="38">
        <v>47.16</v>
      </c>
      <c r="F335" s="38">
        <v>45.93</v>
      </c>
      <c r="G335" s="38">
        <v>46.03</v>
      </c>
      <c r="H335" s="38">
        <v>47.49</v>
      </c>
      <c r="I335" s="38">
        <v>49.21</v>
      </c>
      <c r="J335" s="38">
        <v>54.38</v>
      </c>
      <c r="K335" s="38">
        <v>57.46</v>
      </c>
      <c r="L335" s="38">
        <v>58.71</v>
      </c>
      <c r="M335" s="38">
        <v>58.85</v>
      </c>
      <c r="N335" s="38">
        <v>53.56</v>
      </c>
      <c r="O335" s="38">
        <v>46.38</v>
      </c>
      <c r="P335" s="38">
        <v>42.16</v>
      </c>
      <c r="Q335" s="38">
        <v>39.44</v>
      </c>
      <c r="R335" s="38">
        <v>39.32</v>
      </c>
      <c r="S335" s="38">
        <v>39.75</v>
      </c>
      <c r="T335" s="38">
        <v>41.17</v>
      </c>
      <c r="U335" s="38">
        <v>45.37</v>
      </c>
      <c r="V335" s="38">
        <v>48.48</v>
      </c>
      <c r="W335" s="38">
        <v>51.31</v>
      </c>
      <c r="X335" s="38">
        <v>52.95</v>
      </c>
      <c r="Y335" s="38">
        <v>52.74</v>
      </c>
      <c r="Z335" s="38">
        <v>49.09</v>
      </c>
      <c r="AA335" s="38">
        <v>43.57</v>
      </c>
      <c r="AB335" s="38">
        <v>39.35</v>
      </c>
      <c r="AC335" s="38">
        <v>36.479999999999997</v>
      </c>
      <c r="AD335" s="38">
        <v>35.97</v>
      </c>
      <c r="AE335" s="38">
        <v>36.200000000000003</v>
      </c>
      <c r="AF335" s="38">
        <v>38.64</v>
      </c>
      <c r="AG335" s="38">
        <v>43.76</v>
      </c>
      <c r="AH335" s="38">
        <v>47.05</v>
      </c>
      <c r="AI335" s="38">
        <v>48.97</v>
      </c>
      <c r="AJ335" s="38">
        <v>49.87</v>
      </c>
      <c r="AK335" s="38">
        <v>48.68</v>
      </c>
      <c r="AL335" s="38">
        <v>45.39</v>
      </c>
      <c r="AM335" s="38">
        <v>39.6</v>
      </c>
      <c r="AN335" s="38">
        <v>37.119999999999997</v>
      </c>
      <c r="AO335" s="38">
        <v>35.61</v>
      </c>
      <c r="AP335" s="38">
        <v>35.299999999999997</v>
      </c>
      <c r="AQ335" s="38">
        <v>35.53</v>
      </c>
      <c r="AR335" s="38">
        <v>36.56</v>
      </c>
      <c r="AS335" s="38">
        <v>42</v>
      </c>
      <c r="AT335" s="38">
        <v>45.28</v>
      </c>
      <c r="AU335" s="38">
        <v>47.14</v>
      </c>
      <c r="AV335" s="38">
        <v>48.55</v>
      </c>
      <c r="AW335" s="38">
        <v>47.57</v>
      </c>
      <c r="AX335" s="38">
        <v>44.47</v>
      </c>
      <c r="AY335" s="38">
        <v>39.14</v>
      </c>
      <c r="BA335" s="37" t="e">
        <v>#N/A</v>
      </c>
      <c r="BB335" s="38" t="e">
        <v>#N/A</v>
      </c>
    </row>
    <row r="336" spans="1:54" x14ac:dyDescent="0.35">
      <c r="A336" s="2">
        <f t="shared" si="5"/>
        <v>44292</v>
      </c>
      <c r="B336" t="s">
        <v>378</v>
      </c>
      <c r="C336" s="32">
        <v>44292</v>
      </c>
      <c r="D336" s="38">
        <v>48.97</v>
      </c>
      <c r="E336" s="38">
        <v>48.78</v>
      </c>
      <c r="F336" s="38">
        <v>47.56</v>
      </c>
      <c r="G336" s="38">
        <v>47.58</v>
      </c>
      <c r="H336" s="38">
        <v>48.88</v>
      </c>
      <c r="I336" s="38">
        <v>50.8</v>
      </c>
      <c r="J336" s="38">
        <v>56.12</v>
      </c>
      <c r="K336" s="38">
        <v>58.84</v>
      </c>
      <c r="L336" s="38">
        <v>60.07</v>
      </c>
      <c r="M336" s="38">
        <v>60.19</v>
      </c>
      <c r="N336" s="38">
        <v>55.15</v>
      </c>
      <c r="O336" s="38">
        <v>46.65</v>
      </c>
      <c r="P336" s="38">
        <v>42.56</v>
      </c>
      <c r="Q336" s="38">
        <v>39.97</v>
      </c>
      <c r="R336" s="38">
        <v>39.96</v>
      </c>
      <c r="S336" s="38">
        <v>40.450000000000003</v>
      </c>
      <c r="T336" s="38">
        <v>41.9</v>
      </c>
      <c r="U336" s="38">
        <v>46.05</v>
      </c>
      <c r="V336" s="38">
        <v>49.11</v>
      </c>
      <c r="W336" s="38">
        <v>51.9</v>
      </c>
      <c r="X336" s="38">
        <v>53.5</v>
      </c>
      <c r="Y336" s="38">
        <v>53.28</v>
      </c>
      <c r="Z336" s="38">
        <v>49.64</v>
      </c>
      <c r="AA336" s="38">
        <v>44.13</v>
      </c>
      <c r="AB336" s="38">
        <v>39.909999999999997</v>
      </c>
      <c r="AC336" s="38">
        <v>37.04</v>
      </c>
      <c r="AD336" s="38">
        <v>36.53</v>
      </c>
      <c r="AE336" s="38">
        <v>36.76</v>
      </c>
      <c r="AF336" s="38">
        <v>39.200000000000003</v>
      </c>
      <c r="AG336" s="38">
        <v>44.32</v>
      </c>
      <c r="AH336" s="38">
        <v>47.61</v>
      </c>
      <c r="AI336" s="38">
        <v>49.53</v>
      </c>
      <c r="AJ336" s="38">
        <v>50.43</v>
      </c>
      <c r="AK336" s="38">
        <v>49.24</v>
      </c>
      <c r="AL336" s="38">
        <v>45.95</v>
      </c>
      <c r="AM336" s="38">
        <v>40.159999999999997</v>
      </c>
      <c r="AN336" s="38">
        <v>37.68</v>
      </c>
      <c r="AO336" s="38">
        <v>36.17</v>
      </c>
      <c r="AP336" s="38">
        <v>35.86</v>
      </c>
      <c r="AQ336" s="38">
        <v>36.090000000000003</v>
      </c>
      <c r="AR336" s="38">
        <v>37.119999999999997</v>
      </c>
      <c r="AS336" s="38">
        <v>42.56</v>
      </c>
      <c r="AT336" s="38">
        <v>45.84</v>
      </c>
      <c r="AU336" s="38">
        <v>47.7</v>
      </c>
      <c r="AV336" s="38">
        <v>49.11</v>
      </c>
      <c r="AW336" s="38">
        <v>48.13</v>
      </c>
      <c r="AX336" s="38">
        <v>45.03</v>
      </c>
      <c r="AY336" s="38">
        <v>39.700000000000003</v>
      </c>
      <c r="BA336" s="37">
        <v>61.47</v>
      </c>
      <c r="BB336" s="38">
        <v>1.3857999999999999</v>
      </c>
    </row>
    <row r="337" spans="1:54" x14ac:dyDescent="0.35">
      <c r="A337" s="2">
        <f t="shared" si="5"/>
        <v>44293</v>
      </c>
      <c r="B337" t="s">
        <v>379</v>
      </c>
      <c r="C337" s="32">
        <v>44293</v>
      </c>
      <c r="D337" s="38">
        <v>47.96</v>
      </c>
      <c r="E337" s="38">
        <v>47.82</v>
      </c>
      <c r="F337" s="38">
        <v>46.75</v>
      </c>
      <c r="G337" s="38">
        <v>46.88</v>
      </c>
      <c r="H337" s="38">
        <v>48.35</v>
      </c>
      <c r="I337" s="38">
        <v>50.25</v>
      </c>
      <c r="J337" s="38">
        <v>55.35</v>
      </c>
      <c r="K337" s="38">
        <v>58.14</v>
      </c>
      <c r="L337" s="38">
        <v>59.28</v>
      </c>
      <c r="M337" s="38">
        <v>59.51</v>
      </c>
      <c r="N337" s="38">
        <v>54.8</v>
      </c>
      <c r="O337" s="38">
        <v>46.29</v>
      </c>
      <c r="P337" s="38">
        <v>42.19</v>
      </c>
      <c r="Q337" s="38">
        <v>39.619999999999997</v>
      </c>
      <c r="R337" s="38">
        <v>39.619999999999997</v>
      </c>
      <c r="S337" s="38">
        <v>40.15</v>
      </c>
      <c r="T337" s="38">
        <v>41.65</v>
      </c>
      <c r="U337" s="38">
        <v>45.84</v>
      </c>
      <c r="V337" s="38">
        <v>48.92</v>
      </c>
      <c r="W337" s="38">
        <v>51.73</v>
      </c>
      <c r="X337" s="38">
        <v>53.34</v>
      </c>
      <c r="Y337" s="38">
        <v>53.13</v>
      </c>
      <c r="Z337" s="38">
        <v>49.5</v>
      </c>
      <c r="AA337" s="38">
        <v>44.01</v>
      </c>
      <c r="AB337" s="38">
        <v>39.799999999999997</v>
      </c>
      <c r="AC337" s="38">
        <v>36.94</v>
      </c>
      <c r="AD337" s="38">
        <v>36.43</v>
      </c>
      <c r="AE337" s="38">
        <v>36.659999999999997</v>
      </c>
      <c r="AF337" s="38">
        <v>39.1</v>
      </c>
      <c r="AG337" s="38">
        <v>44.2</v>
      </c>
      <c r="AH337" s="38">
        <v>47.48</v>
      </c>
      <c r="AI337" s="38">
        <v>49.4</v>
      </c>
      <c r="AJ337" s="38">
        <v>50.3</v>
      </c>
      <c r="AK337" s="38">
        <v>49.11</v>
      </c>
      <c r="AL337" s="38">
        <v>45.82</v>
      </c>
      <c r="AM337" s="38">
        <v>40.03</v>
      </c>
      <c r="AN337" s="38">
        <v>37.549999999999997</v>
      </c>
      <c r="AO337" s="38">
        <v>36.04</v>
      </c>
      <c r="AP337" s="38">
        <v>35.729999999999997</v>
      </c>
      <c r="AQ337" s="38">
        <v>35.96</v>
      </c>
      <c r="AR337" s="38">
        <v>36.99</v>
      </c>
      <c r="AS337" s="38">
        <v>42.43</v>
      </c>
      <c r="AT337" s="38">
        <v>45.71</v>
      </c>
      <c r="AU337" s="38">
        <v>47.57</v>
      </c>
      <c r="AV337" s="38">
        <v>48.98</v>
      </c>
      <c r="AW337" s="38">
        <v>48</v>
      </c>
      <c r="AX337" s="38">
        <v>44.9</v>
      </c>
      <c r="AY337" s="38">
        <v>39.57</v>
      </c>
      <c r="BA337" s="37">
        <v>61.86</v>
      </c>
      <c r="BB337" s="38">
        <v>1.3788</v>
      </c>
    </row>
    <row r="338" spans="1:54" x14ac:dyDescent="0.35">
      <c r="A338" s="2">
        <f t="shared" si="5"/>
        <v>44294</v>
      </c>
      <c r="B338" t="s">
        <v>380</v>
      </c>
      <c r="C338" s="32">
        <v>44294</v>
      </c>
      <c r="D338" s="38">
        <v>47.2</v>
      </c>
      <c r="E338" s="38">
        <v>47.31</v>
      </c>
      <c r="F338" s="38">
        <v>46.21</v>
      </c>
      <c r="G338" s="38">
        <v>46.36</v>
      </c>
      <c r="H338" s="38">
        <v>47.51</v>
      </c>
      <c r="I338" s="38">
        <v>49.52</v>
      </c>
      <c r="J338" s="38">
        <v>54.75</v>
      </c>
      <c r="K338" s="38">
        <v>57.52</v>
      </c>
      <c r="L338" s="38">
        <v>58.62</v>
      </c>
      <c r="M338" s="38">
        <v>58.87</v>
      </c>
      <c r="N338" s="38">
        <v>54.32</v>
      </c>
      <c r="O338" s="38">
        <v>45.9</v>
      </c>
      <c r="P338" s="38">
        <v>41.83</v>
      </c>
      <c r="Q338" s="38">
        <v>39.29</v>
      </c>
      <c r="R338" s="38">
        <v>39.299999999999997</v>
      </c>
      <c r="S338" s="38">
        <v>39.840000000000003</v>
      </c>
      <c r="T338" s="38">
        <v>41.3</v>
      </c>
      <c r="U338" s="38">
        <v>45.39</v>
      </c>
      <c r="V338" s="38">
        <v>48.49</v>
      </c>
      <c r="W338" s="38">
        <v>51.46</v>
      </c>
      <c r="X338" s="38">
        <v>53.24</v>
      </c>
      <c r="Y338" s="38">
        <v>53.03</v>
      </c>
      <c r="Z338" s="38">
        <v>49.4</v>
      </c>
      <c r="AA338" s="38">
        <v>43.91</v>
      </c>
      <c r="AB338" s="38">
        <v>39.700000000000003</v>
      </c>
      <c r="AC338" s="38">
        <v>36.840000000000003</v>
      </c>
      <c r="AD338" s="38">
        <v>36.33</v>
      </c>
      <c r="AE338" s="38">
        <v>36.56</v>
      </c>
      <c r="AF338" s="38">
        <v>39</v>
      </c>
      <c r="AG338" s="38">
        <v>44.06</v>
      </c>
      <c r="AH338" s="38">
        <v>47.3</v>
      </c>
      <c r="AI338" s="38">
        <v>49.19</v>
      </c>
      <c r="AJ338" s="38">
        <v>50.07</v>
      </c>
      <c r="AK338" s="38">
        <v>48.86</v>
      </c>
      <c r="AL338" s="38">
        <v>45.57</v>
      </c>
      <c r="AM338" s="38">
        <v>39.76</v>
      </c>
      <c r="AN338" s="38">
        <v>37.26</v>
      </c>
      <c r="AO338" s="38">
        <v>35.729999999999997</v>
      </c>
      <c r="AP338" s="38">
        <v>35.4</v>
      </c>
      <c r="AQ338" s="38">
        <v>35.61</v>
      </c>
      <c r="AR338" s="38">
        <v>36.630000000000003</v>
      </c>
      <c r="AS338" s="38">
        <v>42.07</v>
      </c>
      <c r="AT338" s="38">
        <v>45.35</v>
      </c>
      <c r="AU338" s="38">
        <v>47.21</v>
      </c>
      <c r="AV338" s="38">
        <v>48.62</v>
      </c>
      <c r="AW338" s="38">
        <v>47.64</v>
      </c>
      <c r="AX338" s="38">
        <v>44.54</v>
      </c>
      <c r="AY338" s="38">
        <v>39.21</v>
      </c>
      <c r="BA338" s="37">
        <v>62.09</v>
      </c>
      <c r="BB338" s="38">
        <v>1.3731</v>
      </c>
    </row>
    <row r="339" spans="1:54" x14ac:dyDescent="0.35">
      <c r="A339" s="2">
        <f t="shared" si="5"/>
        <v>44295</v>
      </c>
      <c r="B339" t="s">
        <v>381</v>
      </c>
      <c r="C339" s="32">
        <v>44295</v>
      </c>
      <c r="D339" s="38">
        <v>46.86</v>
      </c>
      <c r="E339" s="38">
        <v>46.95</v>
      </c>
      <c r="F339" s="38">
        <v>45.92</v>
      </c>
      <c r="G339" s="38">
        <v>46.12</v>
      </c>
      <c r="H339" s="38">
        <v>47.27</v>
      </c>
      <c r="I339" s="38">
        <v>49.38</v>
      </c>
      <c r="J339" s="38">
        <v>54.53</v>
      </c>
      <c r="K339" s="38">
        <v>57.38</v>
      </c>
      <c r="L339" s="38">
        <v>58.37</v>
      </c>
      <c r="M339" s="38">
        <v>58.62</v>
      </c>
      <c r="N339" s="38">
        <v>54.07</v>
      </c>
      <c r="O339" s="38">
        <v>45.76</v>
      </c>
      <c r="P339" s="38">
        <v>41.69</v>
      </c>
      <c r="Q339" s="38">
        <v>39.15</v>
      </c>
      <c r="R339" s="38">
        <v>39.159999999999997</v>
      </c>
      <c r="S339" s="38">
        <v>39.700000000000003</v>
      </c>
      <c r="T339" s="38">
        <v>41.16</v>
      </c>
      <c r="U339" s="38">
        <v>45.21</v>
      </c>
      <c r="V339" s="38">
        <v>48.31</v>
      </c>
      <c r="W339" s="38">
        <v>51.28</v>
      </c>
      <c r="X339" s="38">
        <v>53.06</v>
      </c>
      <c r="Y339" s="38">
        <v>52.85</v>
      </c>
      <c r="Z339" s="38">
        <v>49.22</v>
      </c>
      <c r="AA339" s="38">
        <v>43.73</v>
      </c>
      <c r="AB339" s="38">
        <v>39.520000000000003</v>
      </c>
      <c r="AC339" s="38">
        <v>36.659999999999997</v>
      </c>
      <c r="AD339" s="38">
        <v>36.18</v>
      </c>
      <c r="AE339" s="38">
        <v>36.450000000000003</v>
      </c>
      <c r="AF339" s="38">
        <v>38.93</v>
      </c>
      <c r="AG339" s="38">
        <v>44.06</v>
      </c>
      <c r="AH339" s="38">
        <v>47.33</v>
      </c>
      <c r="AI339" s="38">
        <v>49.22</v>
      </c>
      <c r="AJ339" s="38">
        <v>50.1</v>
      </c>
      <c r="AK339" s="38">
        <v>48.89</v>
      </c>
      <c r="AL339" s="38">
        <v>45.6</v>
      </c>
      <c r="AM339" s="38">
        <v>39.79</v>
      </c>
      <c r="AN339" s="38">
        <v>37.29</v>
      </c>
      <c r="AO339" s="38">
        <v>35.76</v>
      </c>
      <c r="AP339" s="38">
        <v>35.43</v>
      </c>
      <c r="AQ339" s="38">
        <v>35.64</v>
      </c>
      <c r="AR339" s="38">
        <v>36.659999999999997</v>
      </c>
      <c r="AS339" s="38">
        <v>42.1</v>
      </c>
      <c r="AT339" s="38">
        <v>45.38</v>
      </c>
      <c r="AU339" s="38">
        <v>47.24</v>
      </c>
      <c r="AV339" s="38">
        <v>48.65</v>
      </c>
      <c r="AW339" s="38">
        <v>47.67</v>
      </c>
      <c r="AX339" s="38">
        <v>44.57</v>
      </c>
      <c r="AY339" s="38">
        <v>39.24</v>
      </c>
      <c r="BA339" s="37">
        <v>61.89</v>
      </c>
      <c r="BB339" s="38">
        <v>1.3729</v>
      </c>
    </row>
    <row r="340" spans="1:54" x14ac:dyDescent="0.35">
      <c r="A340" s="2">
        <f t="shared" si="5"/>
        <v>44298</v>
      </c>
      <c r="B340" t="s">
        <v>382</v>
      </c>
      <c r="C340" s="32">
        <v>44298</v>
      </c>
      <c r="D340" s="38">
        <v>49.14</v>
      </c>
      <c r="E340" s="38">
        <v>49.14</v>
      </c>
      <c r="F340" s="38">
        <v>47.99</v>
      </c>
      <c r="G340" s="38">
        <v>48.11</v>
      </c>
      <c r="H340" s="38">
        <v>48.98</v>
      </c>
      <c r="I340" s="38">
        <v>51.04</v>
      </c>
      <c r="J340" s="38">
        <v>56.24</v>
      </c>
      <c r="K340" s="38">
        <v>59.08</v>
      </c>
      <c r="L340" s="38">
        <v>60.39</v>
      </c>
      <c r="M340" s="38">
        <v>60.39</v>
      </c>
      <c r="N340" s="38">
        <v>55.76</v>
      </c>
      <c r="O340" s="38">
        <v>47.26</v>
      </c>
      <c r="P340" s="38">
        <v>42.86</v>
      </c>
      <c r="Q340" s="38">
        <v>39.07</v>
      </c>
      <c r="R340" s="38">
        <v>39.44</v>
      </c>
      <c r="S340" s="38">
        <v>40.21</v>
      </c>
      <c r="T340" s="38">
        <v>41.67</v>
      </c>
      <c r="U340" s="38">
        <v>45.79</v>
      </c>
      <c r="V340" s="38">
        <v>48.89</v>
      </c>
      <c r="W340" s="38">
        <v>51.86</v>
      </c>
      <c r="X340" s="38">
        <v>53.67</v>
      </c>
      <c r="Y340" s="38">
        <v>53.53</v>
      </c>
      <c r="Z340" s="38">
        <v>49.98</v>
      </c>
      <c r="AA340" s="38">
        <v>44.44</v>
      </c>
      <c r="AB340" s="38">
        <v>40.18</v>
      </c>
      <c r="AC340" s="38">
        <v>37.270000000000003</v>
      </c>
      <c r="AD340" s="38">
        <v>36.74</v>
      </c>
      <c r="AE340" s="38">
        <v>37.01</v>
      </c>
      <c r="AF340" s="38">
        <v>39.49</v>
      </c>
      <c r="AG340" s="38">
        <v>44.7</v>
      </c>
      <c r="AH340" s="38">
        <v>48</v>
      </c>
      <c r="AI340" s="38">
        <v>49.91</v>
      </c>
      <c r="AJ340" s="38">
        <v>50.79</v>
      </c>
      <c r="AK340" s="38">
        <v>49.58</v>
      </c>
      <c r="AL340" s="38">
        <v>46.29</v>
      </c>
      <c r="AM340" s="38">
        <v>40.479999999999997</v>
      </c>
      <c r="AN340" s="38">
        <v>37.979999999999997</v>
      </c>
      <c r="AO340" s="38">
        <v>36.450000000000003</v>
      </c>
      <c r="AP340" s="38">
        <v>36.119999999999997</v>
      </c>
      <c r="AQ340" s="38">
        <v>36.33</v>
      </c>
      <c r="AR340" s="38">
        <v>37.35</v>
      </c>
      <c r="AS340" s="38">
        <v>42.79</v>
      </c>
      <c r="AT340" s="38">
        <v>46.07</v>
      </c>
      <c r="AU340" s="38">
        <v>47.93</v>
      </c>
      <c r="AV340" s="38">
        <v>49.34</v>
      </c>
      <c r="AW340" s="38">
        <v>48.36</v>
      </c>
      <c r="AX340" s="38">
        <v>45.26</v>
      </c>
      <c r="AY340" s="38">
        <v>39.93</v>
      </c>
      <c r="BA340" s="37">
        <v>62.38</v>
      </c>
      <c r="BB340" s="38">
        <v>1.3744000000000001</v>
      </c>
    </row>
    <row r="341" spans="1:54" x14ac:dyDescent="0.35">
      <c r="A341" s="2">
        <f t="shared" si="5"/>
        <v>44299</v>
      </c>
      <c r="B341" t="s">
        <v>383</v>
      </c>
      <c r="C341" s="32">
        <v>44299</v>
      </c>
      <c r="D341" s="38">
        <v>48.6</v>
      </c>
      <c r="E341" s="38">
        <v>48.81</v>
      </c>
      <c r="F341" s="38">
        <v>47.62</v>
      </c>
      <c r="G341" s="38">
        <v>47.73</v>
      </c>
      <c r="H341" s="38">
        <v>48.58</v>
      </c>
      <c r="I341" s="38">
        <v>50.4</v>
      </c>
      <c r="J341" s="38">
        <v>55.56</v>
      </c>
      <c r="K341" s="38">
        <v>58.4</v>
      </c>
      <c r="L341" s="38">
        <v>59.84</v>
      </c>
      <c r="M341" s="38">
        <v>59.98</v>
      </c>
      <c r="N341" s="38">
        <v>55.34</v>
      </c>
      <c r="O341" s="38">
        <v>47.17</v>
      </c>
      <c r="P341" s="38">
        <v>42.82</v>
      </c>
      <c r="Q341" s="38">
        <v>39.22</v>
      </c>
      <c r="R341" s="38">
        <v>39.26</v>
      </c>
      <c r="S341" s="38">
        <v>40.03</v>
      </c>
      <c r="T341" s="38">
        <v>41.49</v>
      </c>
      <c r="U341" s="38">
        <v>45.61</v>
      </c>
      <c r="V341" s="38">
        <v>48.68</v>
      </c>
      <c r="W341" s="38">
        <v>51.65</v>
      </c>
      <c r="X341" s="38">
        <v>53.46</v>
      </c>
      <c r="Y341" s="38">
        <v>53.32</v>
      </c>
      <c r="Z341" s="38">
        <v>49.77</v>
      </c>
      <c r="AA341" s="38">
        <v>44.23</v>
      </c>
      <c r="AB341" s="38">
        <v>39.97</v>
      </c>
      <c r="AC341" s="38">
        <v>37.06</v>
      </c>
      <c r="AD341" s="38">
        <v>36.53</v>
      </c>
      <c r="AE341" s="38">
        <v>36.799999999999997</v>
      </c>
      <c r="AF341" s="38">
        <v>39.28</v>
      </c>
      <c r="AG341" s="38">
        <v>44.49</v>
      </c>
      <c r="AH341" s="38">
        <v>47.84</v>
      </c>
      <c r="AI341" s="38">
        <v>49.78</v>
      </c>
      <c r="AJ341" s="38">
        <v>50.66</v>
      </c>
      <c r="AK341" s="38">
        <v>49.53</v>
      </c>
      <c r="AL341" s="38">
        <v>46.34</v>
      </c>
      <c r="AM341" s="38">
        <v>40.67</v>
      </c>
      <c r="AN341" s="38">
        <v>38.299999999999997</v>
      </c>
      <c r="AO341" s="38">
        <v>36.869999999999997</v>
      </c>
      <c r="AP341" s="38">
        <v>36.57</v>
      </c>
      <c r="AQ341" s="38">
        <v>36.78</v>
      </c>
      <c r="AR341" s="38">
        <v>37.799999999999997</v>
      </c>
      <c r="AS341" s="38">
        <v>43.24</v>
      </c>
      <c r="AT341" s="38">
        <v>46.52</v>
      </c>
      <c r="AU341" s="38">
        <v>48.38</v>
      </c>
      <c r="AV341" s="38">
        <v>49.79</v>
      </c>
      <c r="AW341" s="38">
        <v>48.81</v>
      </c>
      <c r="AX341" s="38">
        <v>45.71</v>
      </c>
      <c r="AY341" s="38">
        <v>40.380000000000003</v>
      </c>
      <c r="BA341" s="37">
        <v>62.83</v>
      </c>
      <c r="BB341" s="38">
        <v>1.3732</v>
      </c>
    </row>
    <row r="342" spans="1:54" x14ac:dyDescent="0.35">
      <c r="A342" s="2">
        <f t="shared" si="5"/>
        <v>44300</v>
      </c>
      <c r="B342" t="s">
        <v>384</v>
      </c>
      <c r="C342" s="32">
        <v>44300</v>
      </c>
      <c r="D342" s="38">
        <v>48.88</v>
      </c>
      <c r="E342" s="38">
        <v>49.28</v>
      </c>
      <c r="F342" s="38">
        <v>48.02</v>
      </c>
      <c r="G342" s="38">
        <v>48.07</v>
      </c>
      <c r="H342" s="38">
        <v>48.72</v>
      </c>
      <c r="I342" s="38">
        <v>50.67</v>
      </c>
      <c r="J342" s="38">
        <v>55.94</v>
      </c>
      <c r="K342" s="38">
        <v>58.79</v>
      </c>
      <c r="L342" s="38">
        <v>60.01</v>
      </c>
      <c r="M342" s="38">
        <v>60.12</v>
      </c>
      <c r="N342" s="38">
        <v>55.57</v>
      </c>
      <c r="O342" s="38">
        <v>47.43</v>
      </c>
      <c r="P342" s="38">
        <v>42.86</v>
      </c>
      <c r="Q342" s="38">
        <v>39.35</v>
      </c>
      <c r="R342" s="38">
        <v>39.21</v>
      </c>
      <c r="S342" s="38">
        <v>40</v>
      </c>
      <c r="T342" s="38">
        <v>41.52</v>
      </c>
      <c r="U342" s="38">
        <v>45.72</v>
      </c>
      <c r="V342" s="38">
        <v>48.88</v>
      </c>
      <c r="W342" s="38">
        <v>51.85</v>
      </c>
      <c r="X342" s="38">
        <v>53.76</v>
      </c>
      <c r="Y342" s="38">
        <v>53.71</v>
      </c>
      <c r="Z342" s="38">
        <v>50.23</v>
      </c>
      <c r="AA342" s="38">
        <v>44.7</v>
      </c>
      <c r="AB342" s="38">
        <v>40.44</v>
      </c>
      <c r="AC342" s="38">
        <v>37.53</v>
      </c>
      <c r="AD342" s="38">
        <v>37</v>
      </c>
      <c r="AE342" s="38">
        <v>37.270000000000003</v>
      </c>
      <c r="AF342" s="38">
        <v>39.75</v>
      </c>
      <c r="AG342" s="38">
        <v>44.92</v>
      </c>
      <c r="AH342" s="38">
        <v>48.29</v>
      </c>
      <c r="AI342" s="38">
        <v>50.23</v>
      </c>
      <c r="AJ342" s="38">
        <v>51.11</v>
      </c>
      <c r="AK342" s="38">
        <v>49.98</v>
      </c>
      <c r="AL342" s="38">
        <v>46.79</v>
      </c>
      <c r="AM342" s="38">
        <v>41.2</v>
      </c>
      <c r="AN342" s="38">
        <v>38.83</v>
      </c>
      <c r="AO342" s="38">
        <v>37.4</v>
      </c>
      <c r="AP342" s="38">
        <v>37.1</v>
      </c>
      <c r="AQ342" s="38">
        <v>37.31</v>
      </c>
      <c r="AR342" s="38">
        <v>38.33</v>
      </c>
      <c r="AS342" s="38">
        <v>43.69</v>
      </c>
      <c r="AT342" s="38">
        <v>46.97</v>
      </c>
      <c r="AU342" s="38">
        <v>48.83</v>
      </c>
      <c r="AV342" s="38">
        <v>50.24</v>
      </c>
      <c r="AW342" s="38">
        <v>49.26</v>
      </c>
      <c r="AX342" s="38">
        <v>46.16</v>
      </c>
      <c r="AY342" s="38">
        <v>40.909999999999997</v>
      </c>
      <c r="BA342" s="37">
        <v>66.11</v>
      </c>
      <c r="BB342" s="38">
        <v>1.3781000000000001</v>
      </c>
    </row>
    <row r="343" spans="1:54" x14ac:dyDescent="0.35">
      <c r="A343" s="2">
        <f t="shared" si="5"/>
        <v>44301</v>
      </c>
      <c r="B343" t="s">
        <v>385</v>
      </c>
      <c r="C343" s="32">
        <v>44301</v>
      </c>
      <c r="D343" s="38">
        <v>50.39</v>
      </c>
      <c r="E343" s="38">
        <v>50.88</v>
      </c>
      <c r="F343" s="38">
        <v>49.6</v>
      </c>
      <c r="G343" s="38">
        <v>49.63</v>
      </c>
      <c r="H343" s="38">
        <v>50.45</v>
      </c>
      <c r="I343" s="38">
        <v>52.36</v>
      </c>
      <c r="J343" s="38">
        <v>57.63</v>
      </c>
      <c r="K343" s="38">
        <v>60.48</v>
      </c>
      <c r="L343" s="38">
        <v>61.58</v>
      </c>
      <c r="M343" s="38">
        <v>61.63</v>
      </c>
      <c r="N343" s="38">
        <v>56.99</v>
      </c>
      <c r="O343" s="38">
        <v>48.49</v>
      </c>
      <c r="P343" s="38">
        <v>43.86</v>
      </c>
      <c r="Q343" s="38">
        <v>40.36</v>
      </c>
      <c r="R343" s="38">
        <v>40.04</v>
      </c>
      <c r="S343" s="38">
        <v>40.78</v>
      </c>
      <c r="T343" s="38">
        <v>42.25</v>
      </c>
      <c r="U343" s="38">
        <v>46.38</v>
      </c>
      <c r="V343" s="38">
        <v>49.49</v>
      </c>
      <c r="W343" s="38">
        <v>52.43</v>
      </c>
      <c r="X343" s="38">
        <v>54.34</v>
      </c>
      <c r="Y343" s="38">
        <v>54.29</v>
      </c>
      <c r="Z343" s="38">
        <v>50.81</v>
      </c>
      <c r="AA343" s="38">
        <v>45.24</v>
      </c>
      <c r="AB343" s="38">
        <v>40.880000000000003</v>
      </c>
      <c r="AC343" s="38">
        <v>37.93</v>
      </c>
      <c r="AD343" s="38">
        <v>37.4</v>
      </c>
      <c r="AE343" s="38">
        <v>37.67</v>
      </c>
      <c r="AF343" s="38">
        <v>40.18</v>
      </c>
      <c r="AG343" s="38">
        <v>45.45</v>
      </c>
      <c r="AH343" s="38">
        <v>48.92</v>
      </c>
      <c r="AI343" s="38">
        <v>50.98</v>
      </c>
      <c r="AJ343" s="38">
        <v>51.86</v>
      </c>
      <c r="AK343" s="38">
        <v>50.73</v>
      </c>
      <c r="AL343" s="38">
        <v>47.54</v>
      </c>
      <c r="AM343" s="38">
        <v>41.95</v>
      </c>
      <c r="AN343" s="38">
        <v>39.58</v>
      </c>
      <c r="AO343" s="38">
        <v>38.15</v>
      </c>
      <c r="AP343" s="38">
        <v>37.85</v>
      </c>
      <c r="AQ343" s="38">
        <v>38.06</v>
      </c>
      <c r="AR343" s="38">
        <v>39.08</v>
      </c>
      <c r="AS343" s="38">
        <v>44.44</v>
      </c>
      <c r="AT343" s="38">
        <v>47.72</v>
      </c>
      <c r="AU343" s="38">
        <v>49.58</v>
      </c>
      <c r="AV343" s="38">
        <v>50.99</v>
      </c>
      <c r="AW343" s="38">
        <v>50.01</v>
      </c>
      <c r="AX343" s="38">
        <v>46.91</v>
      </c>
      <c r="AY343" s="38">
        <v>41.61</v>
      </c>
      <c r="BA343" s="37">
        <v>66.13</v>
      </c>
      <c r="BB343" s="38">
        <v>1.3794999999999999</v>
      </c>
    </row>
    <row r="344" spans="1:54" x14ac:dyDescent="0.35">
      <c r="A344" s="2">
        <f t="shared" si="5"/>
        <v>44302</v>
      </c>
      <c r="B344" t="s">
        <v>386</v>
      </c>
      <c r="C344" s="32">
        <v>44302</v>
      </c>
      <c r="D344" s="38">
        <v>51.15</v>
      </c>
      <c r="E344" s="38">
        <v>51.63</v>
      </c>
      <c r="F344" s="38">
        <v>50.23</v>
      </c>
      <c r="G344" s="38">
        <v>50.25</v>
      </c>
      <c r="H344" s="38">
        <v>51.19</v>
      </c>
      <c r="I344" s="38">
        <v>52.96</v>
      </c>
      <c r="J344" s="38">
        <v>58.16</v>
      </c>
      <c r="K344" s="38">
        <v>61.08</v>
      </c>
      <c r="L344" s="38">
        <v>62.2</v>
      </c>
      <c r="M344" s="38">
        <v>62.26</v>
      </c>
      <c r="N344" s="38">
        <v>57.41</v>
      </c>
      <c r="O344" s="38">
        <v>48.83</v>
      </c>
      <c r="P344" s="38">
        <v>43.97</v>
      </c>
      <c r="Q344" s="38">
        <v>40.56</v>
      </c>
      <c r="R344" s="38">
        <v>40.44</v>
      </c>
      <c r="S344" s="38">
        <v>41.26</v>
      </c>
      <c r="T344" s="38">
        <v>42.73</v>
      </c>
      <c r="U344" s="38">
        <v>46.88</v>
      </c>
      <c r="V344" s="38">
        <v>50</v>
      </c>
      <c r="W344" s="38">
        <v>52.82</v>
      </c>
      <c r="X344" s="38">
        <v>54.69</v>
      </c>
      <c r="Y344" s="38">
        <v>54.59</v>
      </c>
      <c r="Z344" s="38">
        <v>51.14</v>
      </c>
      <c r="AA344" s="38">
        <v>45.49</v>
      </c>
      <c r="AB344" s="38">
        <v>41.19</v>
      </c>
      <c r="AC344" s="38">
        <v>38.24</v>
      </c>
      <c r="AD344" s="38">
        <v>37.590000000000003</v>
      </c>
      <c r="AE344" s="38">
        <v>37.86</v>
      </c>
      <c r="AF344" s="38">
        <v>40.36</v>
      </c>
      <c r="AG344" s="38">
        <v>45.52</v>
      </c>
      <c r="AH344" s="38">
        <v>49.02</v>
      </c>
      <c r="AI344" s="38">
        <v>51.11</v>
      </c>
      <c r="AJ344" s="38">
        <v>51.99</v>
      </c>
      <c r="AK344" s="38">
        <v>50.86</v>
      </c>
      <c r="AL344" s="38">
        <v>47.67</v>
      </c>
      <c r="AM344" s="38">
        <v>42.13</v>
      </c>
      <c r="AN344" s="38">
        <v>39.81</v>
      </c>
      <c r="AO344" s="38">
        <v>38.39</v>
      </c>
      <c r="AP344" s="38">
        <v>38.090000000000003</v>
      </c>
      <c r="AQ344" s="38">
        <v>38.299999999999997</v>
      </c>
      <c r="AR344" s="38">
        <v>39.32</v>
      </c>
      <c r="AS344" s="38">
        <v>44.63</v>
      </c>
      <c r="AT344" s="38">
        <v>47.85</v>
      </c>
      <c r="AU344" s="38">
        <v>49.67</v>
      </c>
      <c r="AV344" s="38">
        <v>51.05</v>
      </c>
      <c r="AW344" s="38">
        <v>50.07</v>
      </c>
      <c r="AX344" s="38">
        <v>46.97</v>
      </c>
      <c r="AY344" s="38">
        <v>41.67</v>
      </c>
      <c r="BA344" s="37">
        <v>65.98</v>
      </c>
      <c r="BB344" s="38">
        <v>1.3816999999999999</v>
      </c>
    </row>
    <row r="345" spans="1:54" x14ac:dyDescent="0.35">
      <c r="A345" s="2">
        <f t="shared" si="5"/>
        <v>44305</v>
      </c>
      <c r="B345" t="s">
        <v>387</v>
      </c>
      <c r="C345" s="32">
        <v>44305</v>
      </c>
      <c r="D345" s="38">
        <v>52.48</v>
      </c>
      <c r="E345" s="38">
        <v>52.81</v>
      </c>
      <c r="F345" s="38">
        <v>51.18</v>
      </c>
      <c r="G345" s="38">
        <v>51.22</v>
      </c>
      <c r="H345" s="38">
        <v>52.05</v>
      </c>
      <c r="I345" s="38">
        <v>53.76</v>
      </c>
      <c r="J345" s="38">
        <v>58.51</v>
      </c>
      <c r="K345" s="38">
        <v>61.39</v>
      </c>
      <c r="L345" s="38">
        <v>62.39</v>
      </c>
      <c r="M345" s="38">
        <v>62.9</v>
      </c>
      <c r="N345" s="38">
        <v>57.89</v>
      </c>
      <c r="O345" s="38">
        <v>48.99</v>
      </c>
      <c r="P345" s="38">
        <v>44.08</v>
      </c>
      <c r="Q345" s="38">
        <v>40.619999999999997</v>
      </c>
      <c r="R345" s="38">
        <v>40.53</v>
      </c>
      <c r="S345" s="38">
        <v>41.38</v>
      </c>
      <c r="T345" s="38">
        <v>42.87</v>
      </c>
      <c r="U345" s="38">
        <v>46.96</v>
      </c>
      <c r="V345" s="38">
        <v>50.03</v>
      </c>
      <c r="W345" s="38">
        <v>52.8</v>
      </c>
      <c r="X345" s="38">
        <v>54.63</v>
      </c>
      <c r="Y345" s="38">
        <v>54.51</v>
      </c>
      <c r="Z345" s="38">
        <v>51.08</v>
      </c>
      <c r="AA345" s="38">
        <v>45.45</v>
      </c>
      <c r="AB345" s="38">
        <v>41.17</v>
      </c>
      <c r="AC345" s="38">
        <v>38.24</v>
      </c>
      <c r="AD345" s="38">
        <v>37.61</v>
      </c>
      <c r="AE345" s="38">
        <v>37.9</v>
      </c>
      <c r="AF345" s="38">
        <v>40.4</v>
      </c>
      <c r="AG345" s="38">
        <v>45.28</v>
      </c>
      <c r="AH345" s="38">
        <v>48.78</v>
      </c>
      <c r="AI345" s="38">
        <v>50.87</v>
      </c>
      <c r="AJ345" s="38">
        <v>51.75</v>
      </c>
      <c r="AK345" s="38">
        <v>50.62</v>
      </c>
      <c r="AL345" s="38">
        <v>47.43</v>
      </c>
      <c r="AM345" s="38">
        <v>41.84</v>
      </c>
      <c r="AN345" s="38">
        <v>39.479999999999997</v>
      </c>
      <c r="AO345" s="38">
        <v>38.020000000000003</v>
      </c>
      <c r="AP345" s="38">
        <v>37.69</v>
      </c>
      <c r="AQ345" s="38">
        <v>37.869999999999997</v>
      </c>
      <c r="AR345" s="38">
        <v>38.89</v>
      </c>
      <c r="AS345" s="38">
        <v>44.17</v>
      </c>
      <c r="AT345" s="38">
        <v>47.37</v>
      </c>
      <c r="AU345" s="38">
        <v>49.17</v>
      </c>
      <c r="AV345" s="38">
        <v>50.53</v>
      </c>
      <c r="AW345" s="38">
        <v>49.55</v>
      </c>
      <c r="AX345" s="38">
        <v>46.45</v>
      </c>
      <c r="AY345" s="38">
        <v>41.15</v>
      </c>
      <c r="BA345" s="37">
        <v>66.540000000000006</v>
      </c>
      <c r="BB345" s="38">
        <v>1.3984000000000001</v>
      </c>
    </row>
    <row r="346" spans="1:54" x14ac:dyDescent="0.35">
      <c r="A346" s="2">
        <f t="shared" si="5"/>
        <v>44306</v>
      </c>
      <c r="B346" t="s">
        <v>388</v>
      </c>
      <c r="C346" s="32">
        <v>44306</v>
      </c>
      <c r="D346" s="38">
        <v>52.82</v>
      </c>
      <c r="E346" s="38">
        <v>53.45</v>
      </c>
      <c r="F346" s="38">
        <v>51.47</v>
      </c>
      <c r="G346" s="38">
        <v>51.46</v>
      </c>
      <c r="H346" s="38">
        <v>52.47</v>
      </c>
      <c r="I346" s="38">
        <v>54.25</v>
      </c>
      <c r="J346" s="38">
        <v>59.05</v>
      </c>
      <c r="K346" s="38">
        <v>61.9</v>
      </c>
      <c r="L346" s="38">
        <v>62.7</v>
      </c>
      <c r="M346" s="38">
        <v>62.9</v>
      </c>
      <c r="N346" s="38">
        <v>58.3</v>
      </c>
      <c r="O346" s="38">
        <v>49.4</v>
      </c>
      <c r="P346" s="38">
        <v>44.4</v>
      </c>
      <c r="Q346" s="38">
        <v>40.86</v>
      </c>
      <c r="R346" s="38">
        <v>40.700000000000003</v>
      </c>
      <c r="S346" s="38">
        <v>41.5</v>
      </c>
      <c r="T346" s="38">
        <v>42.93</v>
      </c>
      <c r="U346" s="38">
        <v>46.93</v>
      </c>
      <c r="V346" s="38">
        <v>49.96</v>
      </c>
      <c r="W346" s="38">
        <v>52.76</v>
      </c>
      <c r="X346" s="38">
        <v>54.67</v>
      </c>
      <c r="Y346" s="38">
        <v>54.55</v>
      </c>
      <c r="Z346" s="38">
        <v>51.07</v>
      </c>
      <c r="AA346" s="38">
        <v>45.4</v>
      </c>
      <c r="AB346" s="38">
        <v>41.07</v>
      </c>
      <c r="AC346" s="38">
        <v>38.1</v>
      </c>
      <c r="AD346" s="38">
        <v>37.43</v>
      </c>
      <c r="AE346" s="38">
        <v>37.72</v>
      </c>
      <c r="AF346" s="38">
        <v>40.24</v>
      </c>
      <c r="AG346" s="38">
        <v>45.32</v>
      </c>
      <c r="AH346" s="38">
        <v>49</v>
      </c>
      <c r="AI346" s="38">
        <v>51.25</v>
      </c>
      <c r="AJ346" s="38">
        <v>52.27</v>
      </c>
      <c r="AK346" s="38">
        <v>51.24</v>
      </c>
      <c r="AL346" s="38">
        <v>48.06</v>
      </c>
      <c r="AM346" s="38">
        <v>42.24</v>
      </c>
      <c r="AN346" s="38">
        <v>39.65</v>
      </c>
      <c r="AO346" s="38">
        <v>38</v>
      </c>
      <c r="AP346" s="38">
        <v>37.54</v>
      </c>
      <c r="AQ346" s="38">
        <v>37.619999999999997</v>
      </c>
      <c r="AR346" s="38">
        <v>38.64</v>
      </c>
      <c r="AS346" s="38">
        <v>43.93</v>
      </c>
      <c r="AT346" s="38">
        <v>47.14</v>
      </c>
      <c r="AU346" s="38">
        <v>48.95</v>
      </c>
      <c r="AV346" s="38">
        <v>50.31</v>
      </c>
      <c r="AW346" s="38">
        <v>49.33</v>
      </c>
      <c r="AX346" s="38">
        <v>46.23</v>
      </c>
      <c r="AY346" s="38">
        <v>40.94</v>
      </c>
      <c r="BA346" s="37">
        <v>65.34</v>
      </c>
      <c r="BB346" s="38">
        <v>1.395</v>
      </c>
    </row>
    <row r="347" spans="1:54" x14ac:dyDescent="0.35">
      <c r="A347" s="2">
        <f t="shared" si="5"/>
        <v>44307</v>
      </c>
      <c r="B347" t="s">
        <v>389</v>
      </c>
      <c r="C347" s="32">
        <v>44307</v>
      </c>
      <c r="D347" s="38">
        <v>52.82</v>
      </c>
      <c r="E347" s="38">
        <v>53.62</v>
      </c>
      <c r="F347" s="38">
        <v>51.62</v>
      </c>
      <c r="G347" s="38">
        <v>51.53</v>
      </c>
      <c r="H347" s="38">
        <v>52.55</v>
      </c>
      <c r="I347" s="38">
        <v>54.24</v>
      </c>
      <c r="J347" s="38">
        <v>59.07</v>
      </c>
      <c r="K347" s="38">
        <v>61.94</v>
      </c>
      <c r="L347" s="38">
        <v>62.79</v>
      </c>
      <c r="M347" s="38">
        <v>62.74</v>
      </c>
      <c r="N347" s="38">
        <v>58.22</v>
      </c>
      <c r="O347" s="38">
        <v>49.37</v>
      </c>
      <c r="P347" s="38">
        <v>44.3</v>
      </c>
      <c r="Q347" s="38">
        <v>40.71</v>
      </c>
      <c r="R347" s="38">
        <v>40.69</v>
      </c>
      <c r="S347" s="38">
        <v>41.61</v>
      </c>
      <c r="T347" s="38">
        <v>43.11</v>
      </c>
      <c r="U347" s="38">
        <v>47.03</v>
      </c>
      <c r="V347" s="38">
        <v>49.97</v>
      </c>
      <c r="W347" s="38">
        <v>52.75</v>
      </c>
      <c r="X347" s="38">
        <v>54.73</v>
      </c>
      <c r="Y347" s="38">
        <v>54.68</v>
      </c>
      <c r="Z347" s="38">
        <v>51.27</v>
      </c>
      <c r="AA347" s="38">
        <v>45.55</v>
      </c>
      <c r="AB347" s="38">
        <v>41.16</v>
      </c>
      <c r="AC347" s="38">
        <v>38.130000000000003</v>
      </c>
      <c r="AD347" s="38">
        <v>37.39</v>
      </c>
      <c r="AE347" s="38">
        <v>37.61</v>
      </c>
      <c r="AF347" s="38">
        <v>40.1</v>
      </c>
      <c r="AG347" s="38">
        <v>45.13</v>
      </c>
      <c r="AH347" s="38">
        <v>48.76</v>
      </c>
      <c r="AI347" s="38">
        <v>50.96</v>
      </c>
      <c r="AJ347" s="38">
        <v>51.98</v>
      </c>
      <c r="AK347" s="38">
        <v>50.95</v>
      </c>
      <c r="AL347" s="38">
        <v>47.77</v>
      </c>
      <c r="AM347" s="38">
        <v>41.95</v>
      </c>
      <c r="AN347" s="38">
        <v>39.36</v>
      </c>
      <c r="AO347" s="38">
        <v>37.71</v>
      </c>
      <c r="AP347" s="38">
        <v>37.25</v>
      </c>
      <c r="AQ347" s="38">
        <v>37.33</v>
      </c>
      <c r="AR347" s="38">
        <v>38.35</v>
      </c>
      <c r="AS347" s="38">
        <v>43.64</v>
      </c>
      <c r="AT347" s="38">
        <v>46.85</v>
      </c>
      <c r="AU347" s="38">
        <v>48.66</v>
      </c>
      <c r="AV347" s="38">
        <v>50.02</v>
      </c>
      <c r="AW347" s="38">
        <v>49.04</v>
      </c>
      <c r="AX347" s="38">
        <v>45.94</v>
      </c>
      <c r="AY347" s="38">
        <v>40.65</v>
      </c>
      <c r="BA347" s="37">
        <v>64.02</v>
      </c>
      <c r="BB347" s="38">
        <v>1.3929</v>
      </c>
    </row>
    <row r="348" spans="1:54" x14ac:dyDescent="0.35">
      <c r="A348" s="2">
        <f t="shared" si="5"/>
        <v>44308</v>
      </c>
      <c r="B348" t="s">
        <v>390</v>
      </c>
      <c r="C348" s="32">
        <v>44308</v>
      </c>
      <c r="D348" s="38">
        <v>53.86</v>
      </c>
      <c r="E348" s="38">
        <v>54.81</v>
      </c>
      <c r="F348" s="38">
        <v>52.58</v>
      </c>
      <c r="G348" s="38">
        <v>52.51</v>
      </c>
      <c r="H348" s="38">
        <v>53.44</v>
      </c>
      <c r="I348" s="38">
        <v>55.39</v>
      </c>
      <c r="J348" s="38">
        <v>60.17</v>
      </c>
      <c r="K348" s="38">
        <v>62.99</v>
      </c>
      <c r="L348" s="38">
        <v>63.84</v>
      </c>
      <c r="M348" s="38">
        <v>63.71</v>
      </c>
      <c r="N348" s="38">
        <v>59.22</v>
      </c>
      <c r="O348" s="38">
        <v>50.08</v>
      </c>
      <c r="P348" s="38">
        <v>44.9</v>
      </c>
      <c r="Q348" s="38">
        <v>41.34</v>
      </c>
      <c r="R348" s="38">
        <v>41.41</v>
      </c>
      <c r="S348" s="38">
        <v>42.37</v>
      </c>
      <c r="T348" s="38">
        <v>43.78</v>
      </c>
      <c r="U348" s="38">
        <v>47.6</v>
      </c>
      <c r="V348" s="38">
        <v>50.52</v>
      </c>
      <c r="W348" s="38">
        <v>53.3</v>
      </c>
      <c r="X348" s="38">
        <v>55.28</v>
      </c>
      <c r="Y348" s="38">
        <v>55.23</v>
      </c>
      <c r="Z348" s="38">
        <v>51.84</v>
      </c>
      <c r="AA348" s="38">
        <v>46.09</v>
      </c>
      <c r="AB348" s="38">
        <v>41.66</v>
      </c>
      <c r="AC348" s="38">
        <v>38.6</v>
      </c>
      <c r="AD348" s="38">
        <v>37.86</v>
      </c>
      <c r="AE348" s="38">
        <v>38.08</v>
      </c>
      <c r="AF348" s="38">
        <v>40.57</v>
      </c>
      <c r="AG348" s="38">
        <v>45.59</v>
      </c>
      <c r="AH348" s="38">
        <v>49.22</v>
      </c>
      <c r="AI348" s="38">
        <v>51.42</v>
      </c>
      <c r="AJ348" s="38">
        <v>52.51</v>
      </c>
      <c r="AK348" s="38">
        <v>51.6</v>
      </c>
      <c r="AL348" s="38">
        <v>48.54</v>
      </c>
      <c r="AM348" s="38">
        <v>42.71</v>
      </c>
      <c r="AN348" s="38">
        <v>40.229999999999997</v>
      </c>
      <c r="AO348" s="38">
        <v>38.69</v>
      </c>
      <c r="AP348" s="38">
        <v>38.229999999999997</v>
      </c>
      <c r="AQ348" s="38">
        <v>38.31</v>
      </c>
      <c r="AR348" s="38">
        <v>39.33</v>
      </c>
      <c r="AS348" s="38">
        <v>44.62</v>
      </c>
      <c r="AT348" s="38">
        <v>47.83</v>
      </c>
      <c r="AU348" s="38">
        <v>49.64</v>
      </c>
      <c r="AV348" s="38">
        <v>51</v>
      </c>
      <c r="AW348" s="38">
        <v>50.02</v>
      </c>
      <c r="AX348" s="38">
        <v>46.92</v>
      </c>
      <c r="AY348" s="38">
        <v>41.63</v>
      </c>
      <c r="BA348" s="37">
        <v>65.069999999999993</v>
      </c>
      <c r="BB348" s="38">
        <v>1.3846000000000001</v>
      </c>
    </row>
    <row r="349" spans="1:54" x14ac:dyDescent="0.35">
      <c r="A349" s="2">
        <f t="shared" si="5"/>
        <v>44309</v>
      </c>
      <c r="B349" t="s">
        <v>391</v>
      </c>
      <c r="C349" s="32">
        <v>44309</v>
      </c>
      <c r="D349" s="38">
        <v>50.72</v>
      </c>
      <c r="E349" s="38">
        <v>51.67</v>
      </c>
      <c r="F349" s="38">
        <v>49.61</v>
      </c>
      <c r="G349" s="38">
        <v>49.55</v>
      </c>
      <c r="H349" s="38">
        <v>50.47</v>
      </c>
      <c r="I349" s="38">
        <v>52.92</v>
      </c>
      <c r="J349" s="38">
        <v>57.9</v>
      </c>
      <c r="K349" s="38">
        <v>60.86</v>
      </c>
      <c r="L349" s="38">
        <v>61.66</v>
      </c>
      <c r="M349" s="38">
        <v>61.44</v>
      </c>
      <c r="N349" s="38">
        <v>57.15</v>
      </c>
      <c r="O349" s="38">
        <v>48.68</v>
      </c>
      <c r="P349" s="38">
        <v>43.98</v>
      </c>
      <c r="Q349" s="38">
        <v>40.520000000000003</v>
      </c>
      <c r="R349" s="38">
        <v>40.65</v>
      </c>
      <c r="S349" s="38">
        <v>41.64</v>
      </c>
      <c r="T349" s="38">
        <v>43.08</v>
      </c>
      <c r="U349" s="38">
        <v>46.95</v>
      </c>
      <c r="V349" s="38">
        <v>49.91</v>
      </c>
      <c r="W349" s="38">
        <v>52.72</v>
      </c>
      <c r="X349" s="38">
        <v>54.7</v>
      </c>
      <c r="Y349" s="38">
        <v>54.72</v>
      </c>
      <c r="Z349" s="38">
        <v>51.39</v>
      </c>
      <c r="AA349" s="38">
        <v>45.69</v>
      </c>
      <c r="AB349" s="38">
        <v>41.28</v>
      </c>
      <c r="AC349" s="38">
        <v>38.24</v>
      </c>
      <c r="AD349" s="38">
        <v>37.51</v>
      </c>
      <c r="AE349" s="38">
        <v>37.74</v>
      </c>
      <c r="AF349" s="38">
        <v>40.119999999999997</v>
      </c>
      <c r="AG349" s="38">
        <v>45.03</v>
      </c>
      <c r="AH349" s="38">
        <v>48.66</v>
      </c>
      <c r="AI349" s="38">
        <v>50.87</v>
      </c>
      <c r="AJ349" s="38">
        <v>52.04</v>
      </c>
      <c r="AK349" s="38">
        <v>51.22</v>
      </c>
      <c r="AL349" s="38">
        <v>48.25</v>
      </c>
      <c r="AM349" s="38">
        <v>42.51</v>
      </c>
      <c r="AN349" s="38">
        <v>40.119999999999997</v>
      </c>
      <c r="AO349" s="38">
        <v>38.61</v>
      </c>
      <c r="AP349" s="38">
        <v>38.15</v>
      </c>
      <c r="AQ349" s="38">
        <v>38.229999999999997</v>
      </c>
      <c r="AR349" s="38">
        <v>39.25</v>
      </c>
      <c r="AS349" s="38">
        <v>44.54</v>
      </c>
      <c r="AT349" s="38">
        <v>47.75</v>
      </c>
      <c r="AU349" s="38">
        <v>49.56</v>
      </c>
      <c r="AV349" s="38">
        <v>50.92</v>
      </c>
      <c r="AW349" s="38">
        <v>49.94</v>
      </c>
      <c r="AX349" s="38">
        <v>46.84</v>
      </c>
      <c r="AY349" s="38">
        <v>41.55</v>
      </c>
      <c r="BA349" s="37">
        <v>65.75</v>
      </c>
      <c r="BB349" s="38">
        <v>1.3841000000000001</v>
      </c>
    </row>
    <row r="350" spans="1:54" x14ac:dyDescent="0.35">
      <c r="A350" s="2">
        <f t="shared" si="5"/>
        <v>44312</v>
      </c>
      <c r="B350" t="s">
        <v>392</v>
      </c>
      <c r="C350" s="32">
        <v>44312</v>
      </c>
      <c r="D350" s="38">
        <v>51.64</v>
      </c>
      <c r="E350" s="38">
        <v>52.34</v>
      </c>
      <c r="F350" s="38">
        <v>50.01</v>
      </c>
      <c r="G350" s="38">
        <v>49.66</v>
      </c>
      <c r="H350" s="38">
        <v>50.54</v>
      </c>
      <c r="I350" s="38">
        <v>52.29</v>
      </c>
      <c r="J350" s="38">
        <v>57.29</v>
      </c>
      <c r="K350" s="38">
        <v>60.24</v>
      </c>
      <c r="L350" s="38">
        <v>61.02</v>
      </c>
      <c r="M350" s="38">
        <v>60.88</v>
      </c>
      <c r="N350" s="38">
        <v>56.4</v>
      </c>
      <c r="O350" s="38">
        <v>48.23</v>
      </c>
      <c r="P350" s="38">
        <v>43.85</v>
      </c>
      <c r="Q350" s="38">
        <v>40.43</v>
      </c>
      <c r="R350" s="38">
        <v>40.53</v>
      </c>
      <c r="S350" s="38">
        <v>41.49</v>
      </c>
      <c r="T350" s="38">
        <v>42.95</v>
      </c>
      <c r="U350" s="38">
        <v>46.79</v>
      </c>
      <c r="V350" s="38">
        <v>49.71</v>
      </c>
      <c r="W350" s="38">
        <v>52.41</v>
      </c>
      <c r="X350" s="38">
        <v>54.39</v>
      </c>
      <c r="Y350" s="38">
        <v>54.41</v>
      </c>
      <c r="Z350" s="38">
        <v>51.07</v>
      </c>
      <c r="AA350" s="38">
        <v>45.37</v>
      </c>
      <c r="AB350" s="38">
        <v>40.950000000000003</v>
      </c>
      <c r="AC350" s="38">
        <v>37.869999999999997</v>
      </c>
      <c r="AD350" s="38">
        <v>37.14</v>
      </c>
      <c r="AE350" s="38">
        <v>37.4</v>
      </c>
      <c r="AF350" s="38">
        <v>39.81</v>
      </c>
      <c r="AG350" s="38">
        <v>44.79</v>
      </c>
      <c r="AH350" s="38">
        <v>48.49</v>
      </c>
      <c r="AI350" s="38">
        <v>50.82</v>
      </c>
      <c r="AJ350" s="38">
        <v>51.99</v>
      </c>
      <c r="AK350" s="38">
        <v>51.17</v>
      </c>
      <c r="AL350" s="38">
        <v>48.2</v>
      </c>
      <c r="AM350" s="38">
        <v>42.46</v>
      </c>
      <c r="AN350" s="38">
        <v>40.1</v>
      </c>
      <c r="AO350" s="38">
        <v>38.590000000000003</v>
      </c>
      <c r="AP350" s="38">
        <v>38.130000000000003</v>
      </c>
      <c r="AQ350" s="38">
        <v>38.24</v>
      </c>
      <c r="AR350" s="38">
        <v>39.31</v>
      </c>
      <c r="AS350" s="38">
        <v>44.56</v>
      </c>
      <c r="AT350" s="38">
        <v>47.72</v>
      </c>
      <c r="AU350" s="38">
        <v>49.53</v>
      </c>
      <c r="AV350" s="38">
        <v>50.86</v>
      </c>
      <c r="AW350" s="38">
        <v>49.88</v>
      </c>
      <c r="AX350" s="38">
        <v>46.78</v>
      </c>
      <c r="AY350" s="38">
        <v>41.49</v>
      </c>
      <c r="BA350" s="37">
        <v>65.5</v>
      </c>
      <c r="BB350" s="38">
        <v>1.3894</v>
      </c>
    </row>
    <row r="351" spans="1:54" x14ac:dyDescent="0.35">
      <c r="A351" s="2">
        <f t="shared" si="5"/>
        <v>44313</v>
      </c>
      <c r="B351" t="s">
        <v>393</v>
      </c>
      <c r="C351" s="32">
        <v>44313</v>
      </c>
      <c r="D351" s="38">
        <v>54.8</v>
      </c>
      <c r="E351" s="38">
        <v>55.65</v>
      </c>
      <c r="F351" s="38">
        <v>53.36</v>
      </c>
      <c r="G351" s="38">
        <v>53.11</v>
      </c>
      <c r="H351" s="38">
        <v>53.93</v>
      </c>
      <c r="I351" s="38">
        <v>55.03</v>
      </c>
      <c r="J351" s="38">
        <v>59.93</v>
      </c>
      <c r="K351" s="38">
        <v>63.33</v>
      </c>
      <c r="L351" s="38">
        <v>63.93</v>
      </c>
      <c r="M351" s="38">
        <v>64.239999999999995</v>
      </c>
      <c r="N351" s="38">
        <v>59.03</v>
      </c>
      <c r="O351" s="38">
        <v>49.97</v>
      </c>
      <c r="P351" s="38">
        <v>44.83</v>
      </c>
      <c r="Q351" s="38">
        <v>41.41</v>
      </c>
      <c r="R351" s="38">
        <v>41.51</v>
      </c>
      <c r="S351" s="38">
        <v>42.36</v>
      </c>
      <c r="T351" s="38">
        <v>43.72</v>
      </c>
      <c r="U351" s="38">
        <v>47.48</v>
      </c>
      <c r="V351" s="38">
        <v>50.33</v>
      </c>
      <c r="W351" s="38">
        <v>53.03</v>
      </c>
      <c r="X351" s="38">
        <v>55.01</v>
      </c>
      <c r="Y351" s="38">
        <v>55.03</v>
      </c>
      <c r="Z351" s="38">
        <v>51.69</v>
      </c>
      <c r="AA351" s="38">
        <v>45.99</v>
      </c>
      <c r="AB351" s="38">
        <v>41.57</v>
      </c>
      <c r="AC351" s="38">
        <v>38.49</v>
      </c>
      <c r="AD351" s="38">
        <v>37.76</v>
      </c>
      <c r="AE351" s="38">
        <v>38.020000000000003</v>
      </c>
      <c r="AF351" s="38">
        <v>40.43</v>
      </c>
      <c r="AG351" s="38">
        <v>45.34</v>
      </c>
      <c r="AH351" s="38">
        <v>48.99</v>
      </c>
      <c r="AI351" s="38">
        <v>51.27</v>
      </c>
      <c r="AJ351" s="38">
        <v>52.44</v>
      </c>
      <c r="AK351" s="38">
        <v>51.62</v>
      </c>
      <c r="AL351" s="38">
        <v>48.65</v>
      </c>
      <c r="AM351" s="38">
        <v>42.91</v>
      </c>
      <c r="AN351" s="38">
        <v>40.549999999999997</v>
      </c>
      <c r="AO351" s="38">
        <v>39.04</v>
      </c>
      <c r="AP351" s="38">
        <v>38.58</v>
      </c>
      <c r="AQ351" s="38">
        <v>38.69</v>
      </c>
      <c r="AR351" s="38">
        <v>39.76</v>
      </c>
      <c r="AS351" s="38">
        <v>45.01</v>
      </c>
      <c r="AT351" s="38">
        <v>48.17</v>
      </c>
      <c r="AU351" s="38">
        <v>49.98</v>
      </c>
      <c r="AV351" s="38">
        <v>51.23</v>
      </c>
      <c r="AW351" s="38">
        <v>50.25</v>
      </c>
      <c r="AX351" s="38">
        <v>47.15</v>
      </c>
      <c r="AY351" s="38">
        <v>41.86</v>
      </c>
      <c r="BA351" s="37">
        <v>66.25</v>
      </c>
      <c r="BB351" s="38">
        <v>1.3915</v>
      </c>
    </row>
    <row r="352" spans="1:54" x14ac:dyDescent="0.35">
      <c r="A352" s="2">
        <f t="shared" si="5"/>
        <v>44314</v>
      </c>
      <c r="B352" t="s">
        <v>394</v>
      </c>
      <c r="C352" s="32">
        <v>44314</v>
      </c>
      <c r="D352" s="38">
        <v>54.98</v>
      </c>
      <c r="E352" s="38">
        <v>55.86</v>
      </c>
      <c r="F352" s="38">
        <v>53.54</v>
      </c>
      <c r="G352" s="38">
        <v>53.34</v>
      </c>
      <c r="H352" s="38">
        <v>54.44</v>
      </c>
      <c r="I352" s="38">
        <v>55.92</v>
      </c>
      <c r="J352" s="38">
        <v>60.61</v>
      </c>
      <c r="K352" s="38">
        <v>63.57</v>
      </c>
      <c r="L352" s="38">
        <v>64.52</v>
      </c>
      <c r="M352" s="38">
        <v>64.569999999999993</v>
      </c>
      <c r="N352" s="38">
        <v>59.72</v>
      </c>
      <c r="O352" s="38">
        <v>50.53</v>
      </c>
      <c r="P352" s="38">
        <v>45.33</v>
      </c>
      <c r="Q352" s="38">
        <v>41.91</v>
      </c>
      <c r="R352" s="38">
        <v>42.01</v>
      </c>
      <c r="S352" s="38">
        <v>42.86</v>
      </c>
      <c r="T352" s="38">
        <v>44.22</v>
      </c>
      <c r="U352" s="38">
        <v>47.9</v>
      </c>
      <c r="V352" s="38">
        <v>50.74</v>
      </c>
      <c r="W352" s="38">
        <v>53.47</v>
      </c>
      <c r="X352" s="38">
        <v>55.45</v>
      </c>
      <c r="Y352" s="38">
        <v>55.47</v>
      </c>
      <c r="Z352" s="38">
        <v>52.13</v>
      </c>
      <c r="AA352" s="38">
        <v>46.38</v>
      </c>
      <c r="AB352" s="38">
        <v>41.84</v>
      </c>
      <c r="AC352" s="38">
        <v>38.619999999999997</v>
      </c>
      <c r="AD352" s="38">
        <v>37.89</v>
      </c>
      <c r="AE352" s="38">
        <v>38.15</v>
      </c>
      <c r="AF352" s="38">
        <v>40.56</v>
      </c>
      <c r="AG352" s="38">
        <v>45.47</v>
      </c>
      <c r="AH352" s="38">
        <v>49.12</v>
      </c>
      <c r="AI352" s="38">
        <v>51.4</v>
      </c>
      <c r="AJ352" s="38">
        <v>52.57</v>
      </c>
      <c r="AK352" s="38">
        <v>51.75</v>
      </c>
      <c r="AL352" s="38">
        <v>48.78</v>
      </c>
      <c r="AM352" s="38">
        <v>43.04</v>
      </c>
      <c r="AN352" s="38">
        <v>40.68</v>
      </c>
      <c r="AO352" s="38">
        <v>39.17</v>
      </c>
      <c r="AP352" s="38">
        <v>38.71</v>
      </c>
      <c r="AQ352" s="38">
        <v>38.82</v>
      </c>
      <c r="AR352" s="38">
        <v>39.89</v>
      </c>
      <c r="AS352" s="38">
        <v>45.19</v>
      </c>
      <c r="AT352" s="38">
        <v>48.35</v>
      </c>
      <c r="AU352" s="38">
        <v>50.16</v>
      </c>
      <c r="AV352" s="38">
        <v>51.41</v>
      </c>
      <c r="AW352" s="38">
        <v>50.43</v>
      </c>
      <c r="AX352" s="38">
        <v>47.33</v>
      </c>
      <c r="AY352" s="38">
        <v>42.04</v>
      </c>
      <c r="BA352" s="37">
        <v>67.08</v>
      </c>
      <c r="BB352" s="38">
        <v>1.3906000000000001</v>
      </c>
    </row>
    <row r="353" spans="1:54" x14ac:dyDescent="0.35">
      <c r="A353" s="2">
        <f t="shared" si="5"/>
        <v>44315</v>
      </c>
      <c r="B353" t="s">
        <v>395</v>
      </c>
      <c r="C353" s="32">
        <v>44315</v>
      </c>
      <c r="D353" s="38">
        <v>57.89</v>
      </c>
      <c r="E353" s="38">
        <v>58.48</v>
      </c>
      <c r="F353" s="38">
        <v>56.04</v>
      </c>
      <c r="G353" s="38">
        <v>55.83</v>
      </c>
      <c r="H353" s="38">
        <v>56.98</v>
      </c>
      <c r="I353" s="38">
        <v>58.54</v>
      </c>
      <c r="J353" s="38">
        <v>63.26</v>
      </c>
      <c r="K353" s="38">
        <v>65.709999999999994</v>
      </c>
      <c r="L353" s="38">
        <v>66.959999999999994</v>
      </c>
      <c r="M353" s="38">
        <v>67.06</v>
      </c>
      <c r="N353" s="38">
        <v>61.76</v>
      </c>
      <c r="O353" s="38">
        <v>52.39</v>
      </c>
      <c r="P353" s="38">
        <v>46.4</v>
      </c>
      <c r="Q353" s="38">
        <v>42.49</v>
      </c>
      <c r="R353" s="38">
        <v>42.98</v>
      </c>
      <c r="S353" s="38">
        <v>43.87</v>
      </c>
      <c r="T353" s="38">
        <v>45.15</v>
      </c>
      <c r="U353" s="38">
        <v>48.63</v>
      </c>
      <c r="V353" s="38">
        <v>51.59</v>
      </c>
      <c r="W353" s="38">
        <v>54.34</v>
      </c>
      <c r="X353" s="38">
        <v>56.57</v>
      </c>
      <c r="Y353" s="38">
        <v>56.75</v>
      </c>
      <c r="Z353" s="38">
        <v>53.37</v>
      </c>
      <c r="AA353" s="38">
        <v>47.26</v>
      </c>
      <c r="AB353" s="38">
        <v>42.68</v>
      </c>
      <c r="AC353" s="38">
        <v>39.42</v>
      </c>
      <c r="AD353" s="38">
        <v>38.630000000000003</v>
      </c>
      <c r="AE353" s="38">
        <v>38.83</v>
      </c>
      <c r="AF353" s="38">
        <v>41.18</v>
      </c>
      <c r="AG353" s="38">
        <v>46.28</v>
      </c>
      <c r="AH353" s="38">
        <v>50.06</v>
      </c>
      <c r="AI353" s="38">
        <v>52.36</v>
      </c>
      <c r="AJ353" s="38">
        <v>53.5</v>
      </c>
      <c r="AK353" s="38">
        <v>52.64</v>
      </c>
      <c r="AL353" s="38">
        <v>49.63</v>
      </c>
      <c r="AM353" s="38">
        <v>43.92</v>
      </c>
      <c r="AN353" s="38">
        <v>41.59</v>
      </c>
      <c r="AO353" s="38">
        <v>40.11</v>
      </c>
      <c r="AP353" s="38">
        <v>39.65</v>
      </c>
      <c r="AQ353" s="38">
        <v>39.729999999999997</v>
      </c>
      <c r="AR353" s="38">
        <v>40.76</v>
      </c>
      <c r="AS353" s="38">
        <v>45.91</v>
      </c>
      <c r="AT353" s="38">
        <v>48.92</v>
      </c>
      <c r="AU353" s="38">
        <v>50.58</v>
      </c>
      <c r="AV353" s="38">
        <v>51.72</v>
      </c>
      <c r="AW353" s="38">
        <v>50.74</v>
      </c>
      <c r="AX353" s="38">
        <v>47.64</v>
      </c>
      <c r="AY353" s="38">
        <v>42.41</v>
      </c>
      <c r="BA353" s="37">
        <v>68.260000000000005</v>
      </c>
      <c r="BB353" s="38">
        <v>1.3945000000000001</v>
      </c>
    </row>
    <row r="354" spans="1:54" x14ac:dyDescent="0.35">
      <c r="A354" s="2">
        <f t="shared" si="5"/>
        <v>44316</v>
      </c>
      <c r="B354" t="s">
        <v>396</v>
      </c>
      <c r="C354" s="32">
        <v>44316</v>
      </c>
      <c r="D354" s="38">
        <v>60.24</v>
      </c>
      <c r="E354" s="38">
        <v>57.96</v>
      </c>
      <c r="F354" s="38">
        <v>57.62</v>
      </c>
      <c r="G354" s="38">
        <v>58.81</v>
      </c>
      <c r="H354" s="38">
        <v>60.99</v>
      </c>
      <c r="I354" s="38">
        <v>65.56</v>
      </c>
      <c r="J354" s="38">
        <v>67.78</v>
      </c>
      <c r="K354" s="38">
        <v>68.569999999999993</v>
      </c>
      <c r="L354" s="38">
        <v>68.77</v>
      </c>
      <c r="M354" s="38">
        <v>63.82</v>
      </c>
      <c r="N354" s="38">
        <v>53.16</v>
      </c>
      <c r="O354" s="38">
        <v>47.38</v>
      </c>
      <c r="P354" s="38">
        <v>43.41</v>
      </c>
      <c r="Q354" s="38">
        <v>43.69</v>
      </c>
      <c r="R354" s="38">
        <v>44.32</v>
      </c>
      <c r="S354" s="38">
        <v>45.66</v>
      </c>
      <c r="T354" s="38">
        <v>49.53</v>
      </c>
      <c r="U354" s="38">
        <v>52.62</v>
      </c>
      <c r="V354" s="38">
        <v>55.29</v>
      </c>
      <c r="W354" s="38">
        <v>57.17</v>
      </c>
      <c r="X354" s="38">
        <v>57.28</v>
      </c>
      <c r="Y354" s="38">
        <v>53.84</v>
      </c>
      <c r="Z354" s="38">
        <v>47.8</v>
      </c>
      <c r="AA354" s="38">
        <v>43.23</v>
      </c>
      <c r="AB354" s="38">
        <v>39.880000000000003</v>
      </c>
      <c r="AC354" s="38">
        <v>38.9</v>
      </c>
      <c r="AD354" s="38">
        <v>39.020000000000003</v>
      </c>
      <c r="AE354" s="38">
        <v>41.2</v>
      </c>
      <c r="AF354" s="38">
        <v>46.3</v>
      </c>
      <c r="AG354" s="38">
        <v>50.05</v>
      </c>
      <c r="AH354" s="38">
        <v>52.35</v>
      </c>
      <c r="AI354" s="38">
        <v>53.49</v>
      </c>
      <c r="AJ354" s="38">
        <v>52.63</v>
      </c>
      <c r="AK354" s="38">
        <v>49.68</v>
      </c>
      <c r="AL354" s="38">
        <v>44.17</v>
      </c>
      <c r="AM354" s="38">
        <v>41.9</v>
      </c>
      <c r="AN354" s="38">
        <v>40.42</v>
      </c>
      <c r="AO354" s="38">
        <v>39.96</v>
      </c>
      <c r="AP354" s="38">
        <v>40.04</v>
      </c>
      <c r="AQ354" s="38">
        <v>41.07</v>
      </c>
      <c r="AR354" s="38">
        <v>46.16</v>
      </c>
      <c r="AS354" s="38">
        <v>49.08</v>
      </c>
      <c r="AT354" s="38">
        <v>50.71</v>
      </c>
      <c r="AU354" s="38">
        <v>51.85</v>
      </c>
      <c r="AV354" s="38">
        <v>50.87</v>
      </c>
      <c r="AW354" s="38">
        <v>47.77</v>
      </c>
      <c r="AX354" s="38">
        <v>42.54</v>
      </c>
      <c r="AY354" s="38">
        <v>40.53</v>
      </c>
      <c r="BA354" s="37">
        <v>67.73</v>
      </c>
      <c r="BB354" s="38">
        <v>1.3845000000000001</v>
      </c>
    </row>
    <row r="355" spans="1:54" x14ac:dyDescent="0.35">
      <c r="A355" s="2">
        <f t="shared" si="5"/>
        <v>44319</v>
      </c>
      <c r="B355" t="s">
        <v>397</v>
      </c>
      <c r="C355" s="32">
        <v>44319</v>
      </c>
      <c r="D355" s="38">
        <v>60.24</v>
      </c>
      <c r="E355" s="38">
        <v>57.96</v>
      </c>
      <c r="F355" s="38">
        <v>57.62</v>
      </c>
      <c r="G355" s="38">
        <v>58.81</v>
      </c>
      <c r="H355" s="38">
        <v>60.99</v>
      </c>
      <c r="I355" s="38">
        <v>65.56</v>
      </c>
      <c r="J355" s="38">
        <v>67.78</v>
      </c>
      <c r="K355" s="38">
        <v>68.569999999999993</v>
      </c>
      <c r="L355" s="38">
        <v>68.77</v>
      </c>
      <c r="M355" s="38">
        <v>63.82</v>
      </c>
      <c r="N355" s="38">
        <v>53.16</v>
      </c>
      <c r="O355" s="38">
        <v>47.38</v>
      </c>
      <c r="P355" s="38">
        <v>43.41</v>
      </c>
      <c r="Q355" s="38">
        <v>43.69</v>
      </c>
      <c r="R355" s="38">
        <v>44.32</v>
      </c>
      <c r="S355" s="38">
        <v>45.66</v>
      </c>
      <c r="T355" s="38">
        <v>49.53</v>
      </c>
      <c r="U355" s="38">
        <v>52.62</v>
      </c>
      <c r="V355" s="38">
        <v>55.29</v>
      </c>
      <c r="W355" s="38">
        <v>57.17</v>
      </c>
      <c r="X355" s="38">
        <v>57.28</v>
      </c>
      <c r="Y355" s="38">
        <v>53.84</v>
      </c>
      <c r="Z355" s="38">
        <v>47.8</v>
      </c>
      <c r="AA355" s="38">
        <v>43.23</v>
      </c>
      <c r="AB355" s="38">
        <v>39.880000000000003</v>
      </c>
      <c r="AC355" s="38">
        <v>38.9</v>
      </c>
      <c r="AD355" s="38">
        <v>39.020000000000003</v>
      </c>
      <c r="AE355" s="38">
        <v>41.2</v>
      </c>
      <c r="AF355" s="38">
        <v>46.3</v>
      </c>
      <c r="AG355" s="38">
        <v>50.05</v>
      </c>
      <c r="AH355" s="38">
        <v>52.35</v>
      </c>
      <c r="AI355" s="38">
        <v>53.49</v>
      </c>
      <c r="AJ355" s="38">
        <v>52.63</v>
      </c>
      <c r="AK355" s="38">
        <v>49.68</v>
      </c>
      <c r="AL355" s="38">
        <v>44.17</v>
      </c>
      <c r="AM355" s="38">
        <v>41.9</v>
      </c>
      <c r="AN355" s="38">
        <v>40.42</v>
      </c>
      <c r="AO355" s="38">
        <v>39.96</v>
      </c>
      <c r="AP355" s="38">
        <v>40.04</v>
      </c>
      <c r="AQ355" s="38">
        <v>41.07</v>
      </c>
      <c r="AR355" s="38">
        <v>46.16</v>
      </c>
      <c r="AS355" s="38">
        <v>49.08</v>
      </c>
      <c r="AT355" s="38">
        <v>50.71</v>
      </c>
      <c r="AU355" s="38">
        <v>51.85</v>
      </c>
      <c r="AV355" s="38">
        <v>50.87</v>
      </c>
      <c r="AW355" s="38">
        <v>47.77</v>
      </c>
      <c r="AX355" s="38">
        <v>42.54</v>
      </c>
      <c r="AY355" s="38">
        <v>40.53</v>
      </c>
      <c r="BA355" s="37" t="e">
        <v>#N/A</v>
      </c>
      <c r="BB355" s="38" t="e">
        <v>#N/A</v>
      </c>
    </row>
    <row r="356" spans="1:54" x14ac:dyDescent="0.35">
      <c r="A356" s="2">
        <f t="shared" si="5"/>
        <v>44320</v>
      </c>
      <c r="B356" t="s">
        <v>398</v>
      </c>
      <c r="C356" s="32">
        <v>44320</v>
      </c>
      <c r="D356" s="38">
        <v>59.57</v>
      </c>
      <c r="E356" s="38">
        <v>57.47</v>
      </c>
      <c r="F356" s="38">
        <v>57.17</v>
      </c>
      <c r="G356" s="38">
        <v>58.34</v>
      </c>
      <c r="H356" s="38">
        <v>60.36</v>
      </c>
      <c r="I356" s="38">
        <v>65.489999999999995</v>
      </c>
      <c r="J356" s="38">
        <v>67.61</v>
      </c>
      <c r="K356" s="38">
        <v>68.290000000000006</v>
      </c>
      <c r="L356" s="38">
        <v>68.540000000000006</v>
      </c>
      <c r="M356" s="38">
        <v>63.82</v>
      </c>
      <c r="N356" s="38">
        <v>53.17</v>
      </c>
      <c r="O356" s="38">
        <v>47.47</v>
      </c>
      <c r="P356" s="38">
        <v>43.59</v>
      </c>
      <c r="Q356" s="38">
        <v>43.88</v>
      </c>
      <c r="R356" s="38">
        <v>44.52</v>
      </c>
      <c r="S356" s="38">
        <v>45.84</v>
      </c>
      <c r="T356" s="38">
        <v>49.7</v>
      </c>
      <c r="U356" s="38">
        <v>52.72</v>
      </c>
      <c r="V356" s="38">
        <v>55.39</v>
      </c>
      <c r="W356" s="38">
        <v>57.29</v>
      </c>
      <c r="X356" s="38">
        <v>57.35</v>
      </c>
      <c r="Y356" s="38">
        <v>53.86</v>
      </c>
      <c r="Z356" s="38">
        <v>47.69</v>
      </c>
      <c r="AA356" s="38">
        <v>43.06</v>
      </c>
      <c r="AB356" s="38">
        <v>39.659999999999997</v>
      </c>
      <c r="AC356" s="38">
        <v>38.68</v>
      </c>
      <c r="AD356" s="38">
        <v>38.799999999999997</v>
      </c>
      <c r="AE356" s="38">
        <v>40.98</v>
      </c>
      <c r="AF356" s="38">
        <v>46.2</v>
      </c>
      <c r="AG356" s="38">
        <v>50.02</v>
      </c>
      <c r="AH356" s="38">
        <v>52.36</v>
      </c>
      <c r="AI356" s="38">
        <v>53.5</v>
      </c>
      <c r="AJ356" s="38">
        <v>52.64</v>
      </c>
      <c r="AK356" s="38">
        <v>49.69</v>
      </c>
      <c r="AL356" s="38">
        <v>44.18</v>
      </c>
      <c r="AM356" s="38">
        <v>41.9</v>
      </c>
      <c r="AN356" s="38">
        <v>40.42</v>
      </c>
      <c r="AO356" s="38">
        <v>39.96</v>
      </c>
      <c r="AP356" s="38">
        <v>40.04</v>
      </c>
      <c r="AQ356" s="38">
        <v>41.07</v>
      </c>
      <c r="AR356" s="38">
        <v>46.16</v>
      </c>
      <c r="AS356" s="38">
        <v>49.08</v>
      </c>
      <c r="AT356" s="38">
        <v>50.71</v>
      </c>
      <c r="AU356" s="38">
        <v>51.85</v>
      </c>
      <c r="AV356" s="38">
        <v>50.87</v>
      </c>
      <c r="AW356" s="38">
        <v>47.77</v>
      </c>
      <c r="AX356" s="38">
        <v>42.54</v>
      </c>
      <c r="AY356" s="38">
        <v>40.53</v>
      </c>
      <c r="BA356" s="37">
        <v>68.91</v>
      </c>
      <c r="BB356" s="38">
        <v>1.3883000000000001</v>
      </c>
    </row>
    <row r="357" spans="1:54" x14ac:dyDescent="0.35">
      <c r="A357" s="2">
        <f t="shared" si="5"/>
        <v>44321</v>
      </c>
      <c r="B357" t="s">
        <v>399</v>
      </c>
      <c r="C357" s="32">
        <v>44321</v>
      </c>
      <c r="D357" s="38">
        <v>61.7</v>
      </c>
      <c r="E357" s="38">
        <v>59.43</v>
      </c>
      <c r="F357" s="38">
        <v>58.99</v>
      </c>
      <c r="G357" s="38">
        <v>59.93</v>
      </c>
      <c r="H357" s="38">
        <v>61.6</v>
      </c>
      <c r="I357" s="38">
        <v>66.94</v>
      </c>
      <c r="J357" s="38">
        <v>69.099999999999994</v>
      </c>
      <c r="K357" s="38">
        <v>69.92</v>
      </c>
      <c r="L357" s="38">
        <v>70</v>
      </c>
      <c r="M357" s="38">
        <v>65.260000000000005</v>
      </c>
      <c r="N357" s="38">
        <v>53.1</v>
      </c>
      <c r="O357" s="38">
        <v>48.16</v>
      </c>
      <c r="P357" s="38">
        <v>44.57</v>
      </c>
      <c r="Q357" s="38">
        <v>45</v>
      </c>
      <c r="R357" s="38">
        <v>45.61</v>
      </c>
      <c r="S357" s="38">
        <v>46.84</v>
      </c>
      <c r="T357" s="38">
        <v>50.42</v>
      </c>
      <c r="U357" s="38">
        <v>53.31</v>
      </c>
      <c r="V357" s="38">
        <v>55.98</v>
      </c>
      <c r="W357" s="38">
        <v>57.9</v>
      </c>
      <c r="X357" s="38">
        <v>57.96</v>
      </c>
      <c r="Y357" s="38">
        <v>54.47</v>
      </c>
      <c r="Z357" s="38">
        <v>48.3</v>
      </c>
      <c r="AA357" s="38">
        <v>43.67</v>
      </c>
      <c r="AB357" s="38">
        <v>40.270000000000003</v>
      </c>
      <c r="AC357" s="38">
        <v>39.29</v>
      </c>
      <c r="AD357" s="38">
        <v>39.409999999999997</v>
      </c>
      <c r="AE357" s="38">
        <v>41.59</v>
      </c>
      <c r="AF357" s="38">
        <v>46.72</v>
      </c>
      <c r="AG357" s="38">
        <v>50.49</v>
      </c>
      <c r="AH357" s="38">
        <v>52.83</v>
      </c>
      <c r="AI357" s="38">
        <v>53.97</v>
      </c>
      <c r="AJ357" s="38">
        <v>53.11</v>
      </c>
      <c r="AK357" s="38">
        <v>50.16</v>
      </c>
      <c r="AL357" s="38">
        <v>44.65</v>
      </c>
      <c r="AM357" s="38">
        <v>42.37</v>
      </c>
      <c r="AN357" s="38">
        <v>40.89</v>
      </c>
      <c r="AO357" s="38">
        <v>40.43</v>
      </c>
      <c r="AP357" s="38">
        <v>40.51</v>
      </c>
      <c r="AQ357" s="38">
        <v>41.54</v>
      </c>
      <c r="AR357" s="38">
        <v>46.53</v>
      </c>
      <c r="AS357" s="38">
        <v>49.45</v>
      </c>
      <c r="AT357" s="38">
        <v>51.08</v>
      </c>
      <c r="AU357" s="38">
        <v>52.21</v>
      </c>
      <c r="AV357" s="38">
        <v>51.23</v>
      </c>
      <c r="AW357" s="38">
        <v>48.13</v>
      </c>
      <c r="AX357" s="38">
        <v>42.91</v>
      </c>
      <c r="AY357" s="38">
        <v>40.9</v>
      </c>
      <c r="BA357" s="37">
        <v>69.709999999999994</v>
      </c>
      <c r="BB357" s="38">
        <v>1.391</v>
      </c>
    </row>
    <row r="358" spans="1:54" x14ac:dyDescent="0.35">
      <c r="A358" s="2">
        <f t="shared" si="5"/>
        <v>44322</v>
      </c>
      <c r="B358" t="s">
        <v>400</v>
      </c>
      <c r="C358" s="32">
        <v>44322</v>
      </c>
      <c r="D358" s="38">
        <v>62.25</v>
      </c>
      <c r="E358" s="38">
        <v>60.4</v>
      </c>
      <c r="F358" s="38">
        <v>59.9</v>
      </c>
      <c r="G358" s="38">
        <v>61.3</v>
      </c>
      <c r="H358" s="38">
        <v>63.29</v>
      </c>
      <c r="I358" s="38">
        <v>68.290000000000006</v>
      </c>
      <c r="J358" s="38">
        <v>70.63</v>
      </c>
      <c r="K358" s="38">
        <v>71.63</v>
      </c>
      <c r="L358" s="38">
        <v>71.69</v>
      </c>
      <c r="M358" s="38">
        <v>66.59</v>
      </c>
      <c r="N358" s="38">
        <v>53.85</v>
      </c>
      <c r="O358" s="38">
        <v>48.67</v>
      </c>
      <c r="P358" s="38">
        <v>44.85</v>
      </c>
      <c r="Q358" s="38">
        <v>45.54</v>
      </c>
      <c r="R358" s="38">
        <v>46.25</v>
      </c>
      <c r="S358" s="38">
        <v>47.55</v>
      </c>
      <c r="T358" s="38">
        <v>51.21</v>
      </c>
      <c r="U358" s="38">
        <v>54.1</v>
      </c>
      <c r="V358" s="38">
        <v>56.77</v>
      </c>
      <c r="W358" s="38">
        <v>58.69</v>
      </c>
      <c r="X358" s="38">
        <v>58.75</v>
      </c>
      <c r="Y358" s="38">
        <v>55.27</v>
      </c>
      <c r="Z358" s="38">
        <v>49.06</v>
      </c>
      <c r="AA358" s="38">
        <v>44.38</v>
      </c>
      <c r="AB358" s="38">
        <v>40.94</v>
      </c>
      <c r="AC358" s="38">
        <v>39.909999999999997</v>
      </c>
      <c r="AD358" s="38">
        <v>39.97</v>
      </c>
      <c r="AE358" s="38">
        <v>42.09</v>
      </c>
      <c r="AF358" s="38">
        <v>47.16</v>
      </c>
      <c r="AG358" s="38">
        <v>50.93</v>
      </c>
      <c r="AH358" s="38">
        <v>53.26</v>
      </c>
      <c r="AI358" s="38">
        <v>54.4</v>
      </c>
      <c r="AJ358" s="38">
        <v>53.54</v>
      </c>
      <c r="AK358" s="38">
        <v>50.59</v>
      </c>
      <c r="AL358" s="38">
        <v>45.08</v>
      </c>
      <c r="AM358" s="38">
        <v>42.8</v>
      </c>
      <c r="AN358" s="38">
        <v>41.32</v>
      </c>
      <c r="AO358" s="38">
        <v>40.86</v>
      </c>
      <c r="AP358" s="38">
        <v>40.94</v>
      </c>
      <c r="AQ358" s="38">
        <v>41.97</v>
      </c>
      <c r="AR358" s="38">
        <v>46.96</v>
      </c>
      <c r="AS358" s="38">
        <v>49.88</v>
      </c>
      <c r="AT358" s="38">
        <v>51.51</v>
      </c>
      <c r="AU358" s="38">
        <v>52.64</v>
      </c>
      <c r="AV358" s="38">
        <v>51.66</v>
      </c>
      <c r="AW358" s="38">
        <v>48.56</v>
      </c>
      <c r="AX358" s="38">
        <v>43.34</v>
      </c>
      <c r="AY358" s="38">
        <v>41.33</v>
      </c>
      <c r="BA358" s="37">
        <v>68.62</v>
      </c>
      <c r="BB358" s="38">
        <v>1.3888</v>
      </c>
    </row>
    <row r="359" spans="1:54" x14ac:dyDescent="0.35">
      <c r="A359" s="2">
        <f t="shared" si="5"/>
        <v>44323</v>
      </c>
      <c r="B359" t="s">
        <v>401</v>
      </c>
      <c r="C359" s="32">
        <v>44323</v>
      </c>
      <c r="D359" s="38">
        <v>61.23</v>
      </c>
      <c r="E359" s="38">
        <v>59.65</v>
      </c>
      <c r="F359" s="38">
        <v>59.18</v>
      </c>
      <c r="G359" s="38">
        <v>60.37</v>
      </c>
      <c r="H359" s="38">
        <v>62.48</v>
      </c>
      <c r="I359" s="38">
        <v>67.58</v>
      </c>
      <c r="J359" s="38">
        <v>69.92</v>
      </c>
      <c r="K359" s="38">
        <v>70.790000000000006</v>
      </c>
      <c r="L359" s="38">
        <v>70.92</v>
      </c>
      <c r="M359" s="38">
        <v>66.2</v>
      </c>
      <c r="N359" s="38">
        <v>53.96</v>
      </c>
      <c r="O359" s="38">
        <v>49.02</v>
      </c>
      <c r="P359" s="38">
        <v>45.31</v>
      </c>
      <c r="Q359" s="38">
        <v>45.94</v>
      </c>
      <c r="R359" s="38">
        <v>46.57</v>
      </c>
      <c r="S359" s="38">
        <v>47.99</v>
      </c>
      <c r="T359" s="38">
        <v>51.71</v>
      </c>
      <c r="U359" s="38">
        <v>54.6</v>
      </c>
      <c r="V359" s="38">
        <v>57.24</v>
      </c>
      <c r="W359" s="38">
        <v>59.23</v>
      </c>
      <c r="X359" s="38">
        <v>59.27</v>
      </c>
      <c r="Y359" s="38">
        <v>55.76</v>
      </c>
      <c r="Z359" s="38">
        <v>49.41</v>
      </c>
      <c r="AA359" s="38">
        <v>44.71</v>
      </c>
      <c r="AB359" s="38">
        <v>41.27</v>
      </c>
      <c r="AC359" s="38">
        <v>40.24</v>
      </c>
      <c r="AD359" s="38">
        <v>40.299999999999997</v>
      </c>
      <c r="AE359" s="38">
        <v>42.53</v>
      </c>
      <c r="AF359" s="38">
        <v>47.62</v>
      </c>
      <c r="AG359" s="38">
        <v>51.31</v>
      </c>
      <c r="AH359" s="38">
        <v>53.56</v>
      </c>
      <c r="AI359" s="38">
        <v>54.59</v>
      </c>
      <c r="AJ359" s="38">
        <v>53.64</v>
      </c>
      <c r="AK359" s="38">
        <v>50.45</v>
      </c>
      <c r="AL359" s="38">
        <v>44.45</v>
      </c>
      <c r="AM359" s="38">
        <v>42.01</v>
      </c>
      <c r="AN359" s="38">
        <v>40.44</v>
      </c>
      <c r="AO359" s="38">
        <v>39.81</v>
      </c>
      <c r="AP359" s="38">
        <v>39.89</v>
      </c>
      <c r="AQ359" s="38">
        <v>40.92</v>
      </c>
      <c r="AR359" s="38">
        <v>45.86</v>
      </c>
      <c r="AS359" s="38">
        <v>48.75</v>
      </c>
      <c r="AT359" s="38">
        <v>50.38</v>
      </c>
      <c r="AU359" s="38">
        <v>51.51</v>
      </c>
      <c r="AV359" s="38">
        <v>50.53</v>
      </c>
      <c r="AW359" s="38">
        <v>47.43</v>
      </c>
      <c r="AX359" s="38">
        <v>42.21</v>
      </c>
      <c r="AY359" s="38">
        <v>40.200000000000003</v>
      </c>
      <c r="BA359" s="37">
        <v>68.73</v>
      </c>
      <c r="BB359" s="38">
        <v>1.3978999999999999</v>
      </c>
    </row>
    <row r="360" spans="1:54" x14ac:dyDescent="0.35">
      <c r="A360" s="2">
        <f t="shared" si="5"/>
        <v>44326</v>
      </c>
      <c r="B360" t="s">
        <v>402</v>
      </c>
      <c r="C360" s="32">
        <v>44326</v>
      </c>
      <c r="D360" s="38">
        <v>64.05</v>
      </c>
      <c r="E360" s="38">
        <v>62.47</v>
      </c>
      <c r="F360" s="38">
        <v>61.97</v>
      </c>
      <c r="G360" s="38">
        <v>62.73</v>
      </c>
      <c r="H360" s="38">
        <v>64.8</v>
      </c>
      <c r="I360" s="38">
        <v>69.5</v>
      </c>
      <c r="J360" s="38">
        <v>72.2</v>
      </c>
      <c r="K360" s="38">
        <v>73.06</v>
      </c>
      <c r="L360" s="38">
        <v>73.09</v>
      </c>
      <c r="M360" s="38">
        <v>68.7</v>
      </c>
      <c r="N360" s="38">
        <v>56.17</v>
      </c>
      <c r="O360" s="38">
        <v>50.66</v>
      </c>
      <c r="P360" s="38">
        <v>46.76</v>
      </c>
      <c r="Q360" s="38">
        <v>46.97</v>
      </c>
      <c r="R360" s="38">
        <v>47.75</v>
      </c>
      <c r="S360" s="38">
        <v>49.42</v>
      </c>
      <c r="T360" s="38">
        <v>53.24</v>
      </c>
      <c r="U360" s="38">
        <v>56.17</v>
      </c>
      <c r="V360" s="38">
        <v>58.89</v>
      </c>
      <c r="W360" s="38">
        <v>60.8</v>
      </c>
      <c r="X360" s="38">
        <v>60.76</v>
      </c>
      <c r="Y360" s="38">
        <v>57.17</v>
      </c>
      <c r="Z360" s="38">
        <v>50.73</v>
      </c>
      <c r="AA360" s="38">
        <v>45.78</v>
      </c>
      <c r="AB360" s="38">
        <v>42.25</v>
      </c>
      <c r="AC360" s="38">
        <v>41.11</v>
      </c>
      <c r="AD360" s="38">
        <v>41.15</v>
      </c>
      <c r="AE360" s="38">
        <v>43.38</v>
      </c>
      <c r="AF360" s="38">
        <v>48.49</v>
      </c>
      <c r="AG360" s="38">
        <v>52.18</v>
      </c>
      <c r="AH360" s="38">
        <v>54.47</v>
      </c>
      <c r="AI360" s="38">
        <v>55.43</v>
      </c>
      <c r="AJ360" s="38">
        <v>54.48</v>
      </c>
      <c r="AK360" s="38">
        <v>51.29</v>
      </c>
      <c r="AL360" s="38">
        <v>45.29</v>
      </c>
      <c r="AM360" s="38">
        <v>42.85</v>
      </c>
      <c r="AN360" s="38">
        <v>41.28</v>
      </c>
      <c r="AO360" s="38">
        <v>40.65</v>
      </c>
      <c r="AP360" s="38">
        <v>40.729999999999997</v>
      </c>
      <c r="AQ360" s="38">
        <v>41.76</v>
      </c>
      <c r="AR360" s="38">
        <v>46.7</v>
      </c>
      <c r="AS360" s="38">
        <v>49.59</v>
      </c>
      <c r="AT360" s="38">
        <v>51.22</v>
      </c>
      <c r="AU360" s="38">
        <v>52.35</v>
      </c>
      <c r="AV360" s="38">
        <v>51.37</v>
      </c>
      <c r="AW360" s="38">
        <v>48.27</v>
      </c>
      <c r="AX360" s="38">
        <v>43.05</v>
      </c>
      <c r="AY360" s="38">
        <v>41.04</v>
      </c>
      <c r="BA360" s="37">
        <v>68.61</v>
      </c>
      <c r="BB360" s="38">
        <v>1.4137999999999999</v>
      </c>
    </row>
    <row r="361" spans="1:54" x14ac:dyDescent="0.35">
      <c r="A361" s="2">
        <f t="shared" si="5"/>
        <v>44327</v>
      </c>
      <c r="B361" t="s">
        <v>403</v>
      </c>
      <c r="C361" s="32">
        <v>44327</v>
      </c>
      <c r="D361" s="38">
        <v>65.62</v>
      </c>
      <c r="E361" s="38">
        <v>63.81</v>
      </c>
      <c r="F361" s="38">
        <v>63.21</v>
      </c>
      <c r="G361" s="38">
        <v>63.96</v>
      </c>
      <c r="H361" s="38">
        <v>65.94</v>
      </c>
      <c r="I361" s="38">
        <v>70.56</v>
      </c>
      <c r="J361" s="38">
        <v>73.36</v>
      </c>
      <c r="K361" s="38">
        <v>74.19</v>
      </c>
      <c r="L361" s="38">
        <v>74.239999999999995</v>
      </c>
      <c r="M361" s="38">
        <v>69.91</v>
      </c>
      <c r="N361" s="38">
        <v>57.31</v>
      </c>
      <c r="O361" s="38">
        <v>51.74</v>
      </c>
      <c r="P361" s="38">
        <v>47.77</v>
      </c>
      <c r="Q361" s="38">
        <v>47.97</v>
      </c>
      <c r="R361" s="38">
        <v>48.66</v>
      </c>
      <c r="S361" s="38">
        <v>50.25</v>
      </c>
      <c r="T361" s="38">
        <v>54.08</v>
      </c>
      <c r="U361" s="38">
        <v>56.95</v>
      </c>
      <c r="V361" s="38">
        <v>59.62</v>
      </c>
      <c r="W361" s="38">
        <v>61.48</v>
      </c>
      <c r="X361" s="38">
        <v>61.39</v>
      </c>
      <c r="Y361" s="38">
        <v>57.73</v>
      </c>
      <c r="Z361" s="38">
        <v>51.2</v>
      </c>
      <c r="AA361" s="38">
        <v>46.2</v>
      </c>
      <c r="AB361" s="38">
        <v>42.61</v>
      </c>
      <c r="AC361" s="38">
        <v>41.38</v>
      </c>
      <c r="AD361" s="38">
        <v>41.36</v>
      </c>
      <c r="AE361" s="38">
        <v>43.64</v>
      </c>
      <c r="AF361" s="38">
        <v>48.77</v>
      </c>
      <c r="AG361" s="38">
        <v>52.48</v>
      </c>
      <c r="AH361" s="38">
        <v>54.77</v>
      </c>
      <c r="AI361" s="38">
        <v>55.73</v>
      </c>
      <c r="AJ361" s="38">
        <v>54.78</v>
      </c>
      <c r="AK361" s="38">
        <v>51.59</v>
      </c>
      <c r="AL361" s="38">
        <v>45.59</v>
      </c>
      <c r="AM361" s="38">
        <v>43.15</v>
      </c>
      <c r="AN361" s="38">
        <v>41.58</v>
      </c>
      <c r="AO361" s="38">
        <v>40.950000000000003</v>
      </c>
      <c r="AP361" s="38">
        <v>41.03</v>
      </c>
      <c r="AQ361" s="38">
        <v>42.06</v>
      </c>
      <c r="AR361" s="38">
        <v>47</v>
      </c>
      <c r="AS361" s="38">
        <v>49.89</v>
      </c>
      <c r="AT361" s="38">
        <v>51.52</v>
      </c>
      <c r="AU361" s="38">
        <v>52.65</v>
      </c>
      <c r="AV361" s="38">
        <v>51.67</v>
      </c>
      <c r="AW361" s="38">
        <v>48.57</v>
      </c>
      <c r="AX361" s="38">
        <v>43.35</v>
      </c>
      <c r="AY361" s="38">
        <v>41.34</v>
      </c>
      <c r="BA361" s="37">
        <v>68.83</v>
      </c>
      <c r="BB361" s="38">
        <v>1.4144000000000001</v>
      </c>
    </row>
    <row r="362" spans="1:54" x14ac:dyDescent="0.35">
      <c r="A362" s="2">
        <f t="shared" si="5"/>
        <v>44328</v>
      </c>
      <c r="B362" t="s">
        <v>404</v>
      </c>
      <c r="C362" s="32">
        <v>44328</v>
      </c>
      <c r="D362" s="38">
        <v>66.760000000000005</v>
      </c>
      <c r="E362" s="38">
        <v>64.95</v>
      </c>
      <c r="F362" s="38">
        <v>64.41</v>
      </c>
      <c r="G362" s="38">
        <v>65.209999999999994</v>
      </c>
      <c r="H362" s="38">
        <v>67.489999999999995</v>
      </c>
      <c r="I362" s="38">
        <v>72.260000000000005</v>
      </c>
      <c r="J362" s="38">
        <v>75.040000000000006</v>
      </c>
      <c r="K362" s="38">
        <v>75.959999999999994</v>
      </c>
      <c r="L362" s="38">
        <v>75.91</v>
      </c>
      <c r="M362" s="38">
        <v>71.459999999999994</v>
      </c>
      <c r="N362" s="38">
        <v>58.46</v>
      </c>
      <c r="O362" s="38">
        <v>52.76</v>
      </c>
      <c r="P362" s="38">
        <v>48.7</v>
      </c>
      <c r="Q362" s="38">
        <v>49.02</v>
      </c>
      <c r="R362" s="38">
        <v>49.75</v>
      </c>
      <c r="S362" s="38">
        <v>51.45</v>
      </c>
      <c r="T362" s="38">
        <v>55.52</v>
      </c>
      <c r="U362" s="38">
        <v>58.39</v>
      </c>
      <c r="V362" s="38">
        <v>60.94</v>
      </c>
      <c r="W362" s="38">
        <v>62.69</v>
      </c>
      <c r="X362" s="38">
        <v>62.46</v>
      </c>
      <c r="Y362" s="38">
        <v>58.61</v>
      </c>
      <c r="Z362" s="38">
        <v>51.91</v>
      </c>
      <c r="AA362" s="38">
        <v>46.87</v>
      </c>
      <c r="AB362" s="38">
        <v>43.11</v>
      </c>
      <c r="AC362" s="38">
        <v>41.96</v>
      </c>
      <c r="AD362" s="38">
        <v>42.04</v>
      </c>
      <c r="AE362" s="38">
        <v>44.4</v>
      </c>
      <c r="AF362" s="38">
        <v>49.63</v>
      </c>
      <c r="AG362" s="38">
        <v>53.34</v>
      </c>
      <c r="AH362" s="38">
        <v>55.63</v>
      </c>
      <c r="AI362" s="38">
        <v>56.59</v>
      </c>
      <c r="AJ362" s="38">
        <v>55.64</v>
      </c>
      <c r="AK362" s="38">
        <v>52.45</v>
      </c>
      <c r="AL362" s="38">
        <v>46.45</v>
      </c>
      <c r="AM362" s="38">
        <v>44.01</v>
      </c>
      <c r="AN362" s="38">
        <v>42.44</v>
      </c>
      <c r="AO362" s="38">
        <v>41.81</v>
      </c>
      <c r="AP362" s="38">
        <v>41.89</v>
      </c>
      <c r="AQ362" s="38">
        <v>42.92</v>
      </c>
      <c r="AR362" s="38">
        <v>47.86</v>
      </c>
      <c r="AS362" s="38">
        <v>50.75</v>
      </c>
      <c r="AT362" s="38">
        <v>52.38</v>
      </c>
      <c r="AU362" s="38">
        <v>53.51</v>
      </c>
      <c r="AV362" s="38">
        <v>52.53</v>
      </c>
      <c r="AW362" s="38">
        <v>49.43</v>
      </c>
      <c r="AX362" s="38">
        <v>44.21</v>
      </c>
      <c r="AY362" s="38">
        <v>42.2</v>
      </c>
      <c r="BA362" s="37">
        <v>69.62</v>
      </c>
      <c r="BB362" s="38">
        <v>1.4096</v>
      </c>
    </row>
    <row r="363" spans="1:54" x14ac:dyDescent="0.35">
      <c r="A363" s="2">
        <f t="shared" si="5"/>
        <v>44329</v>
      </c>
      <c r="B363" t="s">
        <v>405</v>
      </c>
      <c r="C363" s="32">
        <v>44329</v>
      </c>
      <c r="D363" s="38">
        <v>66.92</v>
      </c>
      <c r="E363" s="38">
        <v>64.63</v>
      </c>
      <c r="F363" s="38">
        <v>64.09</v>
      </c>
      <c r="G363" s="38">
        <v>64.86</v>
      </c>
      <c r="H363" s="38">
        <v>67.12</v>
      </c>
      <c r="I363" s="38">
        <v>71.91</v>
      </c>
      <c r="J363" s="38">
        <v>74.680000000000007</v>
      </c>
      <c r="K363" s="38">
        <v>75.599999999999994</v>
      </c>
      <c r="L363" s="38">
        <v>75.61</v>
      </c>
      <c r="M363" s="38">
        <v>71.099999999999994</v>
      </c>
      <c r="N363" s="38">
        <v>58.09</v>
      </c>
      <c r="O363" s="38">
        <v>52.38</v>
      </c>
      <c r="P363" s="38">
        <v>48.27</v>
      </c>
      <c r="Q363" s="38">
        <v>48.57</v>
      </c>
      <c r="R363" s="38">
        <v>49.29</v>
      </c>
      <c r="S363" s="38">
        <v>50.99</v>
      </c>
      <c r="T363" s="38">
        <v>55.08</v>
      </c>
      <c r="U363" s="38">
        <v>57.96</v>
      </c>
      <c r="V363" s="38">
        <v>60.51</v>
      </c>
      <c r="W363" s="38">
        <v>62.26</v>
      </c>
      <c r="X363" s="38">
        <v>62.02</v>
      </c>
      <c r="Y363" s="38">
        <v>58.19</v>
      </c>
      <c r="Z363" s="38">
        <v>51.36</v>
      </c>
      <c r="AA363" s="38">
        <v>46.31</v>
      </c>
      <c r="AB363" s="38">
        <v>42.53</v>
      </c>
      <c r="AC363" s="38">
        <v>41.35</v>
      </c>
      <c r="AD363" s="38">
        <v>41.42</v>
      </c>
      <c r="AE363" s="38">
        <v>43.77</v>
      </c>
      <c r="AF363" s="38">
        <v>48.94</v>
      </c>
      <c r="AG363" s="38">
        <v>52.6</v>
      </c>
      <c r="AH363" s="38">
        <v>54.89</v>
      </c>
      <c r="AI363" s="38">
        <v>55.85</v>
      </c>
      <c r="AJ363" s="38">
        <v>54.9</v>
      </c>
      <c r="AK363" s="38">
        <v>51.71</v>
      </c>
      <c r="AL363" s="38">
        <v>45.62</v>
      </c>
      <c r="AM363" s="38">
        <v>43.18</v>
      </c>
      <c r="AN363" s="38">
        <v>41.61</v>
      </c>
      <c r="AO363" s="38">
        <v>40.98</v>
      </c>
      <c r="AP363" s="38">
        <v>41.06</v>
      </c>
      <c r="AQ363" s="38">
        <v>42.09</v>
      </c>
      <c r="AR363" s="38">
        <v>47.03</v>
      </c>
      <c r="AS363" s="38">
        <v>49.92</v>
      </c>
      <c r="AT363" s="38">
        <v>51.55</v>
      </c>
      <c r="AU363" s="38">
        <v>52.68</v>
      </c>
      <c r="AV363" s="38">
        <v>51.7</v>
      </c>
      <c r="AW363" s="38">
        <v>48.6</v>
      </c>
      <c r="AX363" s="38">
        <v>43.38</v>
      </c>
      <c r="AY363" s="38">
        <v>41.37</v>
      </c>
      <c r="BA363" s="37">
        <v>67.36</v>
      </c>
      <c r="BB363" s="38">
        <v>1.4046000000000001</v>
      </c>
    </row>
    <row r="364" spans="1:54" x14ac:dyDescent="0.35">
      <c r="A364" s="2">
        <f t="shared" si="5"/>
        <v>44330</v>
      </c>
      <c r="B364" t="s">
        <v>406</v>
      </c>
      <c r="C364" s="32">
        <v>44330</v>
      </c>
      <c r="D364" s="38">
        <v>68.709999999999994</v>
      </c>
      <c r="E364" s="38">
        <v>66.33</v>
      </c>
      <c r="F364" s="38">
        <v>65.709999999999994</v>
      </c>
      <c r="G364" s="38">
        <v>66.290000000000006</v>
      </c>
      <c r="H364" s="38">
        <v>68.39</v>
      </c>
      <c r="I364" s="38">
        <v>72.959999999999994</v>
      </c>
      <c r="J364" s="38">
        <v>75.91</v>
      </c>
      <c r="K364" s="38">
        <v>76.83</v>
      </c>
      <c r="L364" s="38">
        <v>76.83</v>
      </c>
      <c r="M364" s="38">
        <v>72.05</v>
      </c>
      <c r="N364" s="38">
        <v>58.75</v>
      </c>
      <c r="O364" s="38">
        <v>52.88</v>
      </c>
      <c r="P364" s="38">
        <v>48.66</v>
      </c>
      <c r="Q364" s="38">
        <v>48.78</v>
      </c>
      <c r="R364" s="38">
        <v>49.52</v>
      </c>
      <c r="S364" s="38">
        <v>51.23</v>
      </c>
      <c r="T364" s="38">
        <v>55.37</v>
      </c>
      <c r="U364" s="38">
        <v>58.3</v>
      </c>
      <c r="V364" s="38">
        <v>60.96</v>
      </c>
      <c r="W364" s="38">
        <v>62.72</v>
      </c>
      <c r="X364" s="38">
        <v>62.39</v>
      </c>
      <c r="Y364" s="38">
        <v>58.46</v>
      </c>
      <c r="Z364" s="38">
        <v>51.51</v>
      </c>
      <c r="AA364" s="38">
        <v>46.44</v>
      </c>
      <c r="AB364" s="38">
        <v>42.71</v>
      </c>
      <c r="AC364" s="38">
        <v>41.53</v>
      </c>
      <c r="AD364" s="38">
        <v>41.64</v>
      </c>
      <c r="AE364" s="38">
        <v>44.06</v>
      </c>
      <c r="AF364" s="38">
        <v>49.28</v>
      </c>
      <c r="AG364" s="38">
        <v>52.96</v>
      </c>
      <c r="AH364" s="38">
        <v>55.25</v>
      </c>
      <c r="AI364" s="38">
        <v>56.21</v>
      </c>
      <c r="AJ364" s="38">
        <v>55.26</v>
      </c>
      <c r="AK364" s="38">
        <v>52.07</v>
      </c>
      <c r="AL364" s="38">
        <v>45.98</v>
      </c>
      <c r="AM364" s="38">
        <v>43.54</v>
      </c>
      <c r="AN364" s="38">
        <v>41.97</v>
      </c>
      <c r="AO364" s="38">
        <v>41.34</v>
      </c>
      <c r="AP364" s="38">
        <v>41.42</v>
      </c>
      <c r="AQ364" s="38">
        <v>42.45</v>
      </c>
      <c r="AR364" s="38">
        <v>47.39</v>
      </c>
      <c r="AS364" s="38">
        <v>50.28</v>
      </c>
      <c r="AT364" s="38">
        <v>51.91</v>
      </c>
      <c r="AU364" s="38">
        <v>53.04</v>
      </c>
      <c r="AV364" s="38">
        <v>52.06</v>
      </c>
      <c r="AW364" s="38">
        <v>48.96</v>
      </c>
      <c r="AX364" s="38">
        <v>43.74</v>
      </c>
      <c r="AY364" s="38">
        <v>41.73</v>
      </c>
      <c r="BA364" s="37">
        <v>69.239999999999995</v>
      </c>
      <c r="BB364" s="38">
        <v>1.4088000000000001</v>
      </c>
    </row>
    <row r="365" spans="1:54" x14ac:dyDescent="0.35">
      <c r="A365" s="2">
        <f t="shared" si="5"/>
        <v>44333</v>
      </c>
      <c r="B365" t="s">
        <v>407</v>
      </c>
      <c r="C365" s="32">
        <v>44333</v>
      </c>
      <c r="D365" s="38">
        <v>67.23</v>
      </c>
      <c r="E365" s="38">
        <v>64.8</v>
      </c>
      <c r="F365" s="38">
        <v>64.239999999999995</v>
      </c>
      <c r="G365" s="38">
        <v>64.88</v>
      </c>
      <c r="H365" s="38">
        <v>66.95</v>
      </c>
      <c r="I365" s="38">
        <v>71.39</v>
      </c>
      <c r="J365" s="38">
        <v>74.48</v>
      </c>
      <c r="K365" s="38">
        <v>75.37</v>
      </c>
      <c r="L365" s="38">
        <v>75.44</v>
      </c>
      <c r="M365" s="38">
        <v>70.69</v>
      </c>
      <c r="N365" s="38">
        <v>57.39</v>
      </c>
      <c r="O365" s="38">
        <v>52.04</v>
      </c>
      <c r="P365" s="38">
        <v>48.02</v>
      </c>
      <c r="Q365" s="38">
        <v>48.11</v>
      </c>
      <c r="R365" s="38">
        <v>48.75</v>
      </c>
      <c r="S365" s="38">
        <v>50.33</v>
      </c>
      <c r="T365" s="38">
        <v>54.35</v>
      </c>
      <c r="U365" s="38">
        <v>57.2</v>
      </c>
      <c r="V365" s="38">
        <v>59.9</v>
      </c>
      <c r="W365" s="38">
        <v>62.25</v>
      </c>
      <c r="X365" s="38">
        <v>62.41</v>
      </c>
      <c r="Y365" s="38">
        <v>58.48</v>
      </c>
      <c r="Z365" s="38">
        <v>51.23</v>
      </c>
      <c r="AA365" s="38">
        <v>45.86</v>
      </c>
      <c r="AB365" s="38">
        <v>41.98</v>
      </c>
      <c r="AC365" s="38">
        <v>40.770000000000003</v>
      </c>
      <c r="AD365" s="38">
        <v>40.909999999999997</v>
      </c>
      <c r="AE365" s="38">
        <v>43.36</v>
      </c>
      <c r="AF365" s="38">
        <v>48.71</v>
      </c>
      <c r="AG365" s="38">
        <v>52.48</v>
      </c>
      <c r="AH365" s="38">
        <v>54.79</v>
      </c>
      <c r="AI365" s="38">
        <v>55.75</v>
      </c>
      <c r="AJ365" s="38">
        <v>54.8</v>
      </c>
      <c r="AK365" s="38">
        <v>51.61</v>
      </c>
      <c r="AL365" s="38">
        <v>45.52</v>
      </c>
      <c r="AM365" s="38">
        <v>43.05</v>
      </c>
      <c r="AN365" s="38">
        <v>41.48</v>
      </c>
      <c r="AO365" s="38">
        <v>40.85</v>
      </c>
      <c r="AP365" s="38">
        <v>40.93</v>
      </c>
      <c r="AQ365" s="38">
        <v>41.96</v>
      </c>
      <c r="AR365" s="38">
        <v>46.9</v>
      </c>
      <c r="AS365" s="38">
        <v>49.79</v>
      </c>
      <c r="AT365" s="38">
        <v>51.42</v>
      </c>
      <c r="AU365" s="38">
        <v>52.55</v>
      </c>
      <c r="AV365" s="38">
        <v>51.57</v>
      </c>
      <c r="AW365" s="38">
        <v>48.47</v>
      </c>
      <c r="AX365" s="38">
        <v>43.25</v>
      </c>
      <c r="AY365" s="38">
        <v>41.24</v>
      </c>
      <c r="BA365" s="37">
        <v>69.62</v>
      </c>
      <c r="BB365" s="38">
        <v>1.4117999999999999</v>
      </c>
    </row>
    <row r="366" spans="1:54" x14ac:dyDescent="0.35">
      <c r="A366" s="2">
        <f t="shared" si="5"/>
        <v>44334</v>
      </c>
      <c r="B366" t="s">
        <v>408</v>
      </c>
      <c r="C366" s="32">
        <v>44334</v>
      </c>
      <c r="D366" s="38">
        <v>63.2</v>
      </c>
      <c r="E366" s="38">
        <v>60.96</v>
      </c>
      <c r="F366" s="38">
        <v>60.35</v>
      </c>
      <c r="G366" s="38">
        <v>60.82</v>
      </c>
      <c r="H366" s="38">
        <v>63.09</v>
      </c>
      <c r="I366" s="38">
        <v>67.62</v>
      </c>
      <c r="J366" s="38">
        <v>70.59</v>
      </c>
      <c r="K366" s="38">
        <v>71.569999999999993</v>
      </c>
      <c r="L366" s="38">
        <v>71.650000000000006</v>
      </c>
      <c r="M366" s="38">
        <v>66.92</v>
      </c>
      <c r="N366" s="38">
        <v>55.11</v>
      </c>
      <c r="O366" s="38">
        <v>50.05</v>
      </c>
      <c r="P366" s="38">
        <v>46.06</v>
      </c>
      <c r="Q366" s="38">
        <v>46.15</v>
      </c>
      <c r="R366" s="38">
        <v>46.79</v>
      </c>
      <c r="S366" s="38">
        <v>48.27</v>
      </c>
      <c r="T366" s="38">
        <v>52.22</v>
      </c>
      <c r="U366" s="38">
        <v>55.26</v>
      </c>
      <c r="V366" s="38">
        <v>57.86</v>
      </c>
      <c r="W366" s="38">
        <v>60.21</v>
      </c>
      <c r="X366" s="38">
        <v>60.49</v>
      </c>
      <c r="Y366" s="38">
        <v>56.8</v>
      </c>
      <c r="Z366" s="38">
        <v>50.01</v>
      </c>
      <c r="AA366" s="38">
        <v>44.97</v>
      </c>
      <c r="AB366" s="38">
        <v>41.38</v>
      </c>
      <c r="AC366" s="38">
        <v>40.229999999999997</v>
      </c>
      <c r="AD366" s="38">
        <v>40.42</v>
      </c>
      <c r="AE366" s="38">
        <v>42.93</v>
      </c>
      <c r="AF366" s="38">
        <v>48.15</v>
      </c>
      <c r="AG366" s="38">
        <v>51.86</v>
      </c>
      <c r="AH366" s="38">
        <v>54.17</v>
      </c>
      <c r="AI366" s="38">
        <v>55.08</v>
      </c>
      <c r="AJ366" s="38">
        <v>54.13</v>
      </c>
      <c r="AK366" s="38">
        <v>50.94</v>
      </c>
      <c r="AL366" s="38">
        <v>44.86</v>
      </c>
      <c r="AM366" s="38">
        <v>42.57</v>
      </c>
      <c r="AN366" s="38">
        <v>41.18</v>
      </c>
      <c r="AO366" s="38">
        <v>40.619999999999997</v>
      </c>
      <c r="AP366" s="38">
        <v>40.69</v>
      </c>
      <c r="AQ366" s="38">
        <v>41.72</v>
      </c>
      <c r="AR366" s="38">
        <v>46.66</v>
      </c>
      <c r="AS366" s="38">
        <v>49.55</v>
      </c>
      <c r="AT366" s="38">
        <v>51.18</v>
      </c>
      <c r="AU366" s="38">
        <v>52.31</v>
      </c>
      <c r="AV366" s="38">
        <v>51.33</v>
      </c>
      <c r="AW366" s="38">
        <v>48.23</v>
      </c>
      <c r="AX366" s="38">
        <v>43.01</v>
      </c>
      <c r="AY366" s="38">
        <v>41</v>
      </c>
      <c r="BA366" s="37">
        <v>69.010000000000005</v>
      </c>
      <c r="BB366" s="38">
        <v>1.4211</v>
      </c>
    </row>
    <row r="367" spans="1:54" x14ac:dyDescent="0.35">
      <c r="A367" s="2">
        <f t="shared" si="5"/>
        <v>44335</v>
      </c>
      <c r="B367" t="s">
        <v>409</v>
      </c>
      <c r="C367" s="32">
        <v>44335</v>
      </c>
      <c r="D367" s="38">
        <v>57.73</v>
      </c>
      <c r="E367" s="38">
        <v>55.28</v>
      </c>
      <c r="F367" s="38">
        <v>54.68</v>
      </c>
      <c r="G367" s="38">
        <v>55.18</v>
      </c>
      <c r="H367" s="38">
        <v>57.38</v>
      </c>
      <c r="I367" s="38">
        <v>62.1</v>
      </c>
      <c r="J367" s="38">
        <v>65.17</v>
      </c>
      <c r="K367" s="38">
        <v>66.23</v>
      </c>
      <c r="L367" s="38">
        <v>66.319999999999993</v>
      </c>
      <c r="M367" s="38">
        <v>61.64</v>
      </c>
      <c r="N367" s="38">
        <v>51.38</v>
      </c>
      <c r="O367" s="38">
        <v>46.68</v>
      </c>
      <c r="P367" s="38">
        <v>43.08</v>
      </c>
      <c r="Q367" s="38">
        <v>42.55</v>
      </c>
      <c r="R367" s="38">
        <v>43.1</v>
      </c>
      <c r="S367" s="38">
        <v>44.53</v>
      </c>
      <c r="T367" s="38">
        <v>48.51</v>
      </c>
      <c r="U367" s="38">
        <v>51.53</v>
      </c>
      <c r="V367" s="38">
        <v>54.22</v>
      </c>
      <c r="W367" s="38">
        <v>56.69</v>
      </c>
      <c r="X367" s="38">
        <v>57.14</v>
      </c>
      <c r="Y367" s="38">
        <v>53.71</v>
      </c>
      <c r="Z367" s="38">
        <v>47.27</v>
      </c>
      <c r="AA367" s="38">
        <v>42.57</v>
      </c>
      <c r="AB367" s="38">
        <v>39.340000000000003</v>
      </c>
      <c r="AC367" s="38">
        <v>38.380000000000003</v>
      </c>
      <c r="AD367" s="38">
        <v>38.619999999999997</v>
      </c>
      <c r="AE367" s="38">
        <v>41.15</v>
      </c>
      <c r="AF367" s="38">
        <v>46.38</v>
      </c>
      <c r="AG367" s="38">
        <v>50.09</v>
      </c>
      <c r="AH367" s="38">
        <v>52.4</v>
      </c>
      <c r="AI367" s="38">
        <v>53.31</v>
      </c>
      <c r="AJ367" s="38">
        <v>52.36</v>
      </c>
      <c r="AK367" s="38">
        <v>49.17</v>
      </c>
      <c r="AL367" s="38">
        <v>43.09</v>
      </c>
      <c r="AM367" s="38">
        <v>40.799999999999997</v>
      </c>
      <c r="AN367" s="38">
        <v>39.409999999999997</v>
      </c>
      <c r="AO367" s="38">
        <v>38.85</v>
      </c>
      <c r="AP367" s="38">
        <v>38.92</v>
      </c>
      <c r="AQ367" s="38">
        <v>39.950000000000003</v>
      </c>
      <c r="AR367" s="38">
        <v>44.89</v>
      </c>
      <c r="AS367" s="38">
        <v>47.78</v>
      </c>
      <c r="AT367" s="38">
        <v>49.41</v>
      </c>
      <c r="AU367" s="38">
        <v>50.54</v>
      </c>
      <c r="AV367" s="38">
        <v>49.56</v>
      </c>
      <c r="AW367" s="38">
        <v>46.46</v>
      </c>
      <c r="AX367" s="38">
        <v>41.24</v>
      </c>
      <c r="AY367" s="38">
        <v>39.229999999999997</v>
      </c>
      <c r="BA367" s="37">
        <v>66.88</v>
      </c>
      <c r="BB367" s="38">
        <v>1.4145000000000001</v>
      </c>
    </row>
    <row r="368" spans="1:54" x14ac:dyDescent="0.35">
      <c r="A368" s="2">
        <f t="shared" si="5"/>
        <v>44336</v>
      </c>
      <c r="B368" t="s">
        <v>410</v>
      </c>
      <c r="C368" s="32">
        <v>44336</v>
      </c>
      <c r="D368" s="38">
        <v>62.49</v>
      </c>
      <c r="E368" s="38">
        <v>60.67</v>
      </c>
      <c r="F368" s="38">
        <v>59.88</v>
      </c>
      <c r="G368" s="38">
        <v>60.27</v>
      </c>
      <c r="H368" s="38">
        <v>62.42</v>
      </c>
      <c r="I368" s="38">
        <v>67.2</v>
      </c>
      <c r="J368" s="38">
        <v>70.36</v>
      </c>
      <c r="K368" s="38">
        <v>71.25</v>
      </c>
      <c r="L368" s="38">
        <v>71.23</v>
      </c>
      <c r="M368" s="38">
        <v>66.48</v>
      </c>
      <c r="N368" s="38">
        <v>55.58</v>
      </c>
      <c r="O368" s="38">
        <v>48.73</v>
      </c>
      <c r="P368" s="38">
        <v>44.83</v>
      </c>
      <c r="Q368" s="38">
        <v>45.09</v>
      </c>
      <c r="R368" s="38">
        <v>45.83</v>
      </c>
      <c r="S368" s="38">
        <v>47.26</v>
      </c>
      <c r="T368" s="38">
        <v>51.14</v>
      </c>
      <c r="U368" s="38">
        <v>54.15</v>
      </c>
      <c r="V368" s="38">
        <v>56.83</v>
      </c>
      <c r="W368" s="38">
        <v>59.31</v>
      </c>
      <c r="X368" s="38">
        <v>59.55</v>
      </c>
      <c r="Y368" s="38">
        <v>55.88</v>
      </c>
      <c r="Z368" s="38">
        <v>49.36</v>
      </c>
      <c r="AA368" s="38">
        <v>44.34</v>
      </c>
      <c r="AB368" s="38">
        <v>40.950000000000003</v>
      </c>
      <c r="AC368" s="38">
        <v>39.92</v>
      </c>
      <c r="AD368" s="38">
        <v>40.1</v>
      </c>
      <c r="AE368" s="38">
        <v>42.58</v>
      </c>
      <c r="AF368" s="38">
        <v>47.94</v>
      </c>
      <c r="AG368" s="38">
        <v>51.79</v>
      </c>
      <c r="AH368" s="38">
        <v>54.06</v>
      </c>
      <c r="AI368" s="38">
        <v>54.96</v>
      </c>
      <c r="AJ368" s="38">
        <v>54.01</v>
      </c>
      <c r="AK368" s="38">
        <v>50.82</v>
      </c>
      <c r="AL368" s="38">
        <v>44.74</v>
      </c>
      <c r="AM368" s="38">
        <v>42.45</v>
      </c>
      <c r="AN368" s="38">
        <v>41.06</v>
      </c>
      <c r="AO368" s="38">
        <v>40.5</v>
      </c>
      <c r="AP368" s="38">
        <v>40.57</v>
      </c>
      <c r="AQ368" s="38">
        <v>41.6</v>
      </c>
      <c r="AR368" s="38">
        <v>46.54</v>
      </c>
      <c r="AS368" s="38">
        <v>49.43</v>
      </c>
      <c r="AT368" s="38">
        <v>51.06</v>
      </c>
      <c r="AU368" s="38">
        <v>52.19</v>
      </c>
      <c r="AV368" s="38">
        <v>51.21</v>
      </c>
      <c r="AW368" s="38">
        <v>48.11</v>
      </c>
      <c r="AX368" s="38">
        <v>42.89</v>
      </c>
      <c r="AY368" s="38">
        <v>40.880000000000003</v>
      </c>
      <c r="BA368" s="37">
        <v>65.180000000000007</v>
      </c>
      <c r="BB368" s="38">
        <v>1.4155</v>
      </c>
    </row>
    <row r="369" spans="1:54" x14ac:dyDescent="0.35">
      <c r="A369" s="2">
        <f t="shared" si="5"/>
        <v>44337</v>
      </c>
      <c r="B369" t="s">
        <v>411</v>
      </c>
      <c r="C369" s="32">
        <v>44337</v>
      </c>
      <c r="D369" s="38">
        <v>62.74</v>
      </c>
      <c r="E369" s="38">
        <v>60.65</v>
      </c>
      <c r="F369" s="38">
        <v>59.86</v>
      </c>
      <c r="G369" s="38">
        <v>60.26</v>
      </c>
      <c r="H369" s="38">
        <v>62.26</v>
      </c>
      <c r="I369" s="38">
        <v>66.760000000000005</v>
      </c>
      <c r="J369" s="38">
        <v>70.16</v>
      </c>
      <c r="K369" s="38">
        <v>71.22</v>
      </c>
      <c r="L369" s="38">
        <v>71.28</v>
      </c>
      <c r="M369" s="38">
        <v>66.400000000000006</v>
      </c>
      <c r="N369" s="38">
        <v>54.81</v>
      </c>
      <c r="O369" s="38">
        <v>48.06</v>
      </c>
      <c r="P369" s="38">
        <v>44.27</v>
      </c>
      <c r="Q369" s="38">
        <v>44.08</v>
      </c>
      <c r="R369" s="38">
        <v>44.82</v>
      </c>
      <c r="S369" s="38">
        <v>46.25</v>
      </c>
      <c r="T369" s="38">
        <v>50.22</v>
      </c>
      <c r="U369" s="38">
        <v>53.39</v>
      </c>
      <c r="V369" s="38">
        <v>56.16</v>
      </c>
      <c r="W369" s="38">
        <v>58.64</v>
      </c>
      <c r="X369" s="38">
        <v>58.88</v>
      </c>
      <c r="Y369" s="38">
        <v>55.21</v>
      </c>
      <c r="Z369" s="38">
        <v>48.69</v>
      </c>
      <c r="AA369" s="38">
        <v>43.59</v>
      </c>
      <c r="AB369" s="38">
        <v>40.11</v>
      </c>
      <c r="AC369" s="38">
        <v>39.08</v>
      </c>
      <c r="AD369" s="38">
        <v>39.26</v>
      </c>
      <c r="AE369" s="38">
        <v>41.74</v>
      </c>
      <c r="AF369" s="38">
        <v>47.04</v>
      </c>
      <c r="AG369" s="38">
        <v>50.83</v>
      </c>
      <c r="AH369" s="38">
        <v>53.05</v>
      </c>
      <c r="AI369" s="38">
        <v>53.95</v>
      </c>
      <c r="AJ369" s="38">
        <v>53.09</v>
      </c>
      <c r="AK369" s="38">
        <v>50</v>
      </c>
      <c r="AL369" s="38">
        <v>44</v>
      </c>
      <c r="AM369" s="38">
        <v>41.8</v>
      </c>
      <c r="AN369" s="38">
        <v>40.56</v>
      </c>
      <c r="AO369" s="38">
        <v>40.15</v>
      </c>
      <c r="AP369" s="38">
        <v>40.369999999999997</v>
      </c>
      <c r="AQ369" s="38">
        <v>41.72</v>
      </c>
      <c r="AR369" s="38">
        <v>46.84</v>
      </c>
      <c r="AS369" s="38">
        <v>49.9</v>
      </c>
      <c r="AT369" s="38">
        <v>51.66</v>
      </c>
      <c r="AU369" s="38">
        <v>52.83</v>
      </c>
      <c r="AV369" s="38">
        <v>51.85</v>
      </c>
      <c r="AW369" s="38">
        <v>48.75</v>
      </c>
      <c r="AX369" s="38">
        <v>43.53</v>
      </c>
      <c r="AY369" s="38">
        <v>41.43</v>
      </c>
      <c r="BA369" s="37">
        <v>66.72</v>
      </c>
      <c r="BB369" s="38">
        <v>1.4161999999999999</v>
      </c>
    </row>
    <row r="370" spans="1:54" x14ac:dyDescent="0.35">
      <c r="A370" s="2">
        <f t="shared" si="5"/>
        <v>44340</v>
      </c>
      <c r="B370" t="s">
        <v>412</v>
      </c>
      <c r="C370" s="32">
        <v>44340</v>
      </c>
      <c r="D370" s="38">
        <v>62.39</v>
      </c>
      <c r="E370" s="38">
        <v>60.66</v>
      </c>
      <c r="F370" s="38">
        <v>60.34</v>
      </c>
      <c r="G370" s="38">
        <v>60.65</v>
      </c>
      <c r="H370" s="38">
        <v>62.81</v>
      </c>
      <c r="I370" s="38">
        <v>67.11</v>
      </c>
      <c r="J370" s="38">
        <v>70.41</v>
      </c>
      <c r="K370" s="38">
        <v>71.55</v>
      </c>
      <c r="L370" s="38">
        <v>71.56</v>
      </c>
      <c r="M370" s="38">
        <v>66.81</v>
      </c>
      <c r="N370" s="38">
        <v>54.79</v>
      </c>
      <c r="O370" s="38">
        <v>48.05</v>
      </c>
      <c r="P370" s="38">
        <v>44.24</v>
      </c>
      <c r="Q370" s="38">
        <v>44.42</v>
      </c>
      <c r="R370" s="38">
        <v>45.38</v>
      </c>
      <c r="S370" s="38">
        <v>46.81</v>
      </c>
      <c r="T370" s="38">
        <v>50.66</v>
      </c>
      <c r="U370" s="38">
        <v>53.73</v>
      </c>
      <c r="V370" s="38">
        <v>56.4</v>
      </c>
      <c r="W370" s="38">
        <v>58.81</v>
      </c>
      <c r="X370" s="38">
        <v>59.02</v>
      </c>
      <c r="Y370" s="38">
        <v>55.28</v>
      </c>
      <c r="Z370" s="38">
        <v>48.71</v>
      </c>
      <c r="AA370" s="38">
        <v>43.61</v>
      </c>
      <c r="AB370" s="38">
        <v>40.130000000000003</v>
      </c>
      <c r="AC370" s="38">
        <v>39.049999999999997</v>
      </c>
      <c r="AD370" s="38">
        <v>39.18</v>
      </c>
      <c r="AE370" s="38">
        <v>41.61</v>
      </c>
      <c r="AF370" s="38">
        <v>46.93</v>
      </c>
      <c r="AG370" s="38">
        <v>50.74</v>
      </c>
      <c r="AH370" s="38">
        <v>52.96</v>
      </c>
      <c r="AI370" s="38">
        <v>53.86</v>
      </c>
      <c r="AJ370" s="38">
        <v>53</v>
      </c>
      <c r="AK370" s="38">
        <v>49.91</v>
      </c>
      <c r="AL370" s="38">
        <v>43.91</v>
      </c>
      <c r="AM370" s="38">
        <v>41.71</v>
      </c>
      <c r="AN370" s="38">
        <v>40.47</v>
      </c>
      <c r="AO370" s="38">
        <v>40.06</v>
      </c>
      <c r="AP370" s="38">
        <v>40.28</v>
      </c>
      <c r="AQ370" s="38">
        <v>41.63</v>
      </c>
      <c r="AR370" s="38">
        <v>46.75</v>
      </c>
      <c r="AS370" s="38">
        <v>49.81</v>
      </c>
      <c r="AT370" s="38">
        <v>51.57</v>
      </c>
      <c r="AU370" s="38">
        <v>52.74</v>
      </c>
      <c r="AV370" s="38">
        <v>51.76</v>
      </c>
      <c r="AW370" s="38">
        <v>48.66</v>
      </c>
      <c r="AX370" s="38">
        <v>43.48</v>
      </c>
      <c r="AY370" s="38">
        <v>41.42</v>
      </c>
      <c r="BA370" s="37">
        <v>68.59</v>
      </c>
      <c r="BB370" s="38">
        <v>1.4157999999999999</v>
      </c>
    </row>
    <row r="371" spans="1:54" x14ac:dyDescent="0.35">
      <c r="A371" s="2">
        <f t="shared" si="5"/>
        <v>44341</v>
      </c>
      <c r="B371" t="s">
        <v>413</v>
      </c>
      <c r="C371" s="32">
        <v>44341</v>
      </c>
      <c r="D371" s="38">
        <v>66.14</v>
      </c>
      <c r="E371" s="38">
        <v>64.680000000000007</v>
      </c>
      <c r="F371" s="38">
        <v>64.39</v>
      </c>
      <c r="G371" s="38">
        <v>64.790000000000006</v>
      </c>
      <c r="H371" s="38">
        <v>66.38</v>
      </c>
      <c r="I371" s="38">
        <v>71.28</v>
      </c>
      <c r="J371" s="38">
        <v>74.27</v>
      </c>
      <c r="K371" s="38">
        <v>75.540000000000006</v>
      </c>
      <c r="L371" s="38">
        <v>75.56</v>
      </c>
      <c r="M371" s="38">
        <v>70.599999999999994</v>
      </c>
      <c r="N371" s="38">
        <v>57.37</v>
      </c>
      <c r="O371" s="38">
        <v>49.69</v>
      </c>
      <c r="P371" s="38">
        <v>45.21</v>
      </c>
      <c r="Q371" s="38">
        <v>45.57</v>
      </c>
      <c r="R371" s="38">
        <v>46.65</v>
      </c>
      <c r="S371" s="38">
        <v>48.14</v>
      </c>
      <c r="T371" s="38">
        <v>52.05</v>
      </c>
      <c r="U371" s="38">
        <v>55.18</v>
      </c>
      <c r="V371" s="38">
        <v>57.88</v>
      </c>
      <c r="W371" s="38">
        <v>60.19</v>
      </c>
      <c r="X371" s="38">
        <v>60.3</v>
      </c>
      <c r="Y371" s="38">
        <v>56.46</v>
      </c>
      <c r="Z371" s="38">
        <v>49.55</v>
      </c>
      <c r="AA371" s="38">
        <v>44.15</v>
      </c>
      <c r="AB371" s="38">
        <v>40.409999999999997</v>
      </c>
      <c r="AC371" s="38">
        <v>39.18</v>
      </c>
      <c r="AD371" s="38">
        <v>39.17</v>
      </c>
      <c r="AE371" s="38">
        <v>41.48</v>
      </c>
      <c r="AF371" s="38">
        <v>46.86</v>
      </c>
      <c r="AG371" s="38">
        <v>50.73</v>
      </c>
      <c r="AH371" s="38">
        <v>52.97</v>
      </c>
      <c r="AI371" s="38">
        <v>53.87</v>
      </c>
      <c r="AJ371" s="38">
        <v>53.01</v>
      </c>
      <c r="AK371" s="38">
        <v>49.92</v>
      </c>
      <c r="AL371" s="38">
        <v>43.92</v>
      </c>
      <c r="AM371" s="38">
        <v>41.72</v>
      </c>
      <c r="AN371" s="38">
        <v>40.479999999999997</v>
      </c>
      <c r="AO371" s="38">
        <v>40.07</v>
      </c>
      <c r="AP371" s="38">
        <v>40.29</v>
      </c>
      <c r="AQ371" s="38">
        <v>41.64</v>
      </c>
      <c r="AR371" s="38">
        <v>46.76</v>
      </c>
      <c r="AS371" s="38">
        <v>49.82</v>
      </c>
      <c r="AT371" s="38">
        <v>51.58</v>
      </c>
      <c r="AU371" s="38">
        <v>52.75</v>
      </c>
      <c r="AV371" s="38">
        <v>51.77</v>
      </c>
      <c r="AW371" s="38">
        <v>48.67</v>
      </c>
      <c r="AX371" s="38">
        <v>43.49</v>
      </c>
      <c r="AY371" s="38">
        <v>41.43</v>
      </c>
      <c r="BA371" s="37">
        <v>68.8</v>
      </c>
      <c r="BB371" s="38">
        <v>1.4133</v>
      </c>
    </row>
    <row r="372" spans="1:54" x14ac:dyDescent="0.35">
      <c r="A372" s="2">
        <f t="shared" si="5"/>
        <v>44342</v>
      </c>
      <c r="B372" t="s">
        <v>414</v>
      </c>
      <c r="C372" s="32">
        <v>44342</v>
      </c>
      <c r="D372" s="38">
        <v>66.34</v>
      </c>
      <c r="E372" s="38">
        <v>64.98</v>
      </c>
      <c r="F372" s="38">
        <v>64.69</v>
      </c>
      <c r="G372" s="38">
        <v>65</v>
      </c>
      <c r="H372" s="38">
        <v>66.67</v>
      </c>
      <c r="I372" s="38">
        <v>71.64</v>
      </c>
      <c r="J372" s="38">
        <v>74.67</v>
      </c>
      <c r="K372" s="38">
        <v>75.739999999999995</v>
      </c>
      <c r="L372" s="38">
        <v>75.77</v>
      </c>
      <c r="M372" s="38">
        <v>70.849999999999994</v>
      </c>
      <c r="N372" s="38">
        <v>57.37</v>
      </c>
      <c r="O372" s="38">
        <v>49.28</v>
      </c>
      <c r="P372" s="38">
        <v>44.98</v>
      </c>
      <c r="Q372" s="38">
        <v>45.65</v>
      </c>
      <c r="R372" s="38">
        <v>46.85</v>
      </c>
      <c r="S372" s="38">
        <v>48.34</v>
      </c>
      <c r="T372" s="38">
        <v>52.19</v>
      </c>
      <c r="U372" s="38">
        <v>55.28</v>
      </c>
      <c r="V372" s="38">
        <v>57.91</v>
      </c>
      <c r="W372" s="38">
        <v>60.17</v>
      </c>
      <c r="X372" s="38">
        <v>60.22</v>
      </c>
      <c r="Y372" s="38">
        <v>56.33</v>
      </c>
      <c r="Z372" s="38">
        <v>49.33</v>
      </c>
      <c r="AA372" s="38">
        <v>43.85</v>
      </c>
      <c r="AB372" s="38">
        <v>40.06</v>
      </c>
      <c r="AC372" s="38">
        <v>38.82</v>
      </c>
      <c r="AD372" s="38">
        <v>38.85</v>
      </c>
      <c r="AE372" s="38">
        <v>41.2</v>
      </c>
      <c r="AF372" s="38">
        <v>46.69</v>
      </c>
      <c r="AG372" s="38">
        <v>50.67</v>
      </c>
      <c r="AH372" s="38">
        <v>53.02</v>
      </c>
      <c r="AI372" s="38">
        <v>54.01</v>
      </c>
      <c r="AJ372" s="38">
        <v>53.23</v>
      </c>
      <c r="AK372" s="38">
        <v>50.17</v>
      </c>
      <c r="AL372" s="38">
        <v>44.17</v>
      </c>
      <c r="AM372" s="38">
        <v>41.97</v>
      </c>
      <c r="AN372" s="38">
        <v>40.729999999999997</v>
      </c>
      <c r="AO372" s="38">
        <v>40.32</v>
      </c>
      <c r="AP372" s="38">
        <v>40.54</v>
      </c>
      <c r="AQ372" s="38">
        <v>41.89</v>
      </c>
      <c r="AR372" s="38">
        <v>47.01</v>
      </c>
      <c r="AS372" s="38">
        <v>50.07</v>
      </c>
      <c r="AT372" s="38">
        <v>51.83</v>
      </c>
      <c r="AU372" s="38">
        <v>53</v>
      </c>
      <c r="AV372" s="38">
        <v>52.02</v>
      </c>
      <c r="AW372" s="38">
        <v>48.92</v>
      </c>
      <c r="AX372" s="38">
        <v>43.74</v>
      </c>
      <c r="AY372" s="38">
        <v>41.68</v>
      </c>
      <c r="BA372" s="37">
        <v>68.930000000000007</v>
      </c>
      <c r="BB372" s="38">
        <v>1.4124000000000001</v>
      </c>
    </row>
    <row r="373" spans="1:54" x14ac:dyDescent="0.35">
      <c r="A373" s="2">
        <f t="shared" si="5"/>
        <v>44343</v>
      </c>
      <c r="B373" t="s">
        <v>415</v>
      </c>
      <c r="C373" s="32">
        <v>44343</v>
      </c>
      <c r="D373" s="38">
        <v>62.87</v>
      </c>
      <c r="E373" s="38">
        <v>61.54</v>
      </c>
      <c r="F373" s="38">
        <v>61.26</v>
      </c>
      <c r="G373" s="38">
        <v>61.71</v>
      </c>
      <c r="H373" s="38">
        <v>63.63</v>
      </c>
      <c r="I373" s="38">
        <v>68.69</v>
      </c>
      <c r="J373" s="38">
        <v>71.78</v>
      </c>
      <c r="K373" s="38">
        <v>72.819999999999993</v>
      </c>
      <c r="L373" s="38">
        <v>72.86</v>
      </c>
      <c r="M373" s="38">
        <v>68.150000000000006</v>
      </c>
      <c r="N373" s="38">
        <v>55.76</v>
      </c>
      <c r="O373" s="38">
        <v>48.58</v>
      </c>
      <c r="P373" s="38">
        <v>45.02</v>
      </c>
      <c r="Q373" s="38">
        <v>45.06</v>
      </c>
      <c r="R373" s="38">
        <v>45.88</v>
      </c>
      <c r="S373" s="38">
        <v>47.25</v>
      </c>
      <c r="T373" s="38">
        <v>51.14</v>
      </c>
      <c r="U373" s="38">
        <v>54.27</v>
      </c>
      <c r="V373" s="38">
        <v>56.93</v>
      </c>
      <c r="W373" s="38">
        <v>59.22</v>
      </c>
      <c r="X373" s="38">
        <v>59.32</v>
      </c>
      <c r="Y373" s="38">
        <v>55.52</v>
      </c>
      <c r="Z373" s="38">
        <v>48.83</v>
      </c>
      <c r="AA373" s="38">
        <v>43.65</v>
      </c>
      <c r="AB373" s="38">
        <v>40.07</v>
      </c>
      <c r="AC373" s="38">
        <v>38.99</v>
      </c>
      <c r="AD373" s="38">
        <v>38.92</v>
      </c>
      <c r="AE373" s="38">
        <v>41.12</v>
      </c>
      <c r="AF373" s="38">
        <v>46.43</v>
      </c>
      <c r="AG373" s="38">
        <v>50.27</v>
      </c>
      <c r="AH373" s="38">
        <v>52.48</v>
      </c>
      <c r="AI373" s="38">
        <v>53.33</v>
      </c>
      <c r="AJ373" s="38">
        <v>52.43</v>
      </c>
      <c r="AK373" s="38">
        <v>49.29</v>
      </c>
      <c r="AL373" s="38">
        <v>43.06</v>
      </c>
      <c r="AM373" s="38">
        <v>40.86</v>
      </c>
      <c r="AN373" s="38">
        <v>39.619999999999997</v>
      </c>
      <c r="AO373" s="38">
        <v>39.21</v>
      </c>
      <c r="AP373" s="38">
        <v>39.43</v>
      </c>
      <c r="AQ373" s="38">
        <v>40.78</v>
      </c>
      <c r="AR373" s="38">
        <v>45.9</v>
      </c>
      <c r="AS373" s="38">
        <v>48.96</v>
      </c>
      <c r="AT373" s="38">
        <v>50.72</v>
      </c>
      <c r="AU373" s="38">
        <v>51.89</v>
      </c>
      <c r="AV373" s="38">
        <v>50.91</v>
      </c>
      <c r="AW373" s="38">
        <v>47.8</v>
      </c>
      <c r="AX373" s="38">
        <v>42.74</v>
      </c>
      <c r="AY373" s="38">
        <v>40.78</v>
      </c>
      <c r="BA373" s="37">
        <v>69.430000000000007</v>
      </c>
      <c r="BB373" s="38">
        <v>1.4180999999999999</v>
      </c>
    </row>
    <row r="374" spans="1:54" x14ac:dyDescent="0.35">
      <c r="A374" s="2">
        <f t="shared" si="5"/>
        <v>44344</v>
      </c>
      <c r="B374" t="s">
        <v>416</v>
      </c>
      <c r="C374" s="32">
        <v>44344</v>
      </c>
      <c r="D374" s="38">
        <v>60.68</v>
      </c>
      <c r="E374" s="38">
        <v>60.49</v>
      </c>
      <c r="F374" s="38">
        <v>60.97</v>
      </c>
      <c r="G374" s="38">
        <v>62.86</v>
      </c>
      <c r="H374" s="38">
        <v>68.14</v>
      </c>
      <c r="I374" s="38">
        <v>71.31</v>
      </c>
      <c r="J374" s="38">
        <v>72.09</v>
      </c>
      <c r="K374" s="38">
        <v>72.11</v>
      </c>
      <c r="L374" s="38">
        <v>67.22</v>
      </c>
      <c r="M374" s="38">
        <v>54.95</v>
      </c>
      <c r="N374" s="38">
        <v>47.86</v>
      </c>
      <c r="O374" s="38">
        <v>44.37</v>
      </c>
      <c r="P374" s="38">
        <v>44.46</v>
      </c>
      <c r="Q374" s="38">
        <v>45.32</v>
      </c>
      <c r="R374" s="38">
        <v>46.67</v>
      </c>
      <c r="S374" s="38">
        <v>50.57</v>
      </c>
      <c r="T374" s="38">
        <v>53.7</v>
      </c>
      <c r="U374" s="38">
        <v>56.36</v>
      </c>
      <c r="V374" s="38">
        <v>58.65</v>
      </c>
      <c r="W374" s="38">
        <v>58.75</v>
      </c>
      <c r="X374" s="38">
        <v>54.95</v>
      </c>
      <c r="Y374" s="38">
        <v>48.46</v>
      </c>
      <c r="Z374" s="38">
        <v>43.31</v>
      </c>
      <c r="AA374" s="38">
        <v>39.76</v>
      </c>
      <c r="AB374" s="38">
        <v>38.71</v>
      </c>
      <c r="AC374" s="38">
        <v>38.67</v>
      </c>
      <c r="AD374" s="38">
        <v>40.909999999999997</v>
      </c>
      <c r="AE374" s="38">
        <v>46.28</v>
      </c>
      <c r="AF374" s="38">
        <v>50.18</v>
      </c>
      <c r="AG374" s="38">
        <v>52.46</v>
      </c>
      <c r="AH374" s="38">
        <v>53.36</v>
      </c>
      <c r="AI374" s="38">
        <v>52.45</v>
      </c>
      <c r="AJ374" s="38">
        <v>49.31</v>
      </c>
      <c r="AK374" s="38">
        <v>43.08</v>
      </c>
      <c r="AL374" s="38">
        <v>40.880000000000003</v>
      </c>
      <c r="AM374" s="38">
        <v>39.64</v>
      </c>
      <c r="AN374" s="38">
        <v>39.229999999999997</v>
      </c>
      <c r="AO374" s="38">
        <v>39.450000000000003</v>
      </c>
      <c r="AP374" s="38">
        <v>40.799999999999997</v>
      </c>
      <c r="AQ374" s="38">
        <v>45.92</v>
      </c>
      <c r="AR374" s="38">
        <v>48.98</v>
      </c>
      <c r="AS374" s="38">
        <v>50.74</v>
      </c>
      <c r="AT374" s="38">
        <v>51.91</v>
      </c>
      <c r="AU374" s="38">
        <v>50.93</v>
      </c>
      <c r="AV374" s="38">
        <v>47.82</v>
      </c>
      <c r="AW374" s="38">
        <v>42.86</v>
      </c>
      <c r="AX374" s="38">
        <v>41</v>
      </c>
      <c r="AY374" s="38">
        <v>39.89</v>
      </c>
      <c r="BA374" s="37">
        <v>69.36</v>
      </c>
      <c r="BB374" s="38">
        <v>1.4176</v>
      </c>
    </row>
    <row r="375" spans="1:54" x14ac:dyDescent="0.35">
      <c r="A375" s="2">
        <f t="shared" si="5"/>
        <v>44347</v>
      </c>
      <c r="B375" t="s">
        <v>417</v>
      </c>
      <c r="C375" s="32">
        <v>44347</v>
      </c>
      <c r="D375" s="38">
        <v>60.68</v>
      </c>
      <c r="E375" s="38">
        <v>60.49</v>
      </c>
      <c r="F375" s="38">
        <v>60.97</v>
      </c>
      <c r="G375" s="38">
        <v>62.86</v>
      </c>
      <c r="H375" s="38">
        <v>68.14</v>
      </c>
      <c r="I375" s="38">
        <v>71.31</v>
      </c>
      <c r="J375" s="38">
        <v>72.09</v>
      </c>
      <c r="K375" s="38">
        <v>72.11</v>
      </c>
      <c r="L375" s="38">
        <v>67.22</v>
      </c>
      <c r="M375" s="38">
        <v>54.95</v>
      </c>
      <c r="N375" s="38">
        <v>47.86</v>
      </c>
      <c r="O375" s="38">
        <v>44.37</v>
      </c>
      <c r="P375" s="38">
        <v>44.46</v>
      </c>
      <c r="Q375" s="38">
        <v>45.32</v>
      </c>
      <c r="R375" s="38">
        <v>46.67</v>
      </c>
      <c r="S375" s="38">
        <v>50.57</v>
      </c>
      <c r="T375" s="38">
        <v>53.7</v>
      </c>
      <c r="U375" s="38">
        <v>56.36</v>
      </c>
      <c r="V375" s="38">
        <v>58.65</v>
      </c>
      <c r="W375" s="38">
        <v>58.75</v>
      </c>
      <c r="X375" s="38">
        <v>54.95</v>
      </c>
      <c r="Y375" s="38">
        <v>48.46</v>
      </c>
      <c r="Z375" s="38">
        <v>43.31</v>
      </c>
      <c r="AA375" s="38">
        <v>39.76</v>
      </c>
      <c r="AB375" s="38">
        <v>38.71</v>
      </c>
      <c r="AC375" s="38">
        <v>38.67</v>
      </c>
      <c r="AD375" s="38">
        <v>40.909999999999997</v>
      </c>
      <c r="AE375" s="38">
        <v>46.28</v>
      </c>
      <c r="AF375" s="38">
        <v>50.18</v>
      </c>
      <c r="AG375" s="38">
        <v>52.46</v>
      </c>
      <c r="AH375" s="38">
        <v>53.36</v>
      </c>
      <c r="AI375" s="38">
        <v>52.45</v>
      </c>
      <c r="AJ375" s="38">
        <v>49.31</v>
      </c>
      <c r="AK375" s="38">
        <v>43.08</v>
      </c>
      <c r="AL375" s="38">
        <v>40.880000000000003</v>
      </c>
      <c r="AM375" s="38">
        <v>39.64</v>
      </c>
      <c r="AN375" s="38">
        <v>39.229999999999997</v>
      </c>
      <c r="AO375" s="38">
        <v>39.450000000000003</v>
      </c>
      <c r="AP375" s="38">
        <v>40.799999999999997</v>
      </c>
      <c r="AQ375" s="38">
        <v>45.92</v>
      </c>
      <c r="AR375" s="38">
        <v>48.98</v>
      </c>
      <c r="AS375" s="38">
        <v>50.74</v>
      </c>
      <c r="AT375" s="38">
        <v>51.91</v>
      </c>
      <c r="AU375" s="38">
        <v>50.93</v>
      </c>
      <c r="AV375" s="38">
        <v>47.82</v>
      </c>
      <c r="AW375" s="38">
        <v>42.86</v>
      </c>
      <c r="AX375" s="38">
        <v>41</v>
      </c>
      <c r="AY375" s="38">
        <v>39.89</v>
      </c>
      <c r="BA375" s="37" t="e">
        <v>#N/A</v>
      </c>
      <c r="BB375" s="38" t="e">
        <v>#N/A</v>
      </c>
    </row>
    <row r="376" spans="1:54" x14ac:dyDescent="0.35">
      <c r="A376" s="2">
        <f t="shared" si="5"/>
        <v>44348</v>
      </c>
      <c r="B376" t="s">
        <v>418</v>
      </c>
      <c r="C376" s="32">
        <v>44348</v>
      </c>
      <c r="D376" s="38">
        <v>63.77</v>
      </c>
      <c r="E376" s="38">
        <v>63.58</v>
      </c>
      <c r="F376" s="38">
        <v>64.13</v>
      </c>
      <c r="G376" s="38">
        <v>66.08</v>
      </c>
      <c r="H376" s="38">
        <v>71.150000000000006</v>
      </c>
      <c r="I376" s="38">
        <v>74.09</v>
      </c>
      <c r="J376" s="38">
        <v>75.099999999999994</v>
      </c>
      <c r="K376" s="38">
        <v>75.099999999999994</v>
      </c>
      <c r="L376" s="38">
        <v>70.180000000000007</v>
      </c>
      <c r="M376" s="38">
        <v>57.11</v>
      </c>
      <c r="N376" s="38">
        <v>49.2</v>
      </c>
      <c r="O376" s="38">
        <v>45.23</v>
      </c>
      <c r="P376" s="38">
        <v>44.68</v>
      </c>
      <c r="Q376" s="38">
        <v>45.39</v>
      </c>
      <c r="R376" s="38">
        <v>47.02</v>
      </c>
      <c r="S376" s="38">
        <v>51.38</v>
      </c>
      <c r="T376" s="38">
        <v>54.69</v>
      </c>
      <c r="U376" s="38">
        <v>57.35</v>
      </c>
      <c r="V376" s="38">
        <v>59.53</v>
      </c>
      <c r="W376" s="38">
        <v>59.5</v>
      </c>
      <c r="X376" s="38">
        <v>55.56</v>
      </c>
      <c r="Y376" s="38">
        <v>48.95</v>
      </c>
      <c r="Z376" s="38">
        <v>43.68</v>
      </c>
      <c r="AA376" s="38">
        <v>40.08</v>
      </c>
      <c r="AB376" s="38">
        <v>39.03</v>
      </c>
      <c r="AC376" s="38">
        <v>38.99</v>
      </c>
      <c r="AD376" s="38">
        <v>41.23</v>
      </c>
      <c r="AE376" s="38">
        <v>46.6</v>
      </c>
      <c r="AF376" s="38">
        <v>50.5</v>
      </c>
      <c r="AG376" s="38">
        <v>52.78</v>
      </c>
      <c r="AH376" s="38">
        <v>53.68</v>
      </c>
      <c r="AI376" s="38">
        <v>52.77</v>
      </c>
      <c r="AJ376" s="38">
        <v>49.63</v>
      </c>
      <c r="AK376" s="38">
        <v>43.4</v>
      </c>
      <c r="AL376" s="38">
        <v>41.2</v>
      </c>
      <c r="AM376" s="38">
        <v>39.96</v>
      </c>
      <c r="AN376" s="38">
        <v>39.549999999999997</v>
      </c>
      <c r="AO376" s="38">
        <v>39.770000000000003</v>
      </c>
      <c r="AP376" s="38">
        <v>41.53</v>
      </c>
      <c r="AQ376" s="38">
        <v>46.71</v>
      </c>
      <c r="AR376" s="38">
        <v>49.92</v>
      </c>
      <c r="AS376" s="38">
        <v>51.68</v>
      </c>
      <c r="AT376" s="38">
        <v>52.85</v>
      </c>
      <c r="AU376" s="38">
        <v>51.87</v>
      </c>
      <c r="AV376" s="38">
        <v>48.76</v>
      </c>
      <c r="AW376" s="38">
        <v>43.8</v>
      </c>
      <c r="AX376" s="38">
        <v>41.94</v>
      </c>
      <c r="AY376" s="38">
        <v>40.83</v>
      </c>
      <c r="BA376" s="37">
        <v>70.03</v>
      </c>
      <c r="BB376" s="38">
        <v>1.4173</v>
      </c>
    </row>
    <row r="377" spans="1:54" x14ac:dyDescent="0.35">
      <c r="A377" s="2">
        <f t="shared" si="5"/>
        <v>44349</v>
      </c>
      <c r="B377" t="s">
        <v>419</v>
      </c>
      <c r="C377" s="32">
        <v>44349</v>
      </c>
      <c r="D377" s="38">
        <v>62.63</v>
      </c>
      <c r="E377" s="38">
        <v>62.41</v>
      </c>
      <c r="F377" s="38">
        <v>62.95</v>
      </c>
      <c r="G377" s="38">
        <v>65</v>
      </c>
      <c r="H377" s="38">
        <v>69.92</v>
      </c>
      <c r="I377" s="38">
        <v>72.92</v>
      </c>
      <c r="J377" s="38">
        <v>73.91</v>
      </c>
      <c r="K377" s="38">
        <v>73.92</v>
      </c>
      <c r="L377" s="38">
        <v>68.930000000000007</v>
      </c>
      <c r="M377" s="38">
        <v>54.81</v>
      </c>
      <c r="N377" s="38">
        <v>46.63</v>
      </c>
      <c r="O377" s="38">
        <v>42.93</v>
      </c>
      <c r="P377" s="38">
        <v>43.25</v>
      </c>
      <c r="Q377" s="38">
        <v>44.2</v>
      </c>
      <c r="R377" s="38">
        <v>45.83</v>
      </c>
      <c r="S377" s="38">
        <v>49.96</v>
      </c>
      <c r="T377" s="38">
        <v>53.18</v>
      </c>
      <c r="U377" s="38">
        <v>55.84</v>
      </c>
      <c r="V377" s="38">
        <v>58.02</v>
      </c>
      <c r="W377" s="38">
        <v>57.99</v>
      </c>
      <c r="X377" s="38">
        <v>54.18</v>
      </c>
      <c r="Y377" s="38">
        <v>47.99</v>
      </c>
      <c r="Z377" s="38">
        <v>42.94</v>
      </c>
      <c r="AA377" s="38">
        <v>39.340000000000003</v>
      </c>
      <c r="AB377" s="38">
        <v>38.29</v>
      </c>
      <c r="AC377" s="38">
        <v>38.25</v>
      </c>
      <c r="AD377" s="38">
        <v>40.49</v>
      </c>
      <c r="AE377" s="38">
        <v>45.86</v>
      </c>
      <c r="AF377" s="38">
        <v>49.76</v>
      </c>
      <c r="AG377" s="38">
        <v>52.04</v>
      </c>
      <c r="AH377" s="38">
        <v>52.94</v>
      </c>
      <c r="AI377" s="38">
        <v>52.03</v>
      </c>
      <c r="AJ377" s="38">
        <v>48.89</v>
      </c>
      <c r="AK377" s="38">
        <v>42.66</v>
      </c>
      <c r="AL377" s="38">
        <v>40.47</v>
      </c>
      <c r="AM377" s="38">
        <v>39.229999999999997</v>
      </c>
      <c r="AN377" s="38">
        <v>38.82</v>
      </c>
      <c r="AO377" s="38">
        <v>39.04</v>
      </c>
      <c r="AP377" s="38">
        <v>40.799999999999997</v>
      </c>
      <c r="AQ377" s="38">
        <v>45.98</v>
      </c>
      <c r="AR377" s="38">
        <v>49.19</v>
      </c>
      <c r="AS377" s="38">
        <v>50.95</v>
      </c>
      <c r="AT377" s="38">
        <v>52.12</v>
      </c>
      <c r="AU377" s="38">
        <v>51.14</v>
      </c>
      <c r="AV377" s="38">
        <v>48.03</v>
      </c>
      <c r="AW377" s="38">
        <v>43.27</v>
      </c>
      <c r="AX377" s="38">
        <v>41.41</v>
      </c>
      <c r="AY377" s="38">
        <v>40.299999999999997</v>
      </c>
      <c r="BA377" s="37">
        <v>70.599999999999994</v>
      </c>
      <c r="BB377" s="38">
        <v>1.4165000000000001</v>
      </c>
    </row>
    <row r="378" spans="1:54" x14ac:dyDescent="0.35">
      <c r="A378" s="2">
        <f t="shared" si="5"/>
        <v>44350</v>
      </c>
      <c r="B378" t="s">
        <v>420</v>
      </c>
      <c r="C378" s="32">
        <v>44350</v>
      </c>
      <c r="D378" s="38">
        <v>62.68</v>
      </c>
      <c r="E378" s="38">
        <v>62.48</v>
      </c>
      <c r="F378" s="38">
        <v>63.09</v>
      </c>
      <c r="G378" s="38">
        <v>65.14</v>
      </c>
      <c r="H378" s="38">
        <v>69.989999999999995</v>
      </c>
      <c r="I378" s="38">
        <v>72.989999999999995</v>
      </c>
      <c r="J378" s="38">
        <v>73.989999999999995</v>
      </c>
      <c r="K378" s="38">
        <v>74.010000000000005</v>
      </c>
      <c r="L378" s="38">
        <v>69.02</v>
      </c>
      <c r="M378" s="38">
        <v>54.74</v>
      </c>
      <c r="N378" s="38">
        <v>46.56</v>
      </c>
      <c r="O378" s="38">
        <v>42.86</v>
      </c>
      <c r="P378" s="38">
        <v>43.35</v>
      </c>
      <c r="Q378" s="38">
        <v>44.03</v>
      </c>
      <c r="R378" s="38">
        <v>45.61</v>
      </c>
      <c r="S378" s="38">
        <v>49.74</v>
      </c>
      <c r="T378" s="38">
        <v>52.96</v>
      </c>
      <c r="U378" s="38">
        <v>55.62</v>
      </c>
      <c r="V378" s="38">
        <v>57.8</v>
      </c>
      <c r="W378" s="38">
        <v>57.77</v>
      </c>
      <c r="X378" s="38">
        <v>53.96</v>
      </c>
      <c r="Y378" s="38">
        <v>47.82</v>
      </c>
      <c r="Z378" s="38">
        <v>42.82</v>
      </c>
      <c r="AA378" s="38">
        <v>39.270000000000003</v>
      </c>
      <c r="AB378" s="38">
        <v>38.22</v>
      </c>
      <c r="AC378" s="38">
        <v>38.18</v>
      </c>
      <c r="AD378" s="38">
        <v>40.42</v>
      </c>
      <c r="AE378" s="38">
        <v>45.79</v>
      </c>
      <c r="AF378" s="38">
        <v>49.69</v>
      </c>
      <c r="AG378" s="38">
        <v>51.97</v>
      </c>
      <c r="AH378" s="38">
        <v>52.87</v>
      </c>
      <c r="AI378" s="38">
        <v>51.96</v>
      </c>
      <c r="AJ378" s="38">
        <v>48.82</v>
      </c>
      <c r="AK378" s="38">
        <v>42.59</v>
      </c>
      <c r="AL378" s="38">
        <v>40.4</v>
      </c>
      <c r="AM378" s="38">
        <v>39.159999999999997</v>
      </c>
      <c r="AN378" s="38">
        <v>38.75</v>
      </c>
      <c r="AO378" s="38">
        <v>38.97</v>
      </c>
      <c r="AP378" s="38">
        <v>40.729999999999997</v>
      </c>
      <c r="AQ378" s="38">
        <v>45.91</v>
      </c>
      <c r="AR378" s="38">
        <v>49.12</v>
      </c>
      <c r="AS378" s="38">
        <v>50.88</v>
      </c>
      <c r="AT378" s="38">
        <v>52.05</v>
      </c>
      <c r="AU378" s="38">
        <v>51.07</v>
      </c>
      <c r="AV378" s="38">
        <v>47.96</v>
      </c>
      <c r="AW378" s="38">
        <v>43.2</v>
      </c>
      <c r="AX378" s="38">
        <v>41.34</v>
      </c>
      <c r="AY378" s="38">
        <v>40.229999999999997</v>
      </c>
      <c r="BA378" s="37">
        <v>70.709999999999994</v>
      </c>
      <c r="BB378" s="38">
        <v>1.4179999999999999</v>
      </c>
    </row>
    <row r="379" spans="1:54" x14ac:dyDescent="0.35">
      <c r="A379" s="2">
        <f t="shared" si="5"/>
        <v>44351</v>
      </c>
      <c r="B379" t="s">
        <v>421</v>
      </c>
      <c r="C379" s="32">
        <v>44351</v>
      </c>
      <c r="D379" s="38">
        <v>62.71</v>
      </c>
      <c r="E379" s="38">
        <v>62.52</v>
      </c>
      <c r="F379" s="38">
        <v>62.87</v>
      </c>
      <c r="G379" s="38">
        <v>65.02</v>
      </c>
      <c r="H379" s="38">
        <v>69.92</v>
      </c>
      <c r="I379" s="38">
        <v>72.91</v>
      </c>
      <c r="J379" s="38">
        <v>73.88</v>
      </c>
      <c r="K379" s="38">
        <v>73.89</v>
      </c>
      <c r="L379" s="38">
        <v>68.95</v>
      </c>
      <c r="M379" s="38">
        <v>54.5</v>
      </c>
      <c r="N379" s="38">
        <v>47.01</v>
      </c>
      <c r="O379" s="38">
        <v>43.06</v>
      </c>
      <c r="P379" s="38">
        <v>43.55</v>
      </c>
      <c r="Q379" s="38">
        <v>44.23</v>
      </c>
      <c r="R379" s="38">
        <v>45.81</v>
      </c>
      <c r="S379" s="38">
        <v>49.94</v>
      </c>
      <c r="T379" s="38">
        <v>53.16</v>
      </c>
      <c r="U379" s="38">
        <v>55.82</v>
      </c>
      <c r="V379" s="38">
        <v>58</v>
      </c>
      <c r="W379" s="38">
        <v>57.97</v>
      </c>
      <c r="X379" s="38">
        <v>54.16</v>
      </c>
      <c r="Y379" s="38">
        <v>48.02</v>
      </c>
      <c r="Z379" s="38">
        <v>43.02</v>
      </c>
      <c r="AA379" s="38">
        <v>39.47</v>
      </c>
      <c r="AB379" s="38">
        <v>38.42</v>
      </c>
      <c r="AC379" s="38">
        <v>38.380000000000003</v>
      </c>
      <c r="AD379" s="38">
        <v>40.619999999999997</v>
      </c>
      <c r="AE379" s="38">
        <v>45.99</v>
      </c>
      <c r="AF379" s="38">
        <v>49.89</v>
      </c>
      <c r="AG379" s="38">
        <v>52.17</v>
      </c>
      <c r="AH379" s="38">
        <v>53.07</v>
      </c>
      <c r="AI379" s="38">
        <v>52.16</v>
      </c>
      <c r="AJ379" s="38">
        <v>49.02</v>
      </c>
      <c r="AK379" s="38">
        <v>42.77</v>
      </c>
      <c r="AL379" s="38">
        <v>40.56</v>
      </c>
      <c r="AM379" s="38">
        <v>39.299999999999997</v>
      </c>
      <c r="AN379" s="38">
        <v>38.869999999999997</v>
      </c>
      <c r="AO379" s="38">
        <v>39.07</v>
      </c>
      <c r="AP379" s="38">
        <v>40.81</v>
      </c>
      <c r="AQ379" s="38">
        <v>45.99</v>
      </c>
      <c r="AR379" s="38">
        <v>49.2</v>
      </c>
      <c r="AS379" s="38">
        <v>50.96</v>
      </c>
      <c r="AT379" s="38">
        <v>52.13</v>
      </c>
      <c r="AU379" s="38">
        <v>51.15</v>
      </c>
      <c r="AV379" s="38">
        <v>48.04</v>
      </c>
      <c r="AW379" s="38">
        <v>43.28</v>
      </c>
      <c r="AX379" s="38">
        <v>41.42</v>
      </c>
      <c r="AY379" s="38">
        <v>40.31</v>
      </c>
      <c r="BA379" s="37">
        <v>71.3</v>
      </c>
      <c r="BB379" s="38">
        <v>1.4172</v>
      </c>
    </row>
    <row r="380" spans="1:54" x14ac:dyDescent="0.35">
      <c r="A380" s="2">
        <f t="shared" si="5"/>
        <v>44354</v>
      </c>
      <c r="B380" t="s">
        <v>422</v>
      </c>
      <c r="C380" s="32">
        <v>44354</v>
      </c>
      <c r="D380" s="38">
        <v>64.45</v>
      </c>
      <c r="E380" s="38">
        <v>64.349999999999994</v>
      </c>
      <c r="F380" s="38">
        <v>64.849999999999994</v>
      </c>
      <c r="G380" s="38">
        <v>67</v>
      </c>
      <c r="H380" s="38">
        <v>71.84</v>
      </c>
      <c r="I380" s="38">
        <v>74.790000000000006</v>
      </c>
      <c r="J380" s="38">
        <v>75.75</v>
      </c>
      <c r="K380" s="38">
        <v>75.760000000000005</v>
      </c>
      <c r="L380" s="38">
        <v>70.86</v>
      </c>
      <c r="M380" s="38">
        <v>56.21</v>
      </c>
      <c r="N380" s="38">
        <v>48.54</v>
      </c>
      <c r="O380" s="38">
        <v>44.36</v>
      </c>
      <c r="P380" s="38">
        <v>44.93</v>
      </c>
      <c r="Q380" s="38">
        <v>45.65</v>
      </c>
      <c r="R380" s="38">
        <v>47.27</v>
      </c>
      <c r="S380" s="38">
        <v>51.45</v>
      </c>
      <c r="T380" s="38">
        <v>54.71</v>
      </c>
      <c r="U380" s="38">
        <v>57.34</v>
      </c>
      <c r="V380" s="38">
        <v>59.49</v>
      </c>
      <c r="W380" s="38">
        <v>59.23</v>
      </c>
      <c r="X380" s="38">
        <v>55.27</v>
      </c>
      <c r="Y380" s="38">
        <v>49.03</v>
      </c>
      <c r="Z380" s="38">
        <v>43.95</v>
      </c>
      <c r="AA380" s="38">
        <v>40.35</v>
      </c>
      <c r="AB380" s="38">
        <v>39.25</v>
      </c>
      <c r="AC380" s="38">
        <v>39.15</v>
      </c>
      <c r="AD380" s="38">
        <v>41.34</v>
      </c>
      <c r="AE380" s="38">
        <v>46.65</v>
      </c>
      <c r="AF380" s="38">
        <v>50.57</v>
      </c>
      <c r="AG380" s="38">
        <v>52.85</v>
      </c>
      <c r="AH380" s="38">
        <v>53.75</v>
      </c>
      <c r="AI380" s="38">
        <v>52.84</v>
      </c>
      <c r="AJ380" s="38">
        <v>49.7</v>
      </c>
      <c r="AK380" s="38">
        <v>43.45</v>
      </c>
      <c r="AL380" s="38">
        <v>41.24</v>
      </c>
      <c r="AM380" s="38">
        <v>39.979999999999997</v>
      </c>
      <c r="AN380" s="38">
        <v>39.549999999999997</v>
      </c>
      <c r="AO380" s="38">
        <v>39.9</v>
      </c>
      <c r="AP380" s="38">
        <v>41.77</v>
      </c>
      <c r="AQ380" s="38">
        <v>47.07</v>
      </c>
      <c r="AR380" s="38">
        <v>50.28</v>
      </c>
      <c r="AS380" s="38">
        <v>52.04</v>
      </c>
      <c r="AT380" s="38">
        <v>52.94</v>
      </c>
      <c r="AU380" s="38">
        <v>51.71</v>
      </c>
      <c r="AV380" s="38">
        <v>48.37</v>
      </c>
      <c r="AW380" s="38">
        <v>43.41</v>
      </c>
      <c r="AX380" s="38">
        <v>41.38</v>
      </c>
      <c r="AY380" s="38">
        <v>40.18</v>
      </c>
      <c r="BA380" s="37">
        <v>70.89</v>
      </c>
      <c r="BB380" s="38">
        <v>1.4168000000000001</v>
      </c>
    </row>
    <row r="381" spans="1:54" x14ac:dyDescent="0.35">
      <c r="A381" s="2">
        <f t="shared" si="5"/>
        <v>44355</v>
      </c>
      <c r="B381" t="s">
        <v>423</v>
      </c>
      <c r="C381" s="32">
        <v>44355</v>
      </c>
      <c r="D381" s="38">
        <v>67.739999999999995</v>
      </c>
      <c r="E381" s="38">
        <v>67.680000000000007</v>
      </c>
      <c r="F381" s="38">
        <v>68.13</v>
      </c>
      <c r="G381" s="38">
        <v>70.430000000000007</v>
      </c>
      <c r="H381" s="38">
        <v>75.37</v>
      </c>
      <c r="I381" s="38">
        <v>78.27</v>
      </c>
      <c r="J381" s="38">
        <v>79.17</v>
      </c>
      <c r="K381" s="38">
        <v>79.239999999999995</v>
      </c>
      <c r="L381" s="38">
        <v>74.39</v>
      </c>
      <c r="M381" s="38">
        <v>58.15</v>
      </c>
      <c r="N381" s="38">
        <v>49.52</v>
      </c>
      <c r="O381" s="38">
        <v>43.03</v>
      </c>
      <c r="P381" s="38">
        <v>45.25</v>
      </c>
      <c r="Q381" s="38">
        <v>46.47</v>
      </c>
      <c r="R381" s="38">
        <v>48.09</v>
      </c>
      <c r="S381" s="38">
        <v>52.1</v>
      </c>
      <c r="T381" s="38">
        <v>55.51</v>
      </c>
      <c r="U381" s="38">
        <v>58.14</v>
      </c>
      <c r="V381" s="38">
        <v>60.24</v>
      </c>
      <c r="W381" s="38">
        <v>59.88</v>
      </c>
      <c r="X381" s="38">
        <v>55.77</v>
      </c>
      <c r="Y381" s="38">
        <v>49.47</v>
      </c>
      <c r="Z381" s="38">
        <v>44.33</v>
      </c>
      <c r="AA381" s="38">
        <v>40.729999999999997</v>
      </c>
      <c r="AB381" s="38">
        <v>39.630000000000003</v>
      </c>
      <c r="AC381" s="38">
        <v>39.54</v>
      </c>
      <c r="AD381" s="38">
        <v>41.78</v>
      </c>
      <c r="AE381" s="38">
        <v>47.14</v>
      </c>
      <c r="AF381" s="38">
        <v>51.11</v>
      </c>
      <c r="AG381" s="38">
        <v>53.39</v>
      </c>
      <c r="AH381" s="38">
        <v>54.29</v>
      </c>
      <c r="AI381" s="38">
        <v>53.38</v>
      </c>
      <c r="AJ381" s="38">
        <v>50.24</v>
      </c>
      <c r="AK381" s="38">
        <v>43.99</v>
      </c>
      <c r="AL381" s="38">
        <v>41.78</v>
      </c>
      <c r="AM381" s="38">
        <v>40.520000000000003</v>
      </c>
      <c r="AN381" s="38">
        <v>40.090000000000003</v>
      </c>
      <c r="AO381" s="38">
        <v>40.44</v>
      </c>
      <c r="AP381" s="38">
        <v>42.31</v>
      </c>
      <c r="AQ381" s="38">
        <v>47.61</v>
      </c>
      <c r="AR381" s="38">
        <v>50.82</v>
      </c>
      <c r="AS381" s="38">
        <v>52.58</v>
      </c>
      <c r="AT381" s="38">
        <v>53.48</v>
      </c>
      <c r="AU381" s="38">
        <v>52.25</v>
      </c>
      <c r="AV381" s="38">
        <v>48.91</v>
      </c>
      <c r="AW381" s="38">
        <v>43.95</v>
      </c>
      <c r="AX381" s="38">
        <v>41.92</v>
      </c>
      <c r="AY381" s="38">
        <v>40.72</v>
      </c>
      <c r="BA381" s="37">
        <v>71.39</v>
      </c>
      <c r="BB381" s="38">
        <v>1.415</v>
      </c>
    </row>
    <row r="382" spans="1:54" x14ac:dyDescent="0.35">
      <c r="A382" s="2">
        <f t="shared" si="5"/>
        <v>44356</v>
      </c>
      <c r="B382" t="s">
        <v>424</v>
      </c>
      <c r="C382" s="32">
        <v>44356</v>
      </c>
      <c r="D382" s="38">
        <v>69.290000000000006</v>
      </c>
      <c r="E382" s="38">
        <v>69.239999999999995</v>
      </c>
      <c r="F382" s="38">
        <v>69.819999999999993</v>
      </c>
      <c r="G382" s="38">
        <v>71.72</v>
      </c>
      <c r="H382" s="38">
        <v>76.900000000000006</v>
      </c>
      <c r="I382" s="38">
        <v>79.739999999999995</v>
      </c>
      <c r="J382" s="38">
        <v>80.59</v>
      </c>
      <c r="K382" s="38">
        <v>80.72</v>
      </c>
      <c r="L382" s="38">
        <v>75.86</v>
      </c>
      <c r="M382" s="38">
        <v>58.22</v>
      </c>
      <c r="N382" s="38">
        <v>49.77</v>
      </c>
      <c r="O382" s="38">
        <v>44.72</v>
      </c>
      <c r="P382" s="38">
        <v>46.06</v>
      </c>
      <c r="Q382" s="38">
        <v>47.03</v>
      </c>
      <c r="R382" s="38">
        <v>48.66</v>
      </c>
      <c r="S382" s="38">
        <v>52.73</v>
      </c>
      <c r="T382" s="38">
        <v>56.2</v>
      </c>
      <c r="U382" s="38">
        <v>58.78</v>
      </c>
      <c r="V382" s="38">
        <v>60.83</v>
      </c>
      <c r="W382" s="38">
        <v>60.42</v>
      </c>
      <c r="X382" s="38">
        <v>56.26</v>
      </c>
      <c r="Y382" s="38">
        <v>49.97</v>
      </c>
      <c r="Z382" s="38">
        <v>44.83</v>
      </c>
      <c r="AA382" s="38">
        <v>41.23</v>
      </c>
      <c r="AB382" s="38">
        <v>40.130000000000003</v>
      </c>
      <c r="AC382" s="38">
        <v>40.15</v>
      </c>
      <c r="AD382" s="38">
        <v>42.58</v>
      </c>
      <c r="AE382" s="38">
        <v>47.96</v>
      </c>
      <c r="AF382" s="38">
        <v>51.93</v>
      </c>
      <c r="AG382" s="38">
        <v>54.21</v>
      </c>
      <c r="AH382" s="38">
        <v>55.11</v>
      </c>
      <c r="AI382" s="38">
        <v>54.2</v>
      </c>
      <c r="AJ382" s="38">
        <v>51.06</v>
      </c>
      <c r="AK382" s="38">
        <v>44.81</v>
      </c>
      <c r="AL382" s="38">
        <v>42.6</v>
      </c>
      <c r="AM382" s="38">
        <v>41.34</v>
      </c>
      <c r="AN382" s="38">
        <v>40.909999999999997</v>
      </c>
      <c r="AO382" s="38">
        <v>41.26</v>
      </c>
      <c r="AP382" s="38">
        <v>43.13</v>
      </c>
      <c r="AQ382" s="38">
        <v>48.43</v>
      </c>
      <c r="AR382" s="38">
        <v>51.64</v>
      </c>
      <c r="AS382" s="38">
        <v>53.4</v>
      </c>
      <c r="AT382" s="38">
        <v>54.3</v>
      </c>
      <c r="AU382" s="38">
        <v>53.07</v>
      </c>
      <c r="AV382" s="38">
        <v>49.73</v>
      </c>
      <c r="AW382" s="38">
        <v>44.77</v>
      </c>
      <c r="AX382" s="38">
        <v>42.74</v>
      </c>
      <c r="AY382" s="38">
        <v>41.54</v>
      </c>
      <c r="BA382" s="37">
        <v>71.31</v>
      </c>
      <c r="BB382" s="38">
        <v>1.4127000000000001</v>
      </c>
    </row>
    <row r="383" spans="1:54" x14ac:dyDescent="0.35">
      <c r="A383" s="2">
        <f t="shared" si="5"/>
        <v>44357</v>
      </c>
      <c r="B383" t="s">
        <v>425</v>
      </c>
      <c r="C383" s="32">
        <v>44357</v>
      </c>
      <c r="D383" s="38">
        <v>70.28</v>
      </c>
      <c r="E383" s="38">
        <v>70.23</v>
      </c>
      <c r="F383" s="38">
        <v>70.819999999999993</v>
      </c>
      <c r="G383" s="38">
        <v>72.41</v>
      </c>
      <c r="H383" s="38">
        <v>77.540000000000006</v>
      </c>
      <c r="I383" s="38">
        <v>80.33</v>
      </c>
      <c r="J383" s="38">
        <v>81.19</v>
      </c>
      <c r="K383" s="38">
        <v>81.349999999999994</v>
      </c>
      <c r="L383" s="38">
        <v>76.53</v>
      </c>
      <c r="M383" s="38">
        <v>58.95</v>
      </c>
      <c r="N383" s="38">
        <v>50.79</v>
      </c>
      <c r="O383" s="38">
        <v>45.86</v>
      </c>
      <c r="P383" s="38">
        <v>47.2</v>
      </c>
      <c r="Q383" s="38">
        <v>48.17</v>
      </c>
      <c r="R383" s="38">
        <v>49.76</v>
      </c>
      <c r="S383" s="38">
        <v>53.7</v>
      </c>
      <c r="T383" s="38">
        <v>57.11</v>
      </c>
      <c r="U383" s="38">
        <v>59.64</v>
      </c>
      <c r="V383" s="38">
        <v>61.69</v>
      </c>
      <c r="W383" s="38">
        <v>61.28</v>
      </c>
      <c r="X383" s="38">
        <v>56.96</v>
      </c>
      <c r="Y383" s="38">
        <v>50.44</v>
      </c>
      <c r="Z383" s="38">
        <v>45.1</v>
      </c>
      <c r="AA383" s="38">
        <v>41.5</v>
      </c>
      <c r="AB383" s="38">
        <v>40.4</v>
      </c>
      <c r="AC383" s="38">
        <v>40.369999999999997</v>
      </c>
      <c r="AD383" s="38">
        <v>42.73</v>
      </c>
      <c r="AE383" s="38">
        <v>48.06</v>
      </c>
      <c r="AF383" s="38">
        <v>52.03</v>
      </c>
      <c r="AG383" s="38">
        <v>54.31</v>
      </c>
      <c r="AH383" s="38">
        <v>55.21</v>
      </c>
      <c r="AI383" s="38">
        <v>54.3</v>
      </c>
      <c r="AJ383" s="38">
        <v>51.16</v>
      </c>
      <c r="AK383" s="38">
        <v>44.91</v>
      </c>
      <c r="AL383" s="38">
        <v>42.7</v>
      </c>
      <c r="AM383" s="38">
        <v>41.44</v>
      </c>
      <c r="AN383" s="38">
        <v>41.01</v>
      </c>
      <c r="AO383" s="38">
        <v>41.36</v>
      </c>
      <c r="AP383" s="38">
        <v>43.23</v>
      </c>
      <c r="AQ383" s="38">
        <v>48.53</v>
      </c>
      <c r="AR383" s="38">
        <v>51.74</v>
      </c>
      <c r="AS383" s="38">
        <v>53.5</v>
      </c>
      <c r="AT383" s="38">
        <v>54.4</v>
      </c>
      <c r="AU383" s="38">
        <v>53.17</v>
      </c>
      <c r="AV383" s="38">
        <v>49.71</v>
      </c>
      <c r="AW383" s="38">
        <v>44.75</v>
      </c>
      <c r="AX383" s="38">
        <v>42.72</v>
      </c>
      <c r="AY383" s="38">
        <v>41.52</v>
      </c>
      <c r="BA383" s="37">
        <v>71.650000000000006</v>
      </c>
      <c r="BB383" s="38">
        <v>1.4141999999999999</v>
      </c>
    </row>
    <row r="384" spans="1:54" x14ac:dyDescent="0.35">
      <c r="A384" s="2">
        <f t="shared" si="5"/>
        <v>44358</v>
      </c>
      <c r="B384" t="s">
        <v>426</v>
      </c>
      <c r="C384" s="32">
        <v>44358</v>
      </c>
      <c r="D384" s="38">
        <v>67.599999999999994</v>
      </c>
      <c r="E384" s="38">
        <v>67.569999999999993</v>
      </c>
      <c r="F384" s="38">
        <v>68.260000000000005</v>
      </c>
      <c r="G384" s="38">
        <v>69.89</v>
      </c>
      <c r="H384" s="38">
        <v>75.16</v>
      </c>
      <c r="I384" s="38">
        <v>77.989999999999995</v>
      </c>
      <c r="J384" s="38">
        <v>78.86</v>
      </c>
      <c r="K384" s="38">
        <v>78.89</v>
      </c>
      <c r="L384" s="38">
        <v>74</v>
      </c>
      <c r="M384" s="38">
        <v>57.1</v>
      </c>
      <c r="N384" s="38">
        <v>49.29</v>
      </c>
      <c r="O384" s="38">
        <v>44.54</v>
      </c>
      <c r="P384" s="38">
        <v>45.93</v>
      </c>
      <c r="Q384" s="38">
        <v>46.91</v>
      </c>
      <c r="R384" s="38">
        <v>48.57</v>
      </c>
      <c r="S384" s="38">
        <v>52.46</v>
      </c>
      <c r="T384" s="38">
        <v>55.91</v>
      </c>
      <c r="U384" s="38">
        <v>58.5</v>
      </c>
      <c r="V384" s="38">
        <v>60.59</v>
      </c>
      <c r="W384" s="38">
        <v>60.28</v>
      </c>
      <c r="X384" s="38">
        <v>56.07</v>
      </c>
      <c r="Y384" s="38">
        <v>49.55</v>
      </c>
      <c r="Z384" s="38">
        <v>44.21</v>
      </c>
      <c r="AA384" s="38">
        <v>40.6</v>
      </c>
      <c r="AB384" s="38">
        <v>39.5</v>
      </c>
      <c r="AC384" s="38">
        <v>39.47</v>
      </c>
      <c r="AD384" s="38">
        <v>41.85</v>
      </c>
      <c r="AE384" s="38">
        <v>46.96</v>
      </c>
      <c r="AF384" s="38">
        <v>50.93</v>
      </c>
      <c r="AG384" s="38">
        <v>53.21</v>
      </c>
      <c r="AH384" s="38">
        <v>54.12</v>
      </c>
      <c r="AI384" s="38">
        <v>53.21</v>
      </c>
      <c r="AJ384" s="38">
        <v>50.07</v>
      </c>
      <c r="AK384" s="38">
        <v>43.82</v>
      </c>
      <c r="AL384" s="38">
        <v>41.61</v>
      </c>
      <c r="AM384" s="38">
        <v>40.35</v>
      </c>
      <c r="AN384" s="38">
        <v>39.92</v>
      </c>
      <c r="AO384" s="38">
        <v>40.270000000000003</v>
      </c>
      <c r="AP384" s="38">
        <v>42.14</v>
      </c>
      <c r="AQ384" s="38">
        <v>47.44</v>
      </c>
      <c r="AR384" s="38">
        <v>50.65</v>
      </c>
      <c r="AS384" s="38">
        <v>52.41</v>
      </c>
      <c r="AT384" s="38">
        <v>53.31</v>
      </c>
      <c r="AU384" s="38">
        <v>52.08</v>
      </c>
      <c r="AV384" s="38">
        <v>48.62</v>
      </c>
      <c r="AW384" s="38">
        <v>43.66</v>
      </c>
      <c r="AX384" s="38">
        <v>41.63</v>
      </c>
      <c r="AY384" s="38">
        <v>40.43</v>
      </c>
      <c r="BA384" s="37">
        <v>72.05</v>
      </c>
      <c r="BB384" s="38">
        <v>1.4123000000000001</v>
      </c>
    </row>
    <row r="385" spans="1:54" x14ac:dyDescent="0.35">
      <c r="A385" s="2">
        <f t="shared" si="5"/>
        <v>44361</v>
      </c>
      <c r="B385" t="s">
        <v>427</v>
      </c>
      <c r="C385" s="32">
        <v>44361</v>
      </c>
      <c r="D385" s="38">
        <v>70.23</v>
      </c>
      <c r="E385" s="38">
        <v>70.239999999999995</v>
      </c>
      <c r="F385" s="38">
        <v>70.8</v>
      </c>
      <c r="G385" s="38">
        <v>72.36</v>
      </c>
      <c r="H385" s="38">
        <v>77.28</v>
      </c>
      <c r="I385" s="38">
        <v>80.19</v>
      </c>
      <c r="J385" s="38">
        <v>80.989999999999995</v>
      </c>
      <c r="K385" s="38">
        <v>81.14</v>
      </c>
      <c r="L385" s="38">
        <v>76.19</v>
      </c>
      <c r="M385" s="38">
        <v>58.2</v>
      </c>
      <c r="N385" s="38">
        <v>50.16</v>
      </c>
      <c r="O385" s="38">
        <v>45.48</v>
      </c>
      <c r="P385" s="38">
        <v>46.17</v>
      </c>
      <c r="Q385" s="38">
        <v>47.31</v>
      </c>
      <c r="R385" s="38">
        <v>48.99</v>
      </c>
      <c r="S385" s="38">
        <v>53.12</v>
      </c>
      <c r="T385" s="38">
        <v>56.72</v>
      </c>
      <c r="U385" s="38">
        <v>59.31</v>
      </c>
      <c r="V385" s="38">
        <v>61.34</v>
      </c>
      <c r="W385" s="38">
        <v>61.03</v>
      </c>
      <c r="X385" s="38">
        <v>56.82</v>
      </c>
      <c r="Y385" s="38">
        <v>50.04</v>
      </c>
      <c r="Z385" s="38">
        <v>44.7</v>
      </c>
      <c r="AA385" s="38">
        <v>41.09</v>
      </c>
      <c r="AB385" s="38">
        <v>39.99</v>
      </c>
      <c r="AC385" s="38">
        <v>39.96</v>
      </c>
      <c r="AD385" s="38">
        <v>42.34</v>
      </c>
      <c r="AE385" s="38">
        <v>47.28</v>
      </c>
      <c r="AF385" s="38">
        <v>51.35</v>
      </c>
      <c r="AG385" s="38">
        <v>53.63</v>
      </c>
      <c r="AH385" s="38">
        <v>54.54</v>
      </c>
      <c r="AI385" s="38">
        <v>53.63</v>
      </c>
      <c r="AJ385" s="38">
        <v>50.49</v>
      </c>
      <c r="AK385" s="38">
        <v>44.24</v>
      </c>
      <c r="AL385" s="38">
        <v>42.03</v>
      </c>
      <c r="AM385" s="38">
        <v>40.770000000000003</v>
      </c>
      <c r="AN385" s="38">
        <v>40.340000000000003</v>
      </c>
      <c r="AO385" s="38">
        <v>40.69</v>
      </c>
      <c r="AP385" s="38">
        <v>42.56</v>
      </c>
      <c r="AQ385" s="38">
        <v>47.86</v>
      </c>
      <c r="AR385" s="38">
        <v>51.07</v>
      </c>
      <c r="AS385" s="38">
        <v>52.83</v>
      </c>
      <c r="AT385" s="38">
        <v>53.73</v>
      </c>
      <c r="AU385" s="38">
        <v>52.5</v>
      </c>
      <c r="AV385" s="38">
        <v>49.04</v>
      </c>
      <c r="AW385" s="38">
        <v>44.08</v>
      </c>
      <c r="AX385" s="38">
        <v>42.05</v>
      </c>
      <c r="AY385" s="38">
        <v>40.85</v>
      </c>
      <c r="BA385" s="37">
        <v>72.27</v>
      </c>
      <c r="BB385" s="38">
        <v>1.4115</v>
      </c>
    </row>
    <row r="386" spans="1:54" x14ac:dyDescent="0.35">
      <c r="A386" s="2">
        <f t="shared" si="5"/>
        <v>44362</v>
      </c>
      <c r="B386" t="s">
        <v>428</v>
      </c>
      <c r="C386" s="32">
        <v>44362</v>
      </c>
      <c r="D386" s="38">
        <v>68.87</v>
      </c>
      <c r="E386" s="38">
        <v>68.97</v>
      </c>
      <c r="F386" s="38">
        <v>69.67</v>
      </c>
      <c r="G386" s="38">
        <v>70.78</v>
      </c>
      <c r="H386" s="38">
        <v>75.52</v>
      </c>
      <c r="I386" s="38">
        <v>78.53</v>
      </c>
      <c r="J386" s="38">
        <v>79.3</v>
      </c>
      <c r="K386" s="38">
        <v>79.31</v>
      </c>
      <c r="L386" s="38">
        <v>74.31</v>
      </c>
      <c r="M386" s="38">
        <v>56.68</v>
      </c>
      <c r="N386" s="38">
        <v>48.91</v>
      </c>
      <c r="O386" s="38">
        <v>44.48</v>
      </c>
      <c r="P386" s="38">
        <v>45</v>
      </c>
      <c r="Q386" s="38">
        <v>46.14</v>
      </c>
      <c r="R386" s="38">
        <v>47.82</v>
      </c>
      <c r="S386" s="38">
        <v>51.99</v>
      </c>
      <c r="T386" s="38">
        <v>55.64</v>
      </c>
      <c r="U386" s="38">
        <v>58.11</v>
      </c>
      <c r="V386" s="38">
        <v>60.14</v>
      </c>
      <c r="W386" s="38">
        <v>59.83</v>
      </c>
      <c r="X386" s="38">
        <v>55.62</v>
      </c>
      <c r="Y386" s="38">
        <v>48.94</v>
      </c>
      <c r="Z386" s="38">
        <v>43.71</v>
      </c>
      <c r="AA386" s="38">
        <v>40.19</v>
      </c>
      <c r="AB386" s="38">
        <v>39.090000000000003</v>
      </c>
      <c r="AC386" s="38">
        <v>39.06</v>
      </c>
      <c r="AD386" s="38">
        <v>41.44</v>
      </c>
      <c r="AE386" s="38">
        <v>46.43</v>
      </c>
      <c r="AF386" s="38">
        <v>50.5</v>
      </c>
      <c r="AG386" s="38">
        <v>52.78</v>
      </c>
      <c r="AH386" s="38">
        <v>53.69</v>
      </c>
      <c r="AI386" s="38">
        <v>52.78</v>
      </c>
      <c r="AJ386" s="38">
        <v>49.64</v>
      </c>
      <c r="AK386" s="38">
        <v>43.51</v>
      </c>
      <c r="AL386" s="38">
        <v>41.33</v>
      </c>
      <c r="AM386" s="38">
        <v>40.07</v>
      </c>
      <c r="AN386" s="38">
        <v>39.64</v>
      </c>
      <c r="AO386" s="38">
        <v>39.99</v>
      </c>
      <c r="AP386" s="38">
        <v>41.86</v>
      </c>
      <c r="AQ386" s="38">
        <v>47.17</v>
      </c>
      <c r="AR386" s="38">
        <v>50.43</v>
      </c>
      <c r="AS386" s="38">
        <v>52.19</v>
      </c>
      <c r="AT386" s="38">
        <v>53.09</v>
      </c>
      <c r="AU386" s="38">
        <v>51.86</v>
      </c>
      <c r="AV386" s="38">
        <v>48.4</v>
      </c>
      <c r="AW386" s="38">
        <v>43.43</v>
      </c>
      <c r="AX386" s="38">
        <v>41.39</v>
      </c>
      <c r="AY386" s="38">
        <v>40.19</v>
      </c>
      <c r="BA386" s="37">
        <v>73.38</v>
      </c>
      <c r="BB386" s="38">
        <v>1.4083000000000001</v>
      </c>
    </row>
    <row r="387" spans="1:54" x14ac:dyDescent="0.35">
      <c r="A387" s="2">
        <f t="shared" si="5"/>
        <v>44363</v>
      </c>
      <c r="B387" t="s">
        <v>429</v>
      </c>
      <c r="C387" s="32">
        <v>44363</v>
      </c>
      <c r="D387" s="38">
        <v>68.41</v>
      </c>
      <c r="E387" s="38">
        <v>68.44</v>
      </c>
      <c r="F387" s="38">
        <v>69.03</v>
      </c>
      <c r="G387" s="38">
        <v>70.42</v>
      </c>
      <c r="H387" s="38">
        <v>75.209999999999994</v>
      </c>
      <c r="I387" s="38">
        <v>78.11</v>
      </c>
      <c r="J387" s="38">
        <v>78.91</v>
      </c>
      <c r="K387" s="38">
        <v>78.89</v>
      </c>
      <c r="L387" s="38">
        <v>73.94</v>
      </c>
      <c r="M387" s="38">
        <v>56.41</v>
      </c>
      <c r="N387" s="38">
        <v>48.72</v>
      </c>
      <c r="O387" s="38">
        <v>44.19</v>
      </c>
      <c r="P387" s="38">
        <v>44.75</v>
      </c>
      <c r="Q387" s="38">
        <v>45.93</v>
      </c>
      <c r="R387" s="38">
        <v>47.57</v>
      </c>
      <c r="S387" s="38">
        <v>51.69</v>
      </c>
      <c r="T387" s="38">
        <v>55.12</v>
      </c>
      <c r="U387" s="38">
        <v>57.4</v>
      </c>
      <c r="V387" s="38">
        <v>59.36</v>
      </c>
      <c r="W387" s="38">
        <v>58.99</v>
      </c>
      <c r="X387" s="38">
        <v>54.72</v>
      </c>
      <c r="Y387" s="38">
        <v>48.41</v>
      </c>
      <c r="Z387" s="38">
        <v>43.34</v>
      </c>
      <c r="AA387" s="38">
        <v>39.89</v>
      </c>
      <c r="AB387" s="38">
        <v>38.79</v>
      </c>
      <c r="AC387" s="38">
        <v>38.76</v>
      </c>
      <c r="AD387" s="38">
        <v>41.14</v>
      </c>
      <c r="AE387" s="38">
        <v>46.22</v>
      </c>
      <c r="AF387" s="38">
        <v>50.39</v>
      </c>
      <c r="AG387" s="38">
        <v>52.63</v>
      </c>
      <c r="AH387" s="38">
        <v>53.54</v>
      </c>
      <c r="AI387" s="38">
        <v>52.63</v>
      </c>
      <c r="AJ387" s="38">
        <v>49.52</v>
      </c>
      <c r="AK387" s="38">
        <v>43.29</v>
      </c>
      <c r="AL387" s="38">
        <v>41.07</v>
      </c>
      <c r="AM387" s="38">
        <v>39.81</v>
      </c>
      <c r="AN387" s="38">
        <v>39.380000000000003</v>
      </c>
      <c r="AO387" s="38">
        <v>39.729999999999997</v>
      </c>
      <c r="AP387" s="38">
        <v>41.6</v>
      </c>
      <c r="AQ387" s="38">
        <v>46.91</v>
      </c>
      <c r="AR387" s="38">
        <v>50.17</v>
      </c>
      <c r="AS387" s="38">
        <v>51.93</v>
      </c>
      <c r="AT387" s="38">
        <v>52.83</v>
      </c>
      <c r="AU387" s="38">
        <v>51.6</v>
      </c>
      <c r="AV387" s="38">
        <v>48.14</v>
      </c>
      <c r="AW387" s="38">
        <v>43.17</v>
      </c>
      <c r="AX387" s="38">
        <v>41.13</v>
      </c>
      <c r="AY387" s="38">
        <v>39.93</v>
      </c>
      <c r="BA387" s="37">
        <v>73.88</v>
      </c>
      <c r="BB387" s="38">
        <v>1.4104000000000001</v>
      </c>
    </row>
    <row r="388" spans="1:54" x14ac:dyDescent="0.35">
      <c r="A388" s="2">
        <f t="shared" si="5"/>
        <v>44364</v>
      </c>
      <c r="B388" t="s">
        <v>430</v>
      </c>
      <c r="C388" s="32">
        <v>44364</v>
      </c>
      <c r="D388" s="38">
        <v>68.88</v>
      </c>
      <c r="E388" s="38">
        <v>68.88</v>
      </c>
      <c r="F388" s="38">
        <v>69.459999999999994</v>
      </c>
      <c r="G388" s="38">
        <v>70.790000000000006</v>
      </c>
      <c r="H388" s="38">
        <v>75.55</v>
      </c>
      <c r="I388" s="38">
        <v>78.430000000000007</v>
      </c>
      <c r="J388" s="38">
        <v>79.19</v>
      </c>
      <c r="K388" s="38">
        <v>79.22</v>
      </c>
      <c r="L388" s="38">
        <v>74.19</v>
      </c>
      <c r="M388" s="38">
        <v>56.69</v>
      </c>
      <c r="N388" s="38">
        <v>49.04</v>
      </c>
      <c r="O388" s="38">
        <v>44.59</v>
      </c>
      <c r="P388" s="38">
        <v>45.11</v>
      </c>
      <c r="Q388" s="38">
        <v>46.29</v>
      </c>
      <c r="R388" s="38">
        <v>47.93</v>
      </c>
      <c r="S388" s="38">
        <v>51.97</v>
      </c>
      <c r="T388" s="38">
        <v>55.37</v>
      </c>
      <c r="U388" s="38">
        <v>57.62</v>
      </c>
      <c r="V388" s="38">
        <v>59.58</v>
      </c>
      <c r="W388" s="38">
        <v>59.18</v>
      </c>
      <c r="X388" s="38">
        <v>54.91</v>
      </c>
      <c r="Y388" s="38">
        <v>48.49</v>
      </c>
      <c r="Z388" s="38">
        <v>43.21</v>
      </c>
      <c r="AA388" s="38">
        <v>39.61</v>
      </c>
      <c r="AB388" s="38">
        <v>38.44</v>
      </c>
      <c r="AC388" s="38">
        <v>38.409999999999997</v>
      </c>
      <c r="AD388" s="38">
        <v>40.79</v>
      </c>
      <c r="AE388" s="38">
        <v>45.77</v>
      </c>
      <c r="AF388" s="38">
        <v>49.94</v>
      </c>
      <c r="AG388" s="38">
        <v>52.18</v>
      </c>
      <c r="AH388" s="38">
        <v>53.09</v>
      </c>
      <c r="AI388" s="38">
        <v>52.18</v>
      </c>
      <c r="AJ388" s="38">
        <v>49.07</v>
      </c>
      <c r="AK388" s="38">
        <v>42.84</v>
      </c>
      <c r="AL388" s="38">
        <v>40.619999999999997</v>
      </c>
      <c r="AM388" s="38">
        <v>39.36</v>
      </c>
      <c r="AN388" s="38">
        <v>38.93</v>
      </c>
      <c r="AO388" s="38">
        <v>39.28</v>
      </c>
      <c r="AP388" s="38">
        <v>41.15</v>
      </c>
      <c r="AQ388" s="38">
        <v>46.46</v>
      </c>
      <c r="AR388" s="38">
        <v>49.72</v>
      </c>
      <c r="AS388" s="38">
        <v>51.48</v>
      </c>
      <c r="AT388" s="38">
        <v>52.38</v>
      </c>
      <c r="AU388" s="38">
        <v>51.15</v>
      </c>
      <c r="AV388" s="38">
        <v>47.69</v>
      </c>
      <c r="AW388" s="38">
        <v>42.72</v>
      </c>
      <c r="AX388" s="38">
        <v>40.68</v>
      </c>
      <c r="AY388" s="38">
        <v>39.479999999999997</v>
      </c>
      <c r="BA388" s="37">
        <v>72.92</v>
      </c>
      <c r="BB388" s="38">
        <v>1.3951</v>
      </c>
    </row>
    <row r="389" spans="1:54" x14ac:dyDescent="0.35">
      <c r="A389" s="2">
        <f t="shared" si="5"/>
        <v>44365</v>
      </c>
      <c r="B389" t="s">
        <v>431</v>
      </c>
      <c r="C389" s="32">
        <v>44365</v>
      </c>
      <c r="D389" s="38">
        <v>71.83</v>
      </c>
      <c r="E389" s="38">
        <v>71.930000000000007</v>
      </c>
      <c r="F389" s="38">
        <v>72.709999999999994</v>
      </c>
      <c r="G389" s="38">
        <v>73.75</v>
      </c>
      <c r="H389" s="38">
        <v>78.41</v>
      </c>
      <c r="I389" s="38">
        <v>81.209999999999994</v>
      </c>
      <c r="J389" s="38">
        <v>82.02</v>
      </c>
      <c r="K389" s="38">
        <v>82.05</v>
      </c>
      <c r="L389" s="38">
        <v>77.02</v>
      </c>
      <c r="M389" s="38">
        <v>59.09</v>
      </c>
      <c r="N389" s="38">
        <v>51.11</v>
      </c>
      <c r="O389" s="38">
        <v>46.47</v>
      </c>
      <c r="P389" s="38">
        <v>46.99</v>
      </c>
      <c r="Q389" s="38">
        <v>48.17</v>
      </c>
      <c r="R389" s="38">
        <v>49.76</v>
      </c>
      <c r="S389" s="38">
        <v>53.73</v>
      </c>
      <c r="T389" s="38">
        <v>57.02</v>
      </c>
      <c r="U389" s="38">
        <v>59.2</v>
      </c>
      <c r="V389" s="38">
        <v>61.1</v>
      </c>
      <c r="W389" s="38">
        <v>60.56</v>
      </c>
      <c r="X389" s="38">
        <v>56.16</v>
      </c>
      <c r="Y389" s="38">
        <v>49.62</v>
      </c>
      <c r="Z389" s="38">
        <v>44.29</v>
      </c>
      <c r="AA389" s="38">
        <v>40.68</v>
      </c>
      <c r="AB389" s="38">
        <v>39.51</v>
      </c>
      <c r="AC389" s="38">
        <v>39.479999999999997</v>
      </c>
      <c r="AD389" s="38">
        <v>41.86</v>
      </c>
      <c r="AE389" s="38">
        <v>46.84</v>
      </c>
      <c r="AF389" s="38">
        <v>51.06</v>
      </c>
      <c r="AG389" s="38">
        <v>53.3</v>
      </c>
      <c r="AH389" s="38">
        <v>54.21</v>
      </c>
      <c r="AI389" s="38">
        <v>53.3</v>
      </c>
      <c r="AJ389" s="38">
        <v>50.19</v>
      </c>
      <c r="AK389" s="38">
        <v>43.96</v>
      </c>
      <c r="AL389" s="38">
        <v>41.74</v>
      </c>
      <c r="AM389" s="38">
        <v>40.479999999999997</v>
      </c>
      <c r="AN389" s="38">
        <v>40.049999999999997</v>
      </c>
      <c r="AO389" s="38">
        <v>40.4</v>
      </c>
      <c r="AP389" s="38">
        <v>42.27</v>
      </c>
      <c r="AQ389" s="38">
        <v>47.58</v>
      </c>
      <c r="AR389" s="38">
        <v>50.84</v>
      </c>
      <c r="AS389" s="38">
        <v>52.6</v>
      </c>
      <c r="AT389" s="38">
        <v>53.5</v>
      </c>
      <c r="AU389" s="38">
        <v>52.27</v>
      </c>
      <c r="AV389" s="38">
        <v>48.81</v>
      </c>
      <c r="AW389" s="38">
        <v>43.84</v>
      </c>
      <c r="AX389" s="38">
        <v>41.8</v>
      </c>
      <c r="AY389" s="38">
        <v>40.6</v>
      </c>
      <c r="BA389" s="37">
        <v>73.099999999999994</v>
      </c>
      <c r="BB389" s="38">
        <v>1.3807</v>
      </c>
    </row>
    <row r="390" spans="1:54" x14ac:dyDescent="0.35">
      <c r="A390" s="2">
        <f t="shared" si="5"/>
        <v>44368</v>
      </c>
      <c r="B390" t="s">
        <v>432</v>
      </c>
      <c r="C390" s="32">
        <v>44368</v>
      </c>
      <c r="D390" s="38">
        <v>72.540000000000006</v>
      </c>
      <c r="E390" s="38">
        <v>72.59</v>
      </c>
      <c r="F390" s="38">
        <v>73.42</v>
      </c>
      <c r="G390" s="38">
        <v>74.22</v>
      </c>
      <c r="H390" s="38">
        <v>78.94</v>
      </c>
      <c r="I390" s="38">
        <v>81.7</v>
      </c>
      <c r="J390" s="38">
        <v>82.45</v>
      </c>
      <c r="K390" s="38">
        <v>82.56</v>
      </c>
      <c r="L390" s="38">
        <v>77.510000000000005</v>
      </c>
      <c r="M390" s="38">
        <v>59.47</v>
      </c>
      <c r="N390" s="38">
        <v>51.43</v>
      </c>
      <c r="O390" s="38">
        <v>46.76</v>
      </c>
      <c r="P390" s="38">
        <v>47.25</v>
      </c>
      <c r="Q390" s="38">
        <v>48.43</v>
      </c>
      <c r="R390" s="38">
        <v>50.02</v>
      </c>
      <c r="S390" s="38">
        <v>54.06</v>
      </c>
      <c r="T390" s="38">
        <v>57.42</v>
      </c>
      <c r="U390" s="38">
        <v>59.6</v>
      </c>
      <c r="V390" s="38">
        <v>61.5</v>
      </c>
      <c r="W390" s="38">
        <v>60.95</v>
      </c>
      <c r="X390" s="38">
        <v>56.55</v>
      </c>
      <c r="Y390" s="38">
        <v>49.94</v>
      </c>
      <c r="Z390" s="38">
        <v>44.55</v>
      </c>
      <c r="AA390" s="38">
        <v>40.880000000000003</v>
      </c>
      <c r="AB390" s="38">
        <v>39.659999999999997</v>
      </c>
      <c r="AC390" s="38">
        <v>39.630000000000003</v>
      </c>
      <c r="AD390" s="38">
        <v>41.96</v>
      </c>
      <c r="AE390" s="38">
        <v>46.92</v>
      </c>
      <c r="AF390" s="38">
        <v>51.16</v>
      </c>
      <c r="AG390" s="38">
        <v>53.4</v>
      </c>
      <c r="AH390" s="38">
        <v>54.31</v>
      </c>
      <c r="AI390" s="38">
        <v>53.4</v>
      </c>
      <c r="AJ390" s="38">
        <v>50.29</v>
      </c>
      <c r="AK390" s="38">
        <v>44.06</v>
      </c>
      <c r="AL390" s="38">
        <v>41.84</v>
      </c>
      <c r="AM390" s="38">
        <v>40.58</v>
      </c>
      <c r="AN390" s="38">
        <v>40.15</v>
      </c>
      <c r="AO390" s="38">
        <v>40.5</v>
      </c>
      <c r="AP390" s="38">
        <v>42.37</v>
      </c>
      <c r="AQ390" s="38">
        <v>47.68</v>
      </c>
      <c r="AR390" s="38">
        <v>50.94</v>
      </c>
      <c r="AS390" s="38">
        <v>52.7</v>
      </c>
      <c r="AT390" s="38">
        <v>53.6</v>
      </c>
      <c r="AU390" s="38">
        <v>52.37</v>
      </c>
      <c r="AV390" s="38">
        <v>48.91</v>
      </c>
      <c r="AW390" s="38">
        <v>43.94</v>
      </c>
      <c r="AX390" s="38">
        <v>41.9</v>
      </c>
      <c r="AY390" s="38">
        <v>40.700000000000003</v>
      </c>
      <c r="BA390" s="37">
        <v>74.489999999999995</v>
      </c>
      <c r="BB390" s="38">
        <v>1.3905000000000001</v>
      </c>
    </row>
    <row r="391" spans="1:54" x14ac:dyDescent="0.35">
      <c r="A391" s="2">
        <f t="shared" si="5"/>
        <v>44369</v>
      </c>
      <c r="B391" t="s">
        <v>433</v>
      </c>
      <c r="C391" s="32">
        <v>44369</v>
      </c>
      <c r="D391" s="38">
        <v>74.95</v>
      </c>
      <c r="E391" s="38">
        <v>74.819999999999993</v>
      </c>
      <c r="F391" s="38">
        <v>75.739999999999995</v>
      </c>
      <c r="G391" s="38">
        <v>77.099999999999994</v>
      </c>
      <c r="H391" s="38">
        <v>82.03</v>
      </c>
      <c r="I391" s="38">
        <v>84.54</v>
      </c>
      <c r="J391" s="38">
        <v>85.14</v>
      </c>
      <c r="K391" s="38">
        <v>85.14</v>
      </c>
      <c r="L391" s="38">
        <v>79.44</v>
      </c>
      <c r="M391" s="38">
        <v>60.7</v>
      </c>
      <c r="N391" s="38">
        <v>52.47</v>
      </c>
      <c r="O391" s="38">
        <v>47.62</v>
      </c>
      <c r="P391" s="38">
        <v>48.16</v>
      </c>
      <c r="Q391" s="38">
        <v>49.39</v>
      </c>
      <c r="R391" s="38">
        <v>51.08</v>
      </c>
      <c r="S391" s="38">
        <v>54.95</v>
      </c>
      <c r="T391" s="38">
        <v>58.16</v>
      </c>
      <c r="U391" s="38">
        <v>60.24</v>
      </c>
      <c r="V391" s="38">
        <v>62.17</v>
      </c>
      <c r="W391" s="38">
        <v>61.6</v>
      </c>
      <c r="X391" s="38">
        <v>57.2</v>
      </c>
      <c r="Y391" s="38">
        <v>50.54</v>
      </c>
      <c r="Z391" s="38">
        <v>45.1</v>
      </c>
      <c r="AA391" s="38">
        <v>41.37</v>
      </c>
      <c r="AB391" s="38">
        <v>40.15</v>
      </c>
      <c r="AC391" s="38">
        <v>40.119999999999997</v>
      </c>
      <c r="AD391" s="38">
        <v>42.45</v>
      </c>
      <c r="AE391" s="38">
        <v>47.49</v>
      </c>
      <c r="AF391" s="38">
        <v>51.79</v>
      </c>
      <c r="AG391" s="38">
        <v>54.06</v>
      </c>
      <c r="AH391" s="38">
        <v>54.97</v>
      </c>
      <c r="AI391" s="38">
        <v>54.06</v>
      </c>
      <c r="AJ391" s="38">
        <v>50.95</v>
      </c>
      <c r="AK391" s="38">
        <v>44.72</v>
      </c>
      <c r="AL391" s="38">
        <v>42.5</v>
      </c>
      <c r="AM391" s="38">
        <v>41.24</v>
      </c>
      <c r="AN391" s="38">
        <v>40.81</v>
      </c>
      <c r="AO391" s="38">
        <v>41.16</v>
      </c>
      <c r="AP391" s="38">
        <v>43.03</v>
      </c>
      <c r="AQ391" s="38">
        <v>48.23</v>
      </c>
      <c r="AR391" s="38">
        <v>51.38</v>
      </c>
      <c r="AS391" s="38">
        <v>53.03</v>
      </c>
      <c r="AT391" s="38">
        <v>53.83</v>
      </c>
      <c r="AU391" s="38">
        <v>52.5</v>
      </c>
      <c r="AV391" s="38">
        <v>48.9</v>
      </c>
      <c r="AW391" s="38">
        <v>43.83</v>
      </c>
      <c r="AX391" s="38">
        <v>41.68</v>
      </c>
      <c r="AY391" s="38">
        <v>40.36</v>
      </c>
      <c r="BA391" s="37">
        <v>74.92</v>
      </c>
      <c r="BB391" s="38">
        <v>1.3915999999999999</v>
      </c>
    </row>
    <row r="392" spans="1:54" x14ac:dyDescent="0.35">
      <c r="A392" s="2">
        <f t="shared" si="5"/>
        <v>44370</v>
      </c>
      <c r="B392" t="s">
        <v>434</v>
      </c>
      <c r="C392" s="32">
        <v>44370</v>
      </c>
      <c r="D392" s="38">
        <v>76.900000000000006</v>
      </c>
      <c r="E392" s="38">
        <v>76.94</v>
      </c>
      <c r="F392" s="38">
        <v>77.8</v>
      </c>
      <c r="G392" s="38">
        <v>79.05</v>
      </c>
      <c r="H392" s="38">
        <v>83.67</v>
      </c>
      <c r="I392" s="38">
        <v>86.05</v>
      </c>
      <c r="J392" s="38">
        <v>86.92</v>
      </c>
      <c r="K392" s="38">
        <v>86.92</v>
      </c>
      <c r="L392" s="38">
        <v>81.53</v>
      </c>
      <c r="M392" s="38">
        <v>61.98</v>
      </c>
      <c r="N392" s="38">
        <v>53.34</v>
      </c>
      <c r="O392" s="38">
        <v>48.24</v>
      </c>
      <c r="P392" s="38">
        <v>49.09</v>
      </c>
      <c r="Q392" s="38">
        <v>50.4</v>
      </c>
      <c r="R392" s="38">
        <v>52.11</v>
      </c>
      <c r="S392" s="38">
        <v>55.7</v>
      </c>
      <c r="T392" s="38">
        <v>58.71</v>
      </c>
      <c r="U392" s="38">
        <v>60.89</v>
      </c>
      <c r="V392" s="38">
        <v>62.96</v>
      </c>
      <c r="W392" s="38">
        <v>62.42</v>
      </c>
      <c r="X392" s="38">
        <v>58.03</v>
      </c>
      <c r="Y392" s="38">
        <v>51.25</v>
      </c>
      <c r="Z392" s="38">
        <v>45.71</v>
      </c>
      <c r="AA392" s="38">
        <v>41.9</v>
      </c>
      <c r="AB392" s="38">
        <v>40.65</v>
      </c>
      <c r="AC392" s="38">
        <v>40.619999999999997</v>
      </c>
      <c r="AD392" s="38">
        <v>42.91</v>
      </c>
      <c r="AE392" s="38">
        <v>47.99</v>
      </c>
      <c r="AF392" s="38">
        <v>52.29</v>
      </c>
      <c r="AG392" s="38">
        <v>54.56</v>
      </c>
      <c r="AH392" s="38">
        <v>55.47</v>
      </c>
      <c r="AI392" s="38">
        <v>54.56</v>
      </c>
      <c r="AJ392" s="38">
        <v>51.45</v>
      </c>
      <c r="AK392" s="38">
        <v>45.19</v>
      </c>
      <c r="AL392" s="38">
        <v>42.93</v>
      </c>
      <c r="AM392" s="38">
        <v>41.67</v>
      </c>
      <c r="AN392" s="38">
        <v>41.24</v>
      </c>
      <c r="AO392" s="38">
        <v>41.59</v>
      </c>
      <c r="AP392" s="38">
        <v>43.46</v>
      </c>
      <c r="AQ392" s="38">
        <v>48.66</v>
      </c>
      <c r="AR392" s="38">
        <v>51.81</v>
      </c>
      <c r="AS392" s="38">
        <v>53.46</v>
      </c>
      <c r="AT392" s="38">
        <v>54.26</v>
      </c>
      <c r="AU392" s="38">
        <v>52.93</v>
      </c>
      <c r="AV392" s="38">
        <v>49.33</v>
      </c>
      <c r="AW392" s="38">
        <v>44.26</v>
      </c>
      <c r="AX392" s="38">
        <v>42.11</v>
      </c>
      <c r="AY392" s="38">
        <v>40.79</v>
      </c>
      <c r="BA392" s="37">
        <v>75.22</v>
      </c>
      <c r="BB392" s="38">
        <v>1.3969</v>
      </c>
    </row>
    <row r="393" spans="1:54" x14ac:dyDescent="0.35">
      <c r="A393" s="2">
        <f t="shared" si="5"/>
        <v>44371</v>
      </c>
      <c r="B393" t="s">
        <v>435</v>
      </c>
      <c r="C393" s="32">
        <v>44371</v>
      </c>
      <c r="D393" s="38">
        <v>78.81</v>
      </c>
      <c r="E393" s="38">
        <v>78.69</v>
      </c>
      <c r="F393" s="38">
        <v>79.290000000000006</v>
      </c>
      <c r="G393" s="38">
        <v>80.790000000000006</v>
      </c>
      <c r="H393" s="38">
        <v>84.84</v>
      </c>
      <c r="I393" s="38">
        <v>87.31</v>
      </c>
      <c r="J393" s="38">
        <v>88.36</v>
      </c>
      <c r="K393" s="38">
        <v>88.46</v>
      </c>
      <c r="L393" s="38">
        <v>82.85</v>
      </c>
      <c r="M393" s="38">
        <v>62.91</v>
      </c>
      <c r="N393" s="38">
        <v>53.83</v>
      </c>
      <c r="O393" s="38">
        <v>48.71</v>
      </c>
      <c r="P393" s="38">
        <v>49.52</v>
      </c>
      <c r="Q393" s="38">
        <v>50.83</v>
      </c>
      <c r="R393" s="38">
        <v>52.54</v>
      </c>
      <c r="S393" s="38">
        <v>56.1</v>
      </c>
      <c r="T393" s="38">
        <v>59.03</v>
      </c>
      <c r="U393" s="38">
        <v>61.21</v>
      </c>
      <c r="V393" s="38">
        <v>63.37</v>
      </c>
      <c r="W393" s="38">
        <v>62.88</v>
      </c>
      <c r="X393" s="38">
        <v>58.54</v>
      </c>
      <c r="Y393" s="38">
        <v>51.61</v>
      </c>
      <c r="Z393" s="38">
        <v>45.95</v>
      </c>
      <c r="AA393" s="38">
        <v>42</v>
      </c>
      <c r="AB393" s="38">
        <v>40.81</v>
      </c>
      <c r="AC393" s="38">
        <v>40.97</v>
      </c>
      <c r="AD393" s="38">
        <v>43.4</v>
      </c>
      <c r="AE393" s="38">
        <v>48.34</v>
      </c>
      <c r="AF393" s="38">
        <v>52.64</v>
      </c>
      <c r="AG393" s="38">
        <v>54.91</v>
      </c>
      <c r="AH393" s="38">
        <v>55.82</v>
      </c>
      <c r="AI393" s="38">
        <v>54.81</v>
      </c>
      <c r="AJ393" s="38">
        <v>51.58</v>
      </c>
      <c r="AK393" s="38">
        <v>45.16</v>
      </c>
      <c r="AL393" s="38">
        <v>42.65</v>
      </c>
      <c r="AM393" s="38">
        <v>41.19</v>
      </c>
      <c r="AN393" s="38">
        <v>40.659999999999997</v>
      </c>
      <c r="AO393" s="38">
        <v>41.12</v>
      </c>
      <c r="AP393" s="38">
        <v>43.09</v>
      </c>
      <c r="AQ393" s="38">
        <v>48.61</v>
      </c>
      <c r="AR393" s="38">
        <v>51.79</v>
      </c>
      <c r="AS393" s="38">
        <v>53.44</v>
      </c>
      <c r="AT393" s="38">
        <v>54.24</v>
      </c>
      <c r="AU393" s="38">
        <v>52.91</v>
      </c>
      <c r="AV393" s="38">
        <v>49.31</v>
      </c>
      <c r="AW393" s="38">
        <v>44.24</v>
      </c>
      <c r="AX393" s="38">
        <v>42.09</v>
      </c>
      <c r="AY393" s="38">
        <v>40.770000000000003</v>
      </c>
      <c r="BA393" s="37">
        <v>75.95</v>
      </c>
      <c r="BB393" s="38">
        <v>1.3895</v>
      </c>
    </row>
    <row r="394" spans="1:54" x14ac:dyDescent="0.35">
      <c r="A394" s="2">
        <f t="shared" si="5"/>
        <v>44372</v>
      </c>
      <c r="B394" t="s">
        <v>436</v>
      </c>
      <c r="C394" s="32">
        <v>44372</v>
      </c>
      <c r="D394" s="38">
        <v>79.88</v>
      </c>
      <c r="E394" s="38">
        <v>79.69</v>
      </c>
      <c r="F394" s="38">
        <v>80.349999999999994</v>
      </c>
      <c r="G394" s="38">
        <v>81.3</v>
      </c>
      <c r="H394" s="38">
        <v>85.38</v>
      </c>
      <c r="I394" s="38">
        <v>87.99</v>
      </c>
      <c r="J394" s="38">
        <v>88.77</v>
      </c>
      <c r="K394" s="38">
        <v>88.83</v>
      </c>
      <c r="L394" s="38">
        <v>83.33</v>
      </c>
      <c r="M394" s="38">
        <v>63.56</v>
      </c>
      <c r="N394" s="38">
        <v>54.86</v>
      </c>
      <c r="O394" s="38">
        <v>49.71</v>
      </c>
      <c r="P394" s="38">
        <v>50.61</v>
      </c>
      <c r="Q394" s="38">
        <v>51.92</v>
      </c>
      <c r="R394" s="38">
        <v>53.62</v>
      </c>
      <c r="S394" s="38">
        <v>57.06</v>
      </c>
      <c r="T394" s="38">
        <v>59.96</v>
      </c>
      <c r="U394" s="38">
        <v>62.14</v>
      </c>
      <c r="V394" s="38">
        <v>64.3</v>
      </c>
      <c r="W394" s="38">
        <v>63.71</v>
      </c>
      <c r="X394" s="38">
        <v>59.32</v>
      </c>
      <c r="Y394" s="38">
        <v>52.36</v>
      </c>
      <c r="Z394" s="38">
        <v>46.66</v>
      </c>
      <c r="AA394" s="38">
        <v>42.65</v>
      </c>
      <c r="AB394" s="38">
        <v>41.24</v>
      </c>
      <c r="AC394" s="38">
        <v>41.4</v>
      </c>
      <c r="AD394" s="38">
        <v>43.83</v>
      </c>
      <c r="AE394" s="38">
        <v>48.77</v>
      </c>
      <c r="AF394" s="38">
        <v>53.07</v>
      </c>
      <c r="AG394" s="38">
        <v>55.34</v>
      </c>
      <c r="AH394" s="38">
        <v>56.25</v>
      </c>
      <c r="AI394" s="38">
        <v>55.24</v>
      </c>
      <c r="AJ394" s="38">
        <v>52.01</v>
      </c>
      <c r="AK394" s="38">
        <v>45.59</v>
      </c>
      <c r="AL394" s="38">
        <v>43.08</v>
      </c>
      <c r="AM394" s="38">
        <v>41.62</v>
      </c>
      <c r="AN394" s="38">
        <v>41.09</v>
      </c>
      <c r="AO394" s="38">
        <v>41.55</v>
      </c>
      <c r="AP394" s="38">
        <v>43.45</v>
      </c>
      <c r="AQ394" s="38">
        <v>48.82</v>
      </c>
      <c r="AR394" s="38">
        <v>51.86</v>
      </c>
      <c r="AS394" s="38">
        <v>53.49</v>
      </c>
      <c r="AT394" s="38">
        <v>54.29</v>
      </c>
      <c r="AU394" s="38">
        <v>52.96</v>
      </c>
      <c r="AV394" s="38">
        <v>49.36</v>
      </c>
      <c r="AW394" s="38">
        <v>44.29</v>
      </c>
      <c r="AX394" s="38">
        <v>42.14</v>
      </c>
      <c r="AY394" s="38">
        <v>40.82</v>
      </c>
      <c r="BA394" s="37">
        <v>76.45</v>
      </c>
      <c r="BB394" s="38">
        <v>1.3914</v>
      </c>
    </row>
    <row r="395" spans="1:54" x14ac:dyDescent="0.35">
      <c r="A395" s="2">
        <f t="shared" si="5"/>
        <v>44375</v>
      </c>
      <c r="B395" t="s">
        <v>437</v>
      </c>
      <c r="C395" s="32">
        <v>44375</v>
      </c>
      <c r="D395" s="38">
        <v>79.599999999999994</v>
      </c>
      <c r="E395" s="38">
        <v>79.36</v>
      </c>
      <c r="F395" s="38">
        <v>80.02</v>
      </c>
      <c r="G395" s="38">
        <v>80.97</v>
      </c>
      <c r="H395" s="38">
        <v>85.37</v>
      </c>
      <c r="I395" s="38">
        <v>87.35</v>
      </c>
      <c r="J395" s="38">
        <v>88.58</v>
      </c>
      <c r="K395" s="38">
        <v>88.58</v>
      </c>
      <c r="L395" s="38">
        <v>82.85</v>
      </c>
      <c r="M395" s="38">
        <v>63.14</v>
      </c>
      <c r="N395" s="38">
        <v>54.47</v>
      </c>
      <c r="O395" s="38">
        <v>49.38</v>
      </c>
      <c r="P395" s="38">
        <v>50.35</v>
      </c>
      <c r="Q395" s="38">
        <v>51.73</v>
      </c>
      <c r="R395" s="38">
        <v>53.51</v>
      </c>
      <c r="S395" s="38">
        <v>56.83</v>
      </c>
      <c r="T395" s="38">
        <v>59.63</v>
      </c>
      <c r="U395" s="38">
        <v>61.76</v>
      </c>
      <c r="V395" s="38">
        <v>63.96</v>
      </c>
      <c r="W395" s="38">
        <v>63.39</v>
      </c>
      <c r="X395" s="38">
        <v>59</v>
      </c>
      <c r="Y395" s="38">
        <v>52.02</v>
      </c>
      <c r="Z395" s="38">
        <v>46.25</v>
      </c>
      <c r="AA395" s="38">
        <v>42.18</v>
      </c>
      <c r="AB395" s="38">
        <v>40.75</v>
      </c>
      <c r="AC395" s="38">
        <v>40.909999999999997</v>
      </c>
      <c r="AD395" s="38">
        <v>43.44</v>
      </c>
      <c r="AE395" s="38">
        <v>48.48</v>
      </c>
      <c r="AF395" s="38">
        <v>52.86</v>
      </c>
      <c r="AG395" s="38">
        <v>55.16</v>
      </c>
      <c r="AH395" s="38">
        <v>56.08</v>
      </c>
      <c r="AI395" s="38">
        <v>55.07</v>
      </c>
      <c r="AJ395" s="38">
        <v>51.84</v>
      </c>
      <c r="AK395" s="38">
        <v>45.42</v>
      </c>
      <c r="AL395" s="38">
        <v>42.91</v>
      </c>
      <c r="AM395" s="38">
        <v>41.45</v>
      </c>
      <c r="AN395" s="38">
        <v>40.92</v>
      </c>
      <c r="AO395" s="38">
        <v>41.38</v>
      </c>
      <c r="AP395" s="38">
        <v>43.28</v>
      </c>
      <c r="AQ395" s="38">
        <v>48.65</v>
      </c>
      <c r="AR395" s="38">
        <v>51.69</v>
      </c>
      <c r="AS395" s="38">
        <v>53.32</v>
      </c>
      <c r="AT395" s="38">
        <v>54.12</v>
      </c>
      <c r="AU395" s="38">
        <v>52.79</v>
      </c>
      <c r="AV395" s="38">
        <v>49.19</v>
      </c>
      <c r="AW395" s="38">
        <v>44.12</v>
      </c>
      <c r="AX395" s="38">
        <v>41.97</v>
      </c>
      <c r="AY395" s="38">
        <v>40.65</v>
      </c>
      <c r="BA395" s="37">
        <v>74.78</v>
      </c>
      <c r="BB395" s="38">
        <v>1.3885000000000001</v>
      </c>
    </row>
    <row r="396" spans="1:54" x14ac:dyDescent="0.35">
      <c r="A396" s="2">
        <f t="shared" si="5"/>
        <v>44376</v>
      </c>
      <c r="B396" t="s">
        <v>438</v>
      </c>
      <c r="C396" s="32">
        <v>44376</v>
      </c>
      <c r="D396" s="38">
        <v>82.79</v>
      </c>
      <c r="E396" s="38">
        <v>82.45</v>
      </c>
      <c r="F396" s="38">
        <v>83.24</v>
      </c>
      <c r="G396" s="38">
        <v>84.1</v>
      </c>
      <c r="H396" s="38">
        <v>88.6</v>
      </c>
      <c r="I396" s="38">
        <v>91</v>
      </c>
      <c r="J396" s="38">
        <v>92.04</v>
      </c>
      <c r="K396" s="38">
        <v>92.15</v>
      </c>
      <c r="L396" s="38">
        <v>85.72</v>
      </c>
      <c r="M396" s="38">
        <v>65.540000000000006</v>
      </c>
      <c r="N396" s="38">
        <v>55.3</v>
      </c>
      <c r="O396" s="38">
        <v>49.85</v>
      </c>
      <c r="P396" s="38">
        <v>51.22</v>
      </c>
      <c r="Q396" s="38">
        <v>52.85</v>
      </c>
      <c r="R396" s="38">
        <v>54.79</v>
      </c>
      <c r="S396" s="38">
        <v>58.11</v>
      </c>
      <c r="T396" s="38">
        <v>60.9</v>
      </c>
      <c r="U396" s="38">
        <v>63.02</v>
      </c>
      <c r="V396" s="38">
        <v>65.22</v>
      </c>
      <c r="W396" s="38">
        <v>64.66</v>
      </c>
      <c r="X396" s="38">
        <v>60.27</v>
      </c>
      <c r="Y396" s="38">
        <v>52.61</v>
      </c>
      <c r="Z396" s="38">
        <v>46.74</v>
      </c>
      <c r="AA396" s="38">
        <v>42.59</v>
      </c>
      <c r="AB396" s="38">
        <v>41.1</v>
      </c>
      <c r="AC396" s="38">
        <v>41.07</v>
      </c>
      <c r="AD396" s="38">
        <v>43.6</v>
      </c>
      <c r="AE396" s="38">
        <v>48.64</v>
      </c>
      <c r="AF396" s="38">
        <v>53.02</v>
      </c>
      <c r="AG396" s="38">
        <v>55.32</v>
      </c>
      <c r="AH396" s="38">
        <v>56.24</v>
      </c>
      <c r="AI396" s="38">
        <v>55.23</v>
      </c>
      <c r="AJ396" s="38">
        <v>52</v>
      </c>
      <c r="AK396" s="38">
        <v>45.58</v>
      </c>
      <c r="AL396" s="38">
        <v>43.07</v>
      </c>
      <c r="AM396" s="38">
        <v>41.61</v>
      </c>
      <c r="AN396" s="38">
        <v>41.08</v>
      </c>
      <c r="AO396" s="38">
        <v>41.54</v>
      </c>
      <c r="AP396" s="38">
        <v>43.44</v>
      </c>
      <c r="AQ396" s="38">
        <v>48.81</v>
      </c>
      <c r="AR396" s="38">
        <v>51.85</v>
      </c>
      <c r="AS396" s="38">
        <v>53.48</v>
      </c>
      <c r="AT396" s="38">
        <v>54.28</v>
      </c>
      <c r="AU396" s="38">
        <v>52.95</v>
      </c>
      <c r="AV396" s="38">
        <v>49.35</v>
      </c>
      <c r="AW396" s="38">
        <v>44.28</v>
      </c>
      <c r="AX396" s="38">
        <v>42.13</v>
      </c>
      <c r="AY396" s="38">
        <v>40.81</v>
      </c>
      <c r="BA396" s="37">
        <v>75.38</v>
      </c>
      <c r="BB396" s="38">
        <v>1.3836999999999999</v>
      </c>
    </row>
    <row r="397" spans="1:54" x14ac:dyDescent="0.35">
      <c r="A397" s="2">
        <f t="shared" ref="A397:A460" si="6">+A392+7</f>
        <v>44377</v>
      </c>
      <c r="B397" t="s">
        <v>439</v>
      </c>
      <c r="C397" s="32">
        <v>44377</v>
      </c>
      <c r="D397" s="38">
        <v>85.87</v>
      </c>
      <c r="E397" s="38">
        <v>86.42</v>
      </c>
      <c r="F397" s="38">
        <v>87.27</v>
      </c>
      <c r="G397" s="38">
        <v>91.57</v>
      </c>
      <c r="H397" s="38">
        <v>94.18</v>
      </c>
      <c r="I397" s="38">
        <v>95.47</v>
      </c>
      <c r="J397" s="38">
        <v>95.48</v>
      </c>
      <c r="K397" s="38">
        <v>88.3</v>
      </c>
      <c r="L397" s="38">
        <v>66.27</v>
      </c>
      <c r="M397" s="38">
        <v>56.1</v>
      </c>
      <c r="N397" s="38">
        <v>50.7</v>
      </c>
      <c r="O397" s="38">
        <v>51.79</v>
      </c>
      <c r="P397" s="38">
        <v>53.42</v>
      </c>
      <c r="Q397" s="38">
        <v>55.42</v>
      </c>
      <c r="R397" s="38">
        <v>58.74</v>
      </c>
      <c r="S397" s="38">
        <v>61.51</v>
      </c>
      <c r="T397" s="38">
        <v>63.63</v>
      </c>
      <c r="U397" s="38">
        <v>65.87</v>
      </c>
      <c r="V397" s="38">
        <v>65.34</v>
      </c>
      <c r="W397" s="38">
        <v>60.91</v>
      </c>
      <c r="X397" s="38">
        <v>52.89</v>
      </c>
      <c r="Y397" s="38">
        <v>46.82</v>
      </c>
      <c r="Z397" s="38">
        <v>42.57</v>
      </c>
      <c r="AA397" s="38">
        <v>41.08</v>
      </c>
      <c r="AB397" s="38">
        <v>41.05</v>
      </c>
      <c r="AC397" s="38">
        <v>43.58</v>
      </c>
      <c r="AD397" s="38">
        <v>48.77</v>
      </c>
      <c r="AE397" s="38">
        <v>53.28</v>
      </c>
      <c r="AF397" s="38">
        <v>55.66</v>
      </c>
      <c r="AG397" s="38">
        <v>56.58</v>
      </c>
      <c r="AH397" s="38">
        <v>55.57</v>
      </c>
      <c r="AI397" s="38">
        <v>52.34</v>
      </c>
      <c r="AJ397" s="38">
        <v>45.92</v>
      </c>
      <c r="AK397" s="38">
        <v>43.41</v>
      </c>
      <c r="AL397" s="38">
        <v>41.95</v>
      </c>
      <c r="AM397" s="38">
        <v>41.42</v>
      </c>
      <c r="AN397" s="38">
        <v>41.88</v>
      </c>
      <c r="AO397" s="38">
        <v>43.78</v>
      </c>
      <c r="AP397" s="38">
        <v>49.15</v>
      </c>
      <c r="AQ397" s="38">
        <v>52.19</v>
      </c>
      <c r="AR397" s="38">
        <v>53.82</v>
      </c>
      <c r="AS397" s="38">
        <v>54.62</v>
      </c>
      <c r="AT397" s="38">
        <v>53.29</v>
      </c>
      <c r="AU397" s="38">
        <v>49.69</v>
      </c>
      <c r="AV397" s="38">
        <v>44.62</v>
      </c>
      <c r="AW397" s="38">
        <v>42.47</v>
      </c>
      <c r="AX397" s="38">
        <v>41.15</v>
      </c>
      <c r="AY397" s="38">
        <v>41.08</v>
      </c>
      <c r="BA397" s="37">
        <v>76.94</v>
      </c>
      <c r="BB397" s="38">
        <v>1.3818999999999999</v>
      </c>
    </row>
    <row r="398" spans="1:54" x14ac:dyDescent="0.35">
      <c r="A398" s="2">
        <f t="shared" si="6"/>
        <v>44378</v>
      </c>
      <c r="B398" t="s">
        <v>440</v>
      </c>
      <c r="C398" s="32">
        <v>44378</v>
      </c>
      <c r="D398" s="38">
        <v>89.58</v>
      </c>
      <c r="E398" s="38">
        <v>90.33</v>
      </c>
      <c r="F398" s="38">
        <v>91.45</v>
      </c>
      <c r="G398" s="38">
        <v>95.61</v>
      </c>
      <c r="H398" s="38">
        <v>98.11</v>
      </c>
      <c r="I398" s="38">
        <v>98.8</v>
      </c>
      <c r="J398" s="38">
        <v>98.9</v>
      </c>
      <c r="K398" s="38">
        <v>90.61</v>
      </c>
      <c r="L398" s="38">
        <v>66.56</v>
      </c>
      <c r="M398" s="38">
        <v>57.05</v>
      </c>
      <c r="N398" s="38">
        <v>52.08</v>
      </c>
      <c r="O398" s="38">
        <v>53.34</v>
      </c>
      <c r="P398" s="38">
        <v>55.01</v>
      </c>
      <c r="Q398" s="38">
        <v>56.91</v>
      </c>
      <c r="R398" s="38">
        <v>59.59</v>
      </c>
      <c r="S398" s="38">
        <v>62.09</v>
      </c>
      <c r="T398" s="38">
        <v>64.06</v>
      </c>
      <c r="U398" s="38">
        <v>66.44</v>
      </c>
      <c r="V398" s="38">
        <v>65.989999999999995</v>
      </c>
      <c r="W398" s="38">
        <v>61.56</v>
      </c>
      <c r="X398" s="38">
        <v>53.4</v>
      </c>
      <c r="Y398" s="38">
        <v>47.32</v>
      </c>
      <c r="Z398" s="38">
        <v>43.06</v>
      </c>
      <c r="AA398" s="38">
        <v>41.57</v>
      </c>
      <c r="AB398" s="38">
        <v>41.53</v>
      </c>
      <c r="AC398" s="38">
        <v>44.06</v>
      </c>
      <c r="AD398" s="38">
        <v>49.1</v>
      </c>
      <c r="AE398" s="38">
        <v>53.44</v>
      </c>
      <c r="AF398" s="38">
        <v>55.69</v>
      </c>
      <c r="AG398" s="38">
        <v>56.54</v>
      </c>
      <c r="AH398" s="38">
        <v>55.53</v>
      </c>
      <c r="AI398" s="38">
        <v>52.3</v>
      </c>
      <c r="AJ398" s="38">
        <v>45.8</v>
      </c>
      <c r="AK398" s="38">
        <v>43.29</v>
      </c>
      <c r="AL398" s="38">
        <v>41.83</v>
      </c>
      <c r="AM398" s="38">
        <v>41.3</v>
      </c>
      <c r="AN398" s="38">
        <v>41.83</v>
      </c>
      <c r="AO398" s="38">
        <v>43.79</v>
      </c>
      <c r="AP398" s="38">
        <v>49.38</v>
      </c>
      <c r="AQ398" s="38">
        <v>52.58</v>
      </c>
      <c r="AR398" s="38">
        <v>54.28</v>
      </c>
      <c r="AS398" s="38">
        <v>55.08</v>
      </c>
      <c r="AT398" s="38">
        <v>53.75</v>
      </c>
      <c r="AU398" s="38">
        <v>50.15</v>
      </c>
      <c r="AV398" s="38">
        <v>45.08</v>
      </c>
      <c r="AW398" s="38">
        <v>42.93</v>
      </c>
      <c r="AX398" s="38">
        <v>41.61</v>
      </c>
      <c r="AY398" s="38">
        <v>41.54</v>
      </c>
      <c r="BA398" s="37">
        <v>76.69</v>
      </c>
      <c r="BB398" s="38">
        <v>1.377</v>
      </c>
    </row>
    <row r="399" spans="1:54" x14ac:dyDescent="0.35">
      <c r="A399" s="2">
        <f t="shared" si="6"/>
        <v>44379</v>
      </c>
      <c r="B399" t="s">
        <v>441</v>
      </c>
      <c r="C399" s="32">
        <v>44379</v>
      </c>
      <c r="D399" s="38">
        <v>88.94</v>
      </c>
      <c r="E399" s="38">
        <v>89.54</v>
      </c>
      <c r="F399" s="38">
        <v>90.92</v>
      </c>
      <c r="G399" s="38">
        <v>94.85</v>
      </c>
      <c r="H399" s="38">
        <v>97.09</v>
      </c>
      <c r="I399" s="38">
        <v>97.65</v>
      </c>
      <c r="J399" s="38">
        <v>97.68</v>
      </c>
      <c r="K399" s="38">
        <v>88.48</v>
      </c>
      <c r="L399" s="38">
        <v>65.64</v>
      </c>
      <c r="M399" s="38">
        <v>57.1</v>
      </c>
      <c r="N399" s="38">
        <v>52.1</v>
      </c>
      <c r="O399" s="38">
        <v>52.97</v>
      </c>
      <c r="P399" s="38">
        <v>54.52</v>
      </c>
      <c r="Q399" s="38">
        <v>56.29</v>
      </c>
      <c r="R399" s="38">
        <v>59.03</v>
      </c>
      <c r="S399" s="38">
        <v>61.58</v>
      </c>
      <c r="T399" s="38">
        <v>63.59</v>
      </c>
      <c r="U399" s="38">
        <v>66</v>
      </c>
      <c r="V399" s="38">
        <v>65.56</v>
      </c>
      <c r="W399" s="38">
        <v>61.13</v>
      </c>
      <c r="X399" s="38">
        <v>52.86</v>
      </c>
      <c r="Y399" s="38">
        <v>46.7</v>
      </c>
      <c r="Z399" s="38">
        <v>42.41</v>
      </c>
      <c r="AA399" s="38">
        <v>40.950000000000003</v>
      </c>
      <c r="AB399" s="38">
        <v>40.97</v>
      </c>
      <c r="AC399" s="38">
        <v>43.6</v>
      </c>
      <c r="AD399" s="38">
        <v>48.66</v>
      </c>
      <c r="AE399" s="38">
        <v>53</v>
      </c>
      <c r="AF399" s="38">
        <v>55.25</v>
      </c>
      <c r="AG399" s="38">
        <v>56.1</v>
      </c>
      <c r="AH399" s="38">
        <v>55.09</v>
      </c>
      <c r="AI399" s="38">
        <v>51.81</v>
      </c>
      <c r="AJ399" s="38">
        <v>45.21</v>
      </c>
      <c r="AK399" s="38">
        <v>42.59</v>
      </c>
      <c r="AL399" s="38">
        <v>41.13</v>
      </c>
      <c r="AM399" s="38">
        <v>40.6</v>
      </c>
      <c r="AN399" s="38">
        <v>41.13</v>
      </c>
      <c r="AO399" s="38">
        <v>43.12</v>
      </c>
      <c r="AP399" s="38">
        <v>48.74</v>
      </c>
      <c r="AQ399" s="38">
        <v>51.96</v>
      </c>
      <c r="AR399" s="38">
        <v>53.67</v>
      </c>
      <c r="AS399" s="38">
        <v>54.47</v>
      </c>
      <c r="AT399" s="38">
        <v>53.14</v>
      </c>
      <c r="AU399" s="38">
        <v>49.54</v>
      </c>
      <c r="AV399" s="38">
        <v>44.47</v>
      </c>
      <c r="AW399" s="38">
        <v>42.32</v>
      </c>
      <c r="AX399" s="38">
        <v>41</v>
      </c>
      <c r="AY399" s="38">
        <v>40.93</v>
      </c>
      <c r="BA399" s="37">
        <v>77.510000000000005</v>
      </c>
      <c r="BB399" s="38">
        <v>1.3783000000000001</v>
      </c>
    </row>
    <row r="400" spans="1:54" x14ac:dyDescent="0.35">
      <c r="A400" s="2">
        <f t="shared" si="6"/>
        <v>44382</v>
      </c>
      <c r="B400" t="s">
        <v>442</v>
      </c>
      <c r="C400" s="32">
        <v>44382</v>
      </c>
      <c r="D400" s="38">
        <v>93.22</v>
      </c>
      <c r="E400" s="38">
        <v>94.08</v>
      </c>
      <c r="F400" s="38">
        <v>95.63</v>
      </c>
      <c r="G400" s="38">
        <v>99.31</v>
      </c>
      <c r="H400" s="38">
        <v>101.58</v>
      </c>
      <c r="I400" s="38">
        <v>102.33</v>
      </c>
      <c r="J400" s="38">
        <v>102.35</v>
      </c>
      <c r="K400" s="38">
        <v>90.28</v>
      </c>
      <c r="L400" s="38">
        <v>67.28</v>
      </c>
      <c r="M400" s="38">
        <v>58.32</v>
      </c>
      <c r="N400" s="38">
        <v>53.07</v>
      </c>
      <c r="O400" s="38">
        <v>53.85</v>
      </c>
      <c r="P400" s="38">
        <v>55.41</v>
      </c>
      <c r="Q400" s="38">
        <v>57.21</v>
      </c>
      <c r="R400" s="38">
        <v>59.62</v>
      </c>
      <c r="S400" s="38">
        <v>62.08</v>
      </c>
      <c r="T400" s="38">
        <v>64.010000000000005</v>
      </c>
      <c r="U400" s="38">
        <v>66.42</v>
      </c>
      <c r="V400" s="38">
        <v>65.98</v>
      </c>
      <c r="W400" s="38">
        <v>61.61</v>
      </c>
      <c r="X400" s="38">
        <v>53.38</v>
      </c>
      <c r="Y400" s="38">
        <v>47.28</v>
      </c>
      <c r="Z400" s="38">
        <v>42.99</v>
      </c>
      <c r="AA400" s="38">
        <v>41.53</v>
      </c>
      <c r="AB400" s="38">
        <v>41.5</v>
      </c>
      <c r="AC400" s="38">
        <v>44.08</v>
      </c>
      <c r="AD400" s="38">
        <v>49.1</v>
      </c>
      <c r="AE400" s="38">
        <v>53.39</v>
      </c>
      <c r="AF400" s="38">
        <v>55.58</v>
      </c>
      <c r="AG400" s="38">
        <v>56.43</v>
      </c>
      <c r="AH400" s="38">
        <v>55.51</v>
      </c>
      <c r="AI400" s="38">
        <v>52.27</v>
      </c>
      <c r="AJ400" s="38">
        <v>45.71</v>
      </c>
      <c r="AK400" s="38">
        <v>43.11</v>
      </c>
      <c r="AL400" s="38">
        <v>41.65</v>
      </c>
      <c r="AM400" s="38">
        <v>41.12</v>
      </c>
      <c r="AN400" s="38">
        <v>41.65</v>
      </c>
      <c r="AO400" s="38">
        <v>43.64</v>
      </c>
      <c r="AP400" s="38">
        <v>49.3</v>
      </c>
      <c r="AQ400" s="38">
        <v>52.55</v>
      </c>
      <c r="AR400" s="38">
        <v>54.29</v>
      </c>
      <c r="AS400" s="38">
        <v>55.09</v>
      </c>
      <c r="AT400" s="38">
        <v>53.76</v>
      </c>
      <c r="AU400" s="38">
        <v>50.16</v>
      </c>
      <c r="AV400" s="38">
        <v>45.09</v>
      </c>
      <c r="AW400" s="38">
        <v>42.94</v>
      </c>
      <c r="AX400" s="38">
        <v>41.62</v>
      </c>
      <c r="AY400" s="38">
        <v>41.55</v>
      </c>
      <c r="BA400" s="37">
        <v>78.34</v>
      </c>
      <c r="BB400" s="38">
        <v>1.3839999999999999</v>
      </c>
    </row>
    <row r="401" spans="1:54" x14ac:dyDescent="0.35">
      <c r="A401" s="2">
        <f t="shared" si="6"/>
        <v>44383</v>
      </c>
      <c r="B401" t="s">
        <v>443</v>
      </c>
      <c r="C401" s="32">
        <v>44383</v>
      </c>
      <c r="D401" s="38">
        <v>83.54</v>
      </c>
      <c r="E401" s="38">
        <v>84.48</v>
      </c>
      <c r="F401" s="38">
        <v>86.3</v>
      </c>
      <c r="G401" s="38">
        <v>90.15</v>
      </c>
      <c r="H401" s="38">
        <v>92.2</v>
      </c>
      <c r="I401" s="38">
        <v>93.1</v>
      </c>
      <c r="J401" s="38">
        <v>93.17</v>
      </c>
      <c r="K401" s="38">
        <v>82.49</v>
      </c>
      <c r="L401" s="38">
        <v>62.57</v>
      </c>
      <c r="M401" s="38">
        <v>57.2</v>
      </c>
      <c r="N401" s="38">
        <v>52.34</v>
      </c>
      <c r="O401" s="38">
        <v>52.54</v>
      </c>
      <c r="P401" s="38">
        <v>53.73</v>
      </c>
      <c r="Q401" s="38">
        <v>55.47</v>
      </c>
      <c r="R401" s="38">
        <v>57.98</v>
      </c>
      <c r="S401" s="38">
        <v>60.4</v>
      </c>
      <c r="T401" s="38">
        <v>62.3</v>
      </c>
      <c r="U401" s="38">
        <v>65.02</v>
      </c>
      <c r="V401" s="38">
        <v>64.58</v>
      </c>
      <c r="W401" s="38">
        <v>60.21</v>
      </c>
      <c r="X401" s="38">
        <v>52.04</v>
      </c>
      <c r="Y401" s="38">
        <v>45.98</v>
      </c>
      <c r="Z401" s="38">
        <v>41.71</v>
      </c>
      <c r="AA401" s="38">
        <v>40.26</v>
      </c>
      <c r="AB401" s="38">
        <v>40.24</v>
      </c>
      <c r="AC401" s="38">
        <v>42.87</v>
      </c>
      <c r="AD401" s="38">
        <v>47.98</v>
      </c>
      <c r="AE401" s="38">
        <v>52.27</v>
      </c>
      <c r="AF401" s="38">
        <v>54.46</v>
      </c>
      <c r="AG401" s="38">
        <v>55.31</v>
      </c>
      <c r="AH401" s="38">
        <v>54.42</v>
      </c>
      <c r="AI401" s="38">
        <v>51.18</v>
      </c>
      <c r="AJ401" s="38">
        <v>44.55</v>
      </c>
      <c r="AK401" s="38">
        <v>41.88</v>
      </c>
      <c r="AL401" s="38">
        <v>40.42</v>
      </c>
      <c r="AM401" s="38">
        <v>39.89</v>
      </c>
      <c r="AN401" s="38">
        <v>40.42</v>
      </c>
      <c r="AO401" s="38">
        <v>42.44</v>
      </c>
      <c r="AP401" s="38">
        <v>48.65</v>
      </c>
      <c r="AQ401" s="38">
        <v>51.9</v>
      </c>
      <c r="AR401" s="38">
        <v>53.64</v>
      </c>
      <c r="AS401" s="38">
        <v>54.44</v>
      </c>
      <c r="AT401" s="38">
        <v>53.11</v>
      </c>
      <c r="AU401" s="38">
        <v>49.49</v>
      </c>
      <c r="AV401" s="38">
        <v>44.42</v>
      </c>
      <c r="AW401" s="38">
        <v>42.27</v>
      </c>
      <c r="AX401" s="38">
        <v>40.950000000000003</v>
      </c>
      <c r="AY401" s="38">
        <v>40.96</v>
      </c>
      <c r="BA401" s="37">
        <v>75.81</v>
      </c>
      <c r="BB401" s="38">
        <v>1.3807</v>
      </c>
    </row>
    <row r="402" spans="1:54" x14ac:dyDescent="0.35">
      <c r="A402" s="2">
        <f t="shared" si="6"/>
        <v>44384</v>
      </c>
      <c r="B402" t="s">
        <v>444</v>
      </c>
      <c r="C402" s="32">
        <v>44384</v>
      </c>
      <c r="D402" s="38">
        <v>79.23</v>
      </c>
      <c r="E402" s="38">
        <v>80.28</v>
      </c>
      <c r="F402" s="38">
        <v>81.83</v>
      </c>
      <c r="G402" s="38">
        <v>85.85</v>
      </c>
      <c r="H402" s="38">
        <v>87.87</v>
      </c>
      <c r="I402" s="38">
        <v>88.31</v>
      </c>
      <c r="J402" s="38">
        <v>88.22</v>
      </c>
      <c r="K402" s="38">
        <v>77.900000000000006</v>
      </c>
      <c r="L402" s="38">
        <v>61.9</v>
      </c>
      <c r="M402" s="38">
        <v>57.86</v>
      </c>
      <c r="N402" s="38">
        <v>52.7</v>
      </c>
      <c r="O402" s="38">
        <v>52.24</v>
      </c>
      <c r="P402" s="38">
        <v>53.34</v>
      </c>
      <c r="Q402" s="38">
        <v>55.17</v>
      </c>
      <c r="R402" s="38">
        <v>58</v>
      </c>
      <c r="S402" s="38">
        <v>60.59</v>
      </c>
      <c r="T402" s="38">
        <v>62.76</v>
      </c>
      <c r="U402" s="38">
        <v>65.41</v>
      </c>
      <c r="V402" s="38">
        <v>64.95</v>
      </c>
      <c r="W402" s="38">
        <v>60.53</v>
      </c>
      <c r="X402" s="38">
        <v>52.29</v>
      </c>
      <c r="Y402" s="38">
        <v>46.16</v>
      </c>
      <c r="Z402" s="38">
        <v>41.82</v>
      </c>
      <c r="AA402" s="38">
        <v>40.31</v>
      </c>
      <c r="AB402" s="38">
        <v>40.229999999999997</v>
      </c>
      <c r="AC402" s="38">
        <v>42.81</v>
      </c>
      <c r="AD402" s="38">
        <v>47.92</v>
      </c>
      <c r="AE402" s="38">
        <v>52.21</v>
      </c>
      <c r="AF402" s="38">
        <v>54.4</v>
      </c>
      <c r="AG402" s="38">
        <v>55.25</v>
      </c>
      <c r="AH402" s="38">
        <v>54.36</v>
      </c>
      <c r="AI402" s="38">
        <v>51.12</v>
      </c>
      <c r="AJ402" s="38">
        <v>44.6</v>
      </c>
      <c r="AK402" s="38">
        <v>42.06</v>
      </c>
      <c r="AL402" s="38">
        <v>40.68</v>
      </c>
      <c r="AM402" s="38">
        <v>40.24</v>
      </c>
      <c r="AN402" s="38">
        <v>40.869999999999997</v>
      </c>
      <c r="AO402" s="38">
        <v>43</v>
      </c>
      <c r="AP402" s="38">
        <v>49.3</v>
      </c>
      <c r="AQ402" s="38">
        <v>52.55</v>
      </c>
      <c r="AR402" s="38">
        <v>54.29</v>
      </c>
      <c r="AS402" s="38">
        <v>55.09</v>
      </c>
      <c r="AT402" s="38">
        <v>53.76</v>
      </c>
      <c r="AU402" s="38">
        <v>50.13</v>
      </c>
      <c r="AV402" s="38">
        <v>45.07</v>
      </c>
      <c r="AW402" s="38">
        <v>42.92</v>
      </c>
      <c r="AX402" s="38">
        <v>41.6</v>
      </c>
      <c r="AY402" s="38">
        <v>41.66</v>
      </c>
      <c r="BA402" s="37">
        <v>74.31</v>
      </c>
      <c r="BB402" s="38">
        <v>1.3776999999999999</v>
      </c>
    </row>
    <row r="403" spans="1:54" x14ac:dyDescent="0.35">
      <c r="A403" s="2">
        <f t="shared" si="6"/>
        <v>44385</v>
      </c>
      <c r="B403" t="s">
        <v>445</v>
      </c>
      <c r="C403" s="32">
        <v>44385</v>
      </c>
      <c r="D403" s="38">
        <v>82.15</v>
      </c>
      <c r="E403" s="38">
        <v>83.39</v>
      </c>
      <c r="F403" s="38">
        <v>84.75</v>
      </c>
      <c r="G403" s="38">
        <v>88.87</v>
      </c>
      <c r="H403" s="38">
        <v>90.8</v>
      </c>
      <c r="I403" s="38">
        <v>91.25</v>
      </c>
      <c r="J403" s="38">
        <v>91.31</v>
      </c>
      <c r="K403" s="38">
        <v>81.27</v>
      </c>
      <c r="L403" s="38">
        <v>64.37</v>
      </c>
      <c r="M403" s="38">
        <v>59.32</v>
      </c>
      <c r="N403" s="38">
        <v>53.51</v>
      </c>
      <c r="O403" s="38">
        <v>52.9</v>
      </c>
      <c r="P403" s="38">
        <v>54</v>
      </c>
      <c r="Q403" s="38">
        <v>55.83</v>
      </c>
      <c r="R403" s="38">
        <v>58.66</v>
      </c>
      <c r="S403" s="38">
        <v>61.25</v>
      </c>
      <c r="T403" s="38">
        <v>63.42</v>
      </c>
      <c r="U403" s="38">
        <v>66.069999999999993</v>
      </c>
      <c r="V403" s="38">
        <v>65.61</v>
      </c>
      <c r="W403" s="38">
        <v>61.19</v>
      </c>
      <c r="X403" s="38">
        <v>52.86</v>
      </c>
      <c r="Y403" s="38">
        <v>46.62</v>
      </c>
      <c r="Z403" s="38">
        <v>42.28</v>
      </c>
      <c r="AA403" s="38">
        <v>40.770000000000003</v>
      </c>
      <c r="AB403" s="38">
        <v>40.69</v>
      </c>
      <c r="AC403" s="38">
        <v>43.27</v>
      </c>
      <c r="AD403" s="38">
        <v>48.38</v>
      </c>
      <c r="AE403" s="38">
        <v>52.65</v>
      </c>
      <c r="AF403" s="38">
        <v>54.89</v>
      </c>
      <c r="AG403" s="38">
        <v>55.74</v>
      </c>
      <c r="AH403" s="38">
        <v>54.85</v>
      </c>
      <c r="AI403" s="38">
        <v>51.61</v>
      </c>
      <c r="AJ403" s="38">
        <v>45.09</v>
      </c>
      <c r="AK403" s="38">
        <v>42.55</v>
      </c>
      <c r="AL403" s="38">
        <v>41.17</v>
      </c>
      <c r="AM403" s="38">
        <v>40.729999999999997</v>
      </c>
      <c r="AN403" s="38">
        <v>41.36</v>
      </c>
      <c r="AO403" s="38">
        <v>43.49</v>
      </c>
      <c r="AP403" s="38">
        <v>49.79</v>
      </c>
      <c r="AQ403" s="38">
        <v>53.04</v>
      </c>
      <c r="AR403" s="38">
        <v>54.78</v>
      </c>
      <c r="AS403" s="38">
        <v>55.58</v>
      </c>
      <c r="AT403" s="38">
        <v>54.25</v>
      </c>
      <c r="AU403" s="38">
        <v>50.62</v>
      </c>
      <c r="AV403" s="38">
        <v>45.56</v>
      </c>
      <c r="AW403" s="38">
        <v>43.41</v>
      </c>
      <c r="AX403" s="38">
        <v>42.09</v>
      </c>
      <c r="AY403" s="38">
        <v>42.15</v>
      </c>
      <c r="BA403" s="37">
        <v>75.069999999999993</v>
      </c>
      <c r="BB403" s="38">
        <v>1.3761000000000001</v>
      </c>
    </row>
    <row r="404" spans="1:54" x14ac:dyDescent="0.35">
      <c r="A404" s="2">
        <f t="shared" si="6"/>
        <v>44386</v>
      </c>
      <c r="B404" t="s">
        <v>446</v>
      </c>
      <c r="C404" s="32">
        <v>44386</v>
      </c>
      <c r="D404" s="38">
        <v>90.02</v>
      </c>
      <c r="E404" s="38">
        <v>91.4</v>
      </c>
      <c r="F404" s="38">
        <v>93.05</v>
      </c>
      <c r="G404" s="38">
        <v>97.38</v>
      </c>
      <c r="H404" s="38">
        <v>99.28</v>
      </c>
      <c r="I404" s="38">
        <v>99.69</v>
      </c>
      <c r="J404" s="38">
        <v>99.76</v>
      </c>
      <c r="K404" s="38">
        <v>89.66</v>
      </c>
      <c r="L404" s="38">
        <v>67.77</v>
      </c>
      <c r="M404" s="38">
        <v>59.17</v>
      </c>
      <c r="N404" s="38">
        <v>53.65</v>
      </c>
      <c r="O404" s="38">
        <v>54.24</v>
      </c>
      <c r="P404" s="38">
        <v>55.81</v>
      </c>
      <c r="Q404" s="38">
        <v>57.47</v>
      </c>
      <c r="R404" s="38">
        <v>60.23</v>
      </c>
      <c r="S404" s="38">
        <v>62.44</v>
      </c>
      <c r="T404" s="38">
        <v>64.41</v>
      </c>
      <c r="U404" s="38">
        <v>66.84</v>
      </c>
      <c r="V404" s="38">
        <v>66.239999999999995</v>
      </c>
      <c r="W404" s="38">
        <v>61.64</v>
      </c>
      <c r="X404" s="38">
        <v>53.22</v>
      </c>
      <c r="Y404" s="38">
        <v>46.93</v>
      </c>
      <c r="Z404" s="38">
        <v>42.61</v>
      </c>
      <c r="AA404" s="38">
        <v>41.11</v>
      </c>
      <c r="AB404" s="38">
        <v>41.09</v>
      </c>
      <c r="AC404" s="38">
        <v>43.76</v>
      </c>
      <c r="AD404" s="38">
        <v>48.88</v>
      </c>
      <c r="AE404" s="38">
        <v>53.15</v>
      </c>
      <c r="AF404" s="38">
        <v>55.39</v>
      </c>
      <c r="AG404" s="38">
        <v>56.24</v>
      </c>
      <c r="AH404" s="38">
        <v>55.35</v>
      </c>
      <c r="AI404" s="38">
        <v>52.11</v>
      </c>
      <c r="AJ404" s="38">
        <v>45.51</v>
      </c>
      <c r="AK404" s="38">
        <v>42.89</v>
      </c>
      <c r="AL404" s="38">
        <v>41.51</v>
      </c>
      <c r="AM404" s="38">
        <v>41.07</v>
      </c>
      <c r="AN404" s="38">
        <v>41.69</v>
      </c>
      <c r="AO404" s="38">
        <v>43.82</v>
      </c>
      <c r="AP404" s="38">
        <v>49.8</v>
      </c>
      <c r="AQ404" s="38">
        <v>53.05</v>
      </c>
      <c r="AR404" s="38">
        <v>54.79</v>
      </c>
      <c r="AS404" s="38">
        <v>55.59</v>
      </c>
      <c r="AT404" s="38">
        <v>54.26</v>
      </c>
      <c r="AU404" s="38">
        <v>50.63</v>
      </c>
      <c r="AV404" s="38">
        <v>45.57</v>
      </c>
      <c r="AW404" s="38">
        <v>43.42</v>
      </c>
      <c r="AX404" s="38">
        <v>42.1</v>
      </c>
      <c r="AY404" s="38">
        <v>42.16</v>
      </c>
      <c r="BA404" s="37">
        <v>77.14</v>
      </c>
      <c r="BB404" s="38">
        <v>1.3838999999999999</v>
      </c>
    </row>
    <row r="405" spans="1:54" x14ac:dyDescent="0.35">
      <c r="A405" s="2">
        <f t="shared" si="6"/>
        <v>44389</v>
      </c>
      <c r="B405" t="s">
        <v>447</v>
      </c>
      <c r="C405" s="32">
        <v>44389</v>
      </c>
      <c r="D405" s="38">
        <v>84.73</v>
      </c>
      <c r="E405" s="38">
        <v>85.76</v>
      </c>
      <c r="F405" s="38">
        <v>87.58</v>
      </c>
      <c r="G405" s="38">
        <v>91.73</v>
      </c>
      <c r="H405" s="38">
        <v>93.76</v>
      </c>
      <c r="I405" s="38">
        <v>94.12</v>
      </c>
      <c r="J405" s="38">
        <v>94.17</v>
      </c>
      <c r="K405" s="38">
        <v>84.52</v>
      </c>
      <c r="L405" s="38">
        <v>64.73</v>
      </c>
      <c r="M405" s="38">
        <v>57.17</v>
      </c>
      <c r="N405" s="38">
        <v>52.43</v>
      </c>
      <c r="O405" s="38">
        <v>52.6</v>
      </c>
      <c r="P405" s="38">
        <v>54.39</v>
      </c>
      <c r="Q405" s="38">
        <v>56.35</v>
      </c>
      <c r="R405" s="38">
        <v>59.24</v>
      </c>
      <c r="S405" s="38">
        <v>61.45</v>
      </c>
      <c r="T405" s="38">
        <v>63.42</v>
      </c>
      <c r="U405" s="38">
        <v>65.95</v>
      </c>
      <c r="V405" s="38">
        <v>65.349999999999994</v>
      </c>
      <c r="W405" s="38">
        <v>60.75</v>
      </c>
      <c r="X405" s="38">
        <v>52.33</v>
      </c>
      <c r="Y405" s="38">
        <v>46.04</v>
      </c>
      <c r="Z405" s="38">
        <v>41.72</v>
      </c>
      <c r="AA405" s="38">
        <v>40.22</v>
      </c>
      <c r="AB405" s="38">
        <v>40.28</v>
      </c>
      <c r="AC405" s="38">
        <v>42.98</v>
      </c>
      <c r="AD405" s="38">
        <v>48.18</v>
      </c>
      <c r="AE405" s="38">
        <v>52.49</v>
      </c>
      <c r="AF405" s="38">
        <v>54.73</v>
      </c>
      <c r="AG405" s="38">
        <v>55.58</v>
      </c>
      <c r="AH405" s="38">
        <v>54.69</v>
      </c>
      <c r="AI405" s="38">
        <v>51.45</v>
      </c>
      <c r="AJ405" s="38">
        <v>44.86</v>
      </c>
      <c r="AK405" s="38">
        <v>42.24</v>
      </c>
      <c r="AL405" s="38">
        <v>40.86</v>
      </c>
      <c r="AM405" s="38">
        <v>40.42</v>
      </c>
      <c r="AN405" s="38">
        <v>41.04</v>
      </c>
      <c r="AO405" s="38">
        <v>43.17</v>
      </c>
      <c r="AP405" s="38">
        <v>49.15</v>
      </c>
      <c r="AQ405" s="38">
        <v>52.4</v>
      </c>
      <c r="AR405" s="38">
        <v>54.14</v>
      </c>
      <c r="AS405" s="38">
        <v>54.94</v>
      </c>
      <c r="AT405" s="38">
        <v>53.61</v>
      </c>
      <c r="AU405" s="38">
        <v>49.98</v>
      </c>
      <c r="AV405" s="38">
        <v>44.88</v>
      </c>
      <c r="AW405" s="38">
        <v>42.64</v>
      </c>
      <c r="AX405" s="38">
        <v>41.22</v>
      </c>
      <c r="AY405" s="38">
        <v>41.28</v>
      </c>
      <c r="BA405" s="37">
        <v>76.77</v>
      </c>
      <c r="BB405" s="38">
        <v>1.3894</v>
      </c>
    </row>
    <row r="406" spans="1:54" x14ac:dyDescent="0.35">
      <c r="A406" s="2">
        <f t="shared" si="6"/>
        <v>44390</v>
      </c>
      <c r="B406" t="s">
        <v>448</v>
      </c>
      <c r="C406" s="32">
        <v>44390</v>
      </c>
      <c r="D406" s="38">
        <v>87.09</v>
      </c>
      <c r="E406" s="38">
        <v>88.19</v>
      </c>
      <c r="F406" s="38">
        <v>89.48</v>
      </c>
      <c r="G406" s="38">
        <v>93.5</v>
      </c>
      <c r="H406" s="38">
        <v>95.53</v>
      </c>
      <c r="I406" s="38">
        <v>95.92</v>
      </c>
      <c r="J406" s="38">
        <v>96.07</v>
      </c>
      <c r="K406" s="38">
        <v>86.48</v>
      </c>
      <c r="L406" s="38">
        <v>65.28</v>
      </c>
      <c r="M406" s="38">
        <v>56.88</v>
      </c>
      <c r="N406" s="38">
        <v>53.48</v>
      </c>
      <c r="O406" s="38">
        <v>52.94</v>
      </c>
      <c r="P406" s="38">
        <v>54.23</v>
      </c>
      <c r="Q406" s="38">
        <v>55.79</v>
      </c>
      <c r="R406" s="38">
        <v>58.72</v>
      </c>
      <c r="S406" s="38">
        <v>60.93</v>
      </c>
      <c r="T406" s="38">
        <v>62.9</v>
      </c>
      <c r="U406" s="38">
        <v>65.42</v>
      </c>
      <c r="V406" s="38">
        <v>64.84</v>
      </c>
      <c r="W406" s="38">
        <v>60.45</v>
      </c>
      <c r="X406" s="38">
        <v>52.22</v>
      </c>
      <c r="Y406" s="38">
        <v>46.07</v>
      </c>
      <c r="Z406" s="38">
        <v>41.75</v>
      </c>
      <c r="AA406" s="38">
        <v>40.25</v>
      </c>
      <c r="AB406" s="38">
        <v>40.31</v>
      </c>
      <c r="AC406" s="38">
        <v>43.01</v>
      </c>
      <c r="AD406" s="38">
        <v>48</v>
      </c>
      <c r="AE406" s="38">
        <v>52.31</v>
      </c>
      <c r="AF406" s="38">
        <v>54.55</v>
      </c>
      <c r="AG406" s="38">
        <v>55.4</v>
      </c>
      <c r="AH406" s="38">
        <v>54.51</v>
      </c>
      <c r="AI406" s="38">
        <v>51.27</v>
      </c>
      <c r="AJ406" s="38">
        <v>44.68</v>
      </c>
      <c r="AK406" s="38">
        <v>42.06</v>
      </c>
      <c r="AL406" s="38">
        <v>40.68</v>
      </c>
      <c r="AM406" s="38">
        <v>40.24</v>
      </c>
      <c r="AN406" s="38">
        <v>40.86</v>
      </c>
      <c r="AO406" s="38">
        <v>42.99</v>
      </c>
      <c r="AP406" s="38">
        <v>48.97</v>
      </c>
      <c r="AQ406" s="38">
        <v>52.22</v>
      </c>
      <c r="AR406" s="38">
        <v>53.96</v>
      </c>
      <c r="AS406" s="38">
        <v>54.76</v>
      </c>
      <c r="AT406" s="38">
        <v>53.43</v>
      </c>
      <c r="AU406" s="38">
        <v>49.8</v>
      </c>
      <c r="AV406" s="38">
        <v>44.7</v>
      </c>
      <c r="AW406" s="38">
        <v>42.46</v>
      </c>
      <c r="AX406" s="38">
        <v>41.04</v>
      </c>
      <c r="AY406" s="38">
        <v>41.1</v>
      </c>
      <c r="BA406" s="37">
        <v>77.5</v>
      </c>
      <c r="BB406" s="38">
        <v>1.3842000000000001</v>
      </c>
    </row>
    <row r="407" spans="1:54" x14ac:dyDescent="0.35">
      <c r="A407" s="2">
        <f t="shared" si="6"/>
        <v>44391</v>
      </c>
      <c r="B407" t="s">
        <v>449</v>
      </c>
      <c r="C407" s="32">
        <v>44391</v>
      </c>
      <c r="D407" s="38">
        <v>85.29</v>
      </c>
      <c r="E407" s="38">
        <v>86.57</v>
      </c>
      <c r="F407" s="38">
        <v>87.73</v>
      </c>
      <c r="G407" s="38">
        <v>91.49</v>
      </c>
      <c r="H407" s="38">
        <v>93.8</v>
      </c>
      <c r="I407" s="38">
        <v>94.13</v>
      </c>
      <c r="J407" s="38">
        <v>94.19</v>
      </c>
      <c r="K407" s="38">
        <v>84.75</v>
      </c>
      <c r="L407" s="38">
        <v>64.2</v>
      </c>
      <c r="M407" s="38">
        <v>56.38</v>
      </c>
      <c r="N407" s="38">
        <v>52.98</v>
      </c>
      <c r="O407" s="38">
        <v>52.44</v>
      </c>
      <c r="P407" s="38">
        <v>53.79</v>
      </c>
      <c r="Q407" s="38">
        <v>55.4</v>
      </c>
      <c r="R407" s="38">
        <v>58.23</v>
      </c>
      <c r="S407" s="38">
        <v>60.43</v>
      </c>
      <c r="T407" s="38">
        <v>62.39</v>
      </c>
      <c r="U407" s="38">
        <v>64.98</v>
      </c>
      <c r="V407" s="38">
        <v>64.5</v>
      </c>
      <c r="W407" s="38">
        <v>60.37</v>
      </c>
      <c r="X407" s="38">
        <v>52.38</v>
      </c>
      <c r="Y407" s="38">
        <v>46.4</v>
      </c>
      <c r="Z407" s="38">
        <v>42.03</v>
      </c>
      <c r="AA407" s="38">
        <v>40.479999999999997</v>
      </c>
      <c r="AB407" s="38">
        <v>40.49</v>
      </c>
      <c r="AC407" s="38">
        <v>43.06</v>
      </c>
      <c r="AD407" s="38">
        <v>47.74</v>
      </c>
      <c r="AE407" s="38">
        <v>51.85</v>
      </c>
      <c r="AF407" s="38">
        <v>54.18</v>
      </c>
      <c r="AG407" s="38">
        <v>55.15</v>
      </c>
      <c r="AH407" s="38">
        <v>54.38</v>
      </c>
      <c r="AI407" s="38">
        <v>51.31</v>
      </c>
      <c r="AJ407" s="38">
        <v>44.97</v>
      </c>
      <c r="AK407" s="38">
        <v>42.35</v>
      </c>
      <c r="AL407" s="38">
        <v>40.97</v>
      </c>
      <c r="AM407" s="38">
        <v>40.53</v>
      </c>
      <c r="AN407" s="38">
        <v>41.15</v>
      </c>
      <c r="AO407" s="38">
        <v>43.28</v>
      </c>
      <c r="AP407" s="38">
        <v>49.26</v>
      </c>
      <c r="AQ407" s="38">
        <v>52.51</v>
      </c>
      <c r="AR407" s="38">
        <v>54.25</v>
      </c>
      <c r="AS407" s="38">
        <v>55.05</v>
      </c>
      <c r="AT407" s="38">
        <v>53.72</v>
      </c>
      <c r="AU407" s="38">
        <v>50.09</v>
      </c>
      <c r="AV407" s="38">
        <v>44.99</v>
      </c>
      <c r="AW407" s="38">
        <v>42.75</v>
      </c>
      <c r="AX407" s="38">
        <v>41.33</v>
      </c>
      <c r="AY407" s="38">
        <v>41.39</v>
      </c>
      <c r="BA407" s="37">
        <v>75.739999999999995</v>
      </c>
      <c r="BB407" s="38">
        <v>1.3869</v>
      </c>
    </row>
    <row r="408" spans="1:54" x14ac:dyDescent="0.35">
      <c r="A408" s="2">
        <f t="shared" si="6"/>
        <v>44392</v>
      </c>
      <c r="B408" t="s">
        <v>450</v>
      </c>
      <c r="C408" s="32">
        <v>44392</v>
      </c>
      <c r="D408" s="38">
        <v>83.13</v>
      </c>
      <c r="E408" s="38">
        <v>84.31</v>
      </c>
      <c r="F408" s="38">
        <v>85.41</v>
      </c>
      <c r="G408" s="38">
        <v>89.29</v>
      </c>
      <c r="H408" s="38">
        <v>91.67</v>
      </c>
      <c r="I408" s="38">
        <v>91.98</v>
      </c>
      <c r="J408" s="38">
        <v>92.02</v>
      </c>
      <c r="K408" s="38">
        <v>81.7</v>
      </c>
      <c r="L408" s="38">
        <v>62.2</v>
      </c>
      <c r="M408" s="38">
        <v>55.32</v>
      </c>
      <c r="N408" s="38">
        <v>52.55</v>
      </c>
      <c r="O408" s="38">
        <v>52.16</v>
      </c>
      <c r="P408" s="38">
        <v>53.58</v>
      </c>
      <c r="Q408" s="38">
        <v>55.18</v>
      </c>
      <c r="R408" s="38">
        <v>57.66</v>
      </c>
      <c r="S408" s="38">
        <v>59.56</v>
      </c>
      <c r="T408" s="38">
        <v>61.52</v>
      </c>
      <c r="U408" s="38">
        <v>64.11</v>
      </c>
      <c r="V408" s="38">
        <v>63.68</v>
      </c>
      <c r="W408" s="38">
        <v>59.63</v>
      </c>
      <c r="X408" s="38">
        <v>51.99</v>
      </c>
      <c r="Y408" s="38">
        <v>46.31</v>
      </c>
      <c r="Z408" s="38">
        <v>42.28</v>
      </c>
      <c r="AA408" s="38">
        <v>40.79</v>
      </c>
      <c r="AB408" s="38">
        <v>40.869999999999997</v>
      </c>
      <c r="AC408" s="38">
        <v>43.5</v>
      </c>
      <c r="AD408" s="38">
        <v>47.73</v>
      </c>
      <c r="AE408" s="38">
        <v>51.45</v>
      </c>
      <c r="AF408" s="38">
        <v>53.78</v>
      </c>
      <c r="AG408" s="38">
        <v>54.75</v>
      </c>
      <c r="AH408" s="38">
        <v>53.98</v>
      </c>
      <c r="AI408" s="38">
        <v>50.75</v>
      </c>
      <c r="AJ408" s="38">
        <v>44.15</v>
      </c>
      <c r="AK408" s="38">
        <v>41.33</v>
      </c>
      <c r="AL408" s="38">
        <v>39.950000000000003</v>
      </c>
      <c r="AM408" s="38">
        <v>39.51</v>
      </c>
      <c r="AN408" s="38">
        <v>40.130000000000003</v>
      </c>
      <c r="AO408" s="38">
        <v>42.26</v>
      </c>
      <c r="AP408" s="38">
        <v>48.24</v>
      </c>
      <c r="AQ408" s="38">
        <v>51.49</v>
      </c>
      <c r="AR408" s="38">
        <v>53.23</v>
      </c>
      <c r="AS408" s="38">
        <v>54.03</v>
      </c>
      <c r="AT408" s="38">
        <v>52.7</v>
      </c>
      <c r="AU408" s="38">
        <v>49.07</v>
      </c>
      <c r="AV408" s="38">
        <v>43.97</v>
      </c>
      <c r="AW408" s="38">
        <v>41.73</v>
      </c>
      <c r="AX408" s="38">
        <v>40.31</v>
      </c>
      <c r="AY408" s="38">
        <v>40.369999999999997</v>
      </c>
      <c r="BA408" s="37">
        <v>74.53</v>
      </c>
      <c r="BB408" s="38">
        <v>1.3863000000000001</v>
      </c>
    </row>
    <row r="409" spans="1:54" x14ac:dyDescent="0.35">
      <c r="A409" s="2">
        <f t="shared" si="6"/>
        <v>44393</v>
      </c>
      <c r="B409" t="s">
        <v>451</v>
      </c>
      <c r="C409" s="32">
        <v>44393</v>
      </c>
      <c r="D409" s="38">
        <v>85.48</v>
      </c>
      <c r="E409" s="38">
        <v>86.75</v>
      </c>
      <c r="F409" s="38">
        <v>87.96</v>
      </c>
      <c r="G409" s="38">
        <v>91.81</v>
      </c>
      <c r="H409" s="38">
        <v>94.14</v>
      </c>
      <c r="I409" s="38">
        <v>94.56</v>
      </c>
      <c r="J409" s="38">
        <v>94.63</v>
      </c>
      <c r="K409" s="38">
        <v>83.73</v>
      </c>
      <c r="L409" s="38">
        <v>63.48</v>
      </c>
      <c r="M409" s="38">
        <v>55.75</v>
      </c>
      <c r="N409" s="38">
        <v>52.53</v>
      </c>
      <c r="O409" s="38">
        <v>51.68</v>
      </c>
      <c r="P409" s="38">
        <v>53.48</v>
      </c>
      <c r="Q409" s="38">
        <v>55.17</v>
      </c>
      <c r="R409" s="38">
        <v>57.84</v>
      </c>
      <c r="S409" s="38">
        <v>59.95</v>
      </c>
      <c r="T409" s="38">
        <v>61.93</v>
      </c>
      <c r="U409" s="38">
        <v>64.45</v>
      </c>
      <c r="V409" s="38">
        <v>63.9</v>
      </c>
      <c r="W409" s="38">
        <v>59.65</v>
      </c>
      <c r="X409" s="38">
        <v>51.9</v>
      </c>
      <c r="Y409" s="38">
        <v>46.27</v>
      </c>
      <c r="Z409" s="38">
        <v>42.24</v>
      </c>
      <c r="AA409" s="38">
        <v>40.75</v>
      </c>
      <c r="AB409" s="38">
        <v>40.83</v>
      </c>
      <c r="AC409" s="38">
        <v>43.46</v>
      </c>
      <c r="AD409" s="38">
        <v>47.73</v>
      </c>
      <c r="AE409" s="38">
        <v>51.61</v>
      </c>
      <c r="AF409" s="38">
        <v>54.02</v>
      </c>
      <c r="AG409" s="38">
        <v>55.06</v>
      </c>
      <c r="AH409" s="38">
        <v>54.36</v>
      </c>
      <c r="AI409" s="38">
        <v>51.22</v>
      </c>
      <c r="AJ409" s="38">
        <v>44.46</v>
      </c>
      <c r="AK409" s="38">
        <v>41.64</v>
      </c>
      <c r="AL409" s="38">
        <v>40.26</v>
      </c>
      <c r="AM409" s="38">
        <v>39.520000000000003</v>
      </c>
      <c r="AN409" s="38">
        <v>40.14</v>
      </c>
      <c r="AO409" s="38">
        <v>42.27</v>
      </c>
      <c r="AP409" s="38">
        <v>48.25</v>
      </c>
      <c r="AQ409" s="38">
        <v>51.5</v>
      </c>
      <c r="AR409" s="38">
        <v>53.24</v>
      </c>
      <c r="AS409" s="38">
        <v>54.04</v>
      </c>
      <c r="AT409" s="38">
        <v>52.71</v>
      </c>
      <c r="AU409" s="38">
        <v>49.08</v>
      </c>
      <c r="AV409" s="38">
        <v>43.98</v>
      </c>
      <c r="AW409" s="38">
        <v>41.74</v>
      </c>
      <c r="AX409" s="38">
        <v>40.32</v>
      </c>
      <c r="AY409" s="38">
        <v>40.380000000000003</v>
      </c>
      <c r="BA409" s="37">
        <v>74.459999999999994</v>
      </c>
      <c r="BB409" s="38">
        <v>1.379</v>
      </c>
    </row>
    <row r="410" spans="1:54" x14ac:dyDescent="0.35">
      <c r="A410" s="2">
        <f t="shared" si="6"/>
        <v>44396</v>
      </c>
      <c r="B410" t="s">
        <v>452</v>
      </c>
      <c r="C410" s="32">
        <v>44396</v>
      </c>
      <c r="D410" s="38">
        <v>88.38</v>
      </c>
      <c r="E410" s="38">
        <v>89.75</v>
      </c>
      <c r="F410" s="38">
        <v>91.05</v>
      </c>
      <c r="G410" s="38">
        <v>94.85</v>
      </c>
      <c r="H410" s="38">
        <v>97.23</v>
      </c>
      <c r="I410" s="38">
        <v>97.6</v>
      </c>
      <c r="J410" s="38">
        <v>97.63</v>
      </c>
      <c r="K410" s="38">
        <v>86.21</v>
      </c>
      <c r="L410" s="38">
        <v>64.47</v>
      </c>
      <c r="M410" s="38">
        <v>55.98</v>
      </c>
      <c r="N410" s="38">
        <v>52.5</v>
      </c>
      <c r="O410" s="38">
        <v>51.75</v>
      </c>
      <c r="P410" s="38">
        <v>53.65</v>
      </c>
      <c r="Q410" s="38">
        <v>55.42</v>
      </c>
      <c r="R410" s="38">
        <v>58.18</v>
      </c>
      <c r="S410" s="38">
        <v>60.4</v>
      </c>
      <c r="T410" s="38">
        <v>62.5</v>
      </c>
      <c r="U410" s="38">
        <v>65.02</v>
      </c>
      <c r="V410" s="38">
        <v>64.47</v>
      </c>
      <c r="W410" s="38">
        <v>60.15</v>
      </c>
      <c r="X410" s="38">
        <v>52.28</v>
      </c>
      <c r="Y410" s="38">
        <v>46.54</v>
      </c>
      <c r="Z410" s="38">
        <v>42.41</v>
      </c>
      <c r="AA410" s="38">
        <v>40.869999999999997</v>
      </c>
      <c r="AB410" s="38">
        <v>40.94</v>
      </c>
      <c r="AC410" s="38">
        <v>43.57</v>
      </c>
      <c r="AD410" s="38">
        <v>47.84</v>
      </c>
      <c r="AE410" s="38">
        <v>51.72</v>
      </c>
      <c r="AF410" s="38">
        <v>54.13</v>
      </c>
      <c r="AG410" s="38">
        <v>55.17</v>
      </c>
      <c r="AH410" s="38">
        <v>54.47</v>
      </c>
      <c r="AI410" s="38">
        <v>51.33</v>
      </c>
      <c r="AJ410" s="38">
        <v>44.57</v>
      </c>
      <c r="AK410" s="38">
        <v>41.75</v>
      </c>
      <c r="AL410" s="38">
        <v>40.369999999999997</v>
      </c>
      <c r="AM410" s="38">
        <v>39.630000000000003</v>
      </c>
      <c r="AN410" s="38">
        <v>40.25</v>
      </c>
      <c r="AO410" s="38">
        <v>42.38</v>
      </c>
      <c r="AP410" s="38">
        <v>48.36</v>
      </c>
      <c r="AQ410" s="38">
        <v>51.61</v>
      </c>
      <c r="AR410" s="38">
        <v>53.35</v>
      </c>
      <c r="AS410" s="38">
        <v>54.15</v>
      </c>
      <c r="AT410" s="38">
        <v>52.82</v>
      </c>
      <c r="AU410" s="38">
        <v>49.19</v>
      </c>
      <c r="AV410" s="38">
        <v>44.09</v>
      </c>
      <c r="AW410" s="38">
        <v>41.85</v>
      </c>
      <c r="AX410" s="38">
        <v>40.43</v>
      </c>
      <c r="AY410" s="38">
        <v>40.49</v>
      </c>
      <c r="BA410" s="37">
        <v>69.33</v>
      </c>
      <c r="BB410" s="38">
        <v>1.367</v>
      </c>
    </row>
    <row r="411" spans="1:54" x14ac:dyDescent="0.35">
      <c r="A411" s="2">
        <f t="shared" si="6"/>
        <v>44397</v>
      </c>
      <c r="B411" t="s">
        <v>453</v>
      </c>
      <c r="C411" s="32">
        <v>44397</v>
      </c>
      <c r="D411" s="38">
        <v>87.65</v>
      </c>
      <c r="E411" s="38">
        <v>88.8</v>
      </c>
      <c r="F411" s="38">
        <v>90.01</v>
      </c>
      <c r="G411" s="38">
        <v>93.83</v>
      </c>
      <c r="H411" s="38">
        <v>96.14</v>
      </c>
      <c r="I411" s="38">
        <v>96.59</v>
      </c>
      <c r="J411" s="38">
        <v>96.4</v>
      </c>
      <c r="K411" s="38">
        <v>85.21</v>
      </c>
      <c r="L411" s="38">
        <v>64.260000000000005</v>
      </c>
      <c r="M411" s="38">
        <v>55.82</v>
      </c>
      <c r="N411" s="38">
        <v>52.39</v>
      </c>
      <c r="O411" s="38">
        <v>51.7</v>
      </c>
      <c r="P411" s="38">
        <v>53.64</v>
      </c>
      <c r="Q411" s="38">
        <v>55.36</v>
      </c>
      <c r="R411" s="38">
        <v>58.03</v>
      </c>
      <c r="S411" s="38">
        <v>60.16</v>
      </c>
      <c r="T411" s="38">
        <v>62.12</v>
      </c>
      <c r="U411" s="38">
        <v>64.599999999999994</v>
      </c>
      <c r="V411" s="38">
        <v>64.010000000000005</v>
      </c>
      <c r="W411" s="38">
        <v>59.69</v>
      </c>
      <c r="X411" s="38">
        <v>51.97</v>
      </c>
      <c r="Y411" s="38">
        <v>46.36</v>
      </c>
      <c r="Z411" s="38">
        <v>42.34</v>
      </c>
      <c r="AA411" s="38">
        <v>40.93</v>
      </c>
      <c r="AB411" s="38">
        <v>41.07</v>
      </c>
      <c r="AC411" s="38">
        <v>43.7</v>
      </c>
      <c r="AD411" s="38">
        <v>47.85</v>
      </c>
      <c r="AE411" s="38">
        <v>51.62</v>
      </c>
      <c r="AF411" s="38">
        <v>53.94</v>
      </c>
      <c r="AG411" s="38">
        <v>54.93</v>
      </c>
      <c r="AH411" s="38">
        <v>54.23</v>
      </c>
      <c r="AI411" s="38">
        <v>51.28</v>
      </c>
      <c r="AJ411" s="38">
        <v>44.76</v>
      </c>
      <c r="AK411" s="38">
        <v>41.97</v>
      </c>
      <c r="AL411" s="38">
        <v>40.619999999999997</v>
      </c>
      <c r="AM411" s="38">
        <v>39.909999999999997</v>
      </c>
      <c r="AN411" s="38">
        <v>40.549999999999997</v>
      </c>
      <c r="AO411" s="38">
        <v>42.68</v>
      </c>
      <c r="AP411" s="38">
        <v>48.66</v>
      </c>
      <c r="AQ411" s="38">
        <v>51.91</v>
      </c>
      <c r="AR411" s="38">
        <v>53.65</v>
      </c>
      <c r="AS411" s="38">
        <v>54.45</v>
      </c>
      <c r="AT411" s="38">
        <v>53.12</v>
      </c>
      <c r="AU411" s="38">
        <v>49.49</v>
      </c>
      <c r="AV411" s="38">
        <v>44.39</v>
      </c>
      <c r="AW411" s="38">
        <v>42.15</v>
      </c>
      <c r="AX411" s="38">
        <v>40.729999999999997</v>
      </c>
      <c r="AY411" s="38">
        <v>40.79</v>
      </c>
      <c r="BA411" s="37">
        <v>70.03</v>
      </c>
      <c r="BB411" s="38">
        <v>1.3605</v>
      </c>
    </row>
    <row r="412" spans="1:54" x14ac:dyDescent="0.35">
      <c r="A412" s="2">
        <f t="shared" si="6"/>
        <v>44398</v>
      </c>
      <c r="B412" t="s">
        <v>454</v>
      </c>
      <c r="C412" s="32">
        <v>44398</v>
      </c>
      <c r="D412" s="38">
        <v>89.68</v>
      </c>
      <c r="E412" s="38">
        <v>91.03</v>
      </c>
      <c r="F412" s="38">
        <v>92.09</v>
      </c>
      <c r="G412" s="38">
        <v>95.81</v>
      </c>
      <c r="H412" s="38">
        <v>97.81</v>
      </c>
      <c r="I412" s="38">
        <v>97.91</v>
      </c>
      <c r="J412" s="38">
        <v>97.74</v>
      </c>
      <c r="K412" s="38">
        <v>85.85</v>
      </c>
      <c r="L412" s="38">
        <v>64.930000000000007</v>
      </c>
      <c r="M412" s="38">
        <v>56.43</v>
      </c>
      <c r="N412" s="38">
        <v>52.96</v>
      </c>
      <c r="O412" s="38">
        <v>52.27</v>
      </c>
      <c r="P412" s="38">
        <v>54.22</v>
      </c>
      <c r="Q412" s="38">
        <v>55.9</v>
      </c>
      <c r="R412" s="38">
        <v>58.49</v>
      </c>
      <c r="S412" s="38">
        <v>60.53</v>
      </c>
      <c r="T412" s="38">
        <v>62.4</v>
      </c>
      <c r="U412" s="38">
        <v>64.86</v>
      </c>
      <c r="V412" s="38">
        <v>64.27</v>
      </c>
      <c r="W412" s="38">
        <v>59.97</v>
      </c>
      <c r="X412" s="38">
        <v>52.27</v>
      </c>
      <c r="Y412" s="38">
        <v>46.7</v>
      </c>
      <c r="Z412" s="38">
        <v>42.72</v>
      </c>
      <c r="AA412" s="38">
        <v>41.31</v>
      </c>
      <c r="AB412" s="38">
        <v>41.49</v>
      </c>
      <c r="AC412" s="38">
        <v>44.16</v>
      </c>
      <c r="AD412" s="38">
        <v>48.39</v>
      </c>
      <c r="AE412" s="38">
        <v>52.24</v>
      </c>
      <c r="AF412" s="38">
        <v>54.62</v>
      </c>
      <c r="AG412" s="38">
        <v>55.67</v>
      </c>
      <c r="AH412" s="38">
        <v>54.97</v>
      </c>
      <c r="AI412" s="38">
        <v>51.96</v>
      </c>
      <c r="AJ412" s="38">
        <v>45.26</v>
      </c>
      <c r="AK412" s="38">
        <v>42.39</v>
      </c>
      <c r="AL412" s="38">
        <v>41.04</v>
      </c>
      <c r="AM412" s="38">
        <v>40.33</v>
      </c>
      <c r="AN412" s="38">
        <v>40.97</v>
      </c>
      <c r="AO412" s="38">
        <v>43.1</v>
      </c>
      <c r="AP412" s="38">
        <v>49.04</v>
      </c>
      <c r="AQ412" s="38">
        <v>52.25</v>
      </c>
      <c r="AR412" s="38">
        <v>53.95</v>
      </c>
      <c r="AS412" s="38">
        <v>54.71</v>
      </c>
      <c r="AT412" s="38">
        <v>53.34</v>
      </c>
      <c r="AU412" s="38">
        <v>49.67</v>
      </c>
      <c r="AV412" s="38">
        <v>44.57</v>
      </c>
      <c r="AW412" s="38">
        <v>42.33</v>
      </c>
      <c r="AX412" s="38">
        <v>40.909999999999997</v>
      </c>
      <c r="AY412" s="38">
        <v>40.97</v>
      </c>
      <c r="BA412" s="37">
        <v>72.540000000000006</v>
      </c>
      <c r="BB412" s="38">
        <v>1.3674999999999999</v>
      </c>
    </row>
    <row r="413" spans="1:54" x14ac:dyDescent="0.35">
      <c r="A413" s="2">
        <f t="shared" si="6"/>
        <v>44399</v>
      </c>
      <c r="B413" t="s">
        <v>455</v>
      </c>
      <c r="C413" s="32">
        <v>44399</v>
      </c>
      <c r="D413" s="38">
        <v>89.68</v>
      </c>
      <c r="E413" s="38">
        <v>91.19</v>
      </c>
      <c r="F413" s="38">
        <v>92.33</v>
      </c>
      <c r="G413" s="38">
        <v>95.92</v>
      </c>
      <c r="H413" s="38">
        <v>97.76</v>
      </c>
      <c r="I413" s="38">
        <v>97.8</v>
      </c>
      <c r="J413" s="38">
        <v>97.69</v>
      </c>
      <c r="K413" s="38">
        <v>85.69</v>
      </c>
      <c r="L413" s="38">
        <v>64.489999999999995</v>
      </c>
      <c r="M413" s="38">
        <v>56.03</v>
      </c>
      <c r="N413" s="38">
        <v>52.61</v>
      </c>
      <c r="O413" s="38">
        <v>52.05</v>
      </c>
      <c r="P413" s="38">
        <v>54.07</v>
      </c>
      <c r="Q413" s="38">
        <v>55.79</v>
      </c>
      <c r="R413" s="38">
        <v>58.36</v>
      </c>
      <c r="S413" s="38">
        <v>60.45</v>
      </c>
      <c r="T413" s="38">
        <v>62.36</v>
      </c>
      <c r="U413" s="38">
        <v>64.819999999999993</v>
      </c>
      <c r="V413" s="38">
        <v>64.23</v>
      </c>
      <c r="W413" s="38">
        <v>59.98</v>
      </c>
      <c r="X413" s="38">
        <v>52.29</v>
      </c>
      <c r="Y413" s="38">
        <v>46.71</v>
      </c>
      <c r="Z413" s="38">
        <v>42.73</v>
      </c>
      <c r="AA413" s="38">
        <v>41.33</v>
      </c>
      <c r="AB413" s="38">
        <v>41.51</v>
      </c>
      <c r="AC413" s="38">
        <v>44.21</v>
      </c>
      <c r="AD413" s="38">
        <v>48.5</v>
      </c>
      <c r="AE413" s="38">
        <v>52.39</v>
      </c>
      <c r="AF413" s="38">
        <v>54.77</v>
      </c>
      <c r="AG413" s="38">
        <v>55.82</v>
      </c>
      <c r="AH413" s="38">
        <v>55.12</v>
      </c>
      <c r="AI413" s="38">
        <v>52.11</v>
      </c>
      <c r="AJ413" s="38">
        <v>45.41</v>
      </c>
      <c r="AK413" s="38">
        <v>42.54</v>
      </c>
      <c r="AL413" s="38">
        <v>41.19</v>
      </c>
      <c r="AM413" s="38">
        <v>40.479999999999997</v>
      </c>
      <c r="AN413" s="38">
        <v>41.12</v>
      </c>
      <c r="AO413" s="38">
        <v>43.25</v>
      </c>
      <c r="AP413" s="38">
        <v>49.19</v>
      </c>
      <c r="AQ413" s="38">
        <v>52.4</v>
      </c>
      <c r="AR413" s="38">
        <v>54.1</v>
      </c>
      <c r="AS413" s="38">
        <v>54.86</v>
      </c>
      <c r="AT413" s="38">
        <v>53.49</v>
      </c>
      <c r="AU413" s="38">
        <v>49.82</v>
      </c>
      <c r="AV413" s="38">
        <v>44.72</v>
      </c>
      <c r="AW413" s="38">
        <v>42.48</v>
      </c>
      <c r="AX413" s="38">
        <v>41.06</v>
      </c>
      <c r="AY413" s="38">
        <v>41.12</v>
      </c>
      <c r="BA413" s="37">
        <v>74.25</v>
      </c>
      <c r="BB413" s="38">
        <v>1.3755999999999999</v>
      </c>
    </row>
    <row r="414" spans="1:54" x14ac:dyDescent="0.35">
      <c r="A414" s="2">
        <f t="shared" si="6"/>
        <v>44400</v>
      </c>
      <c r="B414" t="s">
        <v>456</v>
      </c>
      <c r="C414" s="32">
        <v>44400</v>
      </c>
      <c r="D414" s="38">
        <v>88.44</v>
      </c>
      <c r="E414" s="38">
        <v>89.98</v>
      </c>
      <c r="F414" s="38">
        <v>90.91</v>
      </c>
      <c r="G414" s="38">
        <v>94.34</v>
      </c>
      <c r="H414" s="38">
        <v>96.1</v>
      </c>
      <c r="I414" s="38">
        <v>96.14</v>
      </c>
      <c r="J414" s="38">
        <v>95.95</v>
      </c>
      <c r="K414" s="38">
        <v>84.34</v>
      </c>
      <c r="L414" s="38">
        <v>63.79</v>
      </c>
      <c r="M414" s="38">
        <v>56.1</v>
      </c>
      <c r="N414" s="38">
        <v>53.1</v>
      </c>
      <c r="O414" s="38">
        <v>52.69</v>
      </c>
      <c r="P414" s="38">
        <v>54.61</v>
      </c>
      <c r="Q414" s="38">
        <v>56.16</v>
      </c>
      <c r="R414" s="38">
        <v>58.54</v>
      </c>
      <c r="S414" s="38">
        <v>60.45</v>
      </c>
      <c r="T414" s="38">
        <v>62.23</v>
      </c>
      <c r="U414" s="38">
        <v>64.739999999999995</v>
      </c>
      <c r="V414" s="38">
        <v>64.19</v>
      </c>
      <c r="W414" s="38">
        <v>59.97</v>
      </c>
      <c r="X414" s="38">
        <v>52.31</v>
      </c>
      <c r="Y414" s="38">
        <v>46.76</v>
      </c>
      <c r="Z414" s="38">
        <v>42.78</v>
      </c>
      <c r="AA414" s="38">
        <v>41.38</v>
      </c>
      <c r="AB414" s="38">
        <v>41.56</v>
      </c>
      <c r="AC414" s="38">
        <v>44.26</v>
      </c>
      <c r="AD414" s="38">
        <v>48.66</v>
      </c>
      <c r="AE414" s="38">
        <v>52.66</v>
      </c>
      <c r="AF414" s="38">
        <v>55.14</v>
      </c>
      <c r="AG414" s="38">
        <v>56.21</v>
      </c>
      <c r="AH414" s="38">
        <v>55.53</v>
      </c>
      <c r="AI414" s="38">
        <v>52.44</v>
      </c>
      <c r="AJ414" s="38">
        <v>45.35</v>
      </c>
      <c r="AK414" s="38">
        <v>42.12</v>
      </c>
      <c r="AL414" s="38">
        <v>40.53</v>
      </c>
      <c r="AM414" s="38">
        <v>39.619999999999997</v>
      </c>
      <c r="AN414" s="38">
        <v>40.26</v>
      </c>
      <c r="AO414" s="38">
        <v>42.39</v>
      </c>
      <c r="AP414" s="38">
        <v>48.33</v>
      </c>
      <c r="AQ414" s="38">
        <v>51.54</v>
      </c>
      <c r="AR414" s="38">
        <v>53.24</v>
      </c>
      <c r="AS414" s="38">
        <v>54</v>
      </c>
      <c r="AT414" s="38">
        <v>52.63</v>
      </c>
      <c r="AU414" s="38">
        <v>48.96</v>
      </c>
      <c r="AV414" s="38">
        <v>43.86</v>
      </c>
      <c r="AW414" s="38">
        <v>41.62</v>
      </c>
      <c r="AX414" s="38">
        <v>40.200000000000003</v>
      </c>
      <c r="AY414" s="38">
        <v>40.26</v>
      </c>
      <c r="BA414" s="37">
        <v>74.86</v>
      </c>
      <c r="BB414" s="38">
        <v>1.375</v>
      </c>
    </row>
    <row r="415" spans="1:54" x14ac:dyDescent="0.35">
      <c r="A415" s="2">
        <f t="shared" si="6"/>
        <v>44403</v>
      </c>
      <c r="B415" t="s">
        <v>457</v>
      </c>
      <c r="C415" s="32">
        <v>44403</v>
      </c>
      <c r="D415" s="38">
        <v>92.99</v>
      </c>
      <c r="E415" s="38">
        <v>94.11</v>
      </c>
      <c r="F415" s="38">
        <v>95</v>
      </c>
      <c r="G415" s="38">
        <v>97.24</v>
      </c>
      <c r="H415" s="38">
        <v>98.79</v>
      </c>
      <c r="I415" s="38">
        <v>98.79</v>
      </c>
      <c r="J415" s="38">
        <v>98.55</v>
      </c>
      <c r="K415" s="38">
        <v>86.45</v>
      </c>
      <c r="L415" s="38">
        <v>65.48</v>
      </c>
      <c r="M415" s="38">
        <v>57.25</v>
      </c>
      <c r="N415" s="38">
        <v>53.9</v>
      </c>
      <c r="O415" s="38">
        <v>53.14</v>
      </c>
      <c r="P415" s="38">
        <v>54.7</v>
      </c>
      <c r="Q415" s="38">
        <v>56.21</v>
      </c>
      <c r="R415" s="38">
        <v>58.8</v>
      </c>
      <c r="S415" s="38">
        <v>61.16</v>
      </c>
      <c r="T415" s="38">
        <v>63.42</v>
      </c>
      <c r="U415" s="38">
        <v>65.52</v>
      </c>
      <c r="V415" s="38">
        <v>64.97</v>
      </c>
      <c r="W415" s="38">
        <v>60.72</v>
      </c>
      <c r="X415" s="38">
        <v>53.31</v>
      </c>
      <c r="Y415" s="38">
        <v>47.8</v>
      </c>
      <c r="Z415" s="38">
        <v>43.86</v>
      </c>
      <c r="AA415" s="38">
        <v>42.46</v>
      </c>
      <c r="AB415" s="38">
        <v>42.64</v>
      </c>
      <c r="AC415" s="38">
        <v>45.21</v>
      </c>
      <c r="AD415" s="38">
        <v>49.17</v>
      </c>
      <c r="AE415" s="38">
        <v>52.97</v>
      </c>
      <c r="AF415" s="38">
        <v>55.35</v>
      </c>
      <c r="AG415" s="38">
        <v>56.37</v>
      </c>
      <c r="AH415" s="38">
        <v>55.69</v>
      </c>
      <c r="AI415" s="38">
        <v>52.67</v>
      </c>
      <c r="AJ415" s="38">
        <v>45.49</v>
      </c>
      <c r="AK415" s="38">
        <v>42.35</v>
      </c>
      <c r="AL415" s="38">
        <v>40.81</v>
      </c>
      <c r="AM415" s="38">
        <v>39.9</v>
      </c>
      <c r="AN415" s="38">
        <v>40.54</v>
      </c>
      <c r="AO415" s="38">
        <v>42.77</v>
      </c>
      <c r="AP415" s="38">
        <v>48.81</v>
      </c>
      <c r="AQ415" s="38">
        <v>52.17</v>
      </c>
      <c r="AR415" s="38">
        <v>54.02</v>
      </c>
      <c r="AS415" s="38">
        <v>54.78</v>
      </c>
      <c r="AT415" s="38">
        <v>53.36</v>
      </c>
      <c r="AU415" s="38">
        <v>49.54</v>
      </c>
      <c r="AV415" s="38">
        <v>44.24</v>
      </c>
      <c r="AW415" s="38">
        <v>41.75</v>
      </c>
      <c r="AX415" s="38">
        <v>40.130000000000003</v>
      </c>
      <c r="AY415" s="38">
        <v>39.99</v>
      </c>
      <c r="BA415" s="37">
        <v>74.790000000000006</v>
      </c>
      <c r="BB415" s="38">
        <v>1.3824000000000001</v>
      </c>
    </row>
    <row r="416" spans="1:54" x14ac:dyDescent="0.35">
      <c r="A416" s="2">
        <f t="shared" si="6"/>
        <v>44404</v>
      </c>
      <c r="B416" t="s">
        <v>458</v>
      </c>
      <c r="C416" s="32">
        <v>44404</v>
      </c>
      <c r="D416" s="38">
        <v>95.79</v>
      </c>
      <c r="E416" s="38">
        <v>96.13</v>
      </c>
      <c r="F416" s="38">
        <v>96.73</v>
      </c>
      <c r="G416" s="38">
        <v>98.98</v>
      </c>
      <c r="H416" s="38">
        <v>100.18</v>
      </c>
      <c r="I416" s="38">
        <v>100.12</v>
      </c>
      <c r="J416" s="38">
        <v>99.86</v>
      </c>
      <c r="K416" s="38">
        <v>86.76</v>
      </c>
      <c r="L416" s="38">
        <v>65.930000000000007</v>
      </c>
      <c r="M416" s="38">
        <v>57.73</v>
      </c>
      <c r="N416" s="38">
        <v>54.57</v>
      </c>
      <c r="O416" s="38">
        <v>54.15</v>
      </c>
      <c r="P416" s="38">
        <v>55.62</v>
      </c>
      <c r="Q416" s="38">
        <v>57.16</v>
      </c>
      <c r="R416" s="38">
        <v>59.39</v>
      </c>
      <c r="S416" s="38">
        <v>61.74</v>
      </c>
      <c r="T416" s="38">
        <v>63.97</v>
      </c>
      <c r="U416" s="38">
        <v>66.13</v>
      </c>
      <c r="V416" s="38">
        <v>65.58</v>
      </c>
      <c r="W416" s="38">
        <v>61.23</v>
      </c>
      <c r="X416" s="38">
        <v>53.74</v>
      </c>
      <c r="Y416" s="38">
        <v>48.05</v>
      </c>
      <c r="Z416" s="38">
        <v>44.03</v>
      </c>
      <c r="AA416" s="38">
        <v>42.2</v>
      </c>
      <c r="AB416" s="38">
        <v>42.34</v>
      </c>
      <c r="AC416" s="38">
        <v>44.91</v>
      </c>
      <c r="AD416" s="38">
        <v>49.38</v>
      </c>
      <c r="AE416" s="38">
        <v>53.39</v>
      </c>
      <c r="AF416" s="38">
        <v>55.9</v>
      </c>
      <c r="AG416" s="38">
        <v>56.94</v>
      </c>
      <c r="AH416" s="38">
        <v>56.26</v>
      </c>
      <c r="AI416" s="38">
        <v>53.13</v>
      </c>
      <c r="AJ416" s="38">
        <v>45.67</v>
      </c>
      <c r="AK416" s="38">
        <v>42.25</v>
      </c>
      <c r="AL416" s="38">
        <v>40.56</v>
      </c>
      <c r="AM416" s="38">
        <v>39.65</v>
      </c>
      <c r="AN416" s="38">
        <v>40.299999999999997</v>
      </c>
      <c r="AO416" s="38">
        <v>42.57</v>
      </c>
      <c r="AP416" s="38">
        <v>48.67</v>
      </c>
      <c r="AQ416" s="38">
        <v>52.17</v>
      </c>
      <c r="AR416" s="38">
        <v>54.02</v>
      </c>
      <c r="AS416" s="38">
        <v>54.78</v>
      </c>
      <c r="AT416" s="38">
        <v>53.61</v>
      </c>
      <c r="AU416" s="38">
        <v>50.06</v>
      </c>
      <c r="AV416" s="38">
        <v>44.93</v>
      </c>
      <c r="AW416" s="38">
        <v>42.39</v>
      </c>
      <c r="AX416" s="38">
        <v>40.75</v>
      </c>
      <c r="AY416" s="38">
        <v>40.479999999999997</v>
      </c>
      <c r="BA416" s="37">
        <v>74.87</v>
      </c>
      <c r="BB416" s="38">
        <v>1.3880999999999999</v>
      </c>
    </row>
    <row r="417" spans="1:54" x14ac:dyDescent="0.35">
      <c r="A417" s="2">
        <f t="shared" si="6"/>
        <v>44405</v>
      </c>
      <c r="B417" t="s">
        <v>459</v>
      </c>
      <c r="C417" s="32">
        <v>44405</v>
      </c>
      <c r="D417" s="38">
        <v>100.87</v>
      </c>
      <c r="E417" s="38">
        <v>101.53</v>
      </c>
      <c r="F417" s="38">
        <v>101.76</v>
      </c>
      <c r="G417" s="38">
        <v>103.84</v>
      </c>
      <c r="H417" s="38">
        <v>104.78</v>
      </c>
      <c r="I417" s="38">
        <v>104.53</v>
      </c>
      <c r="J417" s="38">
        <v>103.96</v>
      </c>
      <c r="K417" s="38">
        <v>89.1</v>
      </c>
      <c r="L417" s="38">
        <v>68.03</v>
      </c>
      <c r="M417" s="38">
        <v>59.73</v>
      </c>
      <c r="N417" s="38">
        <v>56.48</v>
      </c>
      <c r="O417" s="38">
        <v>56.07</v>
      </c>
      <c r="P417" s="38">
        <v>57.5</v>
      </c>
      <c r="Q417" s="38">
        <v>59</v>
      </c>
      <c r="R417" s="38">
        <v>61.07</v>
      </c>
      <c r="S417" s="38">
        <v>63.53</v>
      </c>
      <c r="T417" s="38">
        <v>65.77</v>
      </c>
      <c r="U417" s="38">
        <v>67.930000000000007</v>
      </c>
      <c r="V417" s="38">
        <v>67.38</v>
      </c>
      <c r="W417" s="38">
        <v>62.95</v>
      </c>
      <c r="X417" s="38">
        <v>54.9</v>
      </c>
      <c r="Y417" s="38">
        <v>48.65</v>
      </c>
      <c r="Z417" s="38">
        <v>44.32</v>
      </c>
      <c r="AA417" s="38">
        <v>42.33</v>
      </c>
      <c r="AB417" s="38">
        <v>42.44</v>
      </c>
      <c r="AC417" s="38">
        <v>45.06</v>
      </c>
      <c r="AD417" s="38">
        <v>49.72</v>
      </c>
      <c r="AE417" s="38">
        <v>53.88</v>
      </c>
      <c r="AF417" s="38">
        <v>56.55</v>
      </c>
      <c r="AG417" s="38">
        <v>57.62</v>
      </c>
      <c r="AH417" s="38">
        <v>56.99</v>
      </c>
      <c r="AI417" s="38">
        <v>53.91</v>
      </c>
      <c r="AJ417" s="38">
        <v>46.34</v>
      </c>
      <c r="AK417" s="38">
        <v>42.87</v>
      </c>
      <c r="AL417" s="38">
        <v>41.08</v>
      </c>
      <c r="AM417" s="38">
        <v>40.17</v>
      </c>
      <c r="AN417" s="38">
        <v>40.82</v>
      </c>
      <c r="AO417" s="38">
        <v>43.09</v>
      </c>
      <c r="AP417" s="38">
        <v>48.99</v>
      </c>
      <c r="AQ417" s="38">
        <v>52.34</v>
      </c>
      <c r="AR417" s="38">
        <v>54.09</v>
      </c>
      <c r="AS417" s="38">
        <v>54.85</v>
      </c>
      <c r="AT417" s="38">
        <v>53.68</v>
      </c>
      <c r="AU417" s="38">
        <v>50.13</v>
      </c>
      <c r="AV417" s="38">
        <v>44.95</v>
      </c>
      <c r="AW417" s="38">
        <v>42.36</v>
      </c>
      <c r="AX417" s="38">
        <v>40.72</v>
      </c>
      <c r="AY417" s="38">
        <v>40.450000000000003</v>
      </c>
      <c r="BA417" s="37">
        <v>75.09</v>
      </c>
      <c r="BB417" s="38">
        <v>1.3871</v>
      </c>
    </row>
    <row r="418" spans="1:54" x14ac:dyDescent="0.35">
      <c r="A418" s="2">
        <f t="shared" si="6"/>
        <v>44406</v>
      </c>
      <c r="B418" t="s">
        <v>460</v>
      </c>
      <c r="C418" s="32">
        <v>44406</v>
      </c>
      <c r="D418" s="38">
        <v>104.6</v>
      </c>
      <c r="E418" s="38">
        <v>104.97</v>
      </c>
      <c r="F418" s="38">
        <v>105.35</v>
      </c>
      <c r="G418" s="38">
        <v>106.75</v>
      </c>
      <c r="H418" s="38">
        <v>107.72</v>
      </c>
      <c r="I418" s="38">
        <v>107.57</v>
      </c>
      <c r="J418" s="38">
        <v>106.97</v>
      </c>
      <c r="K418" s="38">
        <v>90.01</v>
      </c>
      <c r="L418" s="38">
        <v>68.959999999999994</v>
      </c>
      <c r="M418" s="38">
        <v>60.42</v>
      </c>
      <c r="N418" s="38">
        <v>57.43</v>
      </c>
      <c r="O418" s="38">
        <v>57.29</v>
      </c>
      <c r="P418" s="38">
        <v>58.54</v>
      </c>
      <c r="Q418" s="38">
        <v>59.86</v>
      </c>
      <c r="R418" s="38">
        <v>62.08</v>
      </c>
      <c r="S418" s="38">
        <v>64.31</v>
      </c>
      <c r="T418" s="38">
        <v>66.430000000000007</v>
      </c>
      <c r="U418" s="38">
        <v>68.430000000000007</v>
      </c>
      <c r="V418" s="38">
        <v>67.88</v>
      </c>
      <c r="W418" s="38">
        <v>63.45</v>
      </c>
      <c r="X418" s="38">
        <v>55.48</v>
      </c>
      <c r="Y418" s="38">
        <v>49.23</v>
      </c>
      <c r="Z418" s="38">
        <v>44.9</v>
      </c>
      <c r="AA418" s="38">
        <v>42.82</v>
      </c>
      <c r="AB418" s="38">
        <v>42.85</v>
      </c>
      <c r="AC418" s="38">
        <v>45.46</v>
      </c>
      <c r="AD418" s="38">
        <v>50.07</v>
      </c>
      <c r="AE418" s="38">
        <v>54.09</v>
      </c>
      <c r="AF418" s="38">
        <v>56.76</v>
      </c>
      <c r="AG418" s="38">
        <v>57.83</v>
      </c>
      <c r="AH418" s="38">
        <v>57.2</v>
      </c>
      <c r="AI418" s="38">
        <v>54.14</v>
      </c>
      <c r="AJ418" s="38">
        <v>46.52</v>
      </c>
      <c r="AK418" s="38">
        <v>43.02</v>
      </c>
      <c r="AL418" s="38">
        <v>41.22</v>
      </c>
      <c r="AM418" s="38">
        <v>40.39</v>
      </c>
      <c r="AN418" s="38">
        <v>41.11</v>
      </c>
      <c r="AO418" s="38">
        <v>43.45</v>
      </c>
      <c r="AP418" s="38">
        <v>49.2</v>
      </c>
      <c r="AQ418" s="38">
        <v>52.51</v>
      </c>
      <c r="AR418" s="38">
        <v>54.26</v>
      </c>
      <c r="AS418" s="38">
        <v>55.02</v>
      </c>
      <c r="AT418" s="38">
        <v>53.85</v>
      </c>
      <c r="AU418" s="38">
        <v>50.3</v>
      </c>
      <c r="AV418" s="38">
        <v>45.1</v>
      </c>
      <c r="AW418" s="38">
        <v>42.51</v>
      </c>
      <c r="AX418" s="38">
        <v>40.869999999999997</v>
      </c>
      <c r="AY418" s="38">
        <v>40.6</v>
      </c>
      <c r="BA418" s="37">
        <v>76.3</v>
      </c>
      <c r="BB418" s="38">
        <v>1.3975</v>
      </c>
    </row>
    <row r="419" spans="1:54" x14ac:dyDescent="0.35">
      <c r="A419" s="2">
        <f t="shared" si="6"/>
        <v>44407</v>
      </c>
      <c r="B419" t="s">
        <v>461</v>
      </c>
      <c r="C419" s="32">
        <v>44407</v>
      </c>
      <c r="D419" s="38">
        <v>103.75</v>
      </c>
      <c r="E419" s="38">
        <v>104.51</v>
      </c>
      <c r="F419" s="38">
        <v>106.1</v>
      </c>
      <c r="G419" s="38">
        <v>106.95</v>
      </c>
      <c r="H419" s="38">
        <v>106.93</v>
      </c>
      <c r="I419" s="38">
        <v>106.24</v>
      </c>
      <c r="J419" s="38">
        <v>89.12</v>
      </c>
      <c r="K419" s="38">
        <v>69.5</v>
      </c>
      <c r="L419" s="38">
        <v>60.26</v>
      </c>
      <c r="M419" s="38">
        <v>57.7</v>
      </c>
      <c r="N419" s="38">
        <v>57.43</v>
      </c>
      <c r="O419" s="38">
        <v>58.54</v>
      </c>
      <c r="P419" s="38">
        <v>59.75</v>
      </c>
      <c r="Q419" s="38">
        <v>62.41</v>
      </c>
      <c r="R419" s="38">
        <v>64.66</v>
      </c>
      <c r="S419" s="38">
        <v>66.77</v>
      </c>
      <c r="T419" s="38">
        <v>68.61</v>
      </c>
      <c r="U419" s="38">
        <v>68.260000000000005</v>
      </c>
      <c r="V419" s="38">
        <v>63.86</v>
      </c>
      <c r="W419" s="38">
        <v>55.79</v>
      </c>
      <c r="X419" s="38">
        <v>49.44</v>
      </c>
      <c r="Y419" s="38">
        <v>45.08</v>
      </c>
      <c r="Z419" s="38">
        <v>42.97</v>
      </c>
      <c r="AA419" s="38">
        <v>42.96</v>
      </c>
      <c r="AB419" s="38">
        <v>45.54</v>
      </c>
      <c r="AC419" s="38">
        <v>50.15</v>
      </c>
      <c r="AD419" s="38">
        <v>54.17</v>
      </c>
      <c r="AE419" s="38">
        <v>56.84</v>
      </c>
      <c r="AF419" s="38">
        <v>57.91</v>
      </c>
      <c r="AG419" s="38">
        <v>57.28</v>
      </c>
      <c r="AH419" s="38">
        <v>54.22</v>
      </c>
      <c r="AI419" s="38">
        <v>46.48</v>
      </c>
      <c r="AJ419" s="38">
        <v>42.86</v>
      </c>
      <c r="AK419" s="38">
        <v>40.950000000000003</v>
      </c>
      <c r="AL419" s="38">
        <v>40.1</v>
      </c>
      <c r="AM419" s="38">
        <v>40.82</v>
      </c>
      <c r="AN419" s="38">
        <v>43.16</v>
      </c>
      <c r="AO419" s="38">
        <v>48.91</v>
      </c>
      <c r="AP419" s="38">
        <v>52.22</v>
      </c>
      <c r="AQ419" s="38">
        <v>53.97</v>
      </c>
      <c r="AR419" s="38">
        <v>54.73</v>
      </c>
      <c r="AS419" s="38">
        <v>53.56</v>
      </c>
      <c r="AT419" s="38">
        <v>50.01</v>
      </c>
      <c r="AU419" s="38">
        <v>44.81</v>
      </c>
      <c r="AV419" s="38">
        <v>42.22</v>
      </c>
      <c r="AW419" s="38">
        <v>40.58</v>
      </c>
      <c r="AX419" s="38">
        <v>40.31</v>
      </c>
      <c r="AY419" s="38">
        <v>40.79</v>
      </c>
      <c r="BA419" s="37">
        <v>77.72</v>
      </c>
      <c r="BB419" s="38">
        <v>1.3907</v>
      </c>
    </row>
    <row r="420" spans="1:54" x14ac:dyDescent="0.35">
      <c r="A420" s="2">
        <f t="shared" si="6"/>
        <v>44410</v>
      </c>
      <c r="B420" t="s">
        <v>462</v>
      </c>
      <c r="C420" s="32">
        <v>44410</v>
      </c>
      <c r="D420" s="38">
        <v>107.38</v>
      </c>
      <c r="E420" s="38">
        <v>107.94</v>
      </c>
      <c r="F420" s="38">
        <v>109.89</v>
      </c>
      <c r="G420" s="38">
        <v>111.04</v>
      </c>
      <c r="H420" s="38">
        <v>110.74</v>
      </c>
      <c r="I420" s="38">
        <v>110.08</v>
      </c>
      <c r="J420" s="38">
        <v>91.08</v>
      </c>
      <c r="K420" s="38">
        <v>70.45</v>
      </c>
      <c r="L420" s="38">
        <v>61.02</v>
      </c>
      <c r="M420" s="38">
        <v>58.42</v>
      </c>
      <c r="N420" s="38">
        <v>58.16</v>
      </c>
      <c r="O420" s="38">
        <v>59.02</v>
      </c>
      <c r="P420" s="38">
        <v>60.06</v>
      </c>
      <c r="Q420" s="38">
        <v>62.78</v>
      </c>
      <c r="R420" s="38">
        <v>65.010000000000005</v>
      </c>
      <c r="S420" s="38">
        <v>67.03</v>
      </c>
      <c r="T420" s="38">
        <v>68.87</v>
      </c>
      <c r="U420" s="38">
        <v>68.52</v>
      </c>
      <c r="V420" s="38">
        <v>64.12</v>
      </c>
      <c r="W420" s="38">
        <v>56.05</v>
      </c>
      <c r="X420" s="38">
        <v>49.7</v>
      </c>
      <c r="Y420" s="38">
        <v>45.34</v>
      </c>
      <c r="Z420" s="38">
        <v>43.23</v>
      </c>
      <c r="AA420" s="38">
        <v>43.3</v>
      </c>
      <c r="AB420" s="38">
        <v>45.87</v>
      </c>
      <c r="AC420" s="38">
        <v>50.46</v>
      </c>
      <c r="AD420" s="38">
        <v>54.48</v>
      </c>
      <c r="AE420" s="38">
        <v>57.15</v>
      </c>
      <c r="AF420" s="38">
        <v>58.22</v>
      </c>
      <c r="AG420" s="38">
        <v>57.59</v>
      </c>
      <c r="AH420" s="38">
        <v>54.53</v>
      </c>
      <c r="AI420" s="38">
        <v>46.79</v>
      </c>
      <c r="AJ420" s="38">
        <v>43.17</v>
      </c>
      <c r="AK420" s="38">
        <v>41.26</v>
      </c>
      <c r="AL420" s="38">
        <v>40.409999999999997</v>
      </c>
      <c r="AM420" s="38">
        <v>41.13</v>
      </c>
      <c r="AN420" s="38">
        <v>43.47</v>
      </c>
      <c r="AO420" s="38">
        <v>49.22</v>
      </c>
      <c r="AP420" s="38">
        <v>52.53</v>
      </c>
      <c r="AQ420" s="38">
        <v>54.28</v>
      </c>
      <c r="AR420" s="38">
        <v>55.04</v>
      </c>
      <c r="AS420" s="38">
        <v>53.87</v>
      </c>
      <c r="AT420" s="38">
        <v>50.32</v>
      </c>
      <c r="AU420" s="38">
        <v>45.12</v>
      </c>
      <c r="AV420" s="38">
        <v>42.53</v>
      </c>
      <c r="AW420" s="38">
        <v>40.89</v>
      </c>
      <c r="AX420" s="38">
        <v>40.619999999999997</v>
      </c>
      <c r="AY420" s="38">
        <v>41.1</v>
      </c>
      <c r="BA420" s="37">
        <v>73.91</v>
      </c>
      <c r="BB420" s="38">
        <v>1.3897999999999999</v>
      </c>
    </row>
    <row r="421" spans="1:54" x14ac:dyDescent="0.35">
      <c r="A421" s="2">
        <f t="shared" si="6"/>
        <v>44411</v>
      </c>
      <c r="B421" t="s">
        <v>463</v>
      </c>
      <c r="C421" s="32">
        <v>44411</v>
      </c>
      <c r="D421" s="38">
        <v>104.59</v>
      </c>
      <c r="E421" s="38">
        <v>105.39</v>
      </c>
      <c r="F421" s="38">
        <v>107.21</v>
      </c>
      <c r="G421" s="38">
        <v>107.96</v>
      </c>
      <c r="H421" s="38">
        <v>107.76</v>
      </c>
      <c r="I421" s="38">
        <v>107.01</v>
      </c>
      <c r="J421" s="38">
        <v>89.05</v>
      </c>
      <c r="K421" s="38">
        <v>69.510000000000005</v>
      </c>
      <c r="L421" s="38">
        <v>60.89</v>
      </c>
      <c r="M421" s="38">
        <v>58.57</v>
      </c>
      <c r="N421" s="38">
        <v>58.4</v>
      </c>
      <c r="O421" s="38">
        <v>59.22</v>
      </c>
      <c r="P421" s="38">
        <v>60.16</v>
      </c>
      <c r="Q421" s="38">
        <v>62.89</v>
      </c>
      <c r="R421" s="38">
        <v>65.040000000000006</v>
      </c>
      <c r="S421" s="38">
        <v>67.02</v>
      </c>
      <c r="T421" s="38">
        <v>68.790000000000006</v>
      </c>
      <c r="U421" s="38">
        <v>68.39</v>
      </c>
      <c r="V421" s="38">
        <v>63.92</v>
      </c>
      <c r="W421" s="38">
        <v>55.79</v>
      </c>
      <c r="X421" s="38">
        <v>49.38</v>
      </c>
      <c r="Y421" s="38">
        <v>44.95</v>
      </c>
      <c r="Z421" s="38">
        <v>42.84</v>
      </c>
      <c r="AA421" s="38">
        <v>42.92</v>
      </c>
      <c r="AB421" s="38">
        <v>45.5</v>
      </c>
      <c r="AC421" s="38">
        <v>50.15</v>
      </c>
      <c r="AD421" s="38">
        <v>54.13</v>
      </c>
      <c r="AE421" s="38">
        <v>56.8</v>
      </c>
      <c r="AF421" s="38">
        <v>57.87</v>
      </c>
      <c r="AG421" s="38">
        <v>57.24</v>
      </c>
      <c r="AH421" s="38">
        <v>54.2</v>
      </c>
      <c r="AI421" s="38">
        <v>46.49</v>
      </c>
      <c r="AJ421" s="38">
        <v>42.91</v>
      </c>
      <c r="AK421" s="38">
        <v>41.07</v>
      </c>
      <c r="AL421" s="38">
        <v>40.229999999999997</v>
      </c>
      <c r="AM421" s="38">
        <v>40.99</v>
      </c>
      <c r="AN421" s="38">
        <v>43.36</v>
      </c>
      <c r="AO421" s="38">
        <v>49.12</v>
      </c>
      <c r="AP421" s="38">
        <v>52.45</v>
      </c>
      <c r="AQ421" s="38">
        <v>54.26</v>
      </c>
      <c r="AR421" s="38">
        <v>55.02</v>
      </c>
      <c r="AS421" s="38">
        <v>53.85</v>
      </c>
      <c r="AT421" s="38">
        <v>50.31</v>
      </c>
      <c r="AU421" s="38">
        <v>45.2</v>
      </c>
      <c r="AV421" s="38">
        <v>42.61</v>
      </c>
      <c r="AW421" s="38">
        <v>40.97</v>
      </c>
      <c r="AX421" s="38">
        <v>40.700000000000003</v>
      </c>
      <c r="AY421" s="38">
        <v>41.18</v>
      </c>
      <c r="BA421" s="37">
        <v>73.239999999999995</v>
      </c>
      <c r="BB421" s="38">
        <v>1.3892</v>
      </c>
    </row>
    <row r="422" spans="1:54" x14ac:dyDescent="0.35">
      <c r="A422" s="2">
        <f t="shared" si="6"/>
        <v>44412</v>
      </c>
      <c r="B422" t="s">
        <v>464</v>
      </c>
      <c r="C422" s="32">
        <v>44412</v>
      </c>
      <c r="D422" s="38">
        <v>106.92</v>
      </c>
      <c r="E422" s="38">
        <v>107.61</v>
      </c>
      <c r="F422" s="38">
        <v>109.28</v>
      </c>
      <c r="G422" s="38">
        <v>110</v>
      </c>
      <c r="H422" s="38">
        <v>109.73</v>
      </c>
      <c r="I422" s="38">
        <v>108.72</v>
      </c>
      <c r="J422" s="38">
        <v>91.34</v>
      </c>
      <c r="K422" s="38">
        <v>71.34</v>
      </c>
      <c r="L422" s="38">
        <v>62.75</v>
      </c>
      <c r="M422" s="38">
        <v>60.28</v>
      </c>
      <c r="N422" s="38">
        <v>60.11</v>
      </c>
      <c r="O422" s="38">
        <v>60.73</v>
      </c>
      <c r="P422" s="38">
        <v>61.67</v>
      </c>
      <c r="Q422" s="38">
        <v>64.430000000000007</v>
      </c>
      <c r="R422" s="38">
        <v>66.55</v>
      </c>
      <c r="S422" s="38">
        <v>68.540000000000006</v>
      </c>
      <c r="T422" s="38">
        <v>70.400000000000006</v>
      </c>
      <c r="U422" s="38">
        <v>70</v>
      </c>
      <c r="V422" s="38">
        <v>65.34</v>
      </c>
      <c r="W422" s="38">
        <v>56.82</v>
      </c>
      <c r="X422" s="38">
        <v>50.21</v>
      </c>
      <c r="Y422" s="38">
        <v>45.65</v>
      </c>
      <c r="Z422" s="38">
        <v>43.44</v>
      </c>
      <c r="AA422" s="38">
        <v>43.4</v>
      </c>
      <c r="AB422" s="38">
        <v>45.84</v>
      </c>
      <c r="AC422" s="38">
        <v>50.41</v>
      </c>
      <c r="AD422" s="38">
        <v>54.39</v>
      </c>
      <c r="AE422" s="38">
        <v>57.06</v>
      </c>
      <c r="AF422" s="38">
        <v>58.13</v>
      </c>
      <c r="AG422" s="38">
        <v>57.5</v>
      </c>
      <c r="AH422" s="38">
        <v>54.46</v>
      </c>
      <c r="AI422" s="38">
        <v>46.7</v>
      </c>
      <c r="AJ422" s="38">
        <v>43.12</v>
      </c>
      <c r="AK422" s="38">
        <v>41.28</v>
      </c>
      <c r="AL422" s="38">
        <v>40.44</v>
      </c>
      <c r="AM422" s="38">
        <v>41.2</v>
      </c>
      <c r="AN422" s="38">
        <v>43.57</v>
      </c>
      <c r="AO422" s="38">
        <v>49.29</v>
      </c>
      <c r="AP422" s="38">
        <v>52.62</v>
      </c>
      <c r="AQ422" s="38">
        <v>54.43</v>
      </c>
      <c r="AR422" s="38">
        <v>55.19</v>
      </c>
      <c r="AS422" s="38">
        <v>54.02</v>
      </c>
      <c r="AT422" s="38">
        <v>50.48</v>
      </c>
      <c r="AU422" s="38">
        <v>45.37</v>
      </c>
      <c r="AV422" s="38">
        <v>42.78</v>
      </c>
      <c r="AW422" s="38">
        <v>41.14</v>
      </c>
      <c r="AX422" s="38">
        <v>40.869999999999997</v>
      </c>
      <c r="AY422" s="38">
        <v>41.35</v>
      </c>
      <c r="BA422" s="37">
        <v>70.989999999999995</v>
      </c>
      <c r="BB422" s="38">
        <v>1.3908</v>
      </c>
    </row>
    <row r="423" spans="1:54" x14ac:dyDescent="0.35">
      <c r="A423" s="2">
        <f t="shared" si="6"/>
        <v>44413</v>
      </c>
      <c r="B423" t="s">
        <v>465</v>
      </c>
      <c r="C423" s="32">
        <v>44413</v>
      </c>
      <c r="D423" s="38">
        <v>108.56</v>
      </c>
      <c r="E423" s="38">
        <v>109.44</v>
      </c>
      <c r="F423" s="38">
        <v>111.3</v>
      </c>
      <c r="G423" s="38">
        <v>111.94</v>
      </c>
      <c r="H423" s="38">
        <v>111.93</v>
      </c>
      <c r="I423" s="38">
        <v>111.17</v>
      </c>
      <c r="J423" s="38">
        <v>94.01</v>
      </c>
      <c r="K423" s="38">
        <v>73.77</v>
      </c>
      <c r="L423" s="38">
        <v>65.2</v>
      </c>
      <c r="M423" s="38">
        <v>62.71</v>
      </c>
      <c r="N423" s="38">
        <v>62.52</v>
      </c>
      <c r="O423" s="38">
        <v>63.14</v>
      </c>
      <c r="P423" s="38">
        <v>64.08</v>
      </c>
      <c r="Q423" s="38">
        <v>67.11</v>
      </c>
      <c r="R423" s="38">
        <v>69.16</v>
      </c>
      <c r="S423" s="38">
        <v>71.180000000000007</v>
      </c>
      <c r="T423" s="38">
        <v>73.13</v>
      </c>
      <c r="U423" s="38">
        <v>72.790000000000006</v>
      </c>
      <c r="V423" s="38">
        <v>67.739999999999995</v>
      </c>
      <c r="W423" s="38">
        <v>58.38</v>
      </c>
      <c r="X423" s="38">
        <v>51.28</v>
      </c>
      <c r="Y423" s="38">
        <v>46.63</v>
      </c>
      <c r="Z423" s="38">
        <v>44.37</v>
      </c>
      <c r="AA423" s="38">
        <v>44.33</v>
      </c>
      <c r="AB423" s="38">
        <v>46.74</v>
      </c>
      <c r="AC423" s="38">
        <v>51.34</v>
      </c>
      <c r="AD423" s="38">
        <v>55.34</v>
      </c>
      <c r="AE423" s="38">
        <v>58.01</v>
      </c>
      <c r="AF423" s="38">
        <v>59.08</v>
      </c>
      <c r="AG423" s="38">
        <v>58.45</v>
      </c>
      <c r="AH423" s="38">
        <v>55.41</v>
      </c>
      <c r="AI423" s="38">
        <v>47.53</v>
      </c>
      <c r="AJ423" s="38">
        <v>43.95</v>
      </c>
      <c r="AK423" s="38">
        <v>42.15</v>
      </c>
      <c r="AL423" s="38">
        <v>41.35</v>
      </c>
      <c r="AM423" s="38">
        <v>42.15</v>
      </c>
      <c r="AN423" s="38">
        <v>44.57</v>
      </c>
      <c r="AO423" s="38">
        <v>49.64</v>
      </c>
      <c r="AP423" s="38">
        <v>52.97</v>
      </c>
      <c r="AQ423" s="38">
        <v>54.78</v>
      </c>
      <c r="AR423" s="38">
        <v>55.54</v>
      </c>
      <c r="AS423" s="38">
        <v>54.37</v>
      </c>
      <c r="AT423" s="38">
        <v>50.83</v>
      </c>
      <c r="AU423" s="38">
        <v>45.72</v>
      </c>
      <c r="AV423" s="38">
        <v>43.13</v>
      </c>
      <c r="AW423" s="38">
        <v>41.49</v>
      </c>
      <c r="AX423" s="38">
        <v>41.22</v>
      </c>
      <c r="AY423" s="38">
        <v>41.7</v>
      </c>
      <c r="BA423" s="37">
        <v>72.14</v>
      </c>
      <c r="BB423" s="38">
        <v>1.3933</v>
      </c>
    </row>
    <row r="424" spans="1:54" x14ac:dyDescent="0.35">
      <c r="A424" s="2">
        <f t="shared" si="6"/>
        <v>44414</v>
      </c>
      <c r="B424" t="s">
        <v>466</v>
      </c>
      <c r="C424" s="32">
        <v>44414</v>
      </c>
      <c r="D424" s="38">
        <v>108.04</v>
      </c>
      <c r="E424" s="38">
        <v>109.26</v>
      </c>
      <c r="F424" s="38">
        <v>111.57</v>
      </c>
      <c r="G424" s="38">
        <v>112.8</v>
      </c>
      <c r="H424" s="38">
        <v>112.95</v>
      </c>
      <c r="I424" s="38">
        <v>112.36</v>
      </c>
      <c r="J424" s="38">
        <v>96.24</v>
      </c>
      <c r="K424" s="38">
        <v>75.69</v>
      </c>
      <c r="L424" s="38">
        <v>67.02</v>
      </c>
      <c r="M424" s="38">
        <v>64.489999999999995</v>
      </c>
      <c r="N424" s="38">
        <v>64.38</v>
      </c>
      <c r="O424" s="38">
        <v>64.84</v>
      </c>
      <c r="P424" s="38">
        <v>65.62</v>
      </c>
      <c r="Q424" s="38">
        <v>68.59</v>
      </c>
      <c r="R424" s="38">
        <v>70.64</v>
      </c>
      <c r="S424" s="38">
        <v>73.260000000000005</v>
      </c>
      <c r="T424" s="38">
        <v>75.540000000000006</v>
      </c>
      <c r="U424" s="38">
        <v>74.709999999999994</v>
      </c>
      <c r="V424" s="38">
        <v>68.81</v>
      </c>
      <c r="W424" s="38">
        <v>59.31</v>
      </c>
      <c r="X424" s="38">
        <v>51.31</v>
      </c>
      <c r="Y424" s="38">
        <v>46.06</v>
      </c>
      <c r="Z424" s="38">
        <v>43.5</v>
      </c>
      <c r="AA424" s="38">
        <v>43.46</v>
      </c>
      <c r="AB424" s="38">
        <v>46.08</v>
      </c>
      <c r="AC424" s="38">
        <v>51</v>
      </c>
      <c r="AD424" s="38">
        <v>55.11</v>
      </c>
      <c r="AE424" s="38">
        <v>58.03</v>
      </c>
      <c r="AF424" s="38">
        <v>59.1</v>
      </c>
      <c r="AG424" s="38">
        <v>58.37</v>
      </c>
      <c r="AH424" s="38">
        <v>55.21</v>
      </c>
      <c r="AI424" s="38">
        <v>47.23</v>
      </c>
      <c r="AJ424" s="38">
        <v>43.65</v>
      </c>
      <c r="AK424" s="38">
        <v>41.85</v>
      </c>
      <c r="AL424" s="38">
        <v>41.05</v>
      </c>
      <c r="AM424" s="38">
        <v>41.85</v>
      </c>
      <c r="AN424" s="38">
        <v>44.27</v>
      </c>
      <c r="AO424" s="38">
        <v>49.34</v>
      </c>
      <c r="AP424" s="38">
        <v>52.67</v>
      </c>
      <c r="AQ424" s="38">
        <v>54.48</v>
      </c>
      <c r="AR424" s="38">
        <v>55.24</v>
      </c>
      <c r="AS424" s="38">
        <v>54.22</v>
      </c>
      <c r="AT424" s="38">
        <v>50.79</v>
      </c>
      <c r="AU424" s="38">
        <v>45.68</v>
      </c>
      <c r="AV424" s="38">
        <v>43.09</v>
      </c>
      <c r="AW424" s="38">
        <v>41.45</v>
      </c>
      <c r="AX424" s="38">
        <v>41.18</v>
      </c>
      <c r="AY424" s="38">
        <v>41.66</v>
      </c>
      <c r="BA424" s="37">
        <v>71.02</v>
      </c>
      <c r="BB424" s="38">
        <v>1.3868</v>
      </c>
    </row>
    <row r="425" spans="1:54" x14ac:dyDescent="0.35">
      <c r="A425" s="2">
        <f t="shared" si="6"/>
        <v>44417</v>
      </c>
      <c r="B425" t="s">
        <v>467</v>
      </c>
      <c r="C425" s="32">
        <v>44417</v>
      </c>
      <c r="D425" s="38">
        <v>107.28</v>
      </c>
      <c r="E425" s="38">
        <v>108.7</v>
      </c>
      <c r="F425" s="38">
        <v>111.38</v>
      </c>
      <c r="G425" s="38">
        <v>112.5</v>
      </c>
      <c r="H425" s="38">
        <v>112.35</v>
      </c>
      <c r="I425" s="38">
        <v>111.83</v>
      </c>
      <c r="J425" s="38">
        <v>97.58</v>
      </c>
      <c r="K425" s="38">
        <v>75.73</v>
      </c>
      <c r="L425" s="38">
        <v>66.86</v>
      </c>
      <c r="M425" s="38">
        <v>64.349999999999994</v>
      </c>
      <c r="N425" s="38">
        <v>64.64</v>
      </c>
      <c r="O425" s="38">
        <v>65.099999999999994</v>
      </c>
      <c r="P425" s="38">
        <v>65.819999999999993</v>
      </c>
      <c r="Q425" s="38">
        <v>68.599999999999994</v>
      </c>
      <c r="R425" s="38">
        <v>70.47</v>
      </c>
      <c r="S425" s="38">
        <v>73.03</v>
      </c>
      <c r="T425" s="38">
        <v>75.3</v>
      </c>
      <c r="U425" s="38">
        <v>74.47</v>
      </c>
      <c r="V425" s="38">
        <v>68.58</v>
      </c>
      <c r="W425" s="38">
        <v>59.15</v>
      </c>
      <c r="X425" s="38">
        <v>51.2</v>
      </c>
      <c r="Y425" s="38">
        <v>45.95</v>
      </c>
      <c r="Z425" s="38">
        <v>43.39</v>
      </c>
      <c r="AA425" s="38">
        <v>43.35</v>
      </c>
      <c r="AB425" s="38">
        <v>45.79</v>
      </c>
      <c r="AC425" s="38">
        <v>50.54</v>
      </c>
      <c r="AD425" s="38">
        <v>54.5</v>
      </c>
      <c r="AE425" s="38">
        <v>57.42</v>
      </c>
      <c r="AF425" s="38">
        <v>58.49</v>
      </c>
      <c r="AG425" s="38">
        <v>57.76</v>
      </c>
      <c r="AH425" s="38">
        <v>54.6</v>
      </c>
      <c r="AI425" s="38">
        <v>46.7</v>
      </c>
      <c r="AJ425" s="38">
        <v>43.12</v>
      </c>
      <c r="AK425" s="38">
        <v>41.32</v>
      </c>
      <c r="AL425" s="38">
        <v>40.520000000000003</v>
      </c>
      <c r="AM425" s="38">
        <v>41.32</v>
      </c>
      <c r="AN425" s="38">
        <v>43.74</v>
      </c>
      <c r="AO425" s="38">
        <v>48.81</v>
      </c>
      <c r="AP425" s="38">
        <v>52.14</v>
      </c>
      <c r="AQ425" s="38">
        <v>53.95</v>
      </c>
      <c r="AR425" s="38">
        <v>54.71</v>
      </c>
      <c r="AS425" s="38">
        <v>53.69</v>
      </c>
      <c r="AT425" s="38">
        <v>50.26</v>
      </c>
      <c r="AU425" s="38">
        <v>45.21</v>
      </c>
      <c r="AV425" s="38">
        <v>42.62</v>
      </c>
      <c r="AW425" s="38">
        <v>40.98</v>
      </c>
      <c r="AX425" s="38">
        <v>40.71</v>
      </c>
      <c r="AY425" s="38">
        <v>41.19</v>
      </c>
      <c r="BA425" s="37">
        <v>69.650000000000006</v>
      </c>
      <c r="BB425" s="38">
        <v>1.3848</v>
      </c>
    </row>
    <row r="426" spans="1:54" x14ac:dyDescent="0.35">
      <c r="A426" s="2">
        <f t="shared" si="6"/>
        <v>44418</v>
      </c>
      <c r="B426" t="s">
        <v>468</v>
      </c>
      <c r="C426" s="32">
        <v>44418</v>
      </c>
      <c r="D426" s="38">
        <v>111.55</v>
      </c>
      <c r="E426" s="38">
        <v>112.76</v>
      </c>
      <c r="F426" s="38">
        <v>115.36</v>
      </c>
      <c r="G426" s="38">
        <v>116.61</v>
      </c>
      <c r="H426" s="38">
        <v>116.71</v>
      </c>
      <c r="I426" s="38">
        <v>116.11</v>
      </c>
      <c r="J426" s="38">
        <v>101.84</v>
      </c>
      <c r="K426" s="38">
        <v>78.66</v>
      </c>
      <c r="L426" s="38">
        <v>69.19</v>
      </c>
      <c r="M426" s="38">
        <v>65.8</v>
      </c>
      <c r="N426" s="38">
        <v>66.58</v>
      </c>
      <c r="O426" s="38">
        <v>67.650000000000006</v>
      </c>
      <c r="P426" s="38">
        <v>68.37</v>
      </c>
      <c r="Q426" s="38">
        <v>70.83</v>
      </c>
      <c r="R426" s="38">
        <v>72.39</v>
      </c>
      <c r="S426" s="38">
        <v>74.88</v>
      </c>
      <c r="T426" s="38">
        <v>77.38</v>
      </c>
      <c r="U426" s="38">
        <v>76.55</v>
      </c>
      <c r="V426" s="38">
        <v>70.66</v>
      </c>
      <c r="W426" s="38">
        <v>60.68</v>
      </c>
      <c r="X426" s="38">
        <v>51.94</v>
      </c>
      <c r="Y426" s="38">
        <v>46.69</v>
      </c>
      <c r="Z426" s="38">
        <v>44.13</v>
      </c>
      <c r="AA426" s="38">
        <v>44.09</v>
      </c>
      <c r="AB426" s="38">
        <v>46.53</v>
      </c>
      <c r="AC426" s="38">
        <v>51.28</v>
      </c>
      <c r="AD426" s="38">
        <v>55.24</v>
      </c>
      <c r="AE426" s="38">
        <v>58.16</v>
      </c>
      <c r="AF426" s="38">
        <v>59.23</v>
      </c>
      <c r="AG426" s="38">
        <v>58.5</v>
      </c>
      <c r="AH426" s="38">
        <v>55.34</v>
      </c>
      <c r="AI426" s="38">
        <v>47.44</v>
      </c>
      <c r="AJ426" s="38">
        <v>43.86</v>
      </c>
      <c r="AK426" s="38">
        <v>42.06</v>
      </c>
      <c r="AL426" s="38">
        <v>41.26</v>
      </c>
      <c r="AM426" s="38">
        <v>42.06</v>
      </c>
      <c r="AN426" s="38">
        <v>44.48</v>
      </c>
      <c r="AO426" s="38">
        <v>49.25</v>
      </c>
      <c r="AP426" s="38">
        <v>52.58</v>
      </c>
      <c r="AQ426" s="38">
        <v>54.39</v>
      </c>
      <c r="AR426" s="38">
        <v>55.15</v>
      </c>
      <c r="AS426" s="38">
        <v>54.13</v>
      </c>
      <c r="AT426" s="38">
        <v>50.7</v>
      </c>
      <c r="AU426" s="38">
        <v>45.65</v>
      </c>
      <c r="AV426" s="38">
        <v>43.06</v>
      </c>
      <c r="AW426" s="38">
        <v>41.42</v>
      </c>
      <c r="AX426" s="38">
        <v>41.15</v>
      </c>
      <c r="AY426" s="38">
        <v>41.63</v>
      </c>
      <c r="BA426" s="37">
        <v>71.14</v>
      </c>
      <c r="BB426" s="38">
        <v>1.3847</v>
      </c>
    </row>
    <row r="427" spans="1:54" x14ac:dyDescent="0.35">
      <c r="A427" s="2">
        <f t="shared" si="6"/>
        <v>44419</v>
      </c>
      <c r="B427" t="s">
        <v>469</v>
      </c>
      <c r="C427" s="32">
        <v>44419</v>
      </c>
      <c r="D427" s="38">
        <v>114.46</v>
      </c>
      <c r="E427" s="38">
        <v>115.98</v>
      </c>
      <c r="F427" s="38">
        <v>118.68</v>
      </c>
      <c r="G427" s="38">
        <v>119.79</v>
      </c>
      <c r="H427" s="38">
        <v>119.91</v>
      </c>
      <c r="I427" s="38">
        <v>119.3</v>
      </c>
      <c r="J427" s="38">
        <v>104.6</v>
      </c>
      <c r="K427" s="38">
        <v>80.489999999999995</v>
      </c>
      <c r="L427" s="38">
        <v>70.739999999999995</v>
      </c>
      <c r="M427" s="38">
        <v>66.959999999999994</v>
      </c>
      <c r="N427" s="38">
        <v>68.040000000000006</v>
      </c>
      <c r="O427" s="38">
        <v>69.22</v>
      </c>
      <c r="P427" s="38">
        <v>69.91</v>
      </c>
      <c r="Q427" s="38">
        <v>72.3</v>
      </c>
      <c r="R427" s="38">
        <v>73.88</v>
      </c>
      <c r="S427" s="38">
        <v>76.37</v>
      </c>
      <c r="T427" s="38">
        <v>78.92</v>
      </c>
      <c r="U427" s="38">
        <v>78.17</v>
      </c>
      <c r="V427" s="38">
        <v>72.28</v>
      </c>
      <c r="W427" s="38">
        <v>62.01</v>
      </c>
      <c r="X427" s="38">
        <v>52.93</v>
      </c>
      <c r="Y427" s="38">
        <v>47.68</v>
      </c>
      <c r="Z427" s="38">
        <v>45.12</v>
      </c>
      <c r="AA427" s="38">
        <v>45.05</v>
      </c>
      <c r="AB427" s="38">
        <v>47.5</v>
      </c>
      <c r="AC427" s="38">
        <v>52.17</v>
      </c>
      <c r="AD427" s="38">
        <v>56.17</v>
      </c>
      <c r="AE427" s="38">
        <v>59.09</v>
      </c>
      <c r="AF427" s="38">
        <v>60.11</v>
      </c>
      <c r="AG427" s="38">
        <v>59.26</v>
      </c>
      <c r="AH427" s="38">
        <v>55.99</v>
      </c>
      <c r="AI427" s="38">
        <v>47.94</v>
      </c>
      <c r="AJ427" s="38">
        <v>44.09</v>
      </c>
      <c r="AK427" s="38">
        <v>42.29</v>
      </c>
      <c r="AL427" s="38">
        <v>41.49</v>
      </c>
      <c r="AM427" s="38">
        <v>42.29</v>
      </c>
      <c r="AN427" s="38">
        <v>44.71</v>
      </c>
      <c r="AO427" s="38">
        <v>49.48</v>
      </c>
      <c r="AP427" s="38">
        <v>52.81</v>
      </c>
      <c r="AQ427" s="38">
        <v>54.62</v>
      </c>
      <c r="AR427" s="38">
        <v>55.38</v>
      </c>
      <c r="AS427" s="38">
        <v>54.36</v>
      </c>
      <c r="AT427" s="38">
        <v>50.93</v>
      </c>
      <c r="AU427" s="38">
        <v>46.2</v>
      </c>
      <c r="AV427" s="38">
        <v>43.89</v>
      </c>
      <c r="AW427" s="38">
        <v>42.25</v>
      </c>
      <c r="AX427" s="38">
        <v>41.98</v>
      </c>
      <c r="AY427" s="38">
        <v>42.46</v>
      </c>
      <c r="BA427" s="37">
        <v>71.989999999999995</v>
      </c>
      <c r="BB427" s="38">
        <v>1.3868</v>
      </c>
    </row>
    <row r="428" spans="1:54" x14ac:dyDescent="0.35">
      <c r="A428" s="2">
        <f t="shared" si="6"/>
        <v>44420</v>
      </c>
      <c r="B428" t="s">
        <v>470</v>
      </c>
      <c r="C428" s="32">
        <v>44420</v>
      </c>
      <c r="D428" s="38">
        <v>113.77</v>
      </c>
      <c r="E428" s="38">
        <v>115.86</v>
      </c>
      <c r="F428" s="38">
        <v>118.81</v>
      </c>
      <c r="G428" s="38">
        <v>119.87</v>
      </c>
      <c r="H428" s="38">
        <v>120.15</v>
      </c>
      <c r="I428" s="38">
        <v>119.54</v>
      </c>
      <c r="J428" s="38">
        <v>104.89</v>
      </c>
      <c r="K428" s="38">
        <v>80.69</v>
      </c>
      <c r="L428" s="38">
        <v>71.86</v>
      </c>
      <c r="M428" s="38">
        <v>68.89</v>
      </c>
      <c r="N428" s="38">
        <v>69.83</v>
      </c>
      <c r="O428" s="38">
        <v>70.8</v>
      </c>
      <c r="P428" s="38">
        <v>71.459999999999994</v>
      </c>
      <c r="Q428" s="38">
        <v>73.78</v>
      </c>
      <c r="R428" s="38">
        <v>75.16</v>
      </c>
      <c r="S428" s="38">
        <v>77.67</v>
      </c>
      <c r="T428" s="38">
        <v>80.349999999999994</v>
      </c>
      <c r="U428" s="38">
        <v>79.569999999999993</v>
      </c>
      <c r="V428" s="38">
        <v>73.55</v>
      </c>
      <c r="W428" s="38">
        <v>62.99</v>
      </c>
      <c r="X428" s="38">
        <v>53.63</v>
      </c>
      <c r="Y428" s="38">
        <v>48.38</v>
      </c>
      <c r="Z428" s="38">
        <v>45.82</v>
      </c>
      <c r="AA428" s="38">
        <v>45.75</v>
      </c>
      <c r="AB428" s="38">
        <v>48.2</v>
      </c>
      <c r="AC428" s="38">
        <v>53.19</v>
      </c>
      <c r="AD428" s="38">
        <v>57.19</v>
      </c>
      <c r="AE428" s="38">
        <v>60.11</v>
      </c>
      <c r="AF428" s="38">
        <v>61.13</v>
      </c>
      <c r="AG428" s="38">
        <v>59.95</v>
      </c>
      <c r="AH428" s="38">
        <v>56.54</v>
      </c>
      <c r="AI428" s="38">
        <v>48.16</v>
      </c>
      <c r="AJ428" s="38">
        <v>44.31</v>
      </c>
      <c r="AK428" s="38">
        <v>42.51</v>
      </c>
      <c r="AL428" s="38">
        <v>41.71</v>
      </c>
      <c r="AM428" s="38">
        <v>42.51</v>
      </c>
      <c r="AN428" s="38">
        <v>44.93</v>
      </c>
      <c r="AO428" s="38">
        <v>49.7</v>
      </c>
      <c r="AP428" s="38">
        <v>53.03</v>
      </c>
      <c r="AQ428" s="38">
        <v>54.84</v>
      </c>
      <c r="AR428" s="38">
        <v>55.6</v>
      </c>
      <c r="AS428" s="38">
        <v>54.58</v>
      </c>
      <c r="AT428" s="38">
        <v>51.15</v>
      </c>
      <c r="AU428" s="38">
        <v>46.42</v>
      </c>
      <c r="AV428" s="38">
        <v>44.11</v>
      </c>
      <c r="AW428" s="38">
        <v>42.47</v>
      </c>
      <c r="AX428" s="38">
        <v>42.2</v>
      </c>
      <c r="AY428" s="38">
        <v>42.68</v>
      </c>
      <c r="BA428" s="37">
        <v>71.790000000000006</v>
      </c>
      <c r="BB428" s="38">
        <v>1.3835</v>
      </c>
    </row>
    <row r="429" spans="1:54" x14ac:dyDescent="0.35">
      <c r="A429" s="2">
        <f t="shared" si="6"/>
        <v>44421</v>
      </c>
      <c r="B429" t="s">
        <v>471</v>
      </c>
      <c r="C429" s="32">
        <v>44421</v>
      </c>
      <c r="D429" s="38">
        <v>110.89</v>
      </c>
      <c r="E429" s="38">
        <v>113.3</v>
      </c>
      <c r="F429" s="38">
        <v>116.26</v>
      </c>
      <c r="G429" s="38">
        <v>117.75</v>
      </c>
      <c r="H429" s="38">
        <v>118.13</v>
      </c>
      <c r="I429" s="38">
        <v>117.35</v>
      </c>
      <c r="J429" s="38">
        <v>103.48</v>
      </c>
      <c r="K429" s="38">
        <v>80.400000000000006</v>
      </c>
      <c r="L429" s="38">
        <v>72.819999999999993</v>
      </c>
      <c r="M429" s="38">
        <v>69.28</v>
      </c>
      <c r="N429" s="38">
        <v>69.87</v>
      </c>
      <c r="O429" s="38">
        <v>70.5</v>
      </c>
      <c r="P429" s="38">
        <v>71.05</v>
      </c>
      <c r="Q429" s="38">
        <v>73.55</v>
      </c>
      <c r="R429" s="38">
        <v>75.09</v>
      </c>
      <c r="S429" s="38">
        <v>77.599999999999994</v>
      </c>
      <c r="T429" s="38">
        <v>80.28</v>
      </c>
      <c r="U429" s="38">
        <v>79.5</v>
      </c>
      <c r="V429" s="38">
        <v>73.48</v>
      </c>
      <c r="W429" s="38">
        <v>63.66</v>
      </c>
      <c r="X429" s="38">
        <v>54.33</v>
      </c>
      <c r="Y429" s="38">
        <v>49.08</v>
      </c>
      <c r="Z429" s="38">
        <v>46.52</v>
      </c>
      <c r="AA429" s="38">
        <v>46.45</v>
      </c>
      <c r="AB429" s="38">
        <v>48.9</v>
      </c>
      <c r="AC429" s="38">
        <v>53.72</v>
      </c>
      <c r="AD429" s="38">
        <v>57.61</v>
      </c>
      <c r="AE429" s="38">
        <v>60.53</v>
      </c>
      <c r="AF429" s="38">
        <v>61.55</v>
      </c>
      <c r="AG429" s="38">
        <v>60.37</v>
      </c>
      <c r="AH429" s="38">
        <v>56.96</v>
      </c>
      <c r="AI429" s="38">
        <v>48.82</v>
      </c>
      <c r="AJ429" s="38">
        <v>44.97</v>
      </c>
      <c r="AK429" s="38">
        <v>43.17</v>
      </c>
      <c r="AL429" s="38">
        <v>42.37</v>
      </c>
      <c r="AM429" s="38">
        <v>43.17</v>
      </c>
      <c r="AN429" s="38">
        <v>45.59</v>
      </c>
      <c r="AO429" s="38">
        <v>50.08</v>
      </c>
      <c r="AP429" s="38">
        <v>53.41</v>
      </c>
      <c r="AQ429" s="38">
        <v>55.22</v>
      </c>
      <c r="AR429" s="38">
        <v>55.98</v>
      </c>
      <c r="AS429" s="38">
        <v>54.96</v>
      </c>
      <c r="AT429" s="38">
        <v>51.53</v>
      </c>
      <c r="AU429" s="38">
        <v>46.48</v>
      </c>
      <c r="AV429" s="38">
        <v>44.17</v>
      </c>
      <c r="AW429" s="38">
        <v>42.53</v>
      </c>
      <c r="AX429" s="38">
        <v>42.26</v>
      </c>
      <c r="AY429" s="38">
        <v>42.74</v>
      </c>
      <c r="BA429" s="37">
        <v>70.900000000000006</v>
      </c>
      <c r="BB429" s="38">
        <v>1.3853</v>
      </c>
    </row>
    <row r="430" spans="1:54" x14ac:dyDescent="0.35">
      <c r="A430" s="2">
        <f t="shared" si="6"/>
        <v>44424</v>
      </c>
      <c r="B430" t="s">
        <v>472</v>
      </c>
      <c r="C430" s="32">
        <v>44424</v>
      </c>
      <c r="D430" s="38">
        <v>119.06</v>
      </c>
      <c r="E430" s="38">
        <v>121.7</v>
      </c>
      <c r="F430" s="38">
        <v>124.85</v>
      </c>
      <c r="G430" s="38">
        <v>125.62</v>
      </c>
      <c r="H430" s="38">
        <v>125.76</v>
      </c>
      <c r="I430" s="38">
        <v>125.13</v>
      </c>
      <c r="J430" s="38">
        <v>110.72</v>
      </c>
      <c r="K430" s="38">
        <v>84.42</v>
      </c>
      <c r="L430" s="38">
        <v>75.48</v>
      </c>
      <c r="M430" s="38">
        <v>71.7</v>
      </c>
      <c r="N430" s="38">
        <v>72.27</v>
      </c>
      <c r="O430" s="38">
        <v>72.88</v>
      </c>
      <c r="P430" s="38">
        <v>73.819999999999993</v>
      </c>
      <c r="Q430" s="38">
        <v>76.19</v>
      </c>
      <c r="R430" s="38">
        <v>78.08</v>
      </c>
      <c r="S430" s="38">
        <v>80.72</v>
      </c>
      <c r="T430" s="38">
        <v>83.1</v>
      </c>
      <c r="U430" s="38">
        <v>82.27</v>
      </c>
      <c r="V430" s="38">
        <v>76.25</v>
      </c>
      <c r="W430" s="38">
        <v>64.12</v>
      </c>
      <c r="X430" s="38">
        <v>54.58</v>
      </c>
      <c r="Y430" s="38">
        <v>49.19</v>
      </c>
      <c r="Z430" s="38">
        <v>46.63</v>
      </c>
      <c r="AA430" s="38">
        <v>46.56</v>
      </c>
      <c r="AB430" s="38">
        <v>49.07</v>
      </c>
      <c r="AC430" s="38">
        <v>54.12</v>
      </c>
      <c r="AD430" s="38">
        <v>58.07</v>
      </c>
      <c r="AE430" s="38">
        <v>60.99</v>
      </c>
      <c r="AF430" s="38">
        <v>62.01</v>
      </c>
      <c r="AG430" s="38">
        <v>60.83</v>
      </c>
      <c r="AH430" s="38">
        <v>57.42</v>
      </c>
      <c r="AI430" s="38">
        <v>49.27</v>
      </c>
      <c r="AJ430" s="38">
        <v>45.42</v>
      </c>
      <c r="AK430" s="38">
        <v>43.62</v>
      </c>
      <c r="AL430" s="38">
        <v>42.82</v>
      </c>
      <c r="AM430" s="38">
        <v>43.62</v>
      </c>
      <c r="AN430" s="38">
        <v>46.04</v>
      </c>
      <c r="AO430" s="38">
        <v>50.64</v>
      </c>
      <c r="AP430" s="38">
        <v>54.08</v>
      </c>
      <c r="AQ430" s="38">
        <v>55.97</v>
      </c>
      <c r="AR430" s="38">
        <v>56.73</v>
      </c>
      <c r="AS430" s="38">
        <v>55.71</v>
      </c>
      <c r="AT430" s="38">
        <v>52.28</v>
      </c>
      <c r="AU430" s="38">
        <v>47.19</v>
      </c>
      <c r="AV430" s="38">
        <v>44.84</v>
      </c>
      <c r="AW430" s="38">
        <v>43.16</v>
      </c>
      <c r="AX430" s="38">
        <v>42.89</v>
      </c>
      <c r="AY430" s="38">
        <v>43.37</v>
      </c>
      <c r="BA430" s="37">
        <v>70.069999999999993</v>
      </c>
      <c r="BB430" s="38">
        <v>1.3857999999999999</v>
      </c>
    </row>
    <row r="431" spans="1:54" x14ac:dyDescent="0.35">
      <c r="A431" s="2">
        <f t="shared" si="6"/>
        <v>44425</v>
      </c>
      <c r="B431" t="s">
        <v>473</v>
      </c>
      <c r="C431" s="32">
        <v>44425</v>
      </c>
      <c r="D431" s="38">
        <v>116.65</v>
      </c>
      <c r="E431" s="38">
        <v>119.27</v>
      </c>
      <c r="F431" s="38">
        <v>122.6</v>
      </c>
      <c r="G431" s="38">
        <v>123.56</v>
      </c>
      <c r="H431" s="38">
        <v>123.24</v>
      </c>
      <c r="I431" s="38">
        <v>122.55</v>
      </c>
      <c r="J431" s="38">
        <v>109.82</v>
      </c>
      <c r="K431" s="38">
        <v>83.78</v>
      </c>
      <c r="L431" s="38">
        <v>75.25</v>
      </c>
      <c r="M431" s="38">
        <v>71.349999999999994</v>
      </c>
      <c r="N431" s="38">
        <v>71.709999999999994</v>
      </c>
      <c r="O431" s="38">
        <v>72.349999999999994</v>
      </c>
      <c r="P431" s="38">
        <v>73.290000000000006</v>
      </c>
      <c r="Q431" s="38">
        <v>75.73</v>
      </c>
      <c r="R431" s="38">
        <v>77.67</v>
      </c>
      <c r="S431" s="38">
        <v>80.430000000000007</v>
      </c>
      <c r="T431" s="38">
        <v>82.91</v>
      </c>
      <c r="U431" s="38">
        <v>82.13</v>
      </c>
      <c r="V431" s="38">
        <v>76.11</v>
      </c>
      <c r="W431" s="38">
        <v>63.98</v>
      </c>
      <c r="X431" s="38">
        <v>54.44</v>
      </c>
      <c r="Y431" s="38">
        <v>49.05</v>
      </c>
      <c r="Z431" s="38">
        <v>46.49</v>
      </c>
      <c r="AA431" s="38">
        <v>46.42</v>
      </c>
      <c r="AB431" s="38">
        <v>48.93</v>
      </c>
      <c r="AC431" s="38">
        <v>54.04</v>
      </c>
      <c r="AD431" s="38">
        <v>58.03</v>
      </c>
      <c r="AE431" s="38">
        <v>60.99</v>
      </c>
      <c r="AF431" s="38">
        <v>61.99</v>
      </c>
      <c r="AG431" s="38">
        <v>60.78</v>
      </c>
      <c r="AH431" s="38">
        <v>57.29</v>
      </c>
      <c r="AI431" s="38">
        <v>49.09</v>
      </c>
      <c r="AJ431" s="38">
        <v>45.15</v>
      </c>
      <c r="AK431" s="38">
        <v>43.3</v>
      </c>
      <c r="AL431" s="38">
        <v>42.45</v>
      </c>
      <c r="AM431" s="38">
        <v>43.25</v>
      </c>
      <c r="AN431" s="38">
        <v>45.67</v>
      </c>
      <c r="AO431" s="38">
        <v>50.27</v>
      </c>
      <c r="AP431" s="38">
        <v>53.67</v>
      </c>
      <c r="AQ431" s="38">
        <v>55.52</v>
      </c>
      <c r="AR431" s="38">
        <v>56.28</v>
      </c>
      <c r="AS431" s="38">
        <v>55.31</v>
      </c>
      <c r="AT431" s="38">
        <v>51.98</v>
      </c>
      <c r="AU431" s="38">
        <v>46.95</v>
      </c>
      <c r="AV431" s="38">
        <v>44.65</v>
      </c>
      <c r="AW431" s="38">
        <v>42.97</v>
      </c>
      <c r="AX431" s="38">
        <v>42.7</v>
      </c>
      <c r="AY431" s="38">
        <v>43.18</v>
      </c>
      <c r="BA431" s="37">
        <v>69.400000000000006</v>
      </c>
      <c r="BB431" s="38">
        <v>1.3737999999999999</v>
      </c>
    </row>
    <row r="432" spans="1:54" x14ac:dyDescent="0.35">
      <c r="A432" s="2">
        <f t="shared" si="6"/>
        <v>44426</v>
      </c>
      <c r="B432" t="s">
        <v>474</v>
      </c>
      <c r="C432" s="32">
        <v>44426</v>
      </c>
      <c r="D432" s="38">
        <v>111.61</v>
      </c>
      <c r="E432" s="38">
        <v>114.3</v>
      </c>
      <c r="F432" s="38">
        <v>117.53</v>
      </c>
      <c r="G432" s="38">
        <v>118.73</v>
      </c>
      <c r="H432" s="38">
        <v>119.18</v>
      </c>
      <c r="I432" s="38">
        <v>118.63</v>
      </c>
      <c r="J432" s="38">
        <v>106.97</v>
      </c>
      <c r="K432" s="38">
        <v>81.739999999999995</v>
      </c>
      <c r="L432" s="38">
        <v>73.680000000000007</v>
      </c>
      <c r="M432" s="38">
        <v>69.78</v>
      </c>
      <c r="N432" s="38">
        <v>70.02</v>
      </c>
      <c r="O432" s="38">
        <v>70.61</v>
      </c>
      <c r="P432" s="38">
        <v>71.739999999999995</v>
      </c>
      <c r="Q432" s="38">
        <v>73.86</v>
      </c>
      <c r="R432" s="38">
        <v>75.95</v>
      </c>
      <c r="S432" s="38">
        <v>78.55</v>
      </c>
      <c r="T432" s="38">
        <v>80.959999999999994</v>
      </c>
      <c r="U432" s="38">
        <v>80.27</v>
      </c>
      <c r="V432" s="38">
        <v>74.73</v>
      </c>
      <c r="W432" s="38">
        <v>63.33</v>
      </c>
      <c r="X432" s="38">
        <v>54.42</v>
      </c>
      <c r="Y432" s="38">
        <v>49.53</v>
      </c>
      <c r="Z432" s="38">
        <v>46.95</v>
      </c>
      <c r="AA432" s="38">
        <v>46.85</v>
      </c>
      <c r="AB432" s="38">
        <v>49.35</v>
      </c>
      <c r="AC432" s="38">
        <v>53.89</v>
      </c>
      <c r="AD432" s="38">
        <v>57.9</v>
      </c>
      <c r="AE432" s="38">
        <v>60.88</v>
      </c>
      <c r="AF432" s="38">
        <v>61.87</v>
      </c>
      <c r="AG432" s="38">
        <v>60.65</v>
      </c>
      <c r="AH432" s="38">
        <v>57.13</v>
      </c>
      <c r="AI432" s="38">
        <v>48.89</v>
      </c>
      <c r="AJ432" s="38">
        <v>44.95</v>
      </c>
      <c r="AK432" s="38">
        <v>43.1</v>
      </c>
      <c r="AL432" s="38">
        <v>42.25</v>
      </c>
      <c r="AM432" s="38">
        <v>43.05</v>
      </c>
      <c r="AN432" s="38">
        <v>45.47</v>
      </c>
      <c r="AO432" s="38">
        <v>50.07</v>
      </c>
      <c r="AP432" s="38">
        <v>53.47</v>
      </c>
      <c r="AQ432" s="38">
        <v>55.32</v>
      </c>
      <c r="AR432" s="38">
        <v>56.08</v>
      </c>
      <c r="AS432" s="38">
        <v>55.11</v>
      </c>
      <c r="AT432" s="38">
        <v>51.78</v>
      </c>
      <c r="AU432" s="38">
        <v>46.75</v>
      </c>
      <c r="AV432" s="38">
        <v>44.45</v>
      </c>
      <c r="AW432" s="38">
        <v>42.77</v>
      </c>
      <c r="AX432" s="38">
        <v>42.5</v>
      </c>
      <c r="AY432" s="38">
        <v>42.98</v>
      </c>
      <c r="BA432" s="37">
        <v>68.61</v>
      </c>
      <c r="BB432" s="38">
        <v>1.3755999999999999</v>
      </c>
    </row>
    <row r="433" spans="1:54" x14ac:dyDescent="0.35">
      <c r="A433" s="2">
        <f t="shared" si="6"/>
        <v>44427</v>
      </c>
      <c r="B433" t="s">
        <v>475</v>
      </c>
      <c r="C433" s="32">
        <v>44427</v>
      </c>
      <c r="D433" s="38">
        <v>99.74</v>
      </c>
      <c r="E433" s="38">
        <v>102.36</v>
      </c>
      <c r="F433" s="38">
        <v>105.62</v>
      </c>
      <c r="G433" s="38">
        <v>106.38</v>
      </c>
      <c r="H433" s="38">
        <v>106.53</v>
      </c>
      <c r="I433" s="38">
        <v>106.1</v>
      </c>
      <c r="J433" s="38">
        <v>95.67</v>
      </c>
      <c r="K433" s="38">
        <v>75.02</v>
      </c>
      <c r="L433" s="38">
        <v>68.290000000000006</v>
      </c>
      <c r="M433" s="38">
        <v>64.38</v>
      </c>
      <c r="N433" s="38">
        <v>64.72</v>
      </c>
      <c r="O433" s="38">
        <v>65.319999999999993</v>
      </c>
      <c r="P433" s="38">
        <v>66.400000000000006</v>
      </c>
      <c r="Q433" s="38">
        <v>68.2</v>
      </c>
      <c r="R433" s="38">
        <v>70.38</v>
      </c>
      <c r="S433" s="38">
        <v>73.13</v>
      </c>
      <c r="T433" s="38">
        <v>75.540000000000006</v>
      </c>
      <c r="U433" s="38">
        <v>74.849999999999994</v>
      </c>
      <c r="V433" s="38">
        <v>69.91</v>
      </c>
      <c r="W433" s="38">
        <v>60.94</v>
      </c>
      <c r="X433" s="38">
        <v>53.25</v>
      </c>
      <c r="Y433" s="38">
        <v>48.47</v>
      </c>
      <c r="Z433" s="38">
        <v>45.89</v>
      </c>
      <c r="AA433" s="38">
        <v>45.79</v>
      </c>
      <c r="AB433" s="38">
        <v>48.25</v>
      </c>
      <c r="AC433" s="38">
        <v>53.22</v>
      </c>
      <c r="AD433" s="38">
        <v>57.09</v>
      </c>
      <c r="AE433" s="38">
        <v>60</v>
      </c>
      <c r="AF433" s="38">
        <v>60.99</v>
      </c>
      <c r="AG433" s="38">
        <v>59.78</v>
      </c>
      <c r="AH433" s="38">
        <v>56.32</v>
      </c>
      <c r="AI433" s="38">
        <v>48.24</v>
      </c>
      <c r="AJ433" s="38">
        <v>44.37</v>
      </c>
      <c r="AK433" s="38">
        <v>42.5</v>
      </c>
      <c r="AL433" s="38">
        <v>41.68</v>
      </c>
      <c r="AM433" s="38">
        <v>42.44</v>
      </c>
      <c r="AN433" s="38">
        <v>44.88</v>
      </c>
      <c r="AO433" s="38">
        <v>49.47</v>
      </c>
      <c r="AP433" s="38">
        <v>52.8</v>
      </c>
      <c r="AQ433" s="38">
        <v>54.65</v>
      </c>
      <c r="AR433" s="38">
        <v>55.41</v>
      </c>
      <c r="AS433" s="38">
        <v>54.44</v>
      </c>
      <c r="AT433" s="38">
        <v>51.34</v>
      </c>
      <c r="AU433" s="38">
        <v>46.21</v>
      </c>
      <c r="AV433" s="38">
        <v>44.01</v>
      </c>
      <c r="AW433" s="38">
        <v>42.33</v>
      </c>
      <c r="AX433" s="38">
        <v>42.05</v>
      </c>
      <c r="AY433" s="38">
        <v>42.53</v>
      </c>
      <c r="BA433" s="37">
        <v>66.8</v>
      </c>
      <c r="BB433" s="38">
        <v>1.3661000000000001</v>
      </c>
    </row>
    <row r="434" spans="1:54" x14ac:dyDescent="0.35">
      <c r="A434" s="2">
        <f t="shared" si="6"/>
        <v>44428</v>
      </c>
      <c r="B434" t="s">
        <v>476</v>
      </c>
      <c r="C434" s="32">
        <v>44428</v>
      </c>
      <c r="D434" s="38">
        <v>104.76</v>
      </c>
      <c r="E434" s="38">
        <v>107.39</v>
      </c>
      <c r="F434" s="38">
        <v>110.86</v>
      </c>
      <c r="G434" s="38">
        <v>111.75</v>
      </c>
      <c r="H434" s="38">
        <v>112.02</v>
      </c>
      <c r="I434" s="38">
        <v>111.77</v>
      </c>
      <c r="J434" s="38">
        <v>100.53</v>
      </c>
      <c r="K434" s="38">
        <v>77.53</v>
      </c>
      <c r="L434" s="38">
        <v>69.72</v>
      </c>
      <c r="M434" s="38">
        <v>66.209999999999994</v>
      </c>
      <c r="N434" s="38">
        <v>66.7</v>
      </c>
      <c r="O434" s="38">
        <v>67.41</v>
      </c>
      <c r="P434" s="38">
        <v>68.52</v>
      </c>
      <c r="Q434" s="38">
        <v>70.59</v>
      </c>
      <c r="R434" s="38">
        <v>72.760000000000005</v>
      </c>
      <c r="S434" s="38">
        <v>75.510000000000005</v>
      </c>
      <c r="T434" s="38">
        <v>77.72</v>
      </c>
      <c r="U434" s="38">
        <v>77.03</v>
      </c>
      <c r="V434" s="38">
        <v>72.09</v>
      </c>
      <c r="W434" s="38">
        <v>62.64</v>
      </c>
      <c r="X434" s="38">
        <v>54.83</v>
      </c>
      <c r="Y434" s="38">
        <v>49.94</v>
      </c>
      <c r="Z434" s="38">
        <v>47.36</v>
      </c>
      <c r="AA434" s="38">
        <v>47.26</v>
      </c>
      <c r="AB434" s="38">
        <v>49.67</v>
      </c>
      <c r="AC434" s="38">
        <v>54.66</v>
      </c>
      <c r="AD434" s="38">
        <v>58.41</v>
      </c>
      <c r="AE434" s="38">
        <v>61.13</v>
      </c>
      <c r="AF434" s="38">
        <v>62.12</v>
      </c>
      <c r="AG434" s="38">
        <v>60.91</v>
      </c>
      <c r="AH434" s="38">
        <v>57.45</v>
      </c>
      <c r="AI434" s="38">
        <v>49.37</v>
      </c>
      <c r="AJ434" s="38">
        <v>45.5</v>
      </c>
      <c r="AK434" s="38">
        <v>43.63</v>
      </c>
      <c r="AL434" s="38">
        <v>42.81</v>
      </c>
      <c r="AM434" s="38">
        <v>43.57</v>
      </c>
      <c r="AN434" s="38">
        <v>45.91</v>
      </c>
      <c r="AO434" s="38">
        <v>50.3</v>
      </c>
      <c r="AP434" s="38">
        <v>53.41</v>
      </c>
      <c r="AQ434" s="38">
        <v>55.22</v>
      </c>
      <c r="AR434" s="38">
        <v>55.98</v>
      </c>
      <c r="AS434" s="38">
        <v>55.01</v>
      </c>
      <c r="AT434" s="38">
        <v>52.02</v>
      </c>
      <c r="AU434" s="38">
        <v>46.94</v>
      </c>
      <c r="AV434" s="38">
        <v>44.78</v>
      </c>
      <c r="AW434" s="38">
        <v>43.1</v>
      </c>
      <c r="AX434" s="38">
        <v>42.82</v>
      </c>
      <c r="AY434" s="38">
        <v>43.3</v>
      </c>
      <c r="BA434" s="37">
        <v>65.510000000000005</v>
      </c>
      <c r="BB434" s="38">
        <v>1.3613</v>
      </c>
    </row>
    <row r="435" spans="1:54" x14ac:dyDescent="0.35">
      <c r="A435" s="2">
        <f t="shared" si="6"/>
        <v>44431</v>
      </c>
      <c r="B435" t="s">
        <v>477</v>
      </c>
      <c r="C435" s="32">
        <v>44431</v>
      </c>
      <c r="D435" s="38">
        <v>103.21</v>
      </c>
      <c r="E435" s="38">
        <v>106.18</v>
      </c>
      <c r="F435" s="38">
        <v>109.88</v>
      </c>
      <c r="G435" s="38">
        <v>111.08</v>
      </c>
      <c r="H435" s="38">
        <v>111.56</v>
      </c>
      <c r="I435" s="38">
        <v>111.33</v>
      </c>
      <c r="J435" s="38">
        <v>101.6</v>
      </c>
      <c r="K435" s="38">
        <v>78.56</v>
      </c>
      <c r="L435" s="38">
        <v>70.44</v>
      </c>
      <c r="M435" s="38">
        <v>66.650000000000006</v>
      </c>
      <c r="N435" s="38">
        <v>67.14</v>
      </c>
      <c r="O435" s="38">
        <v>67.849999999999994</v>
      </c>
      <c r="P435" s="38">
        <v>68.959999999999994</v>
      </c>
      <c r="Q435" s="38">
        <v>70.849999999999994</v>
      </c>
      <c r="R435" s="38">
        <v>73.02</v>
      </c>
      <c r="S435" s="38">
        <v>75.77</v>
      </c>
      <c r="T435" s="38">
        <v>77.98</v>
      </c>
      <c r="U435" s="38">
        <v>77.290000000000006</v>
      </c>
      <c r="V435" s="38">
        <v>72.349999999999994</v>
      </c>
      <c r="W435" s="38">
        <v>63.01</v>
      </c>
      <c r="X435" s="38">
        <v>55.39</v>
      </c>
      <c r="Y435" s="38">
        <v>50.69</v>
      </c>
      <c r="Z435" s="38">
        <v>48.11</v>
      </c>
      <c r="AA435" s="38">
        <v>48.01</v>
      </c>
      <c r="AB435" s="38">
        <v>50.42</v>
      </c>
      <c r="AC435" s="38">
        <v>55.21</v>
      </c>
      <c r="AD435" s="38">
        <v>58.77</v>
      </c>
      <c r="AE435" s="38">
        <v>61.33</v>
      </c>
      <c r="AF435" s="38">
        <v>62.32</v>
      </c>
      <c r="AG435" s="38">
        <v>61.11</v>
      </c>
      <c r="AH435" s="38">
        <v>57.65</v>
      </c>
      <c r="AI435" s="38">
        <v>49.35</v>
      </c>
      <c r="AJ435" s="38">
        <v>45.48</v>
      </c>
      <c r="AK435" s="38">
        <v>43.61</v>
      </c>
      <c r="AL435" s="38">
        <v>42.79</v>
      </c>
      <c r="AM435" s="38">
        <v>43.55</v>
      </c>
      <c r="AN435" s="38">
        <v>45.89</v>
      </c>
      <c r="AO435" s="38">
        <v>50.28</v>
      </c>
      <c r="AP435" s="38">
        <v>53.39</v>
      </c>
      <c r="AQ435" s="38">
        <v>55.2</v>
      </c>
      <c r="AR435" s="38">
        <v>55.96</v>
      </c>
      <c r="AS435" s="38">
        <v>54.99</v>
      </c>
      <c r="AT435" s="38">
        <v>52</v>
      </c>
      <c r="AU435" s="38">
        <v>47.02</v>
      </c>
      <c r="AV435" s="38">
        <v>45</v>
      </c>
      <c r="AW435" s="38">
        <v>43.32</v>
      </c>
      <c r="AX435" s="38">
        <v>43.04</v>
      </c>
      <c r="AY435" s="38">
        <v>43.52</v>
      </c>
      <c r="BA435" s="37">
        <v>69.069999999999993</v>
      </c>
      <c r="BB435" s="38">
        <v>1.3714</v>
      </c>
    </row>
    <row r="436" spans="1:54" x14ac:dyDescent="0.35">
      <c r="A436" s="2">
        <f t="shared" si="6"/>
        <v>44432</v>
      </c>
      <c r="B436" t="s">
        <v>478</v>
      </c>
      <c r="C436" s="32">
        <v>44432</v>
      </c>
      <c r="D436" s="38">
        <v>111.3</v>
      </c>
      <c r="E436" s="38">
        <v>114.19</v>
      </c>
      <c r="F436" s="38">
        <v>117.69</v>
      </c>
      <c r="G436" s="38">
        <v>119.09</v>
      </c>
      <c r="H436" s="38">
        <v>119.54</v>
      </c>
      <c r="I436" s="38">
        <v>119.11</v>
      </c>
      <c r="J436" s="38">
        <v>108.83</v>
      </c>
      <c r="K436" s="38">
        <v>81.27</v>
      </c>
      <c r="L436" s="38">
        <v>72.489999999999995</v>
      </c>
      <c r="M436" s="38">
        <v>68.739999999999995</v>
      </c>
      <c r="N436" s="38">
        <v>69.7</v>
      </c>
      <c r="O436" s="38">
        <v>70.31</v>
      </c>
      <c r="P436" s="38">
        <v>71.08</v>
      </c>
      <c r="Q436" s="38">
        <v>72.709999999999994</v>
      </c>
      <c r="R436" s="38">
        <v>74.72</v>
      </c>
      <c r="S436" s="38">
        <v>77.400000000000006</v>
      </c>
      <c r="T436" s="38">
        <v>79.53</v>
      </c>
      <c r="U436" s="38">
        <v>78.7</v>
      </c>
      <c r="V436" s="38">
        <v>73.63</v>
      </c>
      <c r="W436" s="38">
        <v>64.08</v>
      </c>
      <c r="X436" s="38">
        <v>56.3</v>
      </c>
      <c r="Y436" s="38">
        <v>51.54</v>
      </c>
      <c r="Z436" s="38">
        <v>48.94</v>
      </c>
      <c r="AA436" s="38">
        <v>48.82</v>
      </c>
      <c r="AB436" s="38">
        <v>51.23</v>
      </c>
      <c r="AC436" s="38">
        <v>56.23</v>
      </c>
      <c r="AD436" s="38">
        <v>60.04</v>
      </c>
      <c r="AE436" s="38">
        <v>62.6</v>
      </c>
      <c r="AF436" s="38">
        <v>63.59</v>
      </c>
      <c r="AG436" s="38">
        <v>62.38</v>
      </c>
      <c r="AH436" s="38">
        <v>58.7</v>
      </c>
      <c r="AI436" s="38">
        <v>50.09</v>
      </c>
      <c r="AJ436" s="38">
        <v>46.01</v>
      </c>
      <c r="AK436" s="38">
        <v>44.14</v>
      </c>
      <c r="AL436" s="38">
        <v>43.32</v>
      </c>
      <c r="AM436" s="38">
        <v>44.08</v>
      </c>
      <c r="AN436" s="38">
        <v>46.42</v>
      </c>
      <c r="AO436" s="38">
        <v>50.81</v>
      </c>
      <c r="AP436" s="38">
        <v>53.92</v>
      </c>
      <c r="AQ436" s="38">
        <v>55.73</v>
      </c>
      <c r="AR436" s="38">
        <v>56.49</v>
      </c>
      <c r="AS436" s="38">
        <v>55.52</v>
      </c>
      <c r="AT436" s="38">
        <v>52.53</v>
      </c>
      <c r="AU436" s="38">
        <v>47.78</v>
      </c>
      <c r="AV436" s="38">
        <v>45.95</v>
      </c>
      <c r="AW436" s="38">
        <v>44.35</v>
      </c>
      <c r="AX436" s="38">
        <v>44.07</v>
      </c>
      <c r="AY436" s="38">
        <v>44.55</v>
      </c>
      <c r="BA436" s="37">
        <v>71.209999999999994</v>
      </c>
      <c r="BB436" s="38">
        <v>1.3732</v>
      </c>
    </row>
    <row r="437" spans="1:54" x14ac:dyDescent="0.35">
      <c r="A437" s="2">
        <f t="shared" si="6"/>
        <v>44433</v>
      </c>
      <c r="B437" t="s">
        <v>479</v>
      </c>
      <c r="C437" s="32">
        <v>44433</v>
      </c>
      <c r="D437" s="38">
        <v>113.33</v>
      </c>
      <c r="E437" s="38">
        <v>115.78</v>
      </c>
      <c r="F437" s="38">
        <v>119.34</v>
      </c>
      <c r="G437" s="38">
        <v>120.25</v>
      </c>
      <c r="H437" s="38">
        <v>120.91</v>
      </c>
      <c r="I437" s="38">
        <v>120.21</v>
      </c>
      <c r="J437" s="38">
        <v>108.59</v>
      </c>
      <c r="K437" s="38">
        <v>80.930000000000007</v>
      </c>
      <c r="L437" s="38">
        <v>71.98</v>
      </c>
      <c r="M437" s="38">
        <v>68.430000000000007</v>
      </c>
      <c r="N437" s="38">
        <v>69.19</v>
      </c>
      <c r="O437" s="38">
        <v>69.7</v>
      </c>
      <c r="P437" s="38">
        <v>70.55</v>
      </c>
      <c r="Q437" s="38">
        <v>72.290000000000006</v>
      </c>
      <c r="R437" s="38">
        <v>74.3</v>
      </c>
      <c r="S437" s="38">
        <v>76.98</v>
      </c>
      <c r="T437" s="38">
        <v>79.11</v>
      </c>
      <c r="U437" s="38">
        <v>78.45</v>
      </c>
      <c r="V437" s="38">
        <v>73.680000000000007</v>
      </c>
      <c r="W437" s="38">
        <v>64.180000000000007</v>
      </c>
      <c r="X437" s="38">
        <v>56.4</v>
      </c>
      <c r="Y437" s="38">
        <v>51.64</v>
      </c>
      <c r="Z437" s="38">
        <v>48.98</v>
      </c>
      <c r="AA437" s="38">
        <v>48.79</v>
      </c>
      <c r="AB437" s="38">
        <v>51.09</v>
      </c>
      <c r="AC437" s="38">
        <v>55.92</v>
      </c>
      <c r="AD437" s="38">
        <v>59.56</v>
      </c>
      <c r="AE437" s="38">
        <v>62</v>
      </c>
      <c r="AF437" s="38">
        <v>62.99</v>
      </c>
      <c r="AG437" s="38">
        <v>61.78</v>
      </c>
      <c r="AH437" s="38">
        <v>58.33</v>
      </c>
      <c r="AI437" s="38">
        <v>49.99</v>
      </c>
      <c r="AJ437" s="38">
        <v>46.19</v>
      </c>
      <c r="AK437" s="38">
        <v>44.32</v>
      </c>
      <c r="AL437" s="38">
        <v>43.5</v>
      </c>
      <c r="AM437" s="38">
        <v>44.26</v>
      </c>
      <c r="AN437" s="38">
        <v>46.6</v>
      </c>
      <c r="AO437" s="38">
        <v>50.99</v>
      </c>
      <c r="AP437" s="38">
        <v>54.1</v>
      </c>
      <c r="AQ437" s="38">
        <v>55.91</v>
      </c>
      <c r="AR437" s="38">
        <v>56.67</v>
      </c>
      <c r="AS437" s="38">
        <v>55.7</v>
      </c>
      <c r="AT437" s="38">
        <v>52.87</v>
      </c>
      <c r="AU437" s="38">
        <v>48.22</v>
      </c>
      <c r="AV437" s="38">
        <v>46.39</v>
      </c>
      <c r="AW437" s="38">
        <v>44.79</v>
      </c>
      <c r="AX437" s="38">
        <v>44.51</v>
      </c>
      <c r="AY437" s="38">
        <v>44.99</v>
      </c>
      <c r="BA437" s="37">
        <v>72.12</v>
      </c>
      <c r="BB437" s="38">
        <v>1.3731</v>
      </c>
    </row>
    <row r="438" spans="1:54" x14ac:dyDescent="0.35">
      <c r="A438" s="2">
        <f t="shared" si="6"/>
        <v>44434</v>
      </c>
      <c r="B438" t="s">
        <v>480</v>
      </c>
      <c r="C438" s="32">
        <v>44434</v>
      </c>
      <c r="D438" s="38">
        <v>115.1</v>
      </c>
      <c r="E438" s="38">
        <v>117.36</v>
      </c>
      <c r="F438" s="38">
        <v>120.88</v>
      </c>
      <c r="G438" s="38">
        <v>121.75</v>
      </c>
      <c r="H438" s="38">
        <v>122.36</v>
      </c>
      <c r="I438" s="38">
        <v>121.63</v>
      </c>
      <c r="J438" s="38">
        <v>109.3</v>
      </c>
      <c r="K438" s="38">
        <v>81.349999999999994</v>
      </c>
      <c r="L438" s="38">
        <v>72.12</v>
      </c>
      <c r="M438" s="38">
        <v>68.540000000000006</v>
      </c>
      <c r="N438" s="38">
        <v>69.430000000000007</v>
      </c>
      <c r="O438" s="38">
        <v>69.94</v>
      </c>
      <c r="P438" s="38">
        <v>70.790000000000006</v>
      </c>
      <c r="Q438" s="38">
        <v>72.45</v>
      </c>
      <c r="R438" s="38">
        <v>74.42</v>
      </c>
      <c r="S438" s="38">
        <v>77.099999999999994</v>
      </c>
      <c r="T438" s="38">
        <v>79.23</v>
      </c>
      <c r="U438" s="38">
        <v>78.569999999999993</v>
      </c>
      <c r="V438" s="38">
        <v>73.8</v>
      </c>
      <c r="W438" s="38">
        <v>64.099999999999994</v>
      </c>
      <c r="X438" s="38">
        <v>56.32</v>
      </c>
      <c r="Y438" s="38">
        <v>51.56</v>
      </c>
      <c r="Z438" s="38">
        <v>48.9</v>
      </c>
      <c r="AA438" s="38">
        <v>48.71</v>
      </c>
      <c r="AB438" s="38">
        <v>51.01</v>
      </c>
      <c r="AC438" s="38">
        <v>56.42</v>
      </c>
      <c r="AD438" s="38">
        <v>60.2</v>
      </c>
      <c r="AE438" s="38">
        <v>62.64</v>
      </c>
      <c r="AF438" s="38">
        <v>63.63</v>
      </c>
      <c r="AG438" s="38">
        <v>62.42</v>
      </c>
      <c r="AH438" s="38">
        <v>58.97</v>
      </c>
      <c r="AI438" s="38">
        <v>50.63</v>
      </c>
      <c r="AJ438" s="38">
        <v>46.83</v>
      </c>
      <c r="AK438" s="38">
        <v>44.96</v>
      </c>
      <c r="AL438" s="38">
        <v>44.14</v>
      </c>
      <c r="AM438" s="38">
        <v>44.9</v>
      </c>
      <c r="AN438" s="38">
        <v>47.24</v>
      </c>
      <c r="AO438" s="38">
        <v>51.63</v>
      </c>
      <c r="AP438" s="38">
        <v>54.74</v>
      </c>
      <c r="AQ438" s="38">
        <v>56.55</v>
      </c>
      <c r="AR438" s="38">
        <v>57.31</v>
      </c>
      <c r="AS438" s="38">
        <v>56.34</v>
      </c>
      <c r="AT438" s="38">
        <v>53.51</v>
      </c>
      <c r="AU438" s="38">
        <v>48.43</v>
      </c>
      <c r="AV438" s="38">
        <v>46.47</v>
      </c>
      <c r="AW438" s="38">
        <v>44.87</v>
      </c>
      <c r="AX438" s="38">
        <v>44.59</v>
      </c>
      <c r="AY438" s="38">
        <v>45.07</v>
      </c>
      <c r="BA438" s="37">
        <v>70.42</v>
      </c>
      <c r="BB438" s="38">
        <v>1.3714999999999999</v>
      </c>
    </row>
    <row r="439" spans="1:54" x14ac:dyDescent="0.35">
      <c r="A439" s="2">
        <f t="shared" si="6"/>
        <v>44435</v>
      </c>
      <c r="B439" t="s">
        <v>481</v>
      </c>
      <c r="C439" s="32">
        <v>44435</v>
      </c>
      <c r="D439" s="38">
        <v>120.97</v>
      </c>
      <c r="E439" s="38">
        <v>122.61</v>
      </c>
      <c r="F439" s="38">
        <v>125.58</v>
      </c>
      <c r="G439" s="38">
        <v>126.58</v>
      </c>
      <c r="H439" s="38">
        <v>127.33</v>
      </c>
      <c r="I439" s="38">
        <v>126.67</v>
      </c>
      <c r="J439" s="38">
        <v>113.48</v>
      </c>
      <c r="K439" s="38">
        <v>83.64</v>
      </c>
      <c r="L439" s="38">
        <v>71.78</v>
      </c>
      <c r="M439" s="38">
        <v>68.58</v>
      </c>
      <c r="N439" s="38">
        <v>70.12</v>
      </c>
      <c r="O439" s="38">
        <v>70.63</v>
      </c>
      <c r="P439" s="38">
        <v>71.66</v>
      </c>
      <c r="Q439" s="38">
        <v>73.260000000000005</v>
      </c>
      <c r="R439" s="38">
        <v>75.23</v>
      </c>
      <c r="S439" s="38">
        <v>77.91</v>
      </c>
      <c r="T439" s="38">
        <v>80.040000000000006</v>
      </c>
      <c r="U439" s="38">
        <v>79.38</v>
      </c>
      <c r="V439" s="38">
        <v>74.61</v>
      </c>
      <c r="W439" s="38">
        <v>64.7</v>
      </c>
      <c r="X439" s="38">
        <v>56.92</v>
      </c>
      <c r="Y439" s="38">
        <v>52.16</v>
      </c>
      <c r="Z439" s="38">
        <v>49.5</v>
      </c>
      <c r="AA439" s="38">
        <v>49.31</v>
      </c>
      <c r="AB439" s="38">
        <v>51.61</v>
      </c>
      <c r="AC439" s="38">
        <v>56.73</v>
      </c>
      <c r="AD439" s="38">
        <v>60.35</v>
      </c>
      <c r="AE439" s="38">
        <v>62.79</v>
      </c>
      <c r="AF439" s="38">
        <v>63.78</v>
      </c>
      <c r="AG439" s="38">
        <v>62.57</v>
      </c>
      <c r="AH439" s="38">
        <v>59.12</v>
      </c>
      <c r="AI439" s="38">
        <v>51.13</v>
      </c>
      <c r="AJ439" s="38">
        <v>47.33</v>
      </c>
      <c r="AK439" s="38">
        <v>45.46</v>
      </c>
      <c r="AL439" s="38">
        <v>44.64</v>
      </c>
      <c r="AM439" s="38">
        <v>45.4</v>
      </c>
      <c r="AN439" s="38">
        <v>47.74</v>
      </c>
      <c r="AO439" s="38">
        <v>52.13</v>
      </c>
      <c r="AP439" s="38">
        <v>55.24</v>
      </c>
      <c r="AQ439" s="38">
        <v>57.05</v>
      </c>
      <c r="AR439" s="38">
        <v>57.81</v>
      </c>
      <c r="AS439" s="38">
        <v>56.84</v>
      </c>
      <c r="AT439" s="38">
        <v>54.01</v>
      </c>
      <c r="AU439" s="38">
        <v>48.93</v>
      </c>
      <c r="AV439" s="38">
        <v>46.97</v>
      </c>
      <c r="AW439" s="38">
        <v>45.37</v>
      </c>
      <c r="AX439" s="38">
        <v>45.09</v>
      </c>
      <c r="AY439" s="38">
        <v>45.57</v>
      </c>
      <c r="BA439" s="37">
        <v>72.260000000000005</v>
      </c>
      <c r="BB439" s="38">
        <v>1.3747</v>
      </c>
    </row>
    <row r="440" spans="1:54" x14ac:dyDescent="0.35">
      <c r="A440" s="2">
        <f t="shared" si="6"/>
        <v>44438</v>
      </c>
      <c r="B440" t="s">
        <v>482</v>
      </c>
      <c r="C440" s="32">
        <v>44438</v>
      </c>
      <c r="D440" s="38">
        <v>122.61</v>
      </c>
      <c r="E440" s="38">
        <v>125.58</v>
      </c>
      <c r="F440" s="38">
        <v>126.58</v>
      </c>
      <c r="G440" s="38">
        <v>127.33</v>
      </c>
      <c r="H440" s="38">
        <v>126.67</v>
      </c>
      <c r="I440" s="38">
        <v>113.48</v>
      </c>
      <c r="J440" s="38">
        <v>83.64</v>
      </c>
      <c r="K440" s="38">
        <v>71.78</v>
      </c>
      <c r="L440" s="38">
        <v>68.58</v>
      </c>
      <c r="M440" s="38">
        <v>70.12</v>
      </c>
      <c r="N440" s="38">
        <v>70.63</v>
      </c>
      <c r="O440" s="38">
        <v>71.66</v>
      </c>
      <c r="P440" s="38">
        <v>73.260000000000005</v>
      </c>
      <c r="Q440" s="38">
        <v>75.23</v>
      </c>
      <c r="R440" s="38">
        <v>77.91</v>
      </c>
      <c r="S440" s="38">
        <v>80.040000000000006</v>
      </c>
      <c r="T440" s="38">
        <v>79.38</v>
      </c>
      <c r="U440" s="38">
        <v>74.61</v>
      </c>
      <c r="V440" s="38">
        <v>64.7</v>
      </c>
      <c r="W440" s="38">
        <v>56.92</v>
      </c>
      <c r="X440" s="38">
        <v>52.16</v>
      </c>
      <c r="Y440" s="38">
        <v>49.5</v>
      </c>
      <c r="Z440" s="38">
        <v>49.31</v>
      </c>
      <c r="AA440" s="38">
        <v>51.61</v>
      </c>
      <c r="AB440" s="38">
        <v>56.73</v>
      </c>
      <c r="AC440" s="38">
        <v>60.35</v>
      </c>
      <c r="AD440" s="38">
        <v>62.79</v>
      </c>
      <c r="AE440" s="38">
        <v>63.78</v>
      </c>
      <c r="AF440" s="38">
        <v>62.57</v>
      </c>
      <c r="AG440" s="38">
        <v>59.12</v>
      </c>
      <c r="AH440" s="38">
        <v>51.13</v>
      </c>
      <c r="AI440" s="38">
        <v>47.33</v>
      </c>
      <c r="AJ440" s="38">
        <v>45.46</v>
      </c>
      <c r="AK440" s="38">
        <v>44.64</v>
      </c>
      <c r="AL440" s="38">
        <v>45.4</v>
      </c>
      <c r="AM440" s="38">
        <v>47.74</v>
      </c>
      <c r="AN440" s="38">
        <v>52.13</v>
      </c>
      <c r="AO440" s="38">
        <v>55.24</v>
      </c>
      <c r="AP440" s="38">
        <v>57.05</v>
      </c>
      <c r="AQ440" s="38">
        <v>57.81</v>
      </c>
      <c r="AR440" s="38">
        <v>56.84</v>
      </c>
      <c r="AS440" s="38">
        <v>54.01</v>
      </c>
      <c r="AT440" s="38">
        <v>48.93</v>
      </c>
      <c r="AU440" s="38">
        <v>46.97</v>
      </c>
      <c r="AV440" s="38">
        <v>45.37</v>
      </c>
      <c r="AW440" s="38">
        <v>45.09</v>
      </c>
      <c r="AX440" s="38">
        <v>45.57</v>
      </c>
      <c r="AY440" s="38">
        <v>45.99</v>
      </c>
      <c r="BA440" s="37" t="e">
        <v>#N/A</v>
      </c>
      <c r="BB440" s="38" t="e">
        <v>#N/A</v>
      </c>
    </row>
    <row r="441" spans="1:54" x14ac:dyDescent="0.35">
      <c r="A441" s="2">
        <f t="shared" si="6"/>
        <v>44439</v>
      </c>
      <c r="B441" t="s">
        <v>483</v>
      </c>
      <c r="C441" s="32">
        <v>44439</v>
      </c>
      <c r="D441" s="38">
        <v>127.71</v>
      </c>
      <c r="E441" s="38">
        <v>131.16</v>
      </c>
      <c r="F441" s="38">
        <v>132.28</v>
      </c>
      <c r="G441" s="38">
        <v>132.78</v>
      </c>
      <c r="H441" s="38">
        <v>132.19999999999999</v>
      </c>
      <c r="I441" s="38">
        <v>119.29</v>
      </c>
      <c r="J441" s="38">
        <v>86.59</v>
      </c>
      <c r="K441" s="38">
        <v>72.34</v>
      </c>
      <c r="L441" s="38">
        <v>68.83</v>
      </c>
      <c r="M441" s="38">
        <v>70.31</v>
      </c>
      <c r="N441" s="38">
        <v>71.37</v>
      </c>
      <c r="O441" s="38">
        <v>72.5</v>
      </c>
      <c r="P441" s="38">
        <v>74.33</v>
      </c>
      <c r="Q441" s="38">
        <v>76.459999999999994</v>
      </c>
      <c r="R441" s="38">
        <v>79.14</v>
      </c>
      <c r="S441" s="38">
        <v>81.05</v>
      </c>
      <c r="T441" s="38">
        <v>80.39</v>
      </c>
      <c r="U441" s="38">
        <v>75.62</v>
      </c>
      <c r="V441" s="38">
        <v>65.48</v>
      </c>
      <c r="W441" s="38">
        <v>57.7</v>
      </c>
      <c r="X441" s="38">
        <v>52.94</v>
      </c>
      <c r="Y441" s="38">
        <v>50.28</v>
      </c>
      <c r="Z441" s="38">
        <v>50.14</v>
      </c>
      <c r="AA441" s="38">
        <v>52.49</v>
      </c>
      <c r="AB441" s="38">
        <v>57.89</v>
      </c>
      <c r="AC441" s="38">
        <v>61.51</v>
      </c>
      <c r="AD441" s="38">
        <v>63.89</v>
      </c>
      <c r="AE441" s="38">
        <v>64.88</v>
      </c>
      <c r="AF441" s="38">
        <v>63.67</v>
      </c>
      <c r="AG441" s="38">
        <v>60.22</v>
      </c>
      <c r="AH441" s="38">
        <v>52.23</v>
      </c>
      <c r="AI441" s="38">
        <v>48.34</v>
      </c>
      <c r="AJ441" s="38">
        <v>46.38</v>
      </c>
      <c r="AK441" s="38">
        <v>45.56</v>
      </c>
      <c r="AL441" s="38">
        <v>46.32</v>
      </c>
      <c r="AM441" s="38">
        <v>48.66</v>
      </c>
      <c r="AN441" s="38">
        <v>52.79</v>
      </c>
      <c r="AO441" s="38">
        <v>55.9</v>
      </c>
      <c r="AP441" s="38">
        <v>57.71</v>
      </c>
      <c r="AQ441" s="38">
        <v>58.47</v>
      </c>
      <c r="AR441" s="38">
        <v>57.5</v>
      </c>
      <c r="AS441" s="38">
        <v>54.67</v>
      </c>
      <c r="AT441" s="38">
        <v>49.07</v>
      </c>
      <c r="AU441" s="38">
        <v>47.11</v>
      </c>
      <c r="AV441" s="38">
        <v>45.51</v>
      </c>
      <c r="AW441" s="38">
        <v>45.23</v>
      </c>
      <c r="AX441" s="38">
        <v>45.71</v>
      </c>
      <c r="AY441" s="38">
        <v>46.13</v>
      </c>
      <c r="BA441" s="37">
        <v>73.45</v>
      </c>
      <c r="BB441" s="38">
        <v>1.3761000000000001</v>
      </c>
    </row>
    <row r="442" spans="1:54" x14ac:dyDescent="0.35">
      <c r="A442" s="2">
        <f t="shared" si="6"/>
        <v>44440</v>
      </c>
      <c r="B442" t="s">
        <v>484</v>
      </c>
      <c r="C442" s="32">
        <v>44440</v>
      </c>
      <c r="D442" s="38">
        <v>127.75</v>
      </c>
      <c r="E442" s="38">
        <v>131.19999999999999</v>
      </c>
      <c r="F442" s="38">
        <v>132.57</v>
      </c>
      <c r="G442" s="38">
        <v>132.91</v>
      </c>
      <c r="H442" s="38">
        <v>131.93</v>
      </c>
      <c r="I442" s="38">
        <v>119.11</v>
      </c>
      <c r="J442" s="38">
        <v>83.91</v>
      </c>
      <c r="K442" s="38">
        <v>72.94</v>
      </c>
      <c r="L442" s="38">
        <v>69.47</v>
      </c>
      <c r="M442" s="38">
        <v>70.099999999999994</v>
      </c>
      <c r="N442" s="38">
        <v>71.28</v>
      </c>
      <c r="O442" s="38">
        <v>72.59</v>
      </c>
      <c r="P442" s="38">
        <v>74.2</v>
      </c>
      <c r="Q442" s="38">
        <v>76.31</v>
      </c>
      <c r="R442" s="38">
        <v>78.91</v>
      </c>
      <c r="S442" s="38">
        <v>80.77</v>
      </c>
      <c r="T442" s="38">
        <v>80.02</v>
      </c>
      <c r="U442" s="38">
        <v>75.760000000000005</v>
      </c>
      <c r="V442" s="38">
        <v>65.819999999999993</v>
      </c>
      <c r="W442" s="38">
        <v>58.07</v>
      </c>
      <c r="X442" s="38">
        <v>53.31</v>
      </c>
      <c r="Y442" s="38">
        <v>50.65</v>
      </c>
      <c r="Z442" s="38">
        <v>50.46</v>
      </c>
      <c r="AA442" s="38">
        <v>52.76</v>
      </c>
      <c r="AB442" s="38">
        <v>57.85</v>
      </c>
      <c r="AC442" s="38">
        <v>61.53</v>
      </c>
      <c r="AD442" s="38">
        <v>63.91</v>
      </c>
      <c r="AE442" s="38">
        <v>64.900000000000006</v>
      </c>
      <c r="AF442" s="38">
        <v>63.69</v>
      </c>
      <c r="AG442" s="38">
        <v>60.22</v>
      </c>
      <c r="AH442" s="38">
        <v>52.33</v>
      </c>
      <c r="AI442" s="38">
        <v>48.44</v>
      </c>
      <c r="AJ442" s="38">
        <v>46.48</v>
      </c>
      <c r="AK442" s="38">
        <v>45.66</v>
      </c>
      <c r="AL442" s="38">
        <v>46.42</v>
      </c>
      <c r="AM442" s="38">
        <v>48.81</v>
      </c>
      <c r="AN442" s="38">
        <v>53.11</v>
      </c>
      <c r="AO442" s="38">
        <v>56.29</v>
      </c>
      <c r="AP442" s="38">
        <v>58.1</v>
      </c>
      <c r="AQ442" s="38">
        <v>58.86</v>
      </c>
      <c r="AR442" s="38">
        <v>57.89</v>
      </c>
      <c r="AS442" s="38">
        <v>55.06</v>
      </c>
      <c r="AT442" s="38">
        <v>49.37</v>
      </c>
      <c r="AU442" s="38">
        <v>47.41</v>
      </c>
      <c r="AV442" s="38">
        <v>45.81</v>
      </c>
      <c r="AW442" s="38">
        <v>45.53</v>
      </c>
      <c r="AX442" s="38">
        <v>46.01</v>
      </c>
      <c r="AY442" s="38">
        <v>46.43</v>
      </c>
      <c r="BA442" s="37">
        <v>71.989999999999995</v>
      </c>
      <c r="BB442" s="38">
        <v>1.3786</v>
      </c>
    </row>
    <row r="443" spans="1:54" x14ac:dyDescent="0.35">
      <c r="A443" s="2">
        <f t="shared" si="6"/>
        <v>44441</v>
      </c>
      <c r="B443" t="s">
        <v>485</v>
      </c>
      <c r="C443" s="32">
        <v>44441</v>
      </c>
      <c r="D443" s="38">
        <v>132</v>
      </c>
      <c r="E443" s="38">
        <v>135.51</v>
      </c>
      <c r="F443" s="38">
        <v>136.96</v>
      </c>
      <c r="G443" s="38">
        <v>137.21</v>
      </c>
      <c r="H443" s="38">
        <v>136.51</v>
      </c>
      <c r="I443" s="38">
        <v>124.14</v>
      </c>
      <c r="J443" s="38">
        <v>87.13</v>
      </c>
      <c r="K443" s="38">
        <v>74.61</v>
      </c>
      <c r="L443" s="38">
        <v>70.92</v>
      </c>
      <c r="M443" s="38">
        <v>71.760000000000005</v>
      </c>
      <c r="N443" s="38">
        <v>72.91</v>
      </c>
      <c r="O443" s="38">
        <v>74.22</v>
      </c>
      <c r="P443" s="38">
        <v>75.75</v>
      </c>
      <c r="Q443" s="38">
        <v>77.91</v>
      </c>
      <c r="R443" s="38">
        <v>80.81</v>
      </c>
      <c r="S443" s="38">
        <v>82.77</v>
      </c>
      <c r="T443" s="38">
        <v>81.66</v>
      </c>
      <c r="U443" s="38">
        <v>76.900000000000006</v>
      </c>
      <c r="V443" s="38">
        <v>66.44</v>
      </c>
      <c r="W443" s="38">
        <v>58.42</v>
      </c>
      <c r="X443" s="38">
        <v>53.56</v>
      </c>
      <c r="Y443" s="38">
        <v>50.79</v>
      </c>
      <c r="Z443" s="38">
        <v>50.52</v>
      </c>
      <c r="AA443" s="38">
        <v>52.89</v>
      </c>
      <c r="AB443" s="38">
        <v>58.29</v>
      </c>
      <c r="AC443" s="38">
        <v>61.97</v>
      </c>
      <c r="AD443" s="38">
        <v>64.36</v>
      </c>
      <c r="AE443" s="38">
        <v>65.349999999999994</v>
      </c>
      <c r="AF443" s="38">
        <v>64.14</v>
      </c>
      <c r="AG443" s="38">
        <v>60.68</v>
      </c>
      <c r="AH443" s="38">
        <v>52.33</v>
      </c>
      <c r="AI443" s="38">
        <v>48.18</v>
      </c>
      <c r="AJ443" s="38">
        <v>46.17</v>
      </c>
      <c r="AK443" s="38">
        <v>45.35</v>
      </c>
      <c r="AL443" s="38">
        <v>46.11</v>
      </c>
      <c r="AM443" s="38">
        <v>48.5</v>
      </c>
      <c r="AN443" s="38">
        <v>53</v>
      </c>
      <c r="AO443" s="38">
        <v>56.33</v>
      </c>
      <c r="AP443" s="38">
        <v>58.21</v>
      </c>
      <c r="AQ443" s="38">
        <v>58.97</v>
      </c>
      <c r="AR443" s="38">
        <v>58</v>
      </c>
      <c r="AS443" s="38">
        <v>55.17</v>
      </c>
      <c r="AT443" s="38">
        <v>49.55</v>
      </c>
      <c r="AU443" s="38">
        <v>47.59</v>
      </c>
      <c r="AV443" s="38">
        <v>46.09</v>
      </c>
      <c r="AW443" s="38">
        <v>45.81</v>
      </c>
      <c r="AX443" s="38">
        <v>46.28</v>
      </c>
      <c r="AY443" s="38">
        <v>46.86</v>
      </c>
      <c r="BA443" s="37">
        <v>73.56</v>
      </c>
      <c r="BB443" s="38">
        <v>1.3833</v>
      </c>
    </row>
    <row r="444" spans="1:54" x14ac:dyDescent="0.35">
      <c r="A444" s="2">
        <f t="shared" si="6"/>
        <v>44442</v>
      </c>
      <c r="B444" t="s">
        <v>486</v>
      </c>
      <c r="C444" s="32">
        <v>44442</v>
      </c>
      <c r="D444" s="38">
        <v>130.44999999999999</v>
      </c>
      <c r="E444" s="38">
        <v>134.24</v>
      </c>
      <c r="F444" s="38">
        <v>135.69</v>
      </c>
      <c r="G444" s="38">
        <v>135.72999999999999</v>
      </c>
      <c r="H444" s="38">
        <v>135.04</v>
      </c>
      <c r="I444" s="38">
        <v>122.03</v>
      </c>
      <c r="J444" s="38">
        <v>86.15</v>
      </c>
      <c r="K444" s="38">
        <v>74.650000000000006</v>
      </c>
      <c r="L444" s="38">
        <v>70.75</v>
      </c>
      <c r="M444" s="38">
        <v>71.14</v>
      </c>
      <c r="N444" s="38">
        <v>72.97</v>
      </c>
      <c r="O444" s="38">
        <v>74.53</v>
      </c>
      <c r="P444" s="38">
        <v>75.77</v>
      </c>
      <c r="Q444" s="38">
        <v>77.73</v>
      </c>
      <c r="R444" s="38">
        <v>80.52</v>
      </c>
      <c r="S444" s="38">
        <v>82.61</v>
      </c>
      <c r="T444" s="38">
        <v>81.510000000000005</v>
      </c>
      <c r="U444" s="38">
        <v>76.78</v>
      </c>
      <c r="V444" s="38">
        <v>64.569999999999993</v>
      </c>
      <c r="W444" s="38">
        <v>56.49</v>
      </c>
      <c r="X444" s="38">
        <v>51.5</v>
      </c>
      <c r="Y444" s="38">
        <v>51.89</v>
      </c>
      <c r="Z444" s="38">
        <v>52.57</v>
      </c>
      <c r="AA444" s="38">
        <v>54.94</v>
      </c>
      <c r="AB444" s="38">
        <v>58.48</v>
      </c>
      <c r="AC444" s="38">
        <v>61.78</v>
      </c>
      <c r="AD444" s="38">
        <v>64.16</v>
      </c>
      <c r="AE444" s="38">
        <v>65.06</v>
      </c>
      <c r="AF444" s="38">
        <v>63.77</v>
      </c>
      <c r="AG444" s="38">
        <v>60.24</v>
      </c>
      <c r="AH444" s="38">
        <v>51.91</v>
      </c>
      <c r="AI444" s="38">
        <v>47.55</v>
      </c>
      <c r="AJ444" s="38">
        <v>45.53</v>
      </c>
      <c r="AK444" s="38">
        <v>44.72</v>
      </c>
      <c r="AL444" s="38">
        <v>45.49</v>
      </c>
      <c r="AM444" s="38">
        <v>47.88</v>
      </c>
      <c r="AN444" s="38">
        <v>52.38</v>
      </c>
      <c r="AO444" s="38">
        <v>55.76</v>
      </c>
      <c r="AP444" s="38">
        <v>57.64</v>
      </c>
      <c r="AQ444" s="38">
        <v>58.4</v>
      </c>
      <c r="AR444" s="38">
        <v>57.43</v>
      </c>
      <c r="AS444" s="38">
        <v>54.6</v>
      </c>
      <c r="AT444" s="38">
        <v>48.98</v>
      </c>
      <c r="AU444" s="38">
        <v>47.01</v>
      </c>
      <c r="AV444" s="38">
        <v>45.51</v>
      </c>
      <c r="AW444" s="38">
        <v>45.23</v>
      </c>
      <c r="AX444" s="38">
        <v>45.7</v>
      </c>
      <c r="AY444" s="38">
        <v>46.28</v>
      </c>
      <c r="BA444" s="37">
        <v>73.069999999999993</v>
      </c>
      <c r="BB444" s="38">
        <v>1.3871</v>
      </c>
    </row>
    <row r="445" spans="1:54" x14ac:dyDescent="0.35">
      <c r="A445" s="2">
        <f t="shared" si="6"/>
        <v>44445</v>
      </c>
      <c r="B445" t="s">
        <v>487</v>
      </c>
      <c r="C445" s="32">
        <v>44445</v>
      </c>
      <c r="D445" s="38">
        <v>134.11000000000001</v>
      </c>
      <c r="E445" s="38">
        <v>138.25</v>
      </c>
      <c r="F445" s="38">
        <v>139.94</v>
      </c>
      <c r="G445" s="38">
        <v>140.05000000000001</v>
      </c>
      <c r="H445" s="38">
        <v>139.22999999999999</v>
      </c>
      <c r="I445" s="38">
        <v>126.2</v>
      </c>
      <c r="J445" s="38">
        <v>88.66</v>
      </c>
      <c r="K445" s="38">
        <v>75.92</v>
      </c>
      <c r="L445" s="38">
        <v>72.12</v>
      </c>
      <c r="M445" s="38">
        <v>72.739999999999995</v>
      </c>
      <c r="N445" s="38">
        <v>74.680000000000007</v>
      </c>
      <c r="O445" s="38">
        <v>76.290000000000006</v>
      </c>
      <c r="P445" s="38">
        <v>77.53</v>
      </c>
      <c r="Q445" s="38">
        <v>79.55</v>
      </c>
      <c r="R445" s="38">
        <v>82.39</v>
      </c>
      <c r="S445" s="38">
        <v>84.51</v>
      </c>
      <c r="T445" s="38">
        <v>83.39</v>
      </c>
      <c r="U445" s="38">
        <v>78.540000000000006</v>
      </c>
      <c r="V445" s="38">
        <v>65.83</v>
      </c>
      <c r="W445" s="38">
        <v>57.38</v>
      </c>
      <c r="X445" s="38">
        <v>52.39</v>
      </c>
      <c r="Y445" s="38">
        <v>52.78</v>
      </c>
      <c r="Z445" s="38">
        <v>53.46</v>
      </c>
      <c r="AA445" s="38">
        <v>55.83</v>
      </c>
      <c r="AB445" s="38">
        <v>59.37</v>
      </c>
      <c r="AC445" s="38">
        <v>62.67</v>
      </c>
      <c r="AD445" s="38">
        <v>65.05</v>
      </c>
      <c r="AE445" s="38">
        <v>65.95</v>
      </c>
      <c r="AF445" s="38">
        <v>64.66</v>
      </c>
      <c r="AG445" s="38">
        <v>61.13</v>
      </c>
      <c r="AH445" s="38">
        <v>52.65</v>
      </c>
      <c r="AI445" s="38">
        <v>48.29</v>
      </c>
      <c r="AJ445" s="38">
        <v>46.27</v>
      </c>
      <c r="AK445" s="38">
        <v>45.46</v>
      </c>
      <c r="AL445" s="38">
        <v>46.23</v>
      </c>
      <c r="AM445" s="38">
        <v>48.62</v>
      </c>
      <c r="AN445" s="38">
        <v>53.12</v>
      </c>
      <c r="AO445" s="38">
        <v>56.5</v>
      </c>
      <c r="AP445" s="38">
        <v>58.38</v>
      </c>
      <c r="AQ445" s="38">
        <v>59.14</v>
      </c>
      <c r="AR445" s="38">
        <v>58.17</v>
      </c>
      <c r="AS445" s="38">
        <v>55.34</v>
      </c>
      <c r="AT445" s="38">
        <v>49.72</v>
      </c>
      <c r="AU445" s="38">
        <v>47.75</v>
      </c>
      <c r="AV445" s="38">
        <v>46.25</v>
      </c>
      <c r="AW445" s="38">
        <v>45.97</v>
      </c>
      <c r="AX445" s="38">
        <v>46.44</v>
      </c>
      <c r="AY445" s="38">
        <v>47.02</v>
      </c>
      <c r="BA445" s="37">
        <v>72.430000000000007</v>
      </c>
      <c r="BB445" s="38">
        <v>1.3827</v>
      </c>
    </row>
    <row r="446" spans="1:54" x14ac:dyDescent="0.35">
      <c r="A446" s="2">
        <f t="shared" si="6"/>
        <v>44446</v>
      </c>
      <c r="B446" t="s">
        <v>488</v>
      </c>
      <c r="C446" s="32">
        <v>44446</v>
      </c>
      <c r="D446" s="38">
        <v>136.44</v>
      </c>
      <c r="E446" s="38">
        <v>140.74</v>
      </c>
      <c r="F446" s="38">
        <v>142.41</v>
      </c>
      <c r="G446" s="38">
        <v>142.91</v>
      </c>
      <c r="H446" s="38">
        <v>141.94</v>
      </c>
      <c r="I446" s="38">
        <v>128.88999999999999</v>
      </c>
      <c r="J446" s="38">
        <v>89.77</v>
      </c>
      <c r="K446" s="38">
        <v>76.709999999999994</v>
      </c>
      <c r="L446" s="38">
        <v>72.48</v>
      </c>
      <c r="M446" s="38">
        <v>73.17</v>
      </c>
      <c r="N446" s="38">
        <v>75.19</v>
      </c>
      <c r="O446" s="38">
        <v>76.78</v>
      </c>
      <c r="P446" s="38">
        <v>78.17</v>
      </c>
      <c r="Q446" s="38">
        <v>80.39</v>
      </c>
      <c r="R446" s="38">
        <v>83.25</v>
      </c>
      <c r="S446" s="38">
        <v>85.44</v>
      </c>
      <c r="T446" s="38">
        <v>84.23</v>
      </c>
      <c r="U446" s="38">
        <v>78.92</v>
      </c>
      <c r="V446" s="38">
        <v>65.709999999999994</v>
      </c>
      <c r="W446" s="38">
        <v>56.79</v>
      </c>
      <c r="X446" s="38">
        <v>51.61</v>
      </c>
      <c r="Y446" s="38">
        <v>51.9</v>
      </c>
      <c r="Z446" s="38">
        <v>52.54</v>
      </c>
      <c r="AA446" s="38">
        <v>55</v>
      </c>
      <c r="AB446" s="38">
        <v>58.77</v>
      </c>
      <c r="AC446" s="38">
        <v>62.24</v>
      </c>
      <c r="AD446" s="38">
        <v>64.69</v>
      </c>
      <c r="AE446" s="38">
        <v>65.67</v>
      </c>
      <c r="AF446" s="38">
        <v>64.38</v>
      </c>
      <c r="AG446" s="38">
        <v>60.85</v>
      </c>
      <c r="AH446" s="38">
        <v>52.27</v>
      </c>
      <c r="AI446" s="38">
        <v>47.81</v>
      </c>
      <c r="AJ446" s="38">
        <v>45.72</v>
      </c>
      <c r="AK446" s="38">
        <v>44.89</v>
      </c>
      <c r="AL446" s="38">
        <v>45.66</v>
      </c>
      <c r="AM446" s="38">
        <v>48.05</v>
      </c>
      <c r="AN446" s="38">
        <v>52.55</v>
      </c>
      <c r="AO446" s="38">
        <v>55.93</v>
      </c>
      <c r="AP446" s="38">
        <v>57.81</v>
      </c>
      <c r="AQ446" s="38">
        <v>58.57</v>
      </c>
      <c r="AR446" s="38">
        <v>57.6</v>
      </c>
      <c r="AS446" s="38">
        <v>54.77</v>
      </c>
      <c r="AT446" s="38">
        <v>49.13</v>
      </c>
      <c r="AU446" s="38">
        <v>47.14</v>
      </c>
      <c r="AV446" s="38">
        <v>45.62</v>
      </c>
      <c r="AW446" s="38">
        <v>45.33</v>
      </c>
      <c r="AX446" s="38">
        <v>46.02</v>
      </c>
      <c r="AY446" s="38">
        <v>46.92</v>
      </c>
      <c r="BA446" s="37">
        <v>71.52</v>
      </c>
      <c r="BB446" s="38">
        <v>1.3783000000000001</v>
      </c>
    </row>
    <row r="447" spans="1:54" x14ac:dyDescent="0.35">
      <c r="A447" s="2">
        <f t="shared" si="6"/>
        <v>44447</v>
      </c>
      <c r="B447" t="s">
        <v>489</v>
      </c>
      <c r="C447" s="32">
        <v>44447</v>
      </c>
      <c r="D447" s="38">
        <v>139.66</v>
      </c>
      <c r="E447" s="38">
        <v>144.36000000000001</v>
      </c>
      <c r="F447" s="38">
        <v>146.13</v>
      </c>
      <c r="G447" s="38">
        <v>146.72999999999999</v>
      </c>
      <c r="H447" s="38">
        <v>146.03</v>
      </c>
      <c r="I447" s="38">
        <v>133.03</v>
      </c>
      <c r="J447" s="38">
        <v>91.84</v>
      </c>
      <c r="K447" s="38">
        <v>79.84</v>
      </c>
      <c r="L447" s="38">
        <v>76.2</v>
      </c>
      <c r="M447" s="38">
        <v>76.59</v>
      </c>
      <c r="N447" s="38">
        <v>78.61</v>
      </c>
      <c r="O447" s="38">
        <v>80.11</v>
      </c>
      <c r="P447" s="38">
        <v>81.91</v>
      </c>
      <c r="Q447" s="38">
        <v>84.15</v>
      </c>
      <c r="R447" s="38">
        <v>87.02</v>
      </c>
      <c r="S447" s="38">
        <v>89.22</v>
      </c>
      <c r="T447" s="38">
        <v>88.02</v>
      </c>
      <c r="U447" s="38">
        <v>82.68</v>
      </c>
      <c r="V447" s="38">
        <v>67.83</v>
      </c>
      <c r="W447" s="38">
        <v>57.59</v>
      </c>
      <c r="X447" s="38">
        <v>51.49</v>
      </c>
      <c r="Y447" s="38">
        <v>51.54</v>
      </c>
      <c r="Z447" s="38">
        <v>52.02</v>
      </c>
      <c r="AA447" s="38">
        <v>54.48</v>
      </c>
      <c r="AB447" s="38">
        <v>58.45</v>
      </c>
      <c r="AC447" s="38">
        <v>62.07</v>
      </c>
      <c r="AD447" s="38">
        <v>64.55</v>
      </c>
      <c r="AE447" s="38">
        <v>65.53</v>
      </c>
      <c r="AF447" s="38">
        <v>64.239999999999995</v>
      </c>
      <c r="AG447" s="38">
        <v>60.71</v>
      </c>
      <c r="AH447" s="38">
        <v>52.35</v>
      </c>
      <c r="AI447" s="38">
        <v>47.91</v>
      </c>
      <c r="AJ447" s="38">
        <v>45.84</v>
      </c>
      <c r="AK447" s="38">
        <v>45.02</v>
      </c>
      <c r="AL447" s="38">
        <v>45.79</v>
      </c>
      <c r="AM447" s="38">
        <v>48.18</v>
      </c>
      <c r="AN447" s="38">
        <v>52.68</v>
      </c>
      <c r="AO447" s="38">
        <v>56.06</v>
      </c>
      <c r="AP447" s="38">
        <v>57.94</v>
      </c>
      <c r="AQ447" s="38">
        <v>58.7</v>
      </c>
      <c r="AR447" s="38">
        <v>57.73</v>
      </c>
      <c r="AS447" s="38">
        <v>54.9</v>
      </c>
      <c r="AT447" s="38">
        <v>49.26</v>
      </c>
      <c r="AU447" s="38">
        <v>47.27</v>
      </c>
      <c r="AV447" s="38">
        <v>45.75</v>
      </c>
      <c r="AW447" s="38">
        <v>45.46</v>
      </c>
      <c r="AX447" s="38">
        <v>46.15</v>
      </c>
      <c r="AY447" s="38">
        <v>47.05</v>
      </c>
      <c r="BA447" s="37">
        <v>72.36</v>
      </c>
      <c r="BB447" s="38">
        <v>1.3736999999999999</v>
      </c>
    </row>
    <row r="448" spans="1:54" x14ac:dyDescent="0.35">
      <c r="A448" s="2">
        <f t="shared" si="6"/>
        <v>44448</v>
      </c>
      <c r="B448" t="s">
        <v>490</v>
      </c>
      <c r="C448" s="32">
        <v>44448</v>
      </c>
      <c r="D448" s="38">
        <v>142.15</v>
      </c>
      <c r="E448" s="38">
        <v>147.16</v>
      </c>
      <c r="F448" s="38">
        <v>149.19999999999999</v>
      </c>
      <c r="G448" s="38">
        <v>149.56</v>
      </c>
      <c r="H448" s="38">
        <v>148.96</v>
      </c>
      <c r="I448" s="38">
        <v>135.56</v>
      </c>
      <c r="J448" s="38">
        <v>93.56</v>
      </c>
      <c r="K448" s="38">
        <v>81.56</v>
      </c>
      <c r="L448" s="38">
        <v>77.81</v>
      </c>
      <c r="M448" s="38">
        <v>78.099999999999994</v>
      </c>
      <c r="N448" s="38">
        <v>80.069999999999993</v>
      </c>
      <c r="O448" s="38">
        <v>81.239999999999995</v>
      </c>
      <c r="P448" s="38">
        <v>82.96</v>
      </c>
      <c r="Q448" s="38">
        <v>85.01</v>
      </c>
      <c r="R448" s="38">
        <v>87.83</v>
      </c>
      <c r="S448" s="38">
        <v>90.11</v>
      </c>
      <c r="T448" s="38">
        <v>88.91</v>
      </c>
      <c r="U448" s="38">
        <v>83.3</v>
      </c>
      <c r="V448" s="38">
        <v>68.3</v>
      </c>
      <c r="W448" s="38">
        <v>57.92</v>
      </c>
      <c r="X448" s="38">
        <v>51.72</v>
      </c>
      <c r="Y448" s="38">
        <v>51.7</v>
      </c>
      <c r="Z448" s="38">
        <v>52.18</v>
      </c>
      <c r="AA448" s="38">
        <v>54.64</v>
      </c>
      <c r="AB448" s="38">
        <v>58.49</v>
      </c>
      <c r="AC448" s="38">
        <v>62.05</v>
      </c>
      <c r="AD448" s="38">
        <v>64.53</v>
      </c>
      <c r="AE448" s="38">
        <v>65.510000000000005</v>
      </c>
      <c r="AF448" s="38">
        <v>64.22</v>
      </c>
      <c r="AG448" s="38">
        <v>60.69</v>
      </c>
      <c r="AH448" s="38">
        <v>52.01</v>
      </c>
      <c r="AI448" s="38">
        <v>47.56</v>
      </c>
      <c r="AJ448" s="38">
        <v>45.48</v>
      </c>
      <c r="AK448" s="38">
        <v>44.65</v>
      </c>
      <c r="AL448" s="38">
        <v>45.42</v>
      </c>
      <c r="AM448" s="38">
        <v>47.81</v>
      </c>
      <c r="AN448" s="38">
        <v>52.41</v>
      </c>
      <c r="AO448" s="38">
        <v>55.85</v>
      </c>
      <c r="AP448" s="38">
        <v>57.73</v>
      </c>
      <c r="AQ448" s="38">
        <v>58.49</v>
      </c>
      <c r="AR448" s="38">
        <v>57.52</v>
      </c>
      <c r="AS448" s="38">
        <v>54.69</v>
      </c>
      <c r="AT448" s="38">
        <v>49.05</v>
      </c>
      <c r="AU448" s="38">
        <v>47.06</v>
      </c>
      <c r="AV448" s="38">
        <v>45.54</v>
      </c>
      <c r="AW448" s="38">
        <v>45.25</v>
      </c>
      <c r="AX448" s="38">
        <v>45.94</v>
      </c>
      <c r="AY448" s="38">
        <v>46.84</v>
      </c>
      <c r="BA448" s="37">
        <v>71.319999999999993</v>
      </c>
      <c r="BB448" s="38">
        <v>1.3844000000000001</v>
      </c>
    </row>
    <row r="449" spans="1:54" x14ac:dyDescent="0.35">
      <c r="A449" s="2">
        <f t="shared" si="6"/>
        <v>44449</v>
      </c>
      <c r="B449" t="s">
        <v>491</v>
      </c>
      <c r="C449" s="32">
        <v>44449</v>
      </c>
      <c r="D449" s="38">
        <v>145.52000000000001</v>
      </c>
      <c r="E449" s="38">
        <v>150.53</v>
      </c>
      <c r="F449" s="38">
        <v>152.71</v>
      </c>
      <c r="G449" s="38">
        <v>153</v>
      </c>
      <c r="H449" s="38">
        <v>152.15</v>
      </c>
      <c r="I449" s="38">
        <v>138.9</v>
      </c>
      <c r="J449" s="38">
        <v>91.71</v>
      </c>
      <c r="K449" s="38">
        <v>79.709999999999994</v>
      </c>
      <c r="L449" s="38">
        <v>76.16</v>
      </c>
      <c r="M449" s="38">
        <v>76.72</v>
      </c>
      <c r="N449" s="38">
        <v>78.69</v>
      </c>
      <c r="O449" s="38">
        <v>79.78</v>
      </c>
      <c r="P449" s="38">
        <v>81.5</v>
      </c>
      <c r="Q449" s="38">
        <v>83.55</v>
      </c>
      <c r="R449" s="38">
        <v>86.37</v>
      </c>
      <c r="S449" s="38">
        <v>88.68</v>
      </c>
      <c r="T449" s="38">
        <v>87.76</v>
      </c>
      <c r="U449" s="38">
        <v>82.64</v>
      </c>
      <c r="V449" s="38">
        <v>68.12</v>
      </c>
      <c r="W449" s="38">
        <v>58.22</v>
      </c>
      <c r="X449" s="38">
        <v>52.04</v>
      </c>
      <c r="Y449" s="38">
        <v>52.02</v>
      </c>
      <c r="Z449" s="38">
        <v>52.5</v>
      </c>
      <c r="AA449" s="38">
        <v>55.01</v>
      </c>
      <c r="AB449" s="38">
        <v>58.88</v>
      </c>
      <c r="AC449" s="38">
        <v>62.42</v>
      </c>
      <c r="AD449" s="38">
        <v>64.900000000000006</v>
      </c>
      <c r="AE449" s="38">
        <v>65.88</v>
      </c>
      <c r="AF449" s="38">
        <v>64.59</v>
      </c>
      <c r="AG449" s="38">
        <v>61.01</v>
      </c>
      <c r="AH449" s="38">
        <v>52.11</v>
      </c>
      <c r="AI449" s="38">
        <v>47.54</v>
      </c>
      <c r="AJ449" s="38">
        <v>45.45</v>
      </c>
      <c r="AK449" s="38">
        <v>44.62</v>
      </c>
      <c r="AL449" s="38">
        <v>45.39</v>
      </c>
      <c r="AM449" s="38">
        <v>47.85</v>
      </c>
      <c r="AN449" s="38">
        <v>52.51</v>
      </c>
      <c r="AO449" s="38">
        <v>56.01</v>
      </c>
      <c r="AP449" s="38">
        <v>57.94</v>
      </c>
      <c r="AQ449" s="38">
        <v>58.74</v>
      </c>
      <c r="AR449" s="38">
        <v>57.8</v>
      </c>
      <c r="AS449" s="38">
        <v>54.97</v>
      </c>
      <c r="AT449" s="38">
        <v>49.33</v>
      </c>
      <c r="AU449" s="38">
        <v>47.34</v>
      </c>
      <c r="AV449" s="38">
        <v>45.82</v>
      </c>
      <c r="AW449" s="38">
        <v>45.53</v>
      </c>
      <c r="AX449" s="38">
        <v>46.22</v>
      </c>
      <c r="AY449" s="38">
        <v>47.12</v>
      </c>
      <c r="BA449" s="37">
        <v>72.44</v>
      </c>
      <c r="BB449" s="38">
        <v>1.3855</v>
      </c>
    </row>
    <row r="450" spans="1:54" x14ac:dyDescent="0.35">
      <c r="A450" s="2">
        <f t="shared" si="6"/>
        <v>44452</v>
      </c>
      <c r="B450" t="s">
        <v>492</v>
      </c>
      <c r="C450" s="32">
        <v>44452</v>
      </c>
      <c r="D450" s="38">
        <v>153.26</v>
      </c>
      <c r="E450" s="38">
        <v>158.41</v>
      </c>
      <c r="F450" s="38">
        <v>160.26</v>
      </c>
      <c r="G450" s="38">
        <v>160.83000000000001</v>
      </c>
      <c r="H450" s="38">
        <v>160.02000000000001</v>
      </c>
      <c r="I450" s="38">
        <v>146.33000000000001</v>
      </c>
      <c r="J450" s="38">
        <v>93.84</v>
      </c>
      <c r="K450" s="38">
        <v>81.08</v>
      </c>
      <c r="L450" s="38">
        <v>77.52</v>
      </c>
      <c r="M450" s="38">
        <v>78.03</v>
      </c>
      <c r="N450" s="38">
        <v>80</v>
      </c>
      <c r="O450" s="38">
        <v>81.09</v>
      </c>
      <c r="P450" s="38">
        <v>82.71</v>
      </c>
      <c r="Q450" s="38">
        <v>84.76</v>
      </c>
      <c r="R450" s="38">
        <v>87.58</v>
      </c>
      <c r="S450" s="38">
        <v>89.89</v>
      </c>
      <c r="T450" s="38">
        <v>88.97</v>
      </c>
      <c r="U450" s="38">
        <v>83.85</v>
      </c>
      <c r="V450" s="38">
        <v>68.84</v>
      </c>
      <c r="W450" s="38">
        <v>58.65</v>
      </c>
      <c r="X450" s="38">
        <v>52.47</v>
      </c>
      <c r="Y450" s="38">
        <v>52.45</v>
      </c>
      <c r="Z450" s="38">
        <v>52.93</v>
      </c>
      <c r="AA450" s="38">
        <v>55.44</v>
      </c>
      <c r="AB450" s="38">
        <v>59.14</v>
      </c>
      <c r="AC450" s="38">
        <v>62.61</v>
      </c>
      <c r="AD450" s="38">
        <v>65.09</v>
      </c>
      <c r="AE450" s="38">
        <v>66.069999999999993</v>
      </c>
      <c r="AF450" s="38">
        <v>64.78</v>
      </c>
      <c r="AG450" s="38">
        <v>61.2</v>
      </c>
      <c r="AH450" s="38">
        <v>52.48</v>
      </c>
      <c r="AI450" s="38">
        <v>48.02</v>
      </c>
      <c r="AJ450" s="38">
        <v>45.93</v>
      </c>
      <c r="AK450" s="38">
        <v>45.1</v>
      </c>
      <c r="AL450" s="38">
        <v>45.87</v>
      </c>
      <c r="AM450" s="38">
        <v>48.33</v>
      </c>
      <c r="AN450" s="38">
        <v>52.99</v>
      </c>
      <c r="AO450" s="38">
        <v>56.49</v>
      </c>
      <c r="AP450" s="38">
        <v>58.42</v>
      </c>
      <c r="AQ450" s="38">
        <v>59.22</v>
      </c>
      <c r="AR450" s="38">
        <v>58.28</v>
      </c>
      <c r="AS450" s="38">
        <v>55.45</v>
      </c>
      <c r="AT450" s="38">
        <v>49.81</v>
      </c>
      <c r="AU450" s="38">
        <v>47.82</v>
      </c>
      <c r="AV450" s="38">
        <v>46.3</v>
      </c>
      <c r="AW450" s="38">
        <v>46.01</v>
      </c>
      <c r="AX450" s="38">
        <v>46.7</v>
      </c>
      <c r="AY450" s="38">
        <v>47.6</v>
      </c>
      <c r="BA450" s="37">
        <v>72.97</v>
      </c>
      <c r="BB450" s="38">
        <v>1.3848</v>
      </c>
    </row>
    <row r="451" spans="1:54" x14ac:dyDescent="0.35">
      <c r="A451" s="2">
        <f t="shared" si="6"/>
        <v>44453</v>
      </c>
      <c r="B451" t="s">
        <v>493</v>
      </c>
      <c r="C451" s="32">
        <v>44453</v>
      </c>
      <c r="D451" s="38">
        <v>164.95</v>
      </c>
      <c r="E451" s="38">
        <v>169.78</v>
      </c>
      <c r="F451" s="38">
        <v>171.71</v>
      </c>
      <c r="G451" s="38">
        <v>172.19</v>
      </c>
      <c r="H451" s="38">
        <v>171.09</v>
      </c>
      <c r="I451" s="38">
        <v>156.76</v>
      </c>
      <c r="J451" s="38">
        <v>96</v>
      </c>
      <c r="K451" s="38">
        <v>82.74</v>
      </c>
      <c r="L451" s="38">
        <v>79.489999999999995</v>
      </c>
      <c r="M451" s="38">
        <v>79.72</v>
      </c>
      <c r="N451" s="38">
        <v>81.69</v>
      </c>
      <c r="O451" s="38">
        <v>82.79</v>
      </c>
      <c r="P451" s="38">
        <v>84.06</v>
      </c>
      <c r="Q451" s="38">
        <v>86.11</v>
      </c>
      <c r="R451" s="38">
        <v>88.93</v>
      </c>
      <c r="S451" s="38">
        <v>91.04</v>
      </c>
      <c r="T451" s="38">
        <v>90.12</v>
      </c>
      <c r="U451" s="38">
        <v>85</v>
      </c>
      <c r="V451" s="38">
        <v>69.989999999999995</v>
      </c>
      <c r="W451" s="38">
        <v>59.75</v>
      </c>
      <c r="X451" s="38">
        <v>53.57</v>
      </c>
      <c r="Y451" s="38">
        <v>53.55</v>
      </c>
      <c r="Z451" s="38">
        <v>54.03</v>
      </c>
      <c r="AA451" s="38">
        <v>56.54</v>
      </c>
      <c r="AB451" s="38">
        <v>60.24</v>
      </c>
      <c r="AC451" s="38">
        <v>63.71</v>
      </c>
      <c r="AD451" s="38">
        <v>66.19</v>
      </c>
      <c r="AE451" s="38">
        <v>67.17</v>
      </c>
      <c r="AF451" s="38">
        <v>65.88</v>
      </c>
      <c r="AG451" s="38">
        <v>62.3</v>
      </c>
      <c r="AH451" s="38">
        <v>53.23</v>
      </c>
      <c r="AI451" s="38">
        <v>48.55</v>
      </c>
      <c r="AJ451" s="38">
        <v>46.46</v>
      </c>
      <c r="AK451" s="38">
        <v>45.63</v>
      </c>
      <c r="AL451" s="38">
        <v>46.4</v>
      </c>
      <c r="AM451" s="38">
        <v>48.86</v>
      </c>
      <c r="AN451" s="38">
        <v>53.67</v>
      </c>
      <c r="AO451" s="38">
        <v>57.18</v>
      </c>
      <c r="AP451" s="38">
        <v>59.11</v>
      </c>
      <c r="AQ451" s="38">
        <v>59.91</v>
      </c>
      <c r="AR451" s="38">
        <v>58.97</v>
      </c>
      <c r="AS451" s="38">
        <v>56.14</v>
      </c>
      <c r="AT451" s="38">
        <v>50.5</v>
      </c>
      <c r="AU451" s="38">
        <v>48.51</v>
      </c>
      <c r="AV451" s="38">
        <v>46.99</v>
      </c>
      <c r="AW451" s="38">
        <v>46.7</v>
      </c>
      <c r="AX451" s="38">
        <v>47.39</v>
      </c>
      <c r="AY451" s="38">
        <v>48.29</v>
      </c>
      <c r="BA451" s="37">
        <v>73.05</v>
      </c>
      <c r="BB451" s="38">
        <v>1.385</v>
      </c>
    </row>
    <row r="452" spans="1:54" x14ac:dyDescent="0.35">
      <c r="A452" s="2">
        <f t="shared" si="6"/>
        <v>44454</v>
      </c>
      <c r="B452" t="s">
        <v>494</v>
      </c>
      <c r="C452" s="32">
        <v>44454</v>
      </c>
      <c r="D452" s="38">
        <v>177.3</v>
      </c>
      <c r="E452" s="38">
        <v>182.06</v>
      </c>
      <c r="F452" s="38">
        <v>183.99</v>
      </c>
      <c r="G452" s="38">
        <v>184.3</v>
      </c>
      <c r="H452" s="38">
        <v>183</v>
      </c>
      <c r="I452" s="38">
        <v>168.94</v>
      </c>
      <c r="J452" s="38">
        <v>99.06</v>
      </c>
      <c r="K452" s="38">
        <v>84.37</v>
      </c>
      <c r="L452" s="38">
        <v>81.040000000000006</v>
      </c>
      <c r="M452" s="38">
        <v>81.48</v>
      </c>
      <c r="N452" s="38">
        <v>83.45</v>
      </c>
      <c r="O452" s="38">
        <v>84.55</v>
      </c>
      <c r="P452" s="38">
        <v>85.67</v>
      </c>
      <c r="Q452" s="38">
        <v>87.72</v>
      </c>
      <c r="R452" s="38">
        <v>90.54</v>
      </c>
      <c r="S452" s="38">
        <v>92.65</v>
      </c>
      <c r="T452" s="38">
        <v>91.73</v>
      </c>
      <c r="U452" s="38">
        <v>86.61</v>
      </c>
      <c r="V452" s="38">
        <v>71.459999999999994</v>
      </c>
      <c r="W452" s="38">
        <v>61.22</v>
      </c>
      <c r="X452" s="38">
        <v>55.04</v>
      </c>
      <c r="Y452" s="38">
        <v>55.02</v>
      </c>
      <c r="Z452" s="38">
        <v>55.5</v>
      </c>
      <c r="AA452" s="38">
        <v>58.01</v>
      </c>
      <c r="AB452" s="38">
        <v>61.71</v>
      </c>
      <c r="AC452" s="38">
        <v>65.180000000000007</v>
      </c>
      <c r="AD452" s="38">
        <v>67.66</v>
      </c>
      <c r="AE452" s="38">
        <v>68.64</v>
      </c>
      <c r="AF452" s="38">
        <v>67.349999999999994</v>
      </c>
      <c r="AG452" s="38">
        <v>63.77</v>
      </c>
      <c r="AH452" s="38">
        <v>54.7</v>
      </c>
      <c r="AI452" s="38">
        <v>50.02</v>
      </c>
      <c r="AJ452" s="38">
        <v>47.93</v>
      </c>
      <c r="AK452" s="38">
        <v>47.1</v>
      </c>
      <c r="AL452" s="38">
        <v>47.87</v>
      </c>
      <c r="AM452" s="38">
        <v>50.33</v>
      </c>
      <c r="AN452" s="38">
        <v>54.61</v>
      </c>
      <c r="AO452" s="38">
        <v>57.68</v>
      </c>
      <c r="AP452" s="38">
        <v>59.61</v>
      </c>
      <c r="AQ452" s="38">
        <v>60.41</v>
      </c>
      <c r="AR452" s="38">
        <v>59.47</v>
      </c>
      <c r="AS452" s="38">
        <v>56.64</v>
      </c>
      <c r="AT452" s="38">
        <v>51</v>
      </c>
      <c r="AU452" s="38">
        <v>49.01</v>
      </c>
      <c r="AV452" s="38">
        <v>47.49</v>
      </c>
      <c r="AW452" s="38">
        <v>47.2</v>
      </c>
      <c r="AX452" s="38">
        <v>47.89</v>
      </c>
      <c r="AY452" s="38">
        <v>48.79</v>
      </c>
      <c r="BA452" s="37">
        <v>74.84</v>
      </c>
      <c r="BB452" s="38">
        <v>1.3828</v>
      </c>
    </row>
    <row r="453" spans="1:54" x14ac:dyDescent="0.35">
      <c r="A453" s="2">
        <f t="shared" si="6"/>
        <v>44455</v>
      </c>
      <c r="B453" t="s">
        <v>495</v>
      </c>
      <c r="C453" s="32">
        <v>44455</v>
      </c>
      <c r="D453" s="38">
        <v>158.38</v>
      </c>
      <c r="E453" s="38">
        <v>163.44</v>
      </c>
      <c r="F453" s="38">
        <v>165.52</v>
      </c>
      <c r="G453" s="38">
        <v>165.82</v>
      </c>
      <c r="H453" s="38">
        <v>165.33</v>
      </c>
      <c r="I453" s="38">
        <v>151.93</v>
      </c>
      <c r="J453" s="38">
        <v>94.46</v>
      </c>
      <c r="K453" s="38">
        <v>81.08</v>
      </c>
      <c r="L453" s="38">
        <v>78.02</v>
      </c>
      <c r="M453" s="38">
        <v>78.319999999999993</v>
      </c>
      <c r="N453" s="38">
        <v>80.349999999999994</v>
      </c>
      <c r="O453" s="38">
        <v>81.489999999999995</v>
      </c>
      <c r="P453" s="38">
        <v>82.69</v>
      </c>
      <c r="Q453" s="38">
        <v>84.77</v>
      </c>
      <c r="R453" s="38">
        <v>87.59</v>
      </c>
      <c r="S453" s="38">
        <v>90.05</v>
      </c>
      <c r="T453" s="38">
        <v>89.34</v>
      </c>
      <c r="U453" s="38">
        <v>84.54</v>
      </c>
      <c r="V453" s="38">
        <v>69.39</v>
      </c>
      <c r="W453" s="38">
        <v>59.15</v>
      </c>
      <c r="X453" s="38">
        <v>52.97</v>
      </c>
      <c r="Y453" s="38">
        <v>54.88</v>
      </c>
      <c r="Z453" s="38">
        <v>55.45</v>
      </c>
      <c r="AA453" s="38">
        <v>58.05</v>
      </c>
      <c r="AB453" s="38">
        <v>60.63</v>
      </c>
      <c r="AC453" s="38">
        <v>63.95</v>
      </c>
      <c r="AD453" s="38">
        <v>66.430000000000007</v>
      </c>
      <c r="AE453" s="38">
        <v>67.41</v>
      </c>
      <c r="AF453" s="38">
        <v>66.12</v>
      </c>
      <c r="AG453" s="38">
        <v>62.54</v>
      </c>
      <c r="AH453" s="38">
        <v>53.88</v>
      </c>
      <c r="AI453" s="38">
        <v>49.2</v>
      </c>
      <c r="AJ453" s="38">
        <v>47.11</v>
      </c>
      <c r="AK453" s="38">
        <v>46.28</v>
      </c>
      <c r="AL453" s="38">
        <v>47.05</v>
      </c>
      <c r="AM453" s="38">
        <v>49.51</v>
      </c>
      <c r="AN453" s="38">
        <v>53.79</v>
      </c>
      <c r="AO453" s="38">
        <v>56.86</v>
      </c>
      <c r="AP453" s="38">
        <v>58.79</v>
      </c>
      <c r="AQ453" s="38">
        <v>59.59</v>
      </c>
      <c r="AR453" s="38">
        <v>58.65</v>
      </c>
      <c r="AS453" s="38">
        <v>55.82</v>
      </c>
      <c r="AT453" s="38">
        <v>50.33</v>
      </c>
      <c r="AU453" s="38">
        <v>48.34</v>
      </c>
      <c r="AV453" s="38">
        <v>46.82</v>
      </c>
      <c r="AW453" s="38">
        <v>46.53</v>
      </c>
      <c r="AX453" s="38">
        <v>47.22</v>
      </c>
      <c r="AY453" s="38">
        <v>48.12</v>
      </c>
      <c r="BA453" s="37">
        <v>75.14</v>
      </c>
      <c r="BB453" s="38">
        <v>1.3782000000000001</v>
      </c>
    </row>
    <row r="454" spans="1:54" x14ac:dyDescent="0.35">
      <c r="A454" s="2">
        <f t="shared" si="6"/>
        <v>44456</v>
      </c>
      <c r="B454" t="s">
        <v>496</v>
      </c>
      <c r="C454" s="32">
        <v>44456</v>
      </c>
      <c r="D454" s="38">
        <v>162.80000000000001</v>
      </c>
      <c r="E454" s="38">
        <v>168.15</v>
      </c>
      <c r="F454" s="38">
        <v>169.72</v>
      </c>
      <c r="G454" s="38">
        <v>170.06</v>
      </c>
      <c r="H454" s="38">
        <v>169.42</v>
      </c>
      <c r="I454" s="38">
        <v>155.37</v>
      </c>
      <c r="J454" s="38">
        <v>95.68</v>
      </c>
      <c r="K454" s="38">
        <v>81.97</v>
      </c>
      <c r="L454" s="38">
        <v>78.62</v>
      </c>
      <c r="M454" s="38">
        <v>78.92</v>
      </c>
      <c r="N454" s="38">
        <v>80.95</v>
      </c>
      <c r="O454" s="38">
        <v>82.09</v>
      </c>
      <c r="P454" s="38">
        <v>83.54</v>
      </c>
      <c r="Q454" s="38">
        <v>85.61</v>
      </c>
      <c r="R454" s="38">
        <v>88.18</v>
      </c>
      <c r="S454" s="38">
        <v>90.61</v>
      </c>
      <c r="T454" s="38">
        <v>89.91</v>
      </c>
      <c r="U454" s="38">
        <v>85.1</v>
      </c>
      <c r="V454" s="38">
        <v>69.95</v>
      </c>
      <c r="W454" s="38">
        <v>59.71</v>
      </c>
      <c r="X454" s="38">
        <v>53.53</v>
      </c>
      <c r="Y454" s="38">
        <v>55.44</v>
      </c>
      <c r="Z454" s="38">
        <v>56.01</v>
      </c>
      <c r="AA454" s="38">
        <v>58.61</v>
      </c>
      <c r="AB454" s="38">
        <v>61.23</v>
      </c>
      <c r="AC454" s="38">
        <v>64.55</v>
      </c>
      <c r="AD454" s="38">
        <v>67.03</v>
      </c>
      <c r="AE454" s="38">
        <v>68.010000000000005</v>
      </c>
      <c r="AF454" s="38">
        <v>66.72</v>
      </c>
      <c r="AG454" s="38">
        <v>63.14</v>
      </c>
      <c r="AH454" s="38">
        <v>55.14</v>
      </c>
      <c r="AI454" s="38">
        <v>50.46</v>
      </c>
      <c r="AJ454" s="38">
        <v>48.29</v>
      </c>
      <c r="AK454" s="38">
        <v>47.31</v>
      </c>
      <c r="AL454" s="38">
        <v>47.86</v>
      </c>
      <c r="AM454" s="38">
        <v>49.9</v>
      </c>
      <c r="AN454" s="38">
        <v>53.91</v>
      </c>
      <c r="AO454" s="38">
        <v>56.98</v>
      </c>
      <c r="AP454" s="38">
        <v>58.91</v>
      </c>
      <c r="AQ454" s="38">
        <v>59.71</v>
      </c>
      <c r="AR454" s="38">
        <v>58.92</v>
      </c>
      <c r="AS454" s="38">
        <v>56.69</v>
      </c>
      <c r="AT454" s="38">
        <v>51.59</v>
      </c>
      <c r="AU454" s="38">
        <v>49.6</v>
      </c>
      <c r="AV454" s="38">
        <v>48.08</v>
      </c>
      <c r="AW454" s="38">
        <v>47.79</v>
      </c>
      <c r="AX454" s="38">
        <v>48.48</v>
      </c>
      <c r="AY454" s="38">
        <v>49.38</v>
      </c>
      <c r="BA454" s="37">
        <v>74.64</v>
      </c>
      <c r="BB454" s="38">
        <v>1.3749</v>
      </c>
    </row>
    <row r="455" spans="1:54" x14ac:dyDescent="0.35">
      <c r="A455" s="2">
        <f t="shared" si="6"/>
        <v>44459</v>
      </c>
      <c r="B455" t="s">
        <v>497</v>
      </c>
      <c r="C455" s="32">
        <v>44459</v>
      </c>
      <c r="D455" s="38">
        <v>189.65</v>
      </c>
      <c r="E455" s="38">
        <v>194.57</v>
      </c>
      <c r="F455" s="38">
        <v>196.41</v>
      </c>
      <c r="G455" s="38">
        <v>196.62</v>
      </c>
      <c r="H455" s="38">
        <v>195.21</v>
      </c>
      <c r="I455" s="38">
        <v>179.21</v>
      </c>
      <c r="J455" s="38">
        <v>100.27</v>
      </c>
      <c r="K455" s="38">
        <v>83.69</v>
      </c>
      <c r="L455" s="38">
        <v>80.69</v>
      </c>
      <c r="M455" s="38">
        <v>81.13</v>
      </c>
      <c r="N455" s="38">
        <v>83.16</v>
      </c>
      <c r="O455" s="38">
        <v>84.59</v>
      </c>
      <c r="P455" s="38">
        <v>86.41</v>
      </c>
      <c r="Q455" s="38">
        <v>88.51</v>
      </c>
      <c r="R455" s="38">
        <v>90.71</v>
      </c>
      <c r="S455" s="38">
        <v>91.87</v>
      </c>
      <c r="T455" s="38">
        <v>91.17</v>
      </c>
      <c r="U455" s="38">
        <v>86.36</v>
      </c>
      <c r="V455" s="38">
        <v>71.209999999999994</v>
      </c>
      <c r="W455" s="38">
        <v>60.97</v>
      </c>
      <c r="X455" s="38">
        <v>54.75</v>
      </c>
      <c r="Y455" s="38">
        <v>56.63</v>
      </c>
      <c r="Z455" s="38">
        <v>57.2</v>
      </c>
      <c r="AA455" s="38">
        <v>59.8</v>
      </c>
      <c r="AB455" s="38">
        <v>62.39</v>
      </c>
      <c r="AC455" s="38">
        <v>65.709999999999994</v>
      </c>
      <c r="AD455" s="38">
        <v>68.19</v>
      </c>
      <c r="AE455" s="38">
        <v>69.17</v>
      </c>
      <c r="AF455" s="38">
        <v>67.88</v>
      </c>
      <c r="AG455" s="38">
        <v>64.3</v>
      </c>
      <c r="AH455" s="38">
        <v>56.3</v>
      </c>
      <c r="AI455" s="38">
        <v>51.62</v>
      </c>
      <c r="AJ455" s="38">
        <v>49.45</v>
      </c>
      <c r="AK455" s="38">
        <v>48.47</v>
      </c>
      <c r="AL455" s="38">
        <v>49.02</v>
      </c>
      <c r="AM455" s="38">
        <v>51.06</v>
      </c>
      <c r="AN455" s="38">
        <v>55.07</v>
      </c>
      <c r="AO455" s="38">
        <v>58.14</v>
      </c>
      <c r="AP455" s="38">
        <v>60.07</v>
      </c>
      <c r="AQ455" s="38">
        <v>60.87</v>
      </c>
      <c r="AR455" s="38">
        <v>60.08</v>
      </c>
      <c r="AS455" s="38">
        <v>57.85</v>
      </c>
      <c r="AT455" s="38">
        <v>52.75</v>
      </c>
      <c r="AU455" s="38">
        <v>50.76</v>
      </c>
      <c r="AV455" s="38">
        <v>49.24</v>
      </c>
      <c r="AW455" s="38">
        <v>48.95</v>
      </c>
      <c r="AX455" s="38">
        <v>49.61</v>
      </c>
      <c r="AY455" s="38">
        <v>50.48</v>
      </c>
      <c r="BA455" s="37">
        <v>73.59</v>
      </c>
      <c r="BB455" s="38">
        <v>1.3665</v>
      </c>
    </row>
    <row r="456" spans="1:54" x14ac:dyDescent="0.35">
      <c r="A456" s="2">
        <f t="shared" si="6"/>
        <v>44460</v>
      </c>
      <c r="B456" t="s">
        <v>498</v>
      </c>
      <c r="C456" s="32">
        <v>44460</v>
      </c>
      <c r="D456" s="38">
        <v>186.1</v>
      </c>
      <c r="E456" s="38">
        <v>191.46</v>
      </c>
      <c r="F456" s="38">
        <v>193.31</v>
      </c>
      <c r="G456" s="38">
        <v>193.8</v>
      </c>
      <c r="H456" s="38">
        <v>192.75</v>
      </c>
      <c r="I456" s="38">
        <v>177.64</v>
      </c>
      <c r="J456" s="38">
        <v>99.73</v>
      </c>
      <c r="K456" s="38">
        <v>83.73</v>
      </c>
      <c r="L456" s="38">
        <v>80.44</v>
      </c>
      <c r="M456" s="38">
        <v>80.64</v>
      </c>
      <c r="N456" s="38">
        <v>82.67</v>
      </c>
      <c r="O456" s="38">
        <v>84.1</v>
      </c>
      <c r="P456" s="38">
        <v>85.9</v>
      </c>
      <c r="Q456" s="38">
        <v>88.01</v>
      </c>
      <c r="R456" s="38">
        <v>90.18</v>
      </c>
      <c r="S456" s="38">
        <v>91.31</v>
      </c>
      <c r="T456" s="38">
        <v>90.59</v>
      </c>
      <c r="U456" s="38">
        <v>85.98</v>
      </c>
      <c r="V456" s="38">
        <v>71.11</v>
      </c>
      <c r="W456" s="38">
        <v>60.91</v>
      </c>
      <c r="X456" s="38">
        <v>54.69</v>
      </c>
      <c r="Y456" s="38">
        <v>56.63</v>
      </c>
      <c r="Z456" s="38">
        <v>57.14</v>
      </c>
      <c r="AA456" s="38">
        <v>59.72</v>
      </c>
      <c r="AB456" s="38">
        <v>62.26</v>
      </c>
      <c r="AC456" s="38">
        <v>65.58</v>
      </c>
      <c r="AD456" s="38">
        <v>68.06</v>
      </c>
      <c r="AE456" s="38">
        <v>69.040000000000006</v>
      </c>
      <c r="AF456" s="38">
        <v>67.75</v>
      </c>
      <c r="AG456" s="38">
        <v>64.17</v>
      </c>
      <c r="AH456" s="38">
        <v>56.17</v>
      </c>
      <c r="AI456" s="38">
        <v>51.49</v>
      </c>
      <c r="AJ456" s="38">
        <v>49.32</v>
      </c>
      <c r="AK456" s="38">
        <v>48.34</v>
      </c>
      <c r="AL456" s="38">
        <v>48.89</v>
      </c>
      <c r="AM456" s="38">
        <v>50.93</v>
      </c>
      <c r="AN456" s="38">
        <v>54.94</v>
      </c>
      <c r="AO456" s="38">
        <v>58.01</v>
      </c>
      <c r="AP456" s="38">
        <v>59.94</v>
      </c>
      <c r="AQ456" s="38">
        <v>60.74</v>
      </c>
      <c r="AR456" s="38">
        <v>59.95</v>
      </c>
      <c r="AS456" s="38">
        <v>57.72</v>
      </c>
      <c r="AT456" s="38">
        <v>52.62</v>
      </c>
      <c r="AU456" s="38">
        <v>50.63</v>
      </c>
      <c r="AV456" s="38">
        <v>49.11</v>
      </c>
      <c r="AW456" s="38">
        <v>48.82</v>
      </c>
      <c r="AX456" s="38">
        <v>49.48</v>
      </c>
      <c r="AY456" s="38">
        <v>50.35</v>
      </c>
      <c r="BA456" s="37">
        <v>73.650000000000006</v>
      </c>
      <c r="BB456" s="38">
        <v>1.3644000000000001</v>
      </c>
    </row>
    <row r="457" spans="1:54" x14ac:dyDescent="0.35">
      <c r="A457" s="2">
        <f t="shared" si="6"/>
        <v>44461</v>
      </c>
      <c r="B457" t="s">
        <v>499</v>
      </c>
      <c r="C457" s="32">
        <v>44461</v>
      </c>
      <c r="D457" s="38">
        <v>181.11</v>
      </c>
      <c r="E457" s="38">
        <v>186.46</v>
      </c>
      <c r="F457" s="38">
        <v>188.45</v>
      </c>
      <c r="G457" s="38">
        <v>189.02</v>
      </c>
      <c r="H457" s="38">
        <v>188.09</v>
      </c>
      <c r="I457" s="38">
        <v>173.23</v>
      </c>
      <c r="J457" s="38">
        <v>100.53</v>
      </c>
      <c r="K457" s="38">
        <v>85.08</v>
      </c>
      <c r="L457" s="38">
        <v>81.790000000000006</v>
      </c>
      <c r="M457" s="38">
        <v>82.06</v>
      </c>
      <c r="N457" s="38">
        <v>84.09</v>
      </c>
      <c r="O457" s="38">
        <v>85.43</v>
      </c>
      <c r="P457" s="38">
        <v>87.11</v>
      </c>
      <c r="Q457" s="38">
        <v>89.22</v>
      </c>
      <c r="R457" s="38">
        <v>91.39</v>
      </c>
      <c r="S457" s="38">
        <v>92.52</v>
      </c>
      <c r="T457" s="38">
        <v>91.8</v>
      </c>
      <c r="U457" s="38">
        <v>86.95</v>
      </c>
      <c r="V457" s="38">
        <v>72</v>
      </c>
      <c r="W457" s="38">
        <v>61.48</v>
      </c>
      <c r="X457" s="38">
        <v>55.26</v>
      </c>
      <c r="Y457" s="38">
        <v>57.2</v>
      </c>
      <c r="Z457" s="38">
        <v>57.71</v>
      </c>
      <c r="AA457" s="38">
        <v>60.29</v>
      </c>
      <c r="AB457" s="38">
        <v>62.78</v>
      </c>
      <c r="AC457" s="38">
        <v>66.06</v>
      </c>
      <c r="AD457" s="38">
        <v>68.540000000000006</v>
      </c>
      <c r="AE457" s="38">
        <v>69.52</v>
      </c>
      <c r="AF457" s="38">
        <v>68.23</v>
      </c>
      <c r="AG457" s="38">
        <v>64.650000000000006</v>
      </c>
      <c r="AH457" s="38">
        <v>56.65</v>
      </c>
      <c r="AI457" s="38">
        <v>51.97</v>
      </c>
      <c r="AJ457" s="38">
        <v>49.8</v>
      </c>
      <c r="AK457" s="38">
        <v>48.82</v>
      </c>
      <c r="AL457" s="38">
        <v>49.37</v>
      </c>
      <c r="AM457" s="38">
        <v>51.41</v>
      </c>
      <c r="AN457" s="38">
        <v>55.42</v>
      </c>
      <c r="AO457" s="38">
        <v>58.49</v>
      </c>
      <c r="AP457" s="38">
        <v>60.42</v>
      </c>
      <c r="AQ457" s="38">
        <v>61.22</v>
      </c>
      <c r="AR457" s="38">
        <v>60.43</v>
      </c>
      <c r="AS457" s="38">
        <v>58.2</v>
      </c>
      <c r="AT457" s="38">
        <v>53.1</v>
      </c>
      <c r="AU457" s="38">
        <v>51.11</v>
      </c>
      <c r="AV457" s="38">
        <v>49.59</v>
      </c>
      <c r="AW457" s="38">
        <v>49.3</v>
      </c>
      <c r="AX457" s="38">
        <v>49.96</v>
      </c>
      <c r="AY457" s="38">
        <v>50.83</v>
      </c>
      <c r="BA457" s="37">
        <v>75.5</v>
      </c>
      <c r="BB457" s="38">
        <v>1.3645</v>
      </c>
    </row>
    <row r="458" spans="1:54" x14ac:dyDescent="0.35">
      <c r="A458" s="2">
        <f t="shared" si="6"/>
        <v>44462</v>
      </c>
      <c r="B458" t="s">
        <v>500</v>
      </c>
      <c r="C458" s="32">
        <v>44462</v>
      </c>
      <c r="D458" s="38">
        <v>174.49</v>
      </c>
      <c r="E458" s="38">
        <v>181.44</v>
      </c>
      <c r="F458" s="38">
        <v>183.76</v>
      </c>
      <c r="G458" s="38">
        <v>184.34</v>
      </c>
      <c r="H458" s="38">
        <v>183.02</v>
      </c>
      <c r="I458" s="38">
        <v>168.54</v>
      </c>
      <c r="J458" s="38">
        <v>101.56</v>
      </c>
      <c r="K458" s="38">
        <v>87.75</v>
      </c>
      <c r="L458" s="38">
        <v>84.53</v>
      </c>
      <c r="M458" s="38">
        <v>84.29</v>
      </c>
      <c r="N458" s="38">
        <v>86.32</v>
      </c>
      <c r="O458" s="38">
        <v>87.66</v>
      </c>
      <c r="P458" s="38">
        <v>89.3</v>
      </c>
      <c r="Q458" s="38">
        <v>91.41</v>
      </c>
      <c r="R458" s="38">
        <v>93.58</v>
      </c>
      <c r="S458" s="38">
        <v>94.71</v>
      </c>
      <c r="T458" s="38">
        <v>93.99</v>
      </c>
      <c r="U458" s="38">
        <v>89.14</v>
      </c>
      <c r="V458" s="38">
        <v>74.2</v>
      </c>
      <c r="W458" s="38">
        <v>63.68</v>
      </c>
      <c r="X458" s="38">
        <v>57.46</v>
      </c>
      <c r="Y458" s="38">
        <v>59.4</v>
      </c>
      <c r="Z458" s="38">
        <v>59.91</v>
      </c>
      <c r="AA458" s="38">
        <v>62.49</v>
      </c>
      <c r="AB458" s="38">
        <v>64.989999999999995</v>
      </c>
      <c r="AC458" s="38">
        <v>68.27</v>
      </c>
      <c r="AD458" s="38">
        <v>70.75</v>
      </c>
      <c r="AE458" s="38">
        <v>71.73</v>
      </c>
      <c r="AF458" s="38">
        <v>70.44</v>
      </c>
      <c r="AG458" s="38">
        <v>66.86</v>
      </c>
      <c r="AH458" s="38">
        <v>58.86</v>
      </c>
      <c r="AI458" s="38">
        <v>54.18</v>
      </c>
      <c r="AJ458" s="38">
        <v>52.01</v>
      </c>
      <c r="AK458" s="38">
        <v>51.03</v>
      </c>
      <c r="AL458" s="38">
        <v>51.58</v>
      </c>
      <c r="AM458" s="38">
        <v>53.54</v>
      </c>
      <c r="AN458" s="38">
        <v>57.41</v>
      </c>
      <c r="AO458" s="38">
        <v>60.34</v>
      </c>
      <c r="AP458" s="38">
        <v>62.24</v>
      </c>
      <c r="AQ458" s="38">
        <v>63.03</v>
      </c>
      <c r="AR458" s="38">
        <v>62.24</v>
      </c>
      <c r="AS458" s="38">
        <v>60.01</v>
      </c>
      <c r="AT458" s="38">
        <v>54.91</v>
      </c>
      <c r="AU458" s="38">
        <v>52.92</v>
      </c>
      <c r="AV458" s="38">
        <v>51.4</v>
      </c>
      <c r="AW458" s="38">
        <v>51.11</v>
      </c>
      <c r="AX458" s="38">
        <v>51.77</v>
      </c>
      <c r="AY458" s="38">
        <v>52.64</v>
      </c>
      <c r="BA458" s="37">
        <v>76.44</v>
      </c>
      <c r="BB458" s="38">
        <v>1.3745000000000001</v>
      </c>
    </row>
    <row r="459" spans="1:54" x14ac:dyDescent="0.35">
      <c r="A459" s="2">
        <f t="shared" si="6"/>
        <v>44463</v>
      </c>
      <c r="B459" t="s">
        <v>501</v>
      </c>
      <c r="C459" s="32">
        <v>44463</v>
      </c>
      <c r="D459" s="38">
        <v>175.95</v>
      </c>
      <c r="E459" s="38">
        <v>183.95</v>
      </c>
      <c r="F459" s="38">
        <v>185.95</v>
      </c>
      <c r="G459" s="38">
        <v>186.32</v>
      </c>
      <c r="H459" s="38">
        <v>185.04</v>
      </c>
      <c r="I459" s="38">
        <v>171.65</v>
      </c>
      <c r="J459" s="38">
        <v>107.14</v>
      </c>
      <c r="K459" s="38">
        <v>92.86</v>
      </c>
      <c r="L459" s="38">
        <v>89.36</v>
      </c>
      <c r="M459" s="38">
        <v>88.93</v>
      </c>
      <c r="N459" s="38">
        <v>90.95</v>
      </c>
      <c r="O459" s="38">
        <v>92.41</v>
      </c>
      <c r="P459" s="38">
        <v>93.95</v>
      </c>
      <c r="Q459" s="38">
        <v>96.06</v>
      </c>
      <c r="R459" s="38">
        <v>98.67</v>
      </c>
      <c r="S459" s="38">
        <v>99.95</v>
      </c>
      <c r="T459" s="38">
        <v>98.92</v>
      </c>
      <c r="U459" s="38">
        <v>93.69</v>
      </c>
      <c r="V459" s="38">
        <v>78.150000000000006</v>
      </c>
      <c r="W459" s="38">
        <v>66.75</v>
      </c>
      <c r="X459" s="38">
        <v>60.17</v>
      </c>
      <c r="Y459" s="38">
        <v>62.11</v>
      </c>
      <c r="Z459" s="38">
        <v>62.62</v>
      </c>
      <c r="AA459" s="38">
        <v>65.67</v>
      </c>
      <c r="AB459" s="38">
        <v>68.45</v>
      </c>
      <c r="AC459" s="38">
        <v>71.930000000000007</v>
      </c>
      <c r="AD459" s="38">
        <v>74.41</v>
      </c>
      <c r="AE459" s="38">
        <v>75.39</v>
      </c>
      <c r="AF459" s="38">
        <v>74.099999999999994</v>
      </c>
      <c r="AG459" s="38">
        <v>69.709999999999994</v>
      </c>
      <c r="AH459" s="38">
        <v>60.56</v>
      </c>
      <c r="AI459" s="38">
        <v>54.94</v>
      </c>
      <c r="AJ459" s="38">
        <v>52.75</v>
      </c>
      <c r="AK459" s="38">
        <v>51.75</v>
      </c>
      <c r="AL459" s="38">
        <v>52.28</v>
      </c>
      <c r="AM459" s="38">
        <v>54.22</v>
      </c>
      <c r="AN459" s="38">
        <v>58.09</v>
      </c>
      <c r="AO459" s="38">
        <v>61.02</v>
      </c>
      <c r="AP459" s="38">
        <v>62.92</v>
      </c>
      <c r="AQ459" s="38">
        <v>63.71</v>
      </c>
      <c r="AR459" s="38">
        <v>62.92</v>
      </c>
      <c r="AS459" s="38">
        <v>60.69</v>
      </c>
      <c r="AT459" s="38">
        <v>55.59</v>
      </c>
      <c r="AU459" s="38">
        <v>53.6</v>
      </c>
      <c r="AV459" s="38">
        <v>52.08</v>
      </c>
      <c r="AW459" s="38">
        <v>51.79</v>
      </c>
      <c r="AX459" s="38">
        <v>52.45</v>
      </c>
      <c r="AY459" s="38">
        <v>53.32</v>
      </c>
      <c r="BA459" s="37">
        <v>77.42</v>
      </c>
      <c r="BB459" s="38">
        <v>1.3672</v>
      </c>
    </row>
    <row r="460" spans="1:54" x14ac:dyDescent="0.35">
      <c r="A460" s="2">
        <f t="shared" si="6"/>
        <v>44466</v>
      </c>
      <c r="B460" t="s">
        <v>502</v>
      </c>
      <c r="C460" s="32">
        <v>44466</v>
      </c>
      <c r="D460" s="38">
        <v>190.38</v>
      </c>
      <c r="E460" s="38">
        <v>199.45</v>
      </c>
      <c r="F460" s="38">
        <v>201.45</v>
      </c>
      <c r="G460" s="38">
        <v>201.75</v>
      </c>
      <c r="H460" s="38">
        <v>200.64</v>
      </c>
      <c r="I460" s="38">
        <v>186.23</v>
      </c>
      <c r="J460" s="38">
        <v>116.48</v>
      </c>
      <c r="K460" s="38">
        <v>100.33</v>
      </c>
      <c r="L460" s="38">
        <v>96.8</v>
      </c>
      <c r="M460" s="38">
        <v>96.79</v>
      </c>
      <c r="N460" s="38">
        <v>99.03</v>
      </c>
      <c r="O460" s="38">
        <v>100.84</v>
      </c>
      <c r="P460" s="38">
        <v>102.41</v>
      </c>
      <c r="Q460" s="38">
        <v>104.6</v>
      </c>
      <c r="R460" s="38">
        <v>107.14</v>
      </c>
      <c r="S460" s="38">
        <v>108.37</v>
      </c>
      <c r="T460" s="38">
        <v>107</v>
      </c>
      <c r="U460" s="38">
        <v>100.83</v>
      </c>
      <c r="V460" s="38">
        <v>82.42</v>
      </c>
      <c r="W460" s="38">
        <v>69.680000000000007</v>
      </c>
      <c r="X460" s="38">
        <v>62.16</v>
      </c>
      <c r="Y460" s="38">
        <v>63.89</v>
      </c>
      <c r="Z460" s="38">
        <v>64.400000000000006</v>
      </c>
      <c r="AA460" s="38">
        <v>67.489999999999995</v>
      </c>
      <c r="AB460" s="38">
        <v>70.42</v>
      </c>
      <c r="AC460" s="38">
        <v>74.03</v>
      </c>
      <c r="AD460" s="38">
        <v>76.61</v>
      </c>
      <c r="AE460" s="38">
        <v>77.59</v>
      </c>
      <c r="AF460" s="38">
        <v>76.3</v>
      </c>
      <c r="AG460" s="38">
        <v>71.91</v>
      </c>
      <c r="AH460" s="38">
        <v>62.76</v>
      </c>
      <c r="AI460" s="38">
        <v>57.14</v>
      </c>
      <c r="AJ460" s="38">
        <v>54.95</v>
      </c>
      <c r="AK460" s="38">
        <v>53.95</v>
      </c>
      <c r="AL460" s="38">
        <v>54.48</v>
      </c>
      <c r="AM460" s="38">
        <v>56.42</v>
      </c>
      <c r="AN460" s="38">
        <v>60.29</v>
      </c>
      <c r="AO460" s="38">
        <v>63.22</v>
      </c>
      <c r="AP460" s="38">
        <v>65.12</v>
      </c>
      <c r="AQ460" s="38">
        <v>65.91</v>
      </c>
      <c r="AR460" s="38">
        <v>65.12</v>
      </c>
      <c r="AS460" s="38">
        <v>62.89</v>
      </c>
      <c r="AT460" s="38">
        <v>57.79</v>
      </c>
      <c r="AU460" s="38">
        <v>55.8</v>
      </c>
      <c r="AV460" s="38">
        <v>54.28</v>
      </c>
      <c r="AW460" s="38">
        <v>53.99</v>
      </c>
      <c r="AX460" s="38">
        <v>54.65</v>
      </c>
      <c r="AY460" s="38">
        <v>55.52</v>
      </c>
      <c r="BA460" s="37">
        <v>78.849999999999994</v>
      </c>
      <c r="BB460" s="38">
        <v>1.3708</v>
      </c>
    </row>
    <row r="461" spans="1:54" x14ac:dyDescent="0.35">
      <c r="A461" s="2">
        <f t="shared" ref="A461:A524" si="7">+A456+7</f>
        <v>44467</v>
      </c>
      <c r="B461" t="s">
        <v>503</v>
      </c>
      <c r="C461" s="32">
        <v>44467</v>
      </c>
      <c r="D461" s="38">
        <v>195.38</v>
      </c>
      <c r="E461" s="38">
        <v>206.95</v>
      </c>
      <c r="F461" s="38">
        <v>210.73</v>
      </c>
      <c r="G461" s="38">
        <v>211.25</v>
      </c>
      <c r="H461" s="38">
        <v>210.01</v>
      </c>
      <c r="I461" s="38">
        <v>194.31</v>
      </c>
      <c r="J461" s="38">
        <v>117.34</v>
      </c>
      <c r="K461" s="38">
        <v>100.34</v>
      </c>
      <c r="L461" s="38">
        <v>96.84</v>
      </c>
      <c r="M461" s="38">
        <v>96.89</v>
      </c>
      <c r="N461" s="38">
        <v>99.43</v>
      </c>
      <c r="O461" s="38">
        <v>101.4</v>
      </c>
      <c r="P461" s="38">
        <v>102.67</v>
      </c>
      <c r="Q461" s="38">
        <v>104.95</v>
      </c>
      <c r="R461" s="38">
        <v>107.69</v>
      </c>
      <c r="S461" s="38">
        <v>109.2</v>
      </c>
      <c r="T461" s="38">
        <v>107.81</v>
      </c>
      <c r="U461" s="38">
        <v>101.49</v>
      </c>
      <c r="V461" s="38">
        <v>81.05</v>
      </c>
      <c r="W461" s="38">
        <v>67.900000000000006</v>
      </c>
      <c r="X461" s="38">
        <v>61.33</v>
      </c>
      <c r="Y461" s="38">
        <v>64.3</v>
      </c>
      <c r="Z461" s="38">
        <v>65.83</v>
      </c>
      <c r="AA461" s="38">
        <v>68.98</v>
      </c>
      <c r="AB461" s="38">
        <v>71.8</v>
      </c>
      <c r="AC461" s="38">
        <v>74.930000000000007</v>
      </c>
      <c r="AD461" s="38">
        <v>76.95</v>
      </c>
      <c r="AE461" s="38">
        <v>77.930000000000007</v>
      </c>
      <c r="AF461" s="38">
        <v>76.64</v>
      </c>
      <c r="AG461" s="38">
        <v>72.25</v>
      </c>
      <c r="AH461" s="38">
        <v>62.6</v>
      </c>
      <c r="AI461" s="38">
        <v>56.71</v>
      </c>
      <c r="AJ461" s="38">
        <v>54.39</v>
      </c>
      <c r="AK461" s="38">
        <v>53.39</v>
      </c>
      <c r="AL461" s="38">
        <v>53.92</v>
      </c>
      <c r="AM461" s="38">
        <v>55.86</v>
      </c>
      <c r="AN461" s="38">
        <v>59.73</v>
      </c>
      <c r="AO461" s="38">
        <v>62.66</v>
      </c>
      <c r="AP461" s="38">
        <v>64.56</v>
      </c>
      <c r="AQ461" s="38">
        <v>65.349999999999994</v>
      </c>
      <c r="AR461" s="38">
        <v>64.56</v>
      </c>
      <c r="AS461" s="38">
        <v>62.33</v>
      </c>
      <c r="AT461" s="38">
        <v>57.23</v>
      </c>
      <c r="AU461" s="38">
        <v>55.24</v>
      </c>
      <c r="AV461" s="38">
        <v>53.72</v>
      </c>
      <c r="AW461" s="38">
        <v>53.43</v>
      </c>
      <c r="AX461" s="38">
        <v>54.09</v>
      </c>
      <c r="AY461" s="38">
        <v>54.96</v>
      </c>
      <c r="BA461" s="37">
        <v>78.3</v>
      </c>
      <c r="BB461" s="38">
        <v>1.3536999999999999</v>
      </c>
    </row>
    <row r="462" spans="1:54" x14ac:dyDescent="0.35">
      <c r="A462" s="2">
        <f t="shared" si="7"/>
        <v>44468</v>
      </c>
      <c r="B462" t="s">
        <v>504</v>
      </c>
      <c r="C462" s="32">
        <v>44468</v>
      </c>
      <c r="D462" s="38">
        <v>215.1</v>
      </c>
      <c r="E462" s="38">
        <v>226.5</v>
      </c>
      <c r="F462" s="38">
        <v>230.97</v>
      </c>
      <c r="G462" s="38">
        <v>232.3</v>
      </c>
      <c r="H462" s="38">
        <v>231.47</v>
      </c>
      <c r="I462" s="38">
        <v>212.88</v>
      </c>
      <c r="J462" s="38">
        <v>124.25</v>
      </c>
      <c r="K462" s="38">
        <v>106.25</v>
      </c>
      <c r="L462" s="38">
        <v>102.65</v>
      </c>
      <c r="M462" s="38">
        <v>102.69</v>
      </c>
      <c r="N462" s="38">
        <v>105.18</v>
      </c>
      <c r="O462" s="38">
        <v>107.2</v>
      </c>
      <c r="P462" s="38">
        <v>108.55</v>
      </c>
      <c r="Q462" s="38">
        <v>110.83</v>
      </c>
      <c r="R462" s="38">
        <v>113.57</v>
      </c>
      <c r="S462" s="38">
        <v>115.65</v>
      </c>
      <c r="T462" s="38">
        <v>114.23</v>
      </c>
      <c r="U462" s="38">
        <v>107.06</v>
      </c>
      <c r="V462" s="38">
        <v>84.99</v>
      </c>
      <c r="W462" s="38">
        <v>70.72</v>
      </c>
      <c r="X462" s="38">
        <v>64.14</v>
      </c>
      <c r="Y462" s="38">
        <v>67.11</v>
      </c>
      <c r="Z462" s="38">
        <v>68.64</v>
      </c>
      <c r="AA462" s="38">
        <v>71.56</v>
      </c>
      <c r="AB462" s="38">
        <v>74.260000000000005</v>
      </c>
      <c r="AC462" s="38">
        <v>77.33</v>
      </c>
      <c r="AD462" s="38">
        <v>79.31</v>
      </c>
      <c r="AE462" s="38">
        <v>80.25</v>
      </c>
      <c r="AF462" s="38">
        <v>78.959999999999994</v>
      </c>
      <c r="AG462" s="38">
        <v>74.37</v>
      </c>
      <c r="AH462" s="38">
        <v>64.02</v>
      </c>
      <c r="AI462" s="38">
        <v>57.64</v>
      </c>
      <c r="AJ462" s="38">
        <v>55.06</v>
      </c>
      <c r="AK462" s="38">
        <v>54.06</v>
      </c>
      <c r="AL462" s="38">
        <v>54.59</v>
      </c>
      <c r="AM462" s="38">
        <v>56.79</v>
      </c>
      <c r="AN462" s="38">
        <v>61.34</v>
      </c>
      <c r="AO462" s="38">
        <v>64.790000000000006</v>
      </c>
      <c r="AP462" s="38">
        <v>66.69</v>
      </c>
      <c r="AQ462" s="38">
        <v>67.48</v>
      </c>
      <c r="AR462" s="38">
        <v>66.69</v>
      </c>
      <c r="AS462" s="38">
        <v>64.209999999999994</v>
      </c>
      <c r="AT462" s="38">
        <v>57.82</v>
      </c>
      <c r="AU462" s="38">
        <v>54.88</v>
      </c>
      <c r="AV462" s="38">
        <v>52.95</v>
      </c>
      <c r="AW462" s="38">
        <v>52.68</v>
      </c>
      <c r="AX462" s="38">
        <v>53.2</v>
      </c>
      <c r="AY462" s="38">
        <v>53.86</v>
      </c>
      <c r="BA462" s="37">
        <v>77.86</v>
      </c>
      <c r="BB462" s="38">
        <v>1.3425</v>
      </c>
    </row>
    <row r="463" spans="1:54" x14ac:dyDescent="0.35">
      <c r="A463" s="2">
        <f t="shared" si="7"/>
        <v>44469</v>
      </c>
      <c r="B463" t="s">
        <v>505</v>
      </c>
      <c r="C463" s="32">
        <v>44469</v>
      </c>
      <c r="D463" s="38">
        <v>251.18</v>
      </c>
      <c r="E463" s="38">
        <v>256.83999999999997</v>
      </c>
      <c r="F463" s="38">
        <v>258.19</v>
      </c>
      <c r="G463" s="38">
        <v>257.48</v>
      </c>
      <c r="H463" s="38">
        <v>235.78</v>
      </c>
      <c r="I463" s="38">
        <v>135.77000000000001</v>
      </c>
      <c r="J463" s="38">
        <v>114.76</v>
      </c>
      <c r="K463" s="38">
        <v>111.21</v>
      </c>
      <c r="L463" s="38">
        <v>109.34</v>
      </c>
      <c r="M463" s="38">
        <v>111.82</v>
      </c>
      <c r="N463" s="38">
        <v>113.82</v>
      </c>
      <c r="O463" s="38">
        <v>116.07</v>
      </c>
      <c r="P463" s="38">
        <v>118.43</v>
      </c>
      <c r="Q463" s="38">
        <v>121.17</v>
      </c>
      <c r="R463" s="38">
        <v>123.25</v>
      </c>
      <c r="S463" s="38">
        <v>121.78</v>
      </c>
      <c r="T463" s="38">
        <v>113.28</v>
      </c>
      <c r="U463" s="38">
        <v>88.42</v>
      </c>
      <c r="V463" s="38">
        <v>71.94</v>
      </c>
      <c r="W463" s="38">
        <v>64.69</v>
      </c>
      <c r="X463" s="38">
        <v>67.56</v>
      </c>
      <c r="Y463" s="38">
        <v>69</v>
      </c>
      <c r="Z463" s="38">
        <v>71.94</v>
      </c>
      <c r="AA463" s="38">
        <v>75.849999999999994</v>
      </c>
      <c r="AB463" s="38">
        <v>79.09</v>
      </c>
      <c r="AC463" s="38">
        <v>80.97</v>
      </c>
      <c r="AD463" s="38">
        <v>81.91</v>
      </c>
      <c r="AE463" s="38">
        <v>80.58</v>
      </c>
      <c r="AF463" s="38">
        <v>75.84</v>
      </c>
      <c r="AG463" s="38">
        <v>66.489999999999995</v>
      </c>
      <c r="AH463" s="38">
        <v>60.33</v>
      </c>
      <c r="AI463" s="38">
        <v>57.7</v>
      </c>
      <c r="AJ463" s="38">
        <v>56.69</v>
      </c>
      <c r="AK463" s="38">
        <v>57.2</v>
      </c>
      <c r="AL463" s="38">
        <v>59.37</v>
      </c>
      <c r="AM463" s="38">
        <v>64.260000000000005</v>
      </c>
      <c r="AN463" s="38">
        <v>67.3</v>
      </c>
      <c r="AO463" s="38">
        <v>69.040000000000006</v>
      </c>
      <c r="AP463" s="38">
        <v>69.8</v>
      </c>
      <c r="AQ463" s="38">
        <v>68.97</v>
      </c>
      <c r="AR463" s="38">
        <v>66.41</v>
      </c>
      <c r="AS463" s="38">
        <v>59.94</v>
      </c>
      <c r="AT463" s="38">
        <v>57.01</v>
      </c>
      <c r="AU463" s="38">
        <v>55.09</v>
      </c>
      <c r="AV463" s="38">
        <v>54.82</v>
      </c>
      <c r="AW463" s="38">
        <v>55.34</v>
      </c>
      <c r="AX463" s="38">
        <v>56</v>
      </c>
      <c r="AY463" s="38">
        <v>60.25</v>
      </c>
      <c r="BA463" s="37">
        <v>77.81</v>
      </c>
      <c r="BB463" s="38">
        <v>1.3484</v>
      </c>
    </row>
    <row r="464" spans="1:54" x14ac:dyDescent="0.35">
      <c r="A464" s="2">
        <f t="shared" si="7"/>
        <v>44470</v>
      </c>
      <c r="B464" t="s">
        <v>506</v>
      </c>
      <c r="C464" s="32">
        <v>44470</v>
      </c>
      <c r="D464" s="38">
        <v>241.26</v>
      </c>
      <c r="E464" s="38">
        <v>247.52</v>
      </c>
      <c r="F464" s="38">
        <v>250.55</v>
      </c>
      <c r="G464" s="38">
        <v>249.52</v>
      </c>
      <c r="H464" s="38">
        <v>229.06</v>
      </c>
      <c r="I464" s="38">
        <v>133.79</v>
      </c>
      <c r="J464" s="38">
        <v>113.89</v>
      </c>
      <c r="K464" s="38">
        <v>110.31</v>
      </c>
      <c r="L464" s="38">
        <v>109.81</v>
      </c>
      <c r="M464" s="38">
        <v>112.29</v>
      </c>
      <c r="N464" s="38">
        <v>114.29</v>
      </c>
      <c r="O464" s="38">
        <v>115.67</v>
      </c>
      <c r="P464" s="38">
        <v>117.5</v>
      </c>
      <c r="Q464" s="38">
        <v>120.24</v>
      </c>
      <c r="R464" s="38">
        <v>122.94</v>
      </c>
      <c r="S464" s="38">
        <v>121.47</v>
      </c>
      <c r="T464" s="38">
        <v>112.87</v>
      </c>
      <c r="U464" s="38">
        <v>87.9</v>
      </c>
      <c r="V464" s="38">
        <v>71.319999999999993</v>
      </c>
      <c r="W464" s="38">
        <v>64.069999999999993</v>
      </c>
      <c r="X464" s="38">
        <v>66.94</v>
      </c>
      <c r="Y464" s="38">
        <v>68.38</v>
      </c>
      <c r="Z464" s="38">
        <v>71.319999999999993</v>
      </c>
      <c r="AA464" s="38">
        <v>75.38</v>
      </c>
      <c r="AB464" s="38">
        <v>78.77</v>
      </c>
      <c r="AC464" s="38">
        <v>80.8</v>
      </c>
      <c r="AD464" s="38">
        <v>81.89</v>
      </c>
      <c r="AE464" s="38">
        <v>80.87</v>
      </c>
      <c r="AF464" s="38">
        <v>76.319999999999993</v>
      </c>
      <c r="AG464" s="38">
        <v>66.86</v>
      </c>
      <c r="AH464" s="38">
        <v>60.65</v>
      </c>
      <c r="AI464" s="38">
        <v>58</v>
      </c>
      <c r="AJ464" s="38">
        <v>56.99</v>
      </c>
      <c r="AK464" s="38">
        <v>57.5</v>
      </c>
      <c r="AL464" s="38">
        <v>59.67</v>
      </c>
      <c r="AM464" s="38">
        <v>64.400000000000006</v>
      </c>
      <c r="AN464" s="38">
        <v>67.290000000000006</v>
      </c>
      <c r="AO464" s="38">
        <v>68.91</v>
      </c>
      <c r="AP464" s="38">
        <v>69.61</v>
      </c>
      <c r="AQ464" s="38">
        <v>68.78</v>
      </c>
      <c r="AR464" s="38">
        <v>66.22</v>
      </c>
      <c r="AS464" s="38">
        <v>59.5</v>
      </c>
      <c r="AT464" s="38">
        <v>56.57</v>
      </c>
      <c r="AU464" s="38">
        <v>54.65</v>
      </c>
      <c r="AV464" s="38">
        <v>54.38</v>
      </c>
      <c r="AW464" s="38">
        <v>54.9</v>
      </c>
      <c r="AX464" s="38">
        <v>55.56</v>
      </c>
      <c r="AY464" s="38">
        <v>59.81</v>
      </c>
      <c r="BA464" s="37">
        <v>79.400000000000006</v>
      </c>
      <c r="BB464" s="38">
        <v>1.3540000000000001</v>
      </c>
    </row>
    <row r="465" spans="1:54" x14ac:dyDescent="0.35">
      <c r="A465" s="2">
        <f t="shared" si="7"/>
        <v>44473</v>
      </c>
      <c r="B465" t="s">
        <v>507</v>
      </c>
      <c r="C465" s="32">
        <v>44473</v>
      </c>
      <c r="D465" s="38">
        <v>245.87</v>
      </c>
      <c r="E465" s="38">
        <v>252.41</v>
      </c>
      <c r="F465" s="38">
        <v>255.27</v>
      </c>
      <c r="G465" s="38">
        <v>253.97</v>
      </c>
      <c r="H465" s="38">
        <v>234.65</v>
      </c>
      <c r="I465" s="38">
        <v>141.12</v>
      </c>
      <c r="J465" s="38">
        <v>119.75</v>
      </c>
      <c r="K465" s="38">
        <v>115.84</v>
      </c>
      <c r="L465" s="38">
        <v>115.26</v>
      </c>
      <c r="M465" s="38">
        <v>117.71</v>
      </c>
      <c r="N465" s="38">
        <v>119.78</v>
      </c>
      <c r="O465" s="38">
        <v>121</v>
      </c>
      <c r="P465" s="38">
        <v>122.86</v>
      </c>
      <c r="Q465" s="38">
        <v>125.63</v>
      </c>
      <c r="R465" s="38">
        <v>128.32</v>
      </c>
      <c r="S465" s="38">
        <v>126.83</v>
      </c>
      <c r="T465" s="38">
        <v>118.19</v>
      </c>
      <c r="U465" s="38">
        <v>92.03</v>
      </c>
      <c r="V465" s="38">
        <v>74.510000000000005</v>
      </c>
      <c r="W465" s="38">
        <v>67.260000000000005</v>
      </c>
      <c r="X465" s="38">
        <v>70.12</v>
      </c>
      <c r="Y465" s="38">
        <v>71.56</v>
      </c>
      <c r="Z465" s="38">
        <v>74.5</v>
      </c>
      <c r="AA465" s="38">
        <v>78.06</v>
      </c>
      <c r="AB465" s="38">
        <v>81.25</v>
      </c>
      <c r="AC465" s="38">
        <v>83.28</v>
      </c>
      <c r="AD465" s="38">
        <v>84.37</v>
      </c>
      <c r="AE465" s="38">
        <v>83.35</v>
      </c>
      <c r="AF465" s="38">
        <v>78.8</v>
      </c>
      <c r="AG465" s="38">
        <v>69.34</v>
      </c>
      <c r="AH465" s="38">
        <v>63.13</v>
      </c>
      <c r="AI465" s="38">
        <v>60.48</v>
      </c>
      <c r="AJ465" s="38">
        <v>59.47</v>
      </c>
      <c r="AK465" s="38">
        <v>59.98</v>
      </c>
      <c r="AL465" s="38">
        <v>62.15</v>
      </c>
      <c r="AM465" s="38">
        <v>66.88</v>
      </c>
      <c r="AN465" s="38">
        <v>69.77</v>
      </c>
      <c r="AO465" s="38">
        <v>71.39</v>
      </c>
      <c r="AP465" s="38">
        <v>72.09</v>
      </c>
      <c r="AQ465" s="38">
        <v>71.260000000000005</v>
      </c>
      <c r="AR465" s="38">
        <v>68.7</v>
      </c>
      <c r="AS465" s="38">
        <v>61.58</v>
      </c>
      <c r="AT465" s="38">
        <v>58.4</v>
      </c>
      <c r="AU465" s="38">
        <v>56.48</v>
      </c>
      <c r="AV465" s="38">
        <v>56.21</v>
      </c>
      <c r="AW465" s="38">
        <v>56.73</v>
      </c>
      <c r="AX465" s="38">
        <v>57.39</v>
      </c>
      <c r="AY465" s="38">
        <v>61.64</v>
      </c>
      <c r="BA465" s="37">
        <v>81.44</v>
      </c>
      <c r="BB465" s="38">
        <v>1.3605</v>
      </c>
    </row>
    <row r="466" spans="1:54" x14ac:dyDescent="0.35">
      <c r="A466" s="2">
        <f t="shared" si="7"/>
        <v>44474</v>
      </c>
      <c r="B466" t="s">
        <v>508</v>
      </c>
      <c r="C466" s="32">
        <v>44474</v>
      </c>
      <c r="D466" s="38">
        <v>293.91000000000003</v>
      </c>
      <c r="E466" s="38">
        <v>301.17</v>
      </c>
      <c r="F466" s="38">
        <v>304.26</v>
      </c>
      <c r="G466" s="38">
        <v>303.02</v>
      </c>
      <c r="H466" s="38">
        <v>282.77999999999997</v>
      </c>
      <c r="I466" s="38">
        <v>155.62</v>
      </c>
      <c r="J466" s="38">
        <v>125.81</v>
      </c>
      <c r="K466" s="38">
        <v>116.43</v>
      </c>
      <c r="L466" s="38">
        <v>119.71</v>
      </c>
      <c r="M466" s="38">
        <v>122.99</v>
      </c>
      <c r="N466" s="38">
        <v>125.26</v>
      </c>
      <c r="O466" s="38">
        <v>126.27</v>
      </c>
      <c r="P466" s="38">
        <v>128.13</v>
      </c>
      <c r="Q466" s="38">
        <v>130.9</v>
      </c>
      <c r="R466" s="38">
        <v>133.82</v>
      </c>
      <c r="S466" s="38">
        <v>132.33000000000001</v>
      </c>
      <c r="T466" s="38">
        <v>122.83</v>
      </c>
      <c r="U466" s="38">
        <v>93.59</v>
      </c>
      <c r="V466" s="38">
        <v>75.16</v>
      </c>
      <c r="W466" s="38">
        <v>67.91</v>
      </c>
      <c r="X466" s="38">
        <v>70.77</v>
      </c>
      <c r="Y466" s="38">
        <v>72.209999999999994</v>
      </c>
      <c r="Z466" s="38">
        <v>75.150000000000006</v>
      </c>
      <c r="AA466" s="38">
        <v>78.67</v>
      </c>
      <c r="AB466" s="38">
        <v>81.84</v>
      </c>
      <c r="AC466" s="38">
        <v>83.86</v>
      </c>
      <c r="AD466" s="38">
        <v>84.94</v>
      </c>
      <c r="AE466" s="38">
        <v>83.91</v>
      </c>
      <c r="AF466" s="38">
        <v>78.89</v>
      </c>
      <c r="AG466" s="38">
        <v>68.44</v>
      </c>
      <c r="AH466" s="38">
        <v>62.23</v>
      </c>
      <c r="AI466" s="38">
        <v>59.58</v>
      </c>
      <c r="AJ466" s="38">
        <v>58.57</v>
      </c>
      <c r="AK466" s="38">
        <v>59.08</v>
      </c>
      <c r="AL466" s="38">
        <v>61.25</v>
      </c>
      <c r="AM466" s="38">
        <v>65.95</v>
      </c>
      <c r="AN466" s="38">
        <v>68.84</v>
      </c>
      <c r="AO466" s="38">
        <v>70.459999999999994</v>
      </c>
      <c r="AP466" s="38">
        <v>71.16</v>
      </c>
      <c r="AQ466" s="38">
        <v>70.33</v>
      </c>
      <c r="AR466" s="38">
        <v>67.77</v>
      </c>
      <c r="AS466" s="38">
        <v>60.65</v>
      </c>
      <c r="AT466" s="38">
        <v>57.47</v>
      </c>
      <c r="AU466" s="38">
        <v>55.55</v>
      </c>
      <c r="AV466" s="38">
        <v>55.28</v>
      </c>
      <c r="AW466" s="38">
        <v>55.8</v>
      </c>
      <c r="AX466" s="38">
        <v>56.46</v>
      </c>
      <c r="AY466" s="38">
        <v>60.71</v>
      </c>
      <c r="BA466" s="37">
        <v>82.72</v>
      </c>
      <c r="BB466" s="38">
        <v>1.3624000000000001</v>
      </c>
    </row>
    <row r="467" spans="1:54" x14ac:dyDescent="0.35">
      <c r="A467" s="2">
        <f t="shared" si="7"/>
        <v>44475</v>
      </c>
      <c r="B467" t="s">
        <v>509</v>
      </c>
      <c r="C467" s="32">
        <v>44475</v>
      </c>
      <c r="D467" s="38">
        <v>273.45</v>
      </c>
      <c r="E467" s="38">
        <v>282.68</v>
      </c>
      <c r="F467" s="38">
        <v>286.92</v>
      </c>
      <c r="G467" s="38">
        <v>286.11</v>
      </c>
      <c r="H467" s="38">
        <v>264.83</v>
      </c>
      <c r="I467" s="38">
        <v>134.88</v>
      </c>
      <c r="J467" s="38">
        <v>110.1</v>
      </c>
      <c r="K467" s="38">
        <v>105.1</v>
      </c>
      <c r="L467" s="38">
        <v>102.53</v>
      </c>
      <c r="M467" s="38">
        <v>105.81</v>
      </c>
      <c r="N467" s="38">
        <v>108.08</v>
      </c>
      <c r="O467" s="38">
        <v>109.3</v>
      </c>
      <c r="P467" s="38">
        <v>111.25</v>
      </c>
      <c r="Q467" s="38">
        <v>114.02</v>
      </c>
      <c r="R467" s="38">
        <v>116.94</v>
      </c>
      <c r="S467" s="38">
        <v>115.45</v>
      </c>
      <c r="T467" s="38">
        <v>109.04</v>
      </c>
      <c r="U467" s="38">
        <v>88.05</v>
      </c>
      <c r="V467" s="38">
        <v>74.05</v>
      </c>
      <c r="W467" s="38">
        <v>66.8</v>
      </c>
      <c r="X467" s="38">
        <v>69.66</v>
      </c>
      <c r="Y467" s="38">
        <v>71.099999999999994</v>
      </c>
      <c r="Z467" s="38">
        <v>74.040000000000006</v>
      </c>
      <c r="AA467" s="38">
        <v>76.540000000000006</v>
      </c>
      <c r="AB467" s="38">
        <v>79.709999999999994</v>
      </c>
      <c r="AC467" s="38">
        <v>81.73</v>
      </c>
      <c r="AD467" s="38">
        <v>82.81</v>
      </c>
      <c r="AE467" s="38">
        <v>81.78</v>
      </c>
      <c r="AF467" s="38">
        <v>76.760000000000005</v>
      </c>
      <c r="AG467" s="38">
        <v>66.31</v>
      </c>
      <c r="AH467" s="38">
        <v>60.1</v>
      </c>
      <c r="AI467" s="38">
        <v>57.45</v>
      </c>
      <c r="AJ467" s="38">
        <v>56.44</v>
      </c>
      <c r="AK467" s="38">
        <v>56.95</v>
      </c>
      <c r="AL467" s="38">
        <v>59.12</v>
      </c>
      <c r="AM467" s="38">
        <v>63.82</v>
      </c>
      <c r="AN467" s="38">
        <v>66.709999999999994</v>
      </c>
      <c r="AO467" s="38">
        <v>68.33</v>
      </c>
      <c r="AP467" s="38">
        <v>69.03</v>
      </c>
      <c r="AQ467" s="38">
        <v>68.2</v>
      </c>
      <c r="AR467" s="38">
        <v>65.64</v>
      </c>
      <c r="AS467" s="38">
        <v>58.52</v>
      </c>
      <c r="AT467" s="38">
        <v>55.34</v>
      </c>
      <c r="AU467" s="38">
        <v>53.42</v>
      </c>
      <c r="AV467" s="38">
        <v>53.15</v>
      </c>
      <c r="AW467" s="38">
        <v>53.67</v>
      </c>
      <c r="AX467" s="38">
        <v>54.33</v>
      </c>
      <c r="AY467" s="38">
        <v>58.58</v>
      </c>
      <c r="BA467" s="37">
        <v>81.39</v>
      </c>
      <c r="BB467" s="38">
        <v>1.3569</v>
      </c>
    </row>
    <row r="468" spans="1:54" x14ac:dyDescent="0.35">
      <c r="A468" s="2">
        <f t="shared" si="7"/>
        <v>44476</v>
      </c>
      <c r="B468" t="s">
        <v>510</v>
      </c>
      <c r="C468" s="32">
        <v>44476</v>
      </c>
      <c r="D468" s="38">
        <v>245.51</v>
      </c>
      <c r="E468" s="38">
        <v>253.25</v>
      </c>
      <c r="F468" s="38">
        <v>256.93</v>
      </c>
      <c r="G468" s="38">
        <v>256.38</v>
      </c>
      <c r="H468" s="38">
        <v>236.65</v>
      </c>
      <c r="I468" s="38">
        <v>123.89</v>
      </c>
      <c r="J468" s="38">
        <v>98.89</v>
      </c>
      <c r="K468" s="38">
        <v>95.09</v>
      </c>
      <c r="L468" s="38">
        <v>96.84</v>
      </c>
      <c r="M468" s="38">
        <v>100.12</v>
      </c>
      <c r="N468" s="38">
        <v>102.31</v>
      </c>
      <c r="O468" s="38">
        <v>102.51</v>
      </c>
      <c r="P468" s="38">
        <v>104.21</v>
      </c>
      <c r="Q468" s="38">
        <v>106.93</v>
      </c>
      <c r="R468" s="38">
        <v>109.45</v>
      </c>
      <c r="S468" s="38">
        <v>107.29</v>
      </c>
      <c r="T468" s="38">
        <v>101.55</v>
      </c>
      <c r="U468" s="38">
        <v>83.55</v>
      </c>
      <c r="V468" s="38">
        <v>71.05</v>
      </c>
      <c r="W468" s="38">
        <v>63.8</v>
      </c>
      <c r="X468" s="38">
        <v>66.66</v>
      </c>
      <c r="Y468" s="38">
        <v>68.099999999999994</v>
      </c>
      <c r="Z468" s="38">
        <v>71.13</v>
      </c>
      <c r="AA468" s="38">
        <v>74.34</v>
      </c>
      <c r="AB468" s="38">
        <v>78.040000000000006</v>
      </c>
      <c r="AC468" s="38">
        <v>80.06</v>
      </c>
      <c r="AD468" s="38">
        <v>81.14</v>
      </c>
      <c r="AE468" s="38">
        <v>80.11</v>
      </c>
      <c r="AF468" s="38">
        <v>75.16</v>
      </c>
      <c r="AG468" s="38">
        <v>64.75</v>
      </c>
      <c r="AH468" s="38">
        <v>58.55</v>
      </c>
      <c r="AI468" s="38">
        <v>55.9</v>
      </c>
      <c r="AJ468" s="38">
        <v>54.89</v>
      </c>
      <c r="AK468" s="38">
        <v>55.4</v>
      </c>
      <c r="AL468" s="38">
        <v>57.57</v>
      </c>
      <c r="AM468" s="38">
        <v>63.66</v>
      </c>
      <c r="AN468" s="38">
        <v>67.459999999999994</v>
      </c>
      <c r="AO468" s="38">
        <v>69.08</v>
      </c>
      <c r="AP468" s="38">
        <v>69.78</v>
      </c>
      <c r="AQ468" s="38">
        <v>68.95</v>
      </c>
      <c r="AR468" s="38">
        <v>66.39</v>
      </c>
      <c r="AS468" s="38">
        <v>59.07</v>
      </c>
      <c r="AT468" s="38">
        <v>55.89</v>
      </c>
      <c r="AU468" s="38">
        <v>53.97</v>
      </c>
      <c r="AV468" s="38">
        <v>53.7</v>
      </c>
      <c r="AW468" s="38">
        <v>54.22</v>
      </c>
      <c r="AX468" s="38">
        <v>54.88</v>
      </c>
      <c r="AY468" s="38">
        <v>59.13</v>
      </c>
      <c r="BA468" s="37">
        <v>82.34</v>
      </c>
      <c r="BB468" s="38">
        <v>1.3622000000000001</v>
      </c>
    </row>
    <row r="469" spans="1:54" x14ac:dyDescent="0.35">
      <c r="A469" s="2">
        <f t="shared" si="7"/>
        <v>44477</v>
      </c>
      <c r="B469" t="s">
        <v>511</v>
      </c>
      <c r="C469" s="32">
        <v>44477</v>
      </c>
      <c r="D469" s="38">
        <v>222.21</v>
      </c>
      <c r="E469" s="38">
        <v>230.49</v>
      </c>
      <c r="F469" s="38">
        <v>234.2</v>
      </c>
      <c r="G469" s="38">
        <v>233.57</v>
      </c>
      <c r="H469" s="38">
        <v>211.96</v>
      </c>
      <c r="I469" s="38">
        <v>116.48</v>
      </c>
      <c r="J469" s="38">
        <v>94.49</v>
      </c>
      <c r="K469" s="38">
        <v>90.99</v>
      </c>
      <c r="L469" s="38">
        <v>90.16</v>
      </c>
      <c r="M469" s="38">
        <v>93.44</v>
      </c>
      <c r="N469" s="38">
        <v>95.63</v>
      </c>
      <c r="O469" s="38">
        <v>97.38</v>
      </c>
      <c r="P469" s="38">
        <v>99.18</v>
      </c>
      <c r="Q469" s="38">
        <v>101.9</v>
      </c>
      <c r="R469" s="38">
        <v>104.42</v>
      </c>
      <c r="S469" s="38">
        <v>102.26</v>
      </c>
      <c r="T469" s="38">
        <v>96.52</v>
      </c>
      <c r="U469" s="38">
        <v>85.19</v>
      </c>
      <c r="V469" s="38">
        <v>72.69</v>
      </c>
      <c r="W469" s="38">
        <v>65.44</v>
      </c>
      <c r="X469" s="38">
        <v>68.3</v>
      </c>
      <c r="Y469" s="38">
        <v>69.739999999999995</v>
      </c>
      <c r="Z469" s="38">
        <v>72.77</v>
      </c>
      <c r="AA469" s="38">
        <v>75.09</v>
      </c>
      <c r="AB469" s="38">
        <v>78.790000000000006</v>
      </c>
      <c r="AC469" s="38">
        <v>80.81</v>
      </c>
      <c r="AD469" s="38">
        <v>81.89</v>
      </c>
      <c r="AE469" s="38">
        <v>80.86</v>
      </c>
      <c r="AF469" s="38">
        <v>75.91</v>
      </c>
      <c r="AG469" s="38">
        <v>65.3</v>
      </c>
      <c r="AH469" s="38">
        <v>59.1</v>
      </c>
      <c r="AI469" s="38">
        <v>56.45</v>
      </c>
      <c r="AJ469" s="38">
        <v>55.44</v>
      </c>
      <c r="AK469" s="38">
        <v>55.95</v>
      </c>
      <c r="AL469" s="38">
        <v>58.12</v>
      </c>
      <c r="AM469" s="38">
        <v>63.89</v>
      </c>
      <c r="AN469" s="38">
        <v>67.69</v>
      </c>
      <c r="AO469" s="38">
        <v>69.31</v>
      </c>
      <c r="AP469" s="38">
        <v>70.010000000000005</v>
      </c>
      <c r="AQ469" s="38">
        <v>69.180000000000007</v>
      </c>
      <c r="AR469" s="38">
        <v>66.62</v>
      </c>
      <c r="AS469" s="38">
        <v>59.54</v>
      </c>
      <c r="AT469" s="38">
        <v>56.36</v>
      </c>
      <c r="AU469" s="38">
        <v>54.44</v>
      </c>
      <c r="AV469" s="38">
        <v>54.17</v>
      </c>
      <c r="AW469" s="38">
        <v>54.69</v>
      </c>
      <c r="AX469" s="38">
        <v>55.35</v>
      </c>
      <c r="AY469" s="38">
        <v>59.6</v>
      </c>
      <c r="BA469" s="37">
        <v>82.17</v>
      </c>
      <c r="BB469" s="38">
        <v>1.3636999999999999</v>
      </c>
    </row>
    <row r="470" spans="1:54" x14ac:dyDescent="0.35">
      <c r="A470" s="2">
        <f t="shared" si="7"/>
        <v>44480</v>
      </c>
      <c r="B470" t="s">
        <v>512</v>
      </c>
      <c r="C470" s="32">
        <v>44480</v>
      </c>
      <c r="D470" s="38">
        <v>216.58</v>
      </c>
      <c r="E470" s="38">
        <v>225.21</v>
      </c>
      <c r="F470" s="38">
        <v>228.82</v>
      </c>
      <c r="G470" s="38">
        <v>228.41</v>
      </c>
      <c r="H470" s="38">
        <v>206.73</v>
      </c>
      <c r="I470" s="38">
        <v>120.81</v>
      </c>
      <c r="J470" s="38">
        <v>101.38</v>
      </c>
      <c r="K470" s="38">
        <v>98.39</v>
      </c>
      <c r="L470" s="38">
        <v>91.57</v>
      </c>
      <c r="M470" s="38">
        <v>92.49</v>
      </c>
      <c r="N470" s="38">
        <v>95.1</v>
      </c>
      <c r="O470" s="38">
        <v>99.52</v>
      </c>
      <c r="P470" s="38">
        <v>102.63</v>
      </c>
      <c r="Q470" s="38">
        <v>105.31</v>
      </c>
      <c r="R470" s="38">
        <v>107.81</v>
      </c>
      <c r="S470" s="38">
        <v>105.64</v>
      </c>
      <c r="T470" s="38">
        <v>99.56</v>
      </c>
      <c r="U470" s="38">
        <v>85.02</v>
      </c>
      <c r="V470" s="38">
        <v>72.53</v>
      </c>
      <c r="W470" s="38">
        <v>65.290000000000006</v>
      </c>
      <c r="X470" s="38">
        <v>68.16</v>
      </c>
      <c r="Y470" s="38">
        <v>69.599999999999994</v>
      </c>
      <c r="Z470" s="38">
        <v>72.63</v>
      </c>
      <c r="AA470" s="38">
        <v>74.95</v>
      </c>
      <c r="AB470" s="38">
        <v>78.650000000000006</v>
      </c>
      <c r="AC470" s="38">
        <v>80.67</v>
      </c>
      <c r="AD470" s="38">
        <v>81.75</v>
      </c>
      <c r="AE470" s="38">
        <v>80.72</v>
      </c>
      <c r="AF470" s="38">
        <v>75.77</v>
      </c>
      <c r="AG470" s="38">
        <v>65.16</v>
      </c>
      <c r="AH470" s="38">
        <v>58.96</v>
      </c>
      <c r="AI470" s="38">
        <v>56.31</v>
      </c>
      <c r="AJ470" s="38">
        <v>55.3</v>
      </c>
      <c r="AK470" s="38">
        <v>55.81</v>
      </c>
      <c r="AL470" s="38">
        <v>57.98</v>
      </c>
      <c r="AM470" s="38">
        <v>64.09</v>
      </c>
      <c r="AN470" s="38">
        <v>68.099999999999994</v>
      </c>
      <c r="AO470" s="38">
        <v>69.72</v>
      </c>
      <c r="AP470" s="38">
        <v>70.42</v>
      </c>
      <c r="AQ470" s="38">
        <v>69.59</v>
      </c>
      <c r="AR470" s="38">
        <v>67.03</v>
      </c>
      <c r="AS470" s="38">
        <v>59.89</v>
      </c>
      <c r="AT470" s="38">
        <v>56.66</v>
      </c>
      <c r="AU470" s="38">
        <v>54.74</v>
      </c>
      <c r="AV470" s="38">
        <v>54.47</v>
      </c>
      <c r="AW470" s="38">
        <v>54.99</v>
      </c>
      <c r="AX470" s="38">
        <v>56.11</v>
      </c>
      <c r="AY470" s="38">
        <v>60.36</v>
      </c>
      <c r="BA470" s="37">
        <v>83.75</v>
      </c>
      <c r="BB470" s="38">
        <v>1.3626</v>
      </c>
    </row>
    <row r="471" spans="1:54" x14ac:dyDescent="0.35">
      <c r="A471" s="2">
        <f t="shared" si="7"/>
        <v>44481</v>
      </c>
      <c r="B471" t="s">
        <v>513</v>
      </c>
      <c r="C471" s="32">
        <v>44481</v>
      </c>
      <c r="D471" s="38">
        <v>217.12</v>
      </c>
      <c r="E471" s="38">
        <v>225.68</v>
      </c>
      <c r="F471" s="38">
        <v>228.98</v>
      </c>
      <c r="G471" s="38">
        <v>228.01</v>
      </c>
      <c r="H471" s="38">
        <v>205.96</v>
      </c>
      <c r="I471" s="38">
        <v>122.4</v>
      </c>
      <c r="J471" s="38">
        <v>102.4</v>
      </c>
      <c r="K471" s="38">
        <v>98.95</v>
      </c>
      <c r="L471" s="38">
        <v>96.45</v>
      </c>
      <c r="M471" s="38">
        <v>97.36</v>
      </c>
      <c r="N471" s="38">
        <v>99.97</v>
      </c>
      <c r="O471" s="38">
        <v>103.1</v>
      </c>
      <c r="P471" s="38">
        <v>105.91</v>
      </c>
      <c r="Q471" s="38">
        <v>108.53</v>
      </c>
      <c r="R471" s="38">
        <v>108.53</v>
      </c>
      <c r="S471" s="38">
        <v>106.25</v>
      </c>
      <c r="T471" s="38">
        <v>99.92</v>
      </c>
      <c r="U471" s="38">
        <v>84.9</v>
      </c>
      <c r="V471" s="38">
        <v>72.41</v>
      </c>
      <c r="W471" s="38">
        <v>65.17</v>
      </c>
      <c r="X471" s="38">
        <v>68.040000000000006</v>
      </c>
      <c r="Y471" s="38">
        <v>69.48</v>
      </c>
      <c r="Z471" s="38">
        <v>72.510000000000005</v>
      </c>
      <c r="AA471" s="38">
        <v>75.06</v>
      </c>
      <c r="AB471" s="38">
        <v>78.78</v>
      </c>
      <c r="AC471" s="38">
        <v>80.81</v>
      </c>
      <c r="AD471" s="38">
        <v>81.91</v>
      </c>
      <c r="AE471" s="38">
        <v>80.89</v>
      </c>
      <c r="AF471" s="38">
        <v>75.790000000000006</v>
      </c>
      <c r="AG471" s="38">
        <v>64.28</v>
      </c>
      <c r="AH471" s="38">
        <v>57.95</v>
      </c>
      <c r="AI471" s="38">
        <v>55.31</v>
      </c>
      <c r="AJ471" s="38">
        <v>54.3</v>
      </c>
      <c r="AK471" s="38">
        <v>54.82</v>
      </c>
      <c r="AL471" s="38">
        <v>56.99</v>
      </c>
      <c r="AM471" s="38">
        <v>62.95</v>
      </c>
      <c r="AN471" s="38">
        <v>66.959999999999994</v>
      </c>
      <c r="AO471" s="38">
        <v>68.58</v>
      </c>
      <c r="AP471" s="38">
        <v>69.290000000000006</v>
      </c>
      <c r="AQ471" s="38">
        <v>68.459999999999994</v>
      </c>
      <c r="AR471" s="38">
        <v>65.900000000000006</v>
      </c>
      <c r="AS471" s="38">
        <v>58.76</v>
      </c>
      <c r="AT471" s="38">
        <v>55.53</v>
      </c>
      <c r="AU471" s="38">
        <v>53.61</v>
      </c>
      <c r="AV471" s="38">
        <v>53.34</v>
      </c>
      <c r="AW471" s="38">
        <v>53.86</v>
      </c>
      <c r="AX471" s="38">
        <v>54.98</v>
      </c>
      <c r="AY471" s="38">
        <v>59.76</v>
      </c>
      <c r="BA471" s="37">
        <v>83.53</v>
      </c>
      <c r="BB471" s="38">
        <v>1.3601000000000001</v>
      </c>
    </row>
    <row r="472" spans="1:54" x14ac:dyDescent="0.35">
      <c r="A472" s="2">
        <f t="shared" si="7"/>
        <v>44482</v>
      </c>
      <c r="B472" t="s">
        <v>514</v>
      </c>
      <c r="C472" s="32">
        <v>44482</v>
      </c>
      <c r="D472" s="38">
        <v>235.75</v>
      </c>
      <c r="E472" s="38">
        <v>243.96</v>
      </c>
      <c r="F472" s="38">
        <v>247.97</v>
      </c>
      <c r="G472" s="38">
        <v>246.93</v>
      </c>
      <c r="H472" s="38">
        <v>222.18</v>
      </c>
      <c r="I472" s="38">
        <v>122.97</v>
      </c>
      <c r="J472" s="38">
        <v>102.16</v>
      </c>
      <c r="K472" s="38">
        <v>98.66</v>
      </c>
      <c r="L472" s="38">
        <v>95.64</v>
      </c>
      <c r="M472" s="38">
        <v>96.55</v>
      </c>
      <c r="N472" s="38">
        <v>99.16</v>
      </c>
      <c r="O472" s="38">
        <v>102.63</v>
      </c>
      <c r="P472" s="38">
        <v>105.84</v>
      </c>
      <c r="Q472" s="38">
        <v>108.48</v>
      </c>
      <c r="R472" s="38">
        <v>108.48</v>
      </c>
      <c r="S472" s="38">
        <v>106.2</v>
      </c>
      <c r="T472" s="38">
        <v>99.96</v>
      </c>
      <c r="U472" s="38">
        <v>84.89</v>
      </c>
      <c r="V472" s="38">
        <v>71.83</v>
      </c>
      <c r="W472" s="38">
        <v>64.28</v>
      </c>
      <c r="X472" s="38">
        <v>66.91</v>
      </c>
      <c r="Y472" s="38">
        <v>68.349999999999994</v>
      </c>
      <c r="Z472" s="38">
        <v>71.38</v>
      </c>
      <c r="AA472" s="38">
        <v>73.930000000000007</v>
      </c>
      <c r="AB472" s="38">
        <v>77.650000000000006</v>
      </c>
      <c r="AC472" s="38">
        <v>79.680000000000007</v>
      </c>
      <c r="AD472" s="38">
        <v>80.78</v>
      </c>
      <c r="AE472" s="38">
        <v>79.760000000000005</v>
      </c>
      <c r="AF472" s="38">
        <v>74.66</v>
      </c>
      <c r="AG472" s="38">
        <v>61.78</v>
      </c>
      <c r="AH472" s="38">
        <v>55.45</v>
      </c>
      <c r="AI472" s="38">
        <v>52.81</v>
      </c>
      <c r="AJ472" s="38">
        <v>51.8</v>
      </c>
      <c r="AK472" s="38">
        <v>52.32</v>
      </c>
      <c r="AL472" s="38">
        <v>54.49</v>
      </c>
      <c r="AM472" s="38">
        <v>60.45</v>
      </c>
      <c r="AN472" s="38">
        <v>64.459999999999994</v>
      </c>
      <c r="AO472" s="38">
        <v>66.08</v>
      </c>
      <c r="AP472" s="38">
        <v>66.790000000000006</v>
      </c>
      <c r="AQ472" s="38">
        <v>65.959999999999994</v>
      </c>
      <c r="AR472" s="38">
        <v>63.4</v>
      </c>
      <c r="AS472" s="38">
        <v>55.94</v>
      </c>
      <c r="AT472" s="38">
        <v>52.71</v>
      </c>
      <c r="AU472" s="38">
        <v>50.79</v>
      </c>
      <c r="AV472" s="38">
        <v>50.52</v>
      </c>
      <c r="AW472" s="38">
        <v>51.04</v>
      </c>
      <c r="AX472" s="38">
        <v>52.67</v>
      </c>
      <c r="AY472" s="38">
        <v>57.88</v>
      </c>
      <c r="BA472" s="37">
        <v>83.53</v>
      </c>
      <c r="BB472" s="38">
        <v>1.3633</v>
      </c>
    </row>
    <row r="473" spans="1:54" x14ac:dyDescent="0.35">
      <c r="A473" s="2">
        <f t="shared" si="7"/>
        <v>44483</v>
      </c>
      <c r="B473" t="s">
        <v>515</v>
      </c>
      <c r="C473" s="32">
        <v>44483</v>
      </c>
      <c r="D473" s="38">
        <v>257.61</v>
      </c>
      <c r="E473" s="38">
        <v>266.08999999999997</v>
      </c>
      <c r="F473" s="38">
        <v>271.3</v>
      </c>
      <c r="G473" s="38">
        <v>269.31</v>
      </c>
      <c r="H473" s="38">
        <v>242.61</v>
      </c>
      <c r="I473" s="38">
        <v>133.61000000000001</v>
      </c>
      <c r="J473" s="38">
        <v>110.22</v>
      </c>
      <c r="K473" s="38">
        <v>106.47</v>
      </c>
      <c r="L473" s="38">
        <v>105.26</v>
      </c>
      <c r="M473" s="38">
        <v>106.17</v>
      </c>
      <c r="N473" s="38">
        <v>108.78</v>
      </c>
      <c r="O473" s="38">
        <v>111.73</v>
      </c>
      <c r="P473" s="38">
        <v>114.6</v>
      </c>
      <c r="Q473" s="38">
        <v>117.26</v>
      </c>
      <c r="R473" s="38">
        <v>117.26</v>
      </c>
      <c r="S473" s="38">
        <v>114.99</v>
      </c>
      <c r="T473" s="38">
        <v>107.19</v>
      </c>
      <c r="U473" s="38">
        <v>88.96</v>
      </c>
      <c r="V473" s="38">
        <v>74.010000000000005</v>
      </c>
      <c r="W473" s="38">
        <v>65.83</v>
      </c>
      <c r="X473" s="38">
        <v>68.459999999999994</v>
      </c>
      <c r="Y473" s="38">
        <v>69.900000000000006</v>
      </c>
      <c r="Z473" s="38">
        <v>73.34</v>
      </c>
      <c r="AA473" s="38">
        <v>76.540000000000006</v>
      </c>
      <c r="AB473" s="38">
        <v>80.260000000000005</v>
      </c>
      <c r="AC473" s="38">
        <v>82.29</v>
      </c>
      <c r="AD473" s="38">
        <v>83.39</v>
      </c>
      <c r="AE473" s="38">
        <v>82.37</v>
      </c>
      <c r="AF473" s="38">
        <v>77.27</v>
      </c>
      <c r="AG473" s="38">
        <v>64.39</v>
      </c>
      <c r="AH473" s="38">
        <v>58.06</v>
      </c>
      <c r="AI473" s="38">
        <v>55.42</v>
      </c>
      <c r="AJ473" s="38">
        <v>54.41</v>
      </c>
      <c r="AK473" s="38">
        <v>54.93</v>
      </c>
      <c r="AL473" s="38">
        <v>57.1</v>
      </c>
      <c r="AM473" s="38">
        <v>63.06</v>
      </c>
      <c r="AN473" s="38">
        <v>67.069999999999993</v>
      </c>
      <c r="AO473" s="38">
        <v>68.69</v>
      </c>
      <c r="AP473" s="38">
        <v>69.400000000000006</v>
      </c>
      <c r="AQ473" s="38">
        <v>68.569999999999993</v>
      </c>
      <c r="AR473" s="38">
        <v>66.010000000000005</v>
      </c>
      <c r="AS473" s="38">
        <v>58.55</v>
      </c>
      <c r="AT473" s="38">
        <v>55.32</v>
      </c>
      <c r="AU473" s="38">
        <v>53.4</v>
      </c>
      <c r="AV473" s="38">
        <v>53.13</v>
      </c>
      <c r="AW473" s="38">
        <v>53.65</v>
      </c>
      <c r="AX473" s="38">
        <v>55.28</v>
      </c>
      <c r="AY473" s="38">
        <v>60.49</v>
      </c>
      <c r="BA473" s="37">
        <v>83.86</v>
      </c>
      <c r="BB473" s="38">
        <v>1.3683000000000001</v>
      </c>
    </row>
    <row r="474" spans="1:54" x14ac:dyDescent="0.35">
      <c r="A474" s="2">
        <f t="shared" si="7"/>
        <v>44484</v>
      </c>
      <c r="B474" t="s">
        <v>516</v>
      </c>
      <c r="C474" s="32">
        <v>44484</v>
      </c>
      <c r="D474" s="38">
        <v>234.36</v>
      </c>
      <c r="E474" s="38">
        <v>242.35</v>
      </c>
      <c r="F474" s="38">
        <v>247.2</v>
      </c>
      <c r="G474" s="38">
        <v>245.84</v>
      </c>
      <c r="H474" s="38">
        <v>220.09</v>
      </c>
      <c r="I474" s="38">
        <v>132.54</v>
      </c>
      <c r="J474" s="38">
        <v>110.04</v>
      </c>
      <c r="K474" s="38">
        <v>106.04</v>
      </c>
      <c r="L474" s="38">
        <v>106.41</v>
      </c>
      <c r="M474" s="38">
        <v>107.38</v>
      </c>
      <c r="N474" s="38">
        <v>110.02</v>
      </c>
      <c r="O474" s="38">
        <v>112.97</v>
      </c>
      <c r="P474" s="38">
        <v>115.84</v>
      </c>
      <c r="Q474" s="38">
        <v>118.5</v>
      </c>
      <c r="R474" s="38">
        <v>118.5</v>
      </c>
      <c r="S474" s="38">
        <v>116.23</v>
      </c>
      <c r="T474" s="38">
        <v>108.13</v>
      </c>
      <c r="U474" s="38">
        <v>90.02</v>
      </c>
      <c r="V474" s="38">
        <v>75.03</v>
      </c>
      <c r="W474" s="38">
        <v>66.8</v>
      </c>
      <c r="X474" s="38">
        <v>69.16</v>
      </c>
      <c r="Y474" s="38">
        <v>70.599999999999994</v>
      </c>
      <c r="Z474" s="38">
        <v>74.17</v>
      </c>
      <c r="AA474" s="38">
        <v>77.5</v>
      </c>
      <c r="AB474" s="38">
        <v>81.349999999999994</v>
      </c>
      <c r="AC474" s="38">
        <v>83.48</v>
      </c>
      <c r="AD474" s="38">
        <v>84.58</v>
      </c>
      <c r="AE474" s="38">
        <v>83.56</v>
      </c>
      <c r="AF474" s="38">
        <v>78.459999999999994</v>
      </c>
      <c r="AG474" s="38">
        <v>65.37</v>
      </c>
      <c r="AH474" s="38">
        <v>59.04</v>
      </c>
      <c r="AI474" s="38">
        <v>56.4</v>
      </c>
      <c r="AJ474" s="38">
        <v>55.39</v>
      </c>
      <c r="AK474" s="38">
        <v>55.91</v>
      </c>
      <c r="AL474" s="38">
        <v>58.08</v>
      </c>
      <c r="AM474" s="38">
        <v>64.040000000000006</v>
      </c>
      <c r="AN474" s="38">
        <v>68.05</v>
      </c>
      <c r="AO474" s="38">
        <v>69.67</v>
      </c>
      <c r="AP474" s="38">
        <v>70.38</v>
      </c>
      <c r="AQ474" s="38">
        <v>69.55</v>
      </c>
      <c r="AR474" s="38">
        <v>66.91</v>
      </c>
      <c r="AS474" s="38">
        <v>59.45</v>
      </c>
      <c r="AT474" s="38">
        <v>56.14</v>
      </c>
      <c r="AU474" s="38">
        <v>54.22</v>
      </c>
      <c r="AV474" s="38">
        <v>53.95</v>
      </c>
      <c r="AW474" s="38">
        <v>54.47</v>
      </c>
      <c r="AX474" s="38">
        <v>56.1</v>
      </c>
      <c r="AY474" s="38">
        <v>61.31</v>
      </c>
      <c r="BA474" s="37">
        <v>84.67</v>
      </c>
      <c r="BB474" s="38">
        <v>1.3769</v>
      </c>
    </row>
    <row r="475" spans="1:54" x14ac:dyDescent="0.35">
      <c r="A475" s="2">
        <f t="shared" si="7"/>
        <v>44487</v>
      </c>
      <c r="B475" t="s">
        <v>517</v>
      </c>
      <c r="C475" s="32">
        <v>44487</v>
      </c>
      <c r="D475" s="38">
        <v>237.32</v>
      </c>
      <c r="E475" s="38">
        <v>246.57</v>
      </c>
      <c r="F475" s="38">
        <v>252.07</v>
      </c>
      <c r="G475" s="38">
        <v>251.07</v>
      </c>
      <c r="H475" s="38">
        <v>226.97</v>
      </c>
      <c r="I475" s="38">
        <v>137.65</v>
      </c>
      <c r="J475" s="38">
        <v>115.04</v>
      </c>
      <c r="K475" s="38">
        <v>107.94</v>
      </c>
      <c r="L475" s="38">
        <v>107.89</v>
      </c>
      <c r="M475" s="38">
        <v>108.82</v>
      </c>
      <c r="N475" s="38">
        <v>111.1</v>
      </c>
      <c r="O475" s="38">
        <v>113.34</v>
      </c>
      <c r="P475" s="38">
        <v>115.38</v>
      </c>
      <c r="Q475" s="38">
        <v>119.29</v>
      </c>
      <c r="R475" s="38">
        <v>120.8</v>
      </c>
      <c r="S475" s="38">
        <v>119.49</v>
      </c>
      <c r="T475" s="38">
        <v>110.89</v>
      </c>
      <c r="U475" s="38">
        <v>92.29</v>
      </c>
      <c r="V475" s="38">
        <v>77.3</v>
      </c>
      <c r="W475" s="38">
        <v>69.069999999999993</v>
      </c>
      <c r="X475" s="38">
        <v>71.430000000000007</v>
      </c>
      <c r="Y475" s="38">
        <v>72.87</v>
      </c>
      <c r="Z475" s="38">
        <v>76.44</v>
      </c>
      <c r="AA475" s="38">
        <v>79.7</v>
      </c>
      <c r="AB475" s="38">
        <v>83.34</v>
      </c>
      <c r="AC475" s="38">
        <v>85.36</v>
      </c>
      <c r="AD475" s="38">
        <v>86.46</v>
      </c>
      <c r="AE475" s="38">
        <v>85.44</v>
      </c>
      <c r="AF475" s="38">
        <v>80.34</v>
      </c>
      <c r="AG475" s="38">
        <v>66.34</v>
      </c>
      <c r="AH475" s="38">
        <v>60.01</v>
      </c>
      <c r="AI475" s="38">
        <v>57.37</v>
      </c>
      <c r="AJ475" s="38">
        <v>56.36</v>
      </c>
      <c r="AK475" s="38">
        <v>56.88</v>
      </c>
      <c r="AL475" s="38">
        <v>59.05</v>
      </c>
      <c r="AM475" s="38">
        <v>65.010000000000005</v>
      </c>
      <c r="AN475" s="38">
        <v>69.02</v>
      </c>
      <c r="AO475" s="38">
        <v>70.64</v>
      </c>
      <c r="AP475" s="38">
        <v>71.349999999999994</v>
      </c>
      <c r="AQ475" s="38">
        <v>70.52</v>
      </c>
      <c r="AR475" s="38">
        <v>67.88</v>
      </c>
      <c r="AS475" s="38">
        <v>60.42</v>
      </c>
      <c r="AT475" s="38">
        <v>57.11</v>
      </c>
      <c r="AU475" s="38">
        <v>55.19</v>
      </c>
      <c r="AV475" s="38">
        <v>54.92</v>
      </c>
      <c r="AW475" s="38">
        <v>55.44</v>
      </c>
      <c r="AX475" s="38">
        <v>57.07</v>
      </c>
      <c r="AY475" s="38">
        <v>62.28</v>
      </c>
      <c r="BA475" s="37">
        <v>84.13</v>
      </c>
      <c r="BB475" s="38">
        <v>1.3720000000000001</v>
      </c>
    </row>
    <row r="476" spans="1:54" x14ac:dyDescent="0.35">
      <c r="A476" s="2">
        <f t="shared" si="7"/>
        <v>44488</v>
      </c>
      <c r="B476" t="s">
        <v>518</v>
      </c>
      <c r="C476" s="32">
        <v>44488</v>
      </c>
      <c r="D476" s="38">
        <v>225.91</v>
      </c>
      <c r="E476" s="38">
        <v>235.54</v>
      </c>
      <c r="F476" s="38">
        <v>241.3</v>
      </c>
      <c r="G476" s="38">
        <v>240.33</v>
      </c>
      <c r="H476" s="38">
        <v>215.9</v>
      </c>
      <c r="I476" s="38">
        <v>138</v>
      </c>
      <c r="J476" s="38">
        <v>110.95</v>
      </c>
      <c r="K476" s="38">
        <v>106.95</v>
      </c>
      <c r="L476" s="38">
        <v>108.82</v>
      </c>
      <c r="M476" s="38">
        <v>109.31</v>
      </c>
      <c r="N476" s="38">
        <v>111.61</v>
      </c>
      <c r="O476" s="38">
        <v>113.65</v>
      </c>
      <c r="P476" s="38">
        <v>115.52</v>
      </c>
      <c r="Q476" s="38">
        <v>119.3</v>
      </c>
      <c r="R476" s="38">
        <v>120.72</v>
      </c>
      <c r="S476" s="38">
        <v>119.41</v>
      </c>
      <c r="T476" s="38">
        <v>110.81</v>
      </c>
      <c r="U476" s="38">
        <v>92.51</v>
      </c>
      <c r="V476" s="38">
        <v>77.819999999999993</v>
      </c>
      <c r="W476" s="38">
        <v>69.59</v>
      </c>
      <c r="X476" s="38">
        <v>71.95</v>
      </c>
      <c r="Y476" s="38">
        <v>73.36</v>
      </c>
      <c r="Z476" s="38">
        <v>76.930000000000007</v>
      </c>
      <c r="AA476" s="38">
        <v>79.75</v>
      </c>
      <c r="AB476" s="38">
        <v>83.17</v>
      </c>
      <c r="AC476" s="38">
        <v>85.16</v>
      </c>
      <c r="AD476" s="38">
        <v>86.23</v>
      </c>
      <c r="AE476" s="38">
        <v>85.18</v>
      </c>
      <c r="AF476" s="38">
        <v>80.05</v>
      </c>
      <c r="AG476" s="38">
        <v>65.709999999999994</v>
      </c>
      <c r="AH476" s="38">
        <v>58.81</v>
      </c>
      <c r="AI476" s="38">
        <v>56.17</v>
      </c>
      <c r="AJ476" s="38">
        <v>55.16</v>
      </c>
      <c r="AK476" s="38">
        <v>55.68</v>
      </c>
      <c r="AL476" s="38">
        <v>57.85</v>
      </c>
      <c r="AM476" s="38">
        <v>64.069999999999993</v>
      </c>
      <c r="AN476" s="38">
        <v>68.08</v>
      </c>
      <c r="AO476" s="38">
        <v>69.7</v>
      </c>
      <c r="AP476" s="38">
        <v>70.41</v>
      </c>
      <c r="AQ476" s="38">
        <v>69.58</v>
      </c>
      <c r="AR476" s="38">
        <v>66.94</v>
      </c>
      <c r="AS476" s="38">
        <v>59.48</v>
      </c>
      <c r="AT476" s="38">
        <v>56.17</v>
      </c>
      <c r="AU476" s="38">
        <v>54.25</v>
      </c>
      <c r="AV476" s="38">
        <v>53.98</v>
      </c>
      <c r="AW476" s="38">
        <v>54.5</v>
      </c>
      <c r="AX476" s="38">
        <v>56.13</v>
      </c>
      <c r="AY476" s="38">
        <v>61.34</v>
      </c>
      <c r="BA476" s="37">
        <v>85.02</v>
      </c>
      <c r="BB476" s="38">
        <v>1.3798999999999999</v>
      </c>
    </row>
    <row r="477" spans="1:54" x14ac:dyDescent="0.35">
      <c r="A477" s="2">
        <f t="shared" si="7"/>
        <v>44489</v>
      </c>
      <c r="B477" t="s">
        <v>519</v>
      </c>
      <c r="C477" s="32">
        <v>44489</v>
      </c>
      <c r="D477" s="38">
        <v>233.81</v>
      </c>
      <c r="E477" s="38">
        <v>243.05</v>
      </c>
      <c r="F477" s="38">
        <v>248.68</v>
      </c>
      <c r="G477" s="38">
        <v>247.65</v>
      </c>
      <c r="H477" s="38">
        <v>223.06</v>
      </c>
      <c r="I477" s="38">
        <v>140.26</v>
      </c>
      <c r="J477" s="38">
        <v>112.28</v>
      </c>
      <c r="K477" s="38">
        <v>108.09</v>
      </c>
      <c r="L477" s="38">
        <v>109.05</v>
      </c>
      <c r="M477" s="38">
        <v>109.54</v>
      </c>
      <c r="N477" s="38">
        <v>111.84</v>
      </c>
      <c r="O477" s="38">
        <v>114.18</v>
      </c>
      <c r="P477" s="38">
        <v>116.16</v>
      </c>
      <c r="Q477" s="38">
        <v>119.94</v>
      </c>
      <c r="R477" s="38">
        <v>121.36</v>
      </c>
      <c r="S477" s="38">
        <v>120.05</v>
      </c>
      <c r="T477" s="38">
        <v>111.45</v>
      </c>
      <c r="U477" s="38">
        <v>92.16</v>
      </c>
      <c r="V477" s="38">
        <v>76.39</v>
      </c>
      <c r="W477" s="38">
        <v>68.16</v>
      </c>
      <c r="X477" s="38">
        <v>70.52</v>
      </c>
      <c r="Y477" s="38">
        <v>71.930000000000007</v>
      </c>
      <c r="Z477" s="38">
        <v>75.5</v>
      </c>
      <c r="AA477" s="38">
        <v>78.989999999999995</v>
      </c>
      <c r="AB477" s="38">
        <v>82.41</v>
      </c>
      <c r="AC477" s="38">
        <v>84.4</v>
      </c>
      <c r="AD477" s="38">
        <v>85.47</v>
      </c>
      <c r="AE477" s="38">
        <v>84.42</v>
      </c>
      <c r="AF477" s="38">
        <v>79.290000000000006</v>
      </c>
      <c r="AG477" s="38">
        <v>64.95</v>
      </c>
      <c r="AH477" s="38">
        <v>58.05</v>
      </c>
      <c r="AI477" s="38">
        <v>55.41</v>
      </c>
      <c r="AJ477" s="38">
        <v>54.4</v>
      </c>
      <c r="AK477" s="38">
        <v>54.92</v>
      </c>
      <c r="AL477" s="38">
        <v>57.09</v>
      </c>
      <c r="AM477" s="38">
        <v>63.31</v>
      </c>
      <c r="AN477" s="38">
        <v>67.319999999999993</v>
      </c>
      <c r="AO477" s="38">
        <v>68.94</v>
      </c>
      <c r="AP477" s="38">
        <v>69.650000000000006</v>
      </c>
      <c r="AQ477" s="38">
        <v>68.819999999999993</v>
      </c>
      <c r="AR477" s="38">
        <v>66.180000000000007</v>
      </c>
      <c r="AS477" s="38">
        <v>58.72</v>
      </c>
      <c r="AT477" s="38">
        <v>55.41</v>
      </c>
      <c r="AU477" s="38">
        <v>53.49</v>
      </c>
      <c r="AV477" s="38">
        <v>53.22</v>
      </c>
      <c r="AW477" s="38">
        <v>53.74</v>
      </c>
      <c r="AX477" s="38">
        <v>55.37</v>
      </c>
      <c r="AY477" s="38">
        <v>60.58</v>
      </c>
      <c r="BA477" s="37">
        <v>85.76</v>
      </c>
      <c r="BB477" s="38">
        <v>1.3815999999999999</v>
      </c>
    </row>
    <row r="478" spans="1:54" x14ac:dyDescent="0.35">
      <c r="A478" s="2">
        <f t="shared" si="7"/>
        <v>44490</v>
      </c>
      <c r="B478" t="s">
        <v>520</v>
      </c>
      <c r="C478" s="32">
        <v>44490</v>
      </c>
      <c r="D478" s="38">
        <v>221.4</v>
      </c>
      <c r="E478" s="38">
        <v>230.1</v>
      </c>
      <c r="F478" s="38">
        <v>235.9</v>
      </c>
      <c r="G478" s="38">
        <v>234.5</v>
      </c>
      <c r="H478" s="38">
        <v>211.9</v>
      </c>
      <c r="I478" s="38">
        <v>135.09</v>
      </c>
      <c r="J478" s="38">
        <v>109.24</v>
      </c>
      <c r="K478" s="38">
        <v>105.05</v>
      </c>
      <c r="L478" s="38">
        <v>104.71</v>
      </c>
      <c r="M478" s="38">
        <v>105.2</v>
      </c>
      <c r="N478" s="38">
        <v>107.5</v>
      </c>
      <c r="O478" s="38">
        <v>110.86</v>
      </c>
      <c r="P478" s="38">
        <v>112.84</v>
      </c>
      <c r="Q478" s="38">
        <v>116.62</v>
      </c>
      <c r="R478" s="38">
        <v>118.04</v>
      </c>
      <c r="S478" s="38">
        <v>116.73</v>
      </c>
      <c r="T478" s="38">
        <v>109.13</v>
      </c>
      <c r="U478" s="38">
        <v>91.13</v>
      </c>
      <c r="V478" s="38">
        <v>76.36</v>
      </c>
      <c r="W478" s="38">
        <v>68.13</v>
      </c>
      <c r="X478" s="38">
        <v>70.489999999999995</v>
      </c>
      <c r="Y478" s="38">
        <v>71.900000000000006</v>
      </c>
      <c r="Z478" s="38">
        <v>75.47</v>
      </c>
      <c r="AA478" s="38">
        <v>78.75</v>
      </c>
      <c r="AB478" s="38">
        <v>82.17</v>
      </c>
      <c r="AC478" s="38">
        <v>84.16</v>
      </c>
      <c r="AD478" s="38">
        <v>85.23</v>
      </c>
      <c r="AE478" s="38">
        <v>84.18</v>
      </c>
      <c r="AF478" s="38">
        <v>79.05</v>
      </c>
      <c r="AG478" s="38">
        <v>64.709999999999994</v>
      </c>
      <c r="AH478" s="38">
        <v>57.81</v>
      </c>
      <c r="AI478" s="38">
        <v>55.17</v>
      </c>
      <c r="AJ478" s="38">
        <v>54.16</v>
      </c>
      <c r="AK478" s="38">
        <v>54.68</v>
      </c>
      <c r="AL478" s="38">
        <v>56.85</v>
      </c>
      <c r="AM478" s="38">
        <v>62.07</v>
      </c>
      <c r="AN478" s="38">
        <v>66.08</v>
      </c>
      <c r="AO478" s="38">
        <v>67.7</v>
      </c>
      <c r="AP478" s="38">
        <v>68.41</v>
      </c>
      <c r="AQ478" s="38">
        <v>67.58</v>
      </c>
      <c r="AR478" s="38">
        <v>64.94</v>
      </c>
      <c r="AS478" s="38">
        <v>57.58</v>
      </c>
      <c r="AT478" s="38">
        <v>54.27</v>
      </c>
      <c r="AU478" s="38">
        <v>52.35</v>
      </c>
      <c r="AV478" s="38">
        <v>52.08</v>
      </c>
      <c r="AW478" s="38">
        <v>52.6</v>
      </c>
      <c r="AX478" s="38">
        <v>54.23</v>
      </c>
      <c r="AY478" s="38">
        <v>59.44</v>
      </c>
      <c r="BA478" s="37">
        <v>84.58</v>
      </c>
      <c r="BB478" s="38">
        <v>1.3821000000000001</v>
      </c>
    </row>
    <row r="479" spans="1:54" x14ac:dyDescent="0.35">
      <c r="A479" s="2">
        <f t="shared" si="7"/>
        <v>44491</v>
      </c>
      <c r="B479" t="s">
        <v>521</v>
      </c>
      <c r="C479" s="32">
        <v>44491</v>
      </c>
      <c r="D479" s="38">
        <v>219.22</v>
      </c>
      <c r="E479" s="38">
        <v>227.03</v>
      </c>
      <c r="F479" s="38">
        <v>232.05</v>
      </c>
      <c r="G479" s="38">
        <v>230.95</v>
      </c>
      <c r="H479" s="38">
        <v>208.39</v>
      </c>
      <c r="I479" s="38">
        <v>135.44</v>
      </c>
      <c r="J479" s="38">
        <v>109.59</v>
      </c>
      <c r="K479" s="38">
        <v>105.4</v>
      </c>
      <c r="L479" s="38">
        <v>105.27</v>
      </c>
      <c r="M479" s="38">
        <v>105.76</v>
      </c>
      <c r="N479" s="38">
        <v>107.77</v>
      </c>
      <c r="O479" s="38">
        <v>111.97</v>
      </c>
      <c r="P479" s="38">
        <v>113.95</v>
      </c>
      <c r="Q479" s="38">
        <v>117.73</v>
      </c>
      <c r="R479" s="38">
        <v>118.84</v>
      </c>
      <c r="S479" s="38">
        <v>117.53</v>
      </c>
      <c r="T479" s="38">
        <v>109.93</v>
      </c>
      <c r="U479" s="38">
        <v>91.63</v>
      </c>
      <c r="V479" s="38">
        <v>76.86</v>
      </c>
      <c r="W479" s="38">
        <v>68.63</v>
      </c>
      <c r="X479" s="38">
        <v>70.989999999999995</v>
      </c>
      <c r="Y479" s="38">
        <v>72.400000000000006</v>
      </c>
      <c r="Z479" s="38">
        <v>75.97</v>
      </c>
      <c r="AA479" s="38">
        <v>79.08</v>
      </c>
      <c r="AB479" s="38">
        <v>82.5</v>
      </c>
      <c r="AC479" s="38">
        <v>84.49</v>
      </c>
      <c r="AD479" s="38">
        <v>85.56</v>
      </c>
      <c r="AE479" s="38">
        <v>84.51</v>
      </c>
      <c r="AF479" s="38">
        <v>79.38</v>
      </c>
      <c r="AG479" s="38">
        <v>65.040000000000006</v>
      </c>
      <c r="AH479" s="38">
        <v>58.14</v>
      </c>
      <c r="AI479" s="38">
        <v>55.5</v>
      </c>
      <c r="AJ479" s="38">
        <v>54.49</v>
      </c>
      <c r="AK479" s="38">
        <v>55.01</v>
      </c>
      <c r="AL479" s="38">
        <v>57.18</v>
      </c>
      <c r="AM479" s="38">
        <v>62.4</v>
      </c>
      <c r="AN479" s="38">
        <v>66.41</v>
      </c>
      <c r="AO479" s="38">
        <v>68.03</v>
      </c>
      <c r="AP479" s="38">
        <v>68.739999999999995</v>
      </c>
      <c r="AQ479" s="38">
        <v>67.91</v>
      </c>
      <c r="AR479" s="38">
        <v>65.27</v>
      </c>
      <c r="AS479" s="38">
        <v>57.91</v>
      </c>
      <c r="AT479" s="38">
        <v>54.6</v>
      </c>
      <c r="AU479" s="38">
        <v>52.68</v>
      </c>
      <c r="AV479" s="38">
        <v>52.41</v>
      </c>
      <c r="AW479" s="38">
        <v>52.93</v>
      </c>
      <c r="AX479" s="38">
        <v>54.56</v>
      </c>
      <c r="AY479" s="38">
        <v>59.77</v>
      </c>
      <c r="BA479" s="37">
        <v>85.43</v>
      </c>
      <c r="BB479" s="38">
        <v>1.3772</v>
      </c>
    </row>
    <row r="480" spans="1:54" x14ac:dyDescent="0.35">
      <c r="A480" s="2">
        <f t="shared" si="7"/>
        <v>44494</v>
      </c>
      <c r="B480" t="s">
        <v>522</v>
      </c>
      <c r="C480" s="32">
        <v>44494</v>
      </c>
      <c r="D480" s="38">
        <v>223.23</v>
      </c>
      <c r="E480" s="38">
        <v>230.35</v>
      </c>
      <c r="F480" s="38">
        <v>235.53</v>
      </c>
      <c r="G480" s="38">
        <v>232.84</v>
      </c>
      <c r="H480" s="38">
        <v>209.24</v>
      </c>
      <c r="I480" s="38">
        <v>137.91999999999999</v>
      </c>
      <c r="J480" s="38">
        <v>111.62</v>
      </c>
      <c r="K480" s="38">
        <v>107.69</v>
      </c>
      <c r="L480" s="38">
        <v>108.58</v>
      </c>
      <c r="M480" s="38">
        <v>109.07</v>
      </c>
      <c r="N480" s="38">
        <v>111.08</v>
      </c>
      <c r="O480" s="38">
        <v>113.62</v>
      </c>
      <c r="P480" s="38">
        <v>115.6</v>
      </c>
      <c r="Q480" s="38">
        <v>119.38</v>
      </c>
      <c r="R480" s="38">
        <v>120.88</v>
      </c>
      <c r="S480" s="38">
        <v>119.57</v>
      </c>
      <c r="T480" s="38">
        <v>111.97</v>
      </c>
      <c r="U480" s="38">
        <v>92.39</v>
      </c>
      <c r="V480" s="38">
        <v>77.62</v>
      </c>
      <c r="W480" s="38">
        <v>69.39</v>
      </c>
      <c r="X480" s="38">
        <v>71.75</v>
      </c>
      <c r="Y480" s="38">
        <v>73.16</v>
      </c>
      <c r="Z480" s="38">
        <v>76.73</v>
      </c>
      <c r="AA480" s="38">
        <v>79.760000000000005</v>
      </c>
      <c r="AB480" s="38">
        <v>83.18</v>
      </c>
      <c r="AC480" s="38">
        <v>85.17</v>
      </c>
      <c r="AD480" s="38">
        <v>86.24</v>
      </c>
      <c r="AE480" s="38">
        <v>85.19</v>
      </c>
      <c r="AF480" s="38">
        <v>80.06</v>
      </c>
      <c r="AG480" s="38">
        <v>65.72</v>
      </c>
      <c r="AH480" s="38">
        <v>58.82</v>
      </c>
      <c r="AI480" s="38">
        <v>56.18</v>
      </c>
      <c r="AJ480" s="38">
        <v>55.17</v>
      </c>
      <c r="AK480" s="38">
        <v>55.69</v>
      </c>
      <c r="AL480" s="38">
        <v>57.86</v>
      </c>
      <c r="AM480" s="38">
        <v>63.08</v>
      </c>
      <c r="AN480" s="38">
        <v>67.09</v>
      </c>
      <c r="AO480" s="38">
        <v>68.709999999999994</v>
      </c>
      <c r="AP480" s="38">
        <v>69.42</v>
      </c>
      <c r="AQ480" s="38">
        <v>68.59</v>
      </c>
      <c r="AR480" s="38">
        <v>65.95</v>
      </c>
      <c r="AS480" s="38">
        <v>58.33</v>
      </c>
      <c r="AT480" s="38">
        <v>55.02</v>
      </c>
      <c r="AU480" s="38">
        <v>53.1</v>
      </c>
      <c r="AV480" s="38">
        <v>52.83</v>
      </c>
      <c r="AW480" s="38">
        <v>53.35</v>
      </c>
      <c r="AX480" s="38">
        <v>54.98</v>
      </c>
      <c r="AY480" s="38">
        <v>60.19</v>
      </c>
      <c r="BA480" s="37">
        <v>84.85</v>
      </c>
      <c r="BB480" s="38">
        <v>1.3771</v>
      </c>
    </row>
    <row r="481" spans="1:54" x14ac:dyDescent="0.35">
      <c r="A481" s="2">
        <f t="shared" si="7"/>
        <v>44495</v>
      </c>
      <c r="B481" t="s">
        <v>523</v>
      </c>
      <c r="C481" s="32">
        <v>44495</v>
      </c>
      <c r="D481" s="38">
        <v>221.59</v>
      </c>
      <c r="E481" s="38">
        <v>226.5</v>
      </c>
      <c r="F481" s="38">
        <v>231.2</v>
      </c>
      <c r="G481" s="38">
        <v>229.45</v>
      </c>
      <c r="H481" s="38">
        <v>206.45</v>
      </c>
      <c r="I481" s="38">
        <v>140.13</v>
      </c>
      <c r="J481" s="38">
        <v>113.02</v>
      </c>
      <c r="K481" s="38">
        <v>109.1</v>
      </c>
      <c r="L481" s="38">
        <v>109.59</v>
      </c>
      <c r="M481" s="38">
        <v>110.08</v>
      </c>
      <c r="N481" s="38">
        <v>112.09</v>
      </c>
      <c r="O481" s="38">
        <v>114.22</v>
      </c>
      <c r="P481" s="38">
        <v>116.07</v>
      </c>
      <c r="Q481" s="38">
        <v>119.72</v>
      </c>
      <c r="R481" s="38">
        <v>121.37</v>
      </c>
      <c r="S481" s="38">
        <v>120.06</v>
      </c>
      <c r="T481" s="38">
        <v>111.85</v>
      </c>
      <c r="U481" s="38">
        <v>92.41</v>
      </c>
      <c r="V481" s="38">
        <v>77.709999999999994</v>
      </c>
      <c r="W481" s="38">
        <v>69.48</v>
      </c>
      <c r="X481" s="38">
        <v>71.84</v>
      </c>
      <c r="Y481" s="38">
        <v>73.239999999999995</v>
      </c>
      <c r="Z481" s="38">
        <v>76.459999999999994</v>
      </c>
      <c r="AA481" s="38">
        <v>79.459999999999994</v>
      </c>
      <c r="AB481" s="38">
        <v>82.34</v>
      </c>
      <c r="AC481" s="38">
        <v>84.33</v>
      </c>
      <c r="AD481" s="38">
        <v>85.4</v>
      </c>
      <c r="AE481" s="38">
        <v>84.35</v>
      </c>
      <c r="AF481" s="38">
        <v>79.22</v>
      </c>
      <c r="AG481" s="38">
        <v>65.319999999999993</v>
      </c>
      <c r="AH481" s="38">
        <v>58.75</v>
      </c>
      <c r="AI481" s="38">
        <v>56.11</v>
      </c>
      <c r="AJ481" s="38">
        <v>55.1</v>
      </c>
      <c r="AK481" s="38">
        <v>55.62</v>
      </c>
      <c r="AL481" s="38">
        <v>57.79</v>
      </c>
      <c r="AM481" s="38">
        <v>62.97</v>
      </c>
      <c r="AN481" s="38">
        <v>66.98</v>
      </c>
      <c r="AO481" s="38">
        <v>68.599999999999994</v>
      </c>
      <c r="AP481" s="38">
        <v>69.31</v>
      </c>
      <c r="AQ481" s="38">
        <v>68.48</v>
      </c>
      <c r="AR481" s="38">
        <v>65.84</v>
      </c>
      <c r="AS481" s="38">
        <v>58.33</v>
      </c>
      <c r="AT481" s="38">
        <v>55.02</v>
      </c>
      <c r="AU481" s="38">
        <v>53.1</v>
      </c>
      <c r="AV481" s="38">
        <v>52.83</v>
      </c>
      <c r="AW481" s="38">
        <v>53.35</v>
      </c>
      <c r="AX481" s="38">
        <v>54.9</v>
      </c>
      <c r="AY481" s="38">
        <v>59.69</v>
      </c>
      <c r="BA481" s="37">
        <v>85.11</v>
      </c>
      <c r="BB481" s="38">
        <v>1.3784000000000001</v>
      </c>
    </row>
    <row r="482" spans="1:54" x14ac:dyDescent="0.35">
      <c r="A482" s="2">
        <f t="shared" si="7"/>
        <v>44496</v>
      </c>
      <c r="B482" t="s">
        <v>524</v>
      </c>
      <c r="C482" s="32">
        <v>44496</v>
      </c>
      <c r="D482" s="38">
        <v>218.59</v>
      </c>
      <c r="E482" s="38">
        <v>223.55</v>
      </c>
      <c r="F482" s="38">
        <v>227.49</v>
      </c>
      <c r="G482" s="38">
        <v>225.5</v>
      </c>
      <c r="H482" s="38">
        <v>197</v>
      </c>
      <c r="I482" s="38">
        <v>139.77000000000001</v>
      </c>
      <c r="J482" s="38">
        <v>113.83</v>
      </c>
      <c r="K482" s="38">
        <v>109.91</v>
      </c>
      <c r="L482" s="38">
        <v>110.38</v>
      </c>
      <c r="M482" s="38">
        <v>110.63</v>
      </c>
      <c r="N482" s="38">
        <v>111.89</v>
      </c>
      <c r="O482" s="38">
        <v>114.2</v>
      </c>
      <c r="P482" s="38">
        <v>116.38</v>
      </c>
      <c r="Q482" s="38">
        <v>120.26</v>
      </c>
      <c r="R482" s="38">
        <v>122.41</v>
      </c>
      <c r="S482" s="38">
        <v>121.02</v>
      </c>
      <c r="T482" s="38">
        <v>112.78</v>
      </c>
      <c r="U482" s="38">
        <v>91.45</v>
      </c>
      <c r="V482" s="38">
        <v>76.75</v>
      </c>
      <c r="W482" s="38">
        <v>68.52</v>
      </c>
      <c r="X482" s="38">
        <v>70.88</v>
      </c>
      <c r="Y482" s="38">
        <v>72.28</v>
      </c>
      <c r="Z482" s="38">
        <v>75.14</v>
      </c>
      <c r="AA482" s="38">
        <v>78.349999999999994</v>
      </c>
      <c r="AB482" s="38">
        <v>81.239999999999995</v>
      </c>
      <c r="AC482" s="38">
        <v>83.23</v>
      </c>
      <c r="AD482" s="38">
        <v>84.31</v>
      </c>
      <c r="AE482" s="38">
        <v>83.26</v>
      </c>
      <c r="AF482" s="38">
        <v>78.14</v>
      </c>
      <c r="AG482" s="38">
        <v>64.27</v>
      </c>
      <c r="AH482" s="38">
        <v>57.7</v>
      </c>
      <c r="AI482" s="38">
        <v>55.06</v>
      </c>
      <c r="AJ482" s="38">
        <v>54.05</v>
      </c>
      <c r="AK482" s="38">
        <v>54.57</v>
      </c>
      <c r="AL482" s="38">
        <v>57.09</v>
      </c>
      <c r="AM482" s="38">
        <v>63.17</v>
      </c>
      <c r="AN482" s="38">
        <v>67.180000000000007</v>
      </c>
      <c r="AO482" s="38">
        <v>68.8</v>
      </c>
      <c r="AP482" s="38">
        <v>69.510000000000005</v>
      </c>
      <c r="AQ482" s="38">
        <v>68.680000000000007</v>
      </c>
      <c r="AR482" s="38">
        <v>66.040000000000006</v>
      </c>
      <c r="AS482" s="38">
        <v>58.53</v>
      </c>
      <c r="AT482" s="38">
        <v>55.22</v>
      </c>
      <c r="AU482" s="38">
        <v>53.3</v>
      </c>
      <c r="AV482" s="38">
        <v>53.03</v>
      </c>
      <c r="AW482" s="38">
        <v>53.55</v>
      </c>
      <c r="AX482" s="38">
        <v>55.1</v>
      </c>
      <c r="AY482" s="38">
        <v>59.76</v>
      </c>
      <c r="BA482" s="37">
        <v>84.12</v>
      </c>
      <c r="BB482" s="38">
        <v>1.3713</v>
      </c>
    </row>
    <row r="483" spans="1:54" x14ac:dyDescent="0.35">
      <c r="A483" s="2">
        <f t="shared" si="7"/>
        <v>44497</v>
      </c>
      <c r="B483" t="s">
        <v>525</v>
      </c>
      <c r="C483" s="32">
        <v>44497</v>
      </c>
      <c r="D483" s="38">
        <v>192.09</v>
      </c>
      <c r="E483" s="38">
        <v>197.28</v>
      </c>
      <c r="F483" s="38">
        <v>201.67</v>
      </c>
      <c r="G483" s="38">
        <v>200.47</v>
      </c>
      <c r="H483" s="38">
        <v>173.55</v>
      </c>
      <c r="I483" s="38">
        <v>129.82</v>
      </c>
      <c r="J483" s="38">
        <v>107.82</v>
      </c>
      <c r="K483" s="38">
        <v>104.42</v>
      </c>
      <c r="L483" s="38">
        <v>104.26</v>
      </c>
      <c r="M483" s="38">
        <v>104.6</v>
      </c>
      <c r="N483" s="38">
        <v>106.19</v>
      </c>
      <c r="O483" s="38">
        <v>108.91</v>
      </c>
      <c r="P483" s="38">
        <v>111.12</v>
      </c>
      <c r="Q483" s="38">
        <v>115.05</v>
      </c>
      <c r="R483" s="38">
        <v>117.25</v>
      </c>
      <c r="S483" s="38">
        <v>115.91</v>
      </c>
      <c r="T483" s="38">
        <v>108.2</v>
      </c>
      <c r="U483" s="38">
        <v>88.2</v>
      </c>
      <c r="V483" s="38">
        <v>74.2</v>
      </c>
      <c r="W483" s="38">
        <v>66.069999999999993</v>
      </c>
      <c r="X483" s="38">
        <v>68.58</v>
      </c>
      <c r="Y483" s="38">
        <v>70.13</v>
      </c>
      <c r="Z483" s="38">
        <v>73.209999999999994</v>
      </c>
      <c r="AA483" s="38">
        <v>75.209999999999994</v>
      </c>
      <c r="AB483" s="38">
        <v>77.62</v>
      </c>
      <c r="AC483" s="38">
        <v>79.599999999999994</v>
      </c>
      <c r="AD483" s="38">
        <v>80.81</v>
      </c>
      <c r="AE483" s="38">
        <v>80.709999999999994</v>
      </c>
      <c r="AF483" s="38">
        <v>76.900000000000006</v>
      </c>
      <c r="AG483" s="38">
        <v>64.010000000000005</v>
      </c>
      <c r="AH483" s="38">
        <v>57.44</v>
      </c>
      <c r="AI483" s="38">
        <v>54.8</v>
      </c>
      <c r="AJ483" s="38">
        <v>53.79</v>
      </c>
      <c r="AK483" s="38">
        <v>54.31</v>
      </c>
      <c r="AL483" s="38">
        <v>56.47</v>
      </c>
      <c r="AM483" s="38">
        <v>61.94</v>
      </c>
      <c r="AN483" s="38">
        <v>65.95</v>
      </c>
      <c r="AO483" s="38">
        <v>67.569999999999993</v>
      </c>
      <c r="AP483" s="38">
        <v>68.28</v>
      </c>
      <c r="AQ483" s="38">
        <v>67.45</v>
      </c>
      <c r="AR483" s="38">
        <v>64.81</v>
      </c>
      <c r="AS483" s="38">
        <v>57.31</v>
      </c>
      <c r="AT483" s="38">
        <v>54</v>
      </c>
      <c r="AU483" s="38">
        <v>52.08</v>
      </c>
      <c r="AV483" s="38">
        <v>51.81</v>
      </c>
      <c r="AW483" s="38">
        <v>52.33</v>
      </c>
      <c r="AX483" s="38">
        <v>53.88</v>
      </c>
      <c r="AY483" s="38">
        <v>58.54</v>
      </c>
      <c r="BA483" s="37">
        <v>83.4</v>
      </c>
      <c r="BB483" s="38">
        <v>1.38</v>
      </c>
    </row>
    <row r="484" spans="1:54" x14ac:dyDescent="0.35">
      <c r="A484" s="2">
        <f t="shared" si="7"/>
        <v>44498</v>
      </c>
      <c r="B484" t="s">
        <v>526</v>
      </c>
      <c r="C484" s="32">
        <v>44498</v>
      </c>
      <c r="D484" s="38">
        <v>165.98</v>
      </c>
      <c r="E484" s="38">
        <v>170.71</v>
      </c>
      <c r="F484" s="38">
        <v>168.7</v>
      </c>
      <c r="G484" s="38">
        <v>145.63</v>
      </c>
      <c r="H484" s="38">
        <v>119.14</v>
      </c>
      <c r="I484" s="38">
        <v>100.25</v>
      </c>
      <c r="J484" s="38">
        <v>96.84</v>
      </c>
      <c r="K484" s="38">
        <v>96.64</v>
      </c>
      <c r="L484" s="38">
        <v>96.89</v>
      </c>
      <c r="M484" s="38">
        <v>98.39</v>
      </c>
      <c r="N484" s="38">
        <v>101</v>
      </c>
      <c r="O484" s="38">
        <v>103.17</v>
      </c>
      <c r="P484" s="38">
        <v>107.1</v>
      </c>
      <c r="Q484" s="38">
        <v>109.3</v>
      </c>
      <c r="R484" s="38">
        <v>107.96</v>
      </c>
      <c r="S484" s="38">
        <v>100.5</v>
      </c>
      <c r="T484" s="38">
        <v>85.64</v>
      </c>
      <c r="U484" s="38">
        <v>73.38</v>
      </c>
      <c r="V484" s="38">
        <v>65.25</v>
      </c>
      <c r="W484" s="38">
        <v>67.760000000000005</v>
      </c>
      <c r="X484" s="38">
        <v>69.31</v>
      </c>
      <c r="Y484" s="38">
        <v>72.39</v>
      </c>
      <c r="Z484" s="38">
        <v>73.86</v>
      </c>
      <c r="AA484" s="38">
        <v>76.08</v>
      </c>
      <c r="AB484" s="38">
        <v>78.06</v>
      </c>
      <c r="AC484" s="38">
        <v>79.27</v>
      </c>
      <c r="AD484" s="38">
        <v>79.17</v>
      </c>
      <c r="AE484" s="38">
        <v>75.69</v>
      </c>
      <c r="AF484" s="38">
        <v>63.11</v>
      </c>
      <c r="AG484" s="38">
        <v>57.02</v>
      </c>
      <c r="AH484" s="38">
        <v>54.38</v>
      </c>
      <c r="AI484" s="38">
        <v>53.37</v>
      </c>
      <c r="AJ484" s="38">
        <v>54.18</v>
      </c>
      <c r="AK484" s="38">
        <v>56.53</v>
      </c>
      <c r="AL484" s="38">
        <v>61.8</v>
      </c>
      <c r="AM484" s="38">
        <v>65.8</v>
      </c>
      <c r="AN484" s="38">
        <v>67.42</v>
      </c>
      <c r="AO484" s="38">
        <v>68.13</v>
      </c>
      <c r="AP484" s="38">
        <v>67.3</v>
      </c>
      <c r="AQ484" s="38">
        <v>64.66</v>
      </c>
      <c r="AR484" s="38">
        <v>57.16</v>
      </c>
      <c r="AS484" s="38">
        <v>53.85</v>
      </c>
      <c r="AT484" s="38">
        <v>51.93</v>
      </c>
      <c r="AU484" s="38">
        <v>51.66</v>
      </c>
      <c r="AV484" s="38">
        <v>52.18</v>
      </c>
      <c r="AW484" s="38">
        <v>53.73</v>
      </c>
      <c r="AX484" s="38">
        <v>58.39</v>
      </c>
      <c r="AY484" s="38">
        <v>61.52</v>
      </c>
      <c r="BA484" s="37">
        <v>83.1</v>
      </c>
      <c r="BB484" s="38">
        <v>1.3706</v>
      </c>
    </row>
    <row r="485" spans="1:54" x14ac:dyDescent="0.35">
      <c r="A485" s="2">
        <f t="shared" si="7"/>
        <v>44501</v>
      </c>
      <c r="B485" t="s">
        <v>527</v>
      </c>
      <c r="C485" s="32">
        <v>44501</v>
      </c>
      <c r="D485" s="38">
        <v>167.47</v>
      </c>
      <c r="E485" s="38">
        <v>170.65</v>
      </c>
      <c r="F485" s="38">
        <v>168.61</v>
      </c>
      <c r="G485" s="38">
        <v>148.1</v>
      </c>
      <c r="H485" s="38">
        <v>116.5</v>
      </c>
      <c r="I485" s="38">
        <v>97.61</v>
      </c>
      <c r="J485" s="38">
        <v>94.2</v>
      </c>
      <c r="K485" s="38">
        <v>94</v>
      </c>
      <c r="L485" s="38">
        <v>94.25</v>
      </c>
      <c r="M485" s="38">
        <v>95.75</v>
      </c>
      <c r="N485" s="38">
        <v>97.91</v>
      </c>
      <c r="O485" s="38">
        <v>99.89</v>
      </c>
      <c r="P485" s="38">
        <v>103.82</v>
      </c>
      <c r="Q485" s="38">
        <v>106.04</v>
      </c>
      <c r="R485" s="38">
        <v>104.7</v>
      </c>
      <c r="S485" s="38">
        <v>97.28</v>
      </c>
      <c r="T485" s="38">
        <v>85.33</v>
      </c>
      <c r="U485" s="38">
        <v>73.069999999999993</v>
      </c>
      <c r="V485" s="38">
        <v>64.94</v>
      </c>
      <c r="W485" s="38">
        <v>67.45</v>
      </c>
      <c r="X485" s="38">
        <v>69</v>
      </c>
      <c r="Y485" s="38">
        <v>72.08</v>
      </c>
      <c r="Z485" s="38">
        <v>74.27</v>
      </c>
      <c r="AA485" s="38">
        <v>76.489999999999995</v>
      </c>
      <c r="AB485" s="38">
        <v>78.47</v>
      </c>
      <c r="AC485" s="38">
        <v>79.680000000000007</v>
      </c>
      <c r="AD485" s="38">
        <v>79.58</v>
      </c>
      <c r="AE485" s="38">
        <v>76.099999999999994</v>
      </c>
      <c r="AF485" s="38">
        <v>63.38</v>
      </c>
      <c r="AG485" s="38">
        <v>57.29</v>
      </c>
      <c r="AH485" s="38">
        <v>54.65</v>
      </c>
      <c r="AI485" s="38">
        <v>53.64</v>
      </c>
      <c r="AJ485" s="38">
        <v>54.45</v>
      </c>
      <c r="AK485" s="38">
        <v>56.8</v>
      </c>
      <c r="AL485" s="38">
        <v>62.07</v>
      </c>
      <c r="AM485" s="38">
        <v>66.069999999999993</v>
      </c>
      <c r="AN485" s="38">
        <v>67.69</v>
      </c>
      <c r="AO485" s="38">
        <v>68.400000000000006</v>
      </c>
      <c r="AP485" s="38">
        <v>67.569999999999993</v>
      </c>
      <c r="AQ485" s="38">
        <v>64.930000000000007</v>
      </c>
      <c r="AR485" s="38">
        <v>57.43</v>
      </c>
      <c r="AS485" s="38">
        <v>54.12</v>
      </c>
      <c r="AT485" s="38">
        <v>52.2</v>
      </c>
      <c r="AU485" s="38">
        <v>51.93</v>
      </c>
      <c r="AV485" s="38">
        <v>52.45</v>
      </c>
      <c r="AW485" s="38">
        <v>54</v>
      </c>
      <c r="AX485" s="38">
        <v>58.66</v>
      </c>
      <c r="AY485" s="38">
        <v>61.79</v>
      </c>
      <c r="BA485" s="37">
        <v>84.51</v>
      </c>
      <c r="BB485" s="38">
        <v>1.3677999999999999</v>
      </c>
    </row>
    <row r="486" spans="1:54" x14ac:dyDescent="0.35">
      <c r="A486" s="2">
        <f t="shared" si="7"/>
        <v>44502</v>
      </c>
      <c r="B486" t="s">
        <v>528</v>
      </c>
      <c r="C486" s="32">
        <v>44502</v>
      </c>
      <c r="D486" s="38">
        <v>173.28</v>
      </c>
      <c r="E486" s="38">
        <v>175.41</v>
      </c>
      <c r="F486" s="38">
        <v>173.38</v>
      </c>
      <c r="G486" s="38">
        <v>152.78</v>
      </c>
      <c r="H486" s="38">
        <v>118.57</v>
      </c>
      <c r="I486" s="38">
        <v>101.95</v>
      </c>
      <c r="J486" s="38">
        <v>98.35</v>
      </c>
      <c r="K486" s="38">
        <v>98.05</v>
      </c>
      <c r="L486" s="38">
        <v>98.3</v>
      </c>
      <c r="M486" s="38">
        <v>99.8</v>
      </c>
      <c r="N486" s="38">
        <v>101.5</v>
      </c>
      <c r="O486" s="38">
        <v>103.47</v>
      </c>
      <c r="P486" s="38">
        <v>107.39</v>
      </c>
      <c r="Q486" s="38">
        <v>110.45</v>
      </c>
      <c r="R486" s="38">
        <v>109.11</v>
      </c>
      <c r="S486" s="38">
        <v>100.85</v>
      </c>
      <c r="T486" s="38">
        <v>86.73</v>
      </c>
      <c r="U486" s="38">
        <v>73.91</v>
      </c>
      <c r="V486" s="38">
        <v>65.78</v>
      </c>
      <c r="W486" s="38">
        <v>68.290000000000006</v>
      </c>
      <c r="X486" s="38">
        <v>69.83</v>
      </c>
      <c r="Y486" s="38">
        <v>72.91</v>
      </c>
      <c r="Z486" s="38">
        <v>75.260000000000005</v>
      </c>
      <c r="AA486" s="38">
        <v>77.55</v>
      </c>
      <c r="AB486" s="38">
        <v>79.53</v>
      </c>
      <c r="AC486" s="38">
        <v>80.739999999999995</v>
      </c>
      <c r="AD486" s="38">
        <v>80.64</v>
      </c>
      <c r="AE486" s="38">
        <v>77.16</v>
      </c>
      <c r="AF486" s="38">
        <v>64.44</v>
      </c>
      <c r="AG486" s="38">
        <v>58.35</v>
      </c>
      <c r="AH486" s="38">
        <v>55.71</v>
      </c>
      <c r="AI486" s="38">
        <v>54.7</v>
      </c>
      <c r="AJ486" s="38">
        <v>55.51</v>
      </c>
      <c r="AK486" s="38">
        <v>57.86</v>
      </c>
      <c r="AL486" s="38">
        <v>63.13</v>
      </c>
      <c r="AM486" s="38">
        <v>67.13</v>
      </c>
      <c r="AN486" s="38">
        <v>68.75</v>
      </c>
      <c r="AO486" s="38">
        <v>69.459999999999994</v>
      </c>
      <c r="AP486" s="38">
        <v>68.63</v>
      </c>
      <c r="AQ486" s="38">
        <v>65.989999999999995</v>
      </c>
      <c r="AR486" s="38">
        <v>58.9</v>
      </c>
      <c r="AS486" s="38">
        <v>55.59</v>
      </c>
      <c r="AT486" s="38">
        <v>53.67</v>
      </c>
      <c r="AU486" s="38">
        <v>53.4</v>
      </c>
      <c r="AV486" s="38">
        <v>53.92</v>
      </c>
      <c r="AW486" s="38">
        <v>55.47</v>
      </c>
      <c r="AX486" s="38">
        <v>60.13</v>
      </c>
      <c r="AY486" s="38">
        <v>63.26</v>
      </c>
      <c r="BA486" s="37">
        <v>84.42</v>
      </c>
      <c r="BB486" s="38">
        <v>1.3611</v>
      </c>
    </row>
    <row r="487" spans="1:54" x14ac:dyDescent="0.35">
      <c r="A487" s="2">
        <f t="shared" si="7"/>
        <v>44503</v>
      </c>
      <c r="B487" t="s">
        <v>529</v>
      </c>
      <c r="C487" s="32">
        <v>44503</v>
      </c>
      <c r="D487" s="38">
        <v>196.72</v>
      </c>
      <c r="E487" s="38">
        <v>198.9</v>
      </c>
      <c r="F487" s="38">
        <v>196.5</v>
      </c>
      <c r="G487" s="38">
        <v>175.81</v>
      </c>
      <c r="H487" s="38">
        <v>127.39</v>
      </c>
      <c r="I487" s="38">
        <v>104.89</v>
      </c>
      <c r="J487" s="38">
        <v>103.89</v>
      </c>
      <c r="K487" s="38">
        <v>103.43</v>
      </c>
      <c r="L487" s="38">
        <v>103.68</v>
      </c>
      <c r="M487" s="38">
        <v>105.18</v>
      </c>
      <c r="N487" s="38">
        <v>106.59</v>
      </c>
      <c r="O487" s="38">
        <v>108.47</v>
      </c>
      <c r="P487" s="38">
        <v>112.39</v>
      </c>
      <c r="Q487" s="38">
        <v>115.45</v>
      </c>
      <c r="R487" s="38">
        <v>114.11</v>
      </c>
      <c r="S487" s="38">
        <v>105.35</v>
      </c>
      <c r="T487" s="38">
        <v>87.85</v>
      </c>
      <c r="U487" s="38">
        <v>75.03</v>
      </c>
      <c r="V487" s="38">
        <v>66.900000000000006</v>
      </c>
      <c r="W487" s="38">
        <v>69.41</v>
      </c>
      <c r="X487" s="38">
        <v>70.95</v>
      </c>
      <c r="Y487" s="38">
        <v>74.03</v>
      </c>
      <c r="Z487" s="38">
        <v>76.569999999999993</v>
      </c>
      <c r="AA487" s="38">
        <v>78.86</v>
      </c>
      <c r="AB487" s="38">
        <v>80.84</v>
      </c>
      <c r="AC487" s="38">
        <v>82.05</v>
      </c>
      <c r="AD487" s="38">
        <v>81.95</v>
      </c>
      <c r="AE487" s="38">
        <v>78.47</v>
      </c>
      <c r="AF487" s="38">
        <v>65.47</v>
      </c>
      <c r="AG487" s="38">
        <v>59.38</v>
      </c>
      <c r="AH487" s="38">
        <v>56.74</v>
      </c>
      <c r="AI487" s="38">
        <v>55.73</v>
      </c>
      <c r="AJ487" s="38">
        <v>56.54</v>
      </c>
      <c r="AK487" s="38">
        <v>58.89</v>
      </c>
      <c r="AL487" s="38">
        <v>64.16</v>
      </c>
      <c r="AM487" s="38">
        <v>68.16</v>
      </c>
      <c r="AN487" s="38">
        <v>69.78</v>
      </c>
      <c r="AO487" s="38">
        <v>70.489999999999995</v>
      </c>
      <c r="AP487" s="38">
        <v>69.66</v>
      </c>
      <c r="AQ487" s="38">
        <v>67.02</v>
      </c>
      <c r="AR487" s="38">
        <v>59.52</v>
      </c>
      <c r="AS487" s="38">
        <v>56.21</v>
      </c>
      <c r="AT487" s="38">
        <v>54.29</v>
      </c>
      <c r="AU487" s="38">
        <v>54.02</v>
      </c>
      <c r="AV487" s="38">
        <v>54.54</v>
      </c>
      <c r="AW487" s="38">
        <v>56.09</v>
      </c>
      <c r="AX487" s="38">
        <v>60.75</v>
      </c>
      <c r="AY487" s="38">
        <v>63.88</v>
      </c>
      <c r="BA487" s="37">
        <v>81.099999999999994</v>
      </c>
      <c r="BB487" s="38">
        <v>1.3658999999999999</v>
      </c>
    </row>
    <row r="488" spans="1:54" x14ac:dyDescent="0.35">
      <c r="A488" s="2">
        <f t="shared" si="7"/>
        <v>44504</v>
      </c>
      <c r="B488" t="s">
        <v>530</v>
      </c>
      <c r="C488" s="32">
        <v>44504</v>
      </c>
      <c r="D488" s="38">
        <v>189.51</v>
      </c>
      <c r="E488" s="38">
        <v>191.67</v>
      </c>
      <c r="F488" s="38">
        <v>189.07</v>
      </c>
      <c r="G488" s="38">
        <v>168.49</v>
      </c>
      <c r="H488" s="38">
        <v>125.83</v>
      </c>
      <c r="I488" s="38">
        <v>104.01</v>
      </c>
      <c r="J488" s="38">
        <v>101.58</v>
      </c>
      <c r="K488" s="38">
        <v>101</v>
      </c>
      <c r="L488" s="38">
        <v>101.5</v>
      </c>
      <c r="M488" s="38">
        <v>103.25</v>
      </c>
      <c r="N488" s="38">
        <v>104.25</v>
      </c>
      <c r="O488" s="38">
        <v>106.8</v>
      </c>
      <c r="P488" s="38">
        <v>110.72</v>
      </c>
      <c r="Q488" s="38">
        <v>113.77</v>
      </c>
      <c r="R488" s="38">
        <v>112.43</v>
      </c>
      <c r="S488" s="38">
        <v>103.67</v>
      </c>
      <c r="T488" s="38">
        <v>86.4</v>
      </c>
      <c r="U488" s="38">
        <v>73.77</v>
      </c>
      <c r="V488" s="38">
        <v>65.86</v>
      </c>
      <c r="W488" s="38">
        <v>68.599999999999994</v>
      </c>
      <c r="X488" s="38">
        <v>70.14</v>
      </c>
      <c r="Y488" s="38">
        <v>73.430000000000007</v>
      </c>
      <c r="Z488" s="38">
        <v>76.319999999999993</v>
      </c>
      <c r="AA488" s="38">
        <v>78.599999999999994</v>
      </c>
      <c r="AB488" s="38">
        <v>80.58</v>
      </c>
      <c r="AC488" s="38">
        <v>81.78</v>
      </c>
      <c r="AD488" s="38">
        <v>81.67</v>
      </c>
      <c r="AE488" s="38">
        <v>78.17</v>
      </c>
      <c r="AF488" s="38">
        <v>65.36</v>
      </c>
      <c r="AG488" s="38">
        <v>59.31</v>
      </c>
      <c r="AH488" s="38">
        <v>56.76</v>
      </c>
      <c r="AI488" s="38">
        <v>55.75</v>
      </c>
      <c r="AJ488" s="38">
        <v>56.56</v>
      </c>
      <c r="AK488" s="38">
        <v>58.91</v>
      </c>
      <c r="AL488" s="38">
        <v>63.91</v>
      </c>
      <c r="AM488" s="38">
        <v>67.760000000000005</v>
      </c>
      <c r="AN488" s="38">
        <v>69.27</v>
      </c>
      <c r="AO488" s="38">
        <v>69.88</v>
      </c>
      <c r="AP488" s="38">
        <v>68.959999999999994</v>
      </c>
      <c r="AQ488" s="38">
        <v>66.319999999999993</v>
      </c>
      <c r="AR488" s="38">
        <v>58.82</v>
      </c>
      <c r="AS488" s="38">
        <v>55.51</v>
      </c>
      <c r="AT488" s="38">
        <v>53.59</v>
      </c>
      <c r="AU488" s="38">
        <v>53.32</v>
      </c>
      <c r="AV488" s="38">
        <v>53.84</v>
      </c>
      <c r="AW488" s="38">
        <v>55.39</v>
      </c>
      <c r="AX488" s="38">
        <v>60.05</v>
      </c>
      <c r="AY488" s="38">
        <v>63.18</v>
      </c>
      <c r="BA488" s="37">
        <v>80.150000000000006</v>
      </c>
      <c r="BB488" s="38">
        <v>1.3492</v>
      </c>
    </row>
    <row r="489" spans="1:54" x14ac:dyDescent="0.35">
      <c r="A489" s="2">
        <f t="shared" si="7"/>
        <v>44505</v>
      </c>
      <c r="B489" t="s">
        <v>531</v>
      </c>
      <c r="C489" s="32">
        <v>44505</v>
      </c>
      <c r="D489" s="38">
        <v>191.43</v>
      </c>
      <c r="E489" s="38">
        <v>193.99</v>
      </c>
      <c r="F489" s="38">
        <v>191.42</v>
      </c>
      <c r="G489" s="38">
        <v>170.04</v>
      </c>
      <c r="H489" s="38">
        <v>122.53</v>
      </c>
      <c r="I489" s="38">
        <v>101.39</v>
      </c>
      <c r="J489" s="38">
        <v>99.73</v>
      </c>
      <c r="K489" s="38">
        <v>98.85</v>
      </c>
      <c r="L489" s="38">
        <v>99.53</v>
      </c>
      <c r="M489" s="38">
        <v>100.75</v>
      </c>
      <c r="N489" s="38">
        <v>101.75</v>
      </c>
      <c r="O489" s="38">
        <v>104.47</v>
      </c>
      <c r="P489" s="38">
        <v>108.39</v>
      </c>
      <c r="Q489" s="38">
        <v>111.44</v>
      </c>
      <c r="R489" s="38">
        <v>110.1</v>
      </c>
      <c r="S489" s="38">
        <v>102.03</v>
      </c>
      <c r="T489" s="38">
        <v>86.02</v>
      </c>
      <c r="U489" s="38">
        <v>73.66</v>
      </c>
      <c r="V489" s="38">
        <v>65.75</v>
      </c>
      <c r="W489" s="38">
        <v>68.489999999999995</v>
      </c>
      <c r="X489" s="38">
        <v>70.03</v>
      </c>
      <c r="Y489" s="38">
        <v>73.319999999999993</v>
      </c>
      <c r="Z489" s="38">
        <v>75.81</v>
      </c>
      <c r="AA489" s="38">
        <v>78.09</v>
      </c>
      <c r="AB489" s="38">
        <v>80.069999999999993</v>
      </c>
      <c r="AC489" s="38">
        <v>81.27</v>
      </c>
      <c r="AD489" s="38">
        <v>81.16</v>
      </c>
      <c r="AE489" s="38">
        <v>77.66</v>
      </c>
      <c r="AF489" s="38">
        <v>65.260000000000005</v>
      </c>
      <c r="AG489" s="38">
        <v>59.21</v>
      </c>
      <c r="AH489" s="38">
        <v>56.66</v>
      </c>
      <c r="AI489" s="38">
        <v>55.65</v>
      </c>
      <c r="AJ489" s="38">
        <v>56.46</v>
      </c>
      <c r="AK489" s="38">
        <v>58.81</v>
      </c>
      <c r="AL489" s="38">
        <v>63.81</v>
      </c>
      <c r="AM489" s="38">
        <v>67.66</v>
      </c>
      <c r="AN489" s="38">
        <v>69.17</v>
      </c>
      <c r="AO489" s="38">
        <v>69.78</v>
      </c>
      <c r="AP489" s="38">
        <v>68.86</v>
      </c>
      <c r="AQ489" s="38">
        <v>66.16</v>
      </c>
      <c r="AR489" s="38">
        <v>58.66</v>
      </c>
      <c r="AS489" s="38">
        <v>55.35</v>
      </c>
      <c r="AT489" s="38">
        <v>53.43</v>
      </c>
      <c r="AU489" s="38">
        <v>53.16</v>
      </c>
      <c r="AV489" s="38">
        <v>53.68</v>
      </c>
      <c r="AW489" s="38">
        <v>55.23</v>
      </c>
      <c r="AX489" s="38">
        <v>59.43</v>
      </c>
      <c r="AY489" s="38">
        <v>62.56</v>
      </c>
      <c r="BA489" s="37">
        <v>82.43</v>
      </c>
      <c r="BB489" s="38">
        <v>1.3492</v>
      </c>
    </row>
    <row r="490" spans="1:54" x14ac:dyDescent="0.35">
      <c r="A490" s="2">
        <f t="shared" si="7"/>
        <v>44508</v>
      </c>
      <c r="B490" t="s">
        <v>532</v>
      </c>
      <c r="C490" s="32">
        <v>44508</v>
      </c>
      <c r="D490" s="38">
        <v>202.9</v>
      </c>
      <c r="E490" s="38">
        <v>205.62</v>
      </c>
      <c r="F490" s="38">
        <v>203.11</v>
      </c>
      <c r="G490" s="38">
        <v>182</v>
      </c>
      <c r="H490" s="38">
        <v>127</v>
      </c>
      <c r="I490" s="38">
        <v>104.69</v>
      </c>
      <c r="J490" s="38">
        <v>102.99</v>
      </c>
      <c r="K490" s="38">
        <v>102.12</v>
      </c>
      <c r="L490" s="38">
        <v>102.67</v>
      </c>
      <c r="M490" s="38">
        <v>104.16</v>
      </c>
      <c r="N490" s="38">
        <v>105.48</v>
      </c>
      <c r="O490" s="38">
        <v>108.49</v>
      </c>
      <c r="P490" s="38">
        <v>112.41</v>
      </c>
      <c r="Q490" s="38">
        <v>115.46</v>
      </c>
      <c r="R490" s="38">
        <v>114.12</v>
      </c>
      <c r="S490" s="38">
        <v>104.9</v>
      </c>
      <c r="T490" s="38">
        <v>87.69</v>
      </c>
      <c r="U490" s="38">
        <v>74.319999999999993</v>
      </c>
      <c r="V490" s="38">
        <v>66.41</v>
      </c>
      <c r="W490" s="38">
        <v>69.150000000000006</v>
      </c>
      <c r="X490" s="38">
        <v>70.69</v>
      </c>
      <c r="Y490" s="38">
        <v>73.94</v>
      </c>
      <c r="Z490" s="38">
        <v>76.41</v>
      </c>
      <c r="AA490" s="38">
        <v>78.62</v>
      </c>
      <c r="AB490" s="38">
        <v>80.599999999999994</v>
      </c>
      <c r="AC490" s="38">
        <v>81.8</v>
      </c>
      <c r="AD490" s="38">
        <v>81.69</v>
      </c>
      <c r="AE490" s="38">
        <v>78.19</v>
      </c>
      <c r="AF490" s="38">
        <v>65.790000000000006</v>
      </c>
      <c r="AG490" s="38">
        <v>59.74</v>
      </c>
      <c r="AH490" s="38">
        <v>57.19</v>
      </c>
      <c r="AI490" s="38">
        <v>56.18</v>
      </c>
      <c r="AJ490" s="38">
        <v>56.99</v>
      </c>
      <c r="AK490" s="38">
        <v>59.34</v>
      </c>
      <c r="AL490" s="38">
        <v>64.34</v>
      </c>
      <c r="AM490" s="38">
        <v>68.19</v>
      </c>
      <c r="AN490" s="38">
        <v>69.7</v>
      </c>
      <c r="AO490" s="38">
        <v>70.31</v>
      </c>
      <c r="AP490" s="38">
        <v>69.39</v>
      </c>
      <c r="AQ490" s="38">
        <v>66.69</v>
      </c>
      <c r="AR490" s="38">
        <v>59.19</v>
      </c>
      <c r="AS490" s="38">
        <v>55.88</v>
      </c>
      <c r="AT490" s="38">
        <v>53.96</v>
      </c>
      <c r="AU490" s="38">
        <v>53.69</v>
      </c>
      <c r="AV490" s="38">
        <v>54.21</v>
      </c>
      <c r="AW490" s="38">
        <v>55.49</v>
      </c>
      <c r="AX490" s="38">
        <v>59.28</v>
      </c>
      <c r="AY490" s="38">
        <v>62.41</v>
      </c>
      <c r="BA490" s="37">
        <v>83.22</v>
      </c>
      <c r="BB490" s="38">
        <v>1.3563000000000001</v>
      </c>
    </row>
    <row r="491" spans="1:54" x14ac:dyDescent="0.35">
      <c r="A491" s="2">
        <f t="shared" si="7"/>
        <v>44509</v>
      </c>
      <c r="B491" t="s">
        <v>533</v>
      </c>
      <c r="C491" s="32">
        <v>44509</v>
      </c>
      <c r="D491" s="38">
        <v>187.18</v>
      </c>
      <c r="E491" s="38">
        <v>190.42</v>
      </c>
      <c r="F491" s="38">
        <v>188.58</v>
      </c>
      <c r="G491" s="38">
        <v>167.63</v>
      </c>
      <c r="H491" s="38">
        <v>120.62</v>
      </c>
      <c r="I491" s="38">
        <v>99</v>
      </c>
      <c r="J491" s="38">
        <v>96.3</v>
      </c>
      <c r="K491" s="38">
        <v>96.4</v>
      </c>
      <c r="L491" s="38">
        <v>96.95</v>
      </c>
      <c r="M491" s="38">
        <v>98.42</v>
      </c>
      <c r="N491" s="38">
        <v>99.8</v>
      </c>
      <c r="O491" s="38">
        <v>103.37</v>
      </c>
      <c r="P491" s="38">
        <v>106.37</v>
      </c>
      <c r="Q491" s="38">
        <v>108.56</v>
      </c>
      <c r="R491" s="38">
        <v>107.49</v>
      </c>
      <c r="S491" s="38">
        <v>99.13</v>
      </c>
      <c r="T491" s="38">
        <v>84.06</v>
      </c>
      <c r="U491" s="38">
        <v>72.92</v>
      </c>
      <c r="V491" s="38">
        <v>65.17</v>
      </c>
      <c r="W491" s="38">
        <v>67.91</v>
      </c>
      <c r="X491" s="38">
        <v>69.45</v>
      </c>
      <c r="Y491" s="38">
        <v>72.7</v>
      </c>
      <c r="Z491" s="38">
        <v>75.17</v>
      </c>
      <c r="AA491" s="38">
        <v>77.38</v>
      </c>
      <c r="AB491" s="38">
        <v>79.36</v>
      </c>
      <c r="AC491" s="38">
        <v>80.56</v>
      </c>
      <c r="AD491" s="38">
        <v>80.45</v>
      </c>
      <c r="AE491" s="38">
        <v>76.95</v>
      </c>
      <c r="AF491" s="38">
        <v>64.55</v>
      </c>
      <c r="AG491" s="38">
        <v>58.5</v>
      </c>
      <c r="AH491" s="38">
        <v>55.95</v>
      </c>
      <c r="AI491" s="38">
        <v>54.94</v>
      </c>
      <c r="AJ491" s="38">
        <v>55.75</v>
      </c>
      <c r="AK491" s="38">
        <v>58.1</v>
      </c>
      <c r="AL491" s="38">
        <v>63.1</v>
      </c>
      <c r="AM491" s="38">
        <v>66.95</v>
      </c>
      <c r="AN491" s="38">
        <v>68.459999999999994</v>
      </c>
      <c r="AO491" s="38">
        <v>69.069999999999993</v>
      </c>
      <c r="AP491" s="38">
        <v>68.150000000000006</v>
      </c>
      <c r="AQ491" s="38">
        <v>65.45</v>
      </c>
      <c r="AR491" s="38">
        <v>57.95</v>
      </c>
      <c r="AS491" s="38">
        <v>54.64</v>
      </c>
      <c r="AT491" s="38">
        <v>52.72</v>
      </c>
      <c r="AU491" s="38">
        <v>52.45</v>
      </c>
      <c r="AV491" s="38">
        <v>52.97</v>
      </c>
      <c r="AW491" s="38">
        <v>54.25</v>
      </c>
      <c r="AX491" s="38">
        <v>58.04</v>
      </c>
      <c r="AY491" s="38">
        <v>61.17</v>
      </c>
      <c r="BA491" s="37">
        <v>84.52</v>
      </c>
      <c r="BB491" s="38">
        <v>1.3551</v>
      </c>
    </row>
    <row r="492" spans="1:54" x14ac:dyDescent="0.35">
      <c r="A492" s="2">
        <f t="shared" si="7"/>
        <v>44510</v>
      </c>
      <c r="B492" t="s">
        <v>534</v>
      </c>
      <c r="C492" s="32">
        <v>44510</v>
      </c>
      <c r="D492" s="38">
        <v>179.98</v>
      </c>
      <c r="E492" s="38">
        <v>183.4</v>
      </c>
      <c r="F492" s="38">
        <v>181.58</v>
      </c>
      <c r="G492" s="38">
        <v>161.03</v>
      </c>
      <c r="H492" s="38">
        <v>119.28</v>
      </c>
      <c r="I492" s="38">
        <v>100.75</v>
      </c>
      <c r="J492" s="38">
        <v>97.8</v>
      </c>
      <c r="K492" s="38">
        <v>97.29</v>
      </c>
      <c r="L492" s="38">
        <v>97.87</v>
      </c>
      <c r="M492" s="38">
        <v>99.34</v>
      </c>
      <c r="N492" s="38">
        <v>100.39</v>
      </c>
      <c r="O492" s="38">
        <v>104.27</v>
      </c>
      <c r="P492" s="38">
        <v>107.27</v>
      </c>
      <c r="Q492" s="38">
        <v>109.46</v>
      </c>
      <c r="R492" s="38">
        <v>108.39</v>
      </c>
      <c r="S492" s="38">
        <v>99.85</v>
      </c>
      <c r="T492" s="38">
        <v>84.74</v>
      </c>
      <c r="U492" s="38">
        <v>73.8</v>
      </c>
      <c r="V492" s="38">
        <v>65.959999999999994</v>
      </c>
      <c r="W492" s="38">
        <v>68.7</v>
      </c>
      <c r="X492" s="38">
        <v>70.239999999999995</v>
      </c>
      <c r="Y492" s="38">
        <v>73.239999999999995</v>
      </c>
      <c r="Z492" s="38">
        <v>75.22</v>
      </c>
      <c r="AA492" s="38">
        <v>77.08</v>
      </c>
      <c r="AB492" s="38">
        <v>78.92</v>
      </c>
      <c r="AC492" s="38">
        <v>80.12</v>
      </c>
      <c r="AD492" s="38">
        <v>80.010000000000005</v>
      </c>
      <c r="AE492" s="38">
        <v>76.510000000000005</v>
      </c>
      <c r="AF492" s="38">
        <v>64.739999999999995</v>
      </c>
      <c r="AG492" s="38">
        <v>59.19</v>
      </c>
      <c r="AH492" s="38">
        <v>56.64</v>
      </c>
      <c r="AI492" s="38">
        <v>55.63</v>
      </c>
      <c r="AJ492" s="38">
        <v>56.44</v>
      </c>
      <c r="AK492" s="38">
        <v>58.79</v>
      </c>
      <c r="AL492" s="38">
        <v>64</v>
      </c>
      <c r="AM492" s="38">
        <v>68</v>
      </c>
      <c r="AN492" s="38">
        <v>69.510000000000005</v>
      </c>
      <c r="AO492" s="38">
        <v>70.12</v>
      </c>
      <c r="AP492" s="38">
        <v>69.2</v>
      </c>
      <c r="AQ492" s="38">
        <v>66.5</v>
      </c>
      <c r="AR492" s="38">
        <v>59</v>
      </c>
      <c r="AS492" s="38">
        <v>55.69</v>
      </c>
      <c r="AT492" s="38">
        <v>53.77</v>
      </c>
      <c r="AU492" s="38">
        <v>53.5</v>
      </c>
      <c r="AV492" s="38">
        <v>54.02</v>
      </c>
      <c r="AW492" s="38">
        <v>55.3</v>
      </c>
      <c r="AX492" s="38">
        <v>59.09</v>
      </c>
      <c r="AY492" s="38">
        <v>62.22</v>
      </c>
      <c r="BA492" s="37">
        <v>82.91</v>
      </c>
      <c r="BB492" s="38">
        <v>1.3474999999999999</v>
      </c>
    </row>
    <row r="493" spans="1:54" x14ac:dyDescent="0.35">
      <c r="A493" s="2">
        <f t="shared" si="7"/>
        <v>44511</v>
      </c>
      <c r="B493" t="s">
        <v>535</v>
      </c>
      <c r="C493" s="32">
        <v>44511</v>
      </c>
      <c r="D493" s="38">
        <v>193.33</v>
      </c>
      <c r="E493" s="38">
        <v>197.26</v>
      </c>
      <c r="F493" s="38">
        <v>196</v>
      </c>
      <c r="G493" s="38">
        <v>174.81</v>
      </c>
      <c r="H493" s="38">
        <v>120.8</v>
      </c>
      <c r="I493" s="38">
        <v>102.27</v>
      </c>
      <c r="J493" s="38">
        <v>99.32</v>
      </c>
      <c r="K493" s="38">
        <v>98.28</v>
      </c>
      <c r="L493" s="38">
        <v>98.86</v>
      </c>
      <c r="M493" s="38">
        <v>99.95</v>
      </c>
      <c r="N493" s="38">
        <v>101</v>
      </c>
      <c r="O493" s="38">
        <v>105.23</v>
      </c>
      <c r="P493" s="38">
        <v>108.23</v>
      </c>
      <c r="Q493" s="38">
        <v>110.42</v>
      </c>
      <c r="R493" s="38">
        <v>109.35</v>
      </c>
      <c r="S493" s="38">
        <v>100.58</v>
      </c>
      <c r="T493" s="38">
        <v>85.01</v>
      </c>
      <c r="U493" s="38">
        <v>73.62</v>
      </c>
      <c r="V493" s="38">
        <v>65.489999999999995</v>
      </c>
      <c r="W493" s="38">
        <v>68.23</v>
      </c>
      <c r="X493" s="38">
        <v>69.77</v>
      </c>
      <c r="Y493" s="38">
        <v>72.77</v>
      </c>
      <c r="Z493" s="38">
        <v>74.75</v>
      </c>
      <c r="AA493" s="38">
        <v>76.61</v>
      </c>
      <c r="AB493" s="38">
        <v>78.45</v>
      </c>
      <c r="AC493" s="38">
        <v>79.650000000000006</v>
      </c>
      <c r="AD493" s="38">
        <v>79.540000000000006</v>
      </c>
      <c r="AE493" s="38">
        <v>76.040000000000006</v>
      </c>
      <c r="AF493" s="38">
        <v>64.27</v>
      </c>
      <c r="AG493" s="38">
        <v>58.72</v>
      </c>
      <c r="AH493" s="38">
        <v>56.17</v>
      </c>
      <c r="AI493" s="38">
        <v>55.16</v>
      </c>
      <c r="AJ493" s="38">
        <v>55.97</v>
      </c>
      <c r="AK493" s="38">
        <v>58.14</v>
      </c>
      <c r="AL493" s="38">
        <v>63.06</v>
      </c>
      <c r="AM493" s="38">
        <v>66.819999999999993</v>
      </c>
      <c r="AN493" s="38">
        <v>68.33</v>
      </c>
      <c r="AO493" s="38">
        <v>68.94</v>
      </c>
      <c r="AP493" s="38">
        <v>68.02</v>
      </c>
      <c r="AQ493" s="38">
        <v>65.319999999999993</v>
      </c>
      <c r="AR493" s="38">
        <v>57.82</v>
      </c>
      <c r="AS493" s="38">
        <v>54.51</v>
      </c>
      <c r="AT493" s="38">
        <v>52.59</v>
      </c>
      <c r="AU493" s="38">
        <v>52.32</v>
      </c>
      <c r="AV493" s="38">
        <v>52.84</v>
      </c>
      <c r="AW493" s="38">
        <v>54.12</v>
      </c>
      <c r="AX493" s="38">
        <v>57.91</v>
      </c>
      <c r="AY493" s="38">
        <v>61.04</v>
      </c>
      <c r="BA493" s="37">
        <v>83.4</v>
      </c>
      <c r="BB493" s="38">
        <v>1.3391999999999999</v>
      </c>
    </row>
    <row r="494" spans="1:54" x14ac:dyDescent="0.35">
      <c r="A494" s="2">
        <f t="shared" si="7"/>
        <v>44512</v>
      </c>
      <c r="B494" t="s">
        <v>536</v>
      </c>
      <c r="C494" s="32">
        <v>44512</v>
      </c>
      <c r="D494" s="38">
        <v>194.05</v>
      </c>
      <c r="E494" s="38">
        <v>198.35</v>
      </c>
      <c r="F494" s="38">
        <v>196.85</v>
      </c>
      <c r="G494" s="38">
        <v>176.75</v>
      </c>
      <c r="H494" s="38">
        <v>120</v>
      </c>
      <c r="I494" s="38">
        <v>102.05</v>
      </c>
      <c r="J494" s="38">
        <v>99.12</v>
      </c>
      <c r="K494" s="38">
        <v>98.13</v>
      </c>
      <c r="L494" s="38">
        <v>98.71</v>
      </c>
      <c r="M494" s="38">
        <v>99.8</v>
      </c>
      <c r="N494" s="38">
        <v>100.99</v>
      </c>
      <c r="O494" s="38">
        <v>104.94</v>
      </c>
      <c r="P494" s="38">
        <v>107.94</v>
      </c>
      <c r="Q494" s="38">
        <v>110.13</v>
      </c>
      <c r="R494" s="38">
        <v>109.06</v>
      </c>
      <c r="S494" s="38">
        <v>100.29</v>
      </c>
      <c r="T494" s="38">
        <v>85.06</v>
      </c>
      <c r="U494" s="38">
        <v>73.67</v>
      </c>
      <c r="V494" s="38">
        <v>65.540000000000006</v>
      </c>
      <c r="W494" s="38">
        <v>68.28</v>
      </c>
      <c r="X494" s="38">
        <v>69.819999999999993</v>
      </c>
      <c r="Y494" s="38">
        <v>72.819999999999993</v>
      </c>
      <c r="Z494" s="38">
        <v>75.62</v>
      </c>
      <c r="AA494" s="38">
        <v>77.72</v>
      </c>
      <c r="AB494" s="38">
        <v>79.56</v>
      </c>
      <c r="AC494" s="38">
        <v>80.760000000000005</v>
      </c>
      <c r="AD494" s="38">
        <v>80.650000000000006</v>
      </c>
      <c r="AE494" s="38">
        <v>77.150000000000006</v>
      </c>
      <c r="AF494" s="38">
        <v>65.03</v>
      </c>
      <c r="AG494" s="38">
        <v>59.48</v>
      </c>
      <c r="AH494" s="38">
        <v>56.93</v>
      </c>
      <c r="AI494" s="38">
        <v>55.92</v>
      </c>
      <c r="AJ494" s="38">
        <v>56.73</v>
      </c>
      <c r="AK494" s="38">
        <v>58.9</v>
      </c>
      <c r="AL494" s="38">
        <v>63.82</v>
      </c>
      <c r="AM494" s="38">
        <v>67.58</v>
      </c>
      <c r="AN494" s="38">
        <v>69.09</v>
      </c>
      <c r="AO494" s="38">
        <v>69.7</v>
      </c>
      <c r="AP494" s="38">
        <v>68.78</v>
      </c>
      <c r="AQ494" s="38">
        <v>66.08</v>
      </c>
      <c r="AR494" s="38">
        <v>59.17</v>
      </c>
      <c r="AS494" s="38">
        <v>55.86</v>
      </c>
      <c r="AT494" s="38">
        <v>53.94</v>
      </c>
      <c r="AU494" s="38">
        <v>53.67</v>
      </c>
      <c r="AV494" s="38">
        <v>54.19</v>
      </c>
      <c r="AW494" s="38">
        <v>55.47</v>
      </c>
      <c r="AX494" s="38">
        <v>59.06</v>
      </c>
      <c r="AY494" s="38">
        <v>62.19</v>
      </c>
      <c r="BA494" s="37">
        <v>82.9</v>
      </c>
      <c r="BB494" s="38">
        <v>1.3393999999999999</v>
      </c>
    </row>
    <row r="495" spans="1:54" x14ac:dyDescent="0.35">
      <c r="A495" s="2">
        <f t="shared" si="7"/>
        <v>44515</v>
      </c>
      <c r="B495" t="s">
        <v>537</v>
      </c>
      <c r="C495" s="32">
        <v>44515</v>
      </c>
      <c r="D495" s="38">
        <v>204.79</v>
      </c>
      <c r="E495" s="38">
        <v>209.32</v>
      </c>
      <c r="F495" s="38">
        <v>207.32</v>
      </c>
      <c r="G495" s="38">
        <v>186.28</v>
      </c>
      <c r="H495" s="38">
        <v>122.5</v>
      </c>
      <c r="I495" s="38">
        <v>102.84</v>
      </c>
      <c r="J495" s="38">
        <v>99.81</v>
      </c>
      <c r="K495" s="38">
        <v>99.13</v>
      </c>
      <c r="L495" s="38">
        <v>99.71</v>
      </c>
      <c r="M495" s="38">
        <v>100.84</v>
      </c>
      <c r="N495" s="38">
        <v>101.85</v>
      </c>
      <c r="O495" s="38">
        <v>105.8</v>
      </c>
      <c r="P495" s="38">
        <v>108.8</v>
      </c>
      <c r="Q495" s="38">
        <v>111.73</v>
      </c>
      <c r="R495" s="38">
        <v>110.66</v>
      </c>
      <c r="S495" s="38">
        <v>101.89</v>
      </c>
      <c r="T495" s="38">
        <v>86.2</v>
      </c>
      <c r="U495" s="38">
        <v>74.64</v>
      </c>
      <c r="V495" s="38">
        <v>66.510000000000005</v>
      </c>
      <c r="W495" s="38">
        <v>69.25</v>
      </c>
      <c r="X495" s="38">
        <v>70.790000000000006</v>
      </c>
      <c r="Y495" s="38">
        <v>73.8</v>
      </c>
      <c r="Z495" s="38">
        <v>76.27</v>
      </c>
      <c r="AA495" s="38">
        <v>78.37</v>
      </c>
      <c r="AB495" s="38">
        <v>80.209999999999994</v>
      </c>
      <c r="AC495" s="38">
        <v>81.41</v>
      </c>
      <c r="AD495" s="38">
        <v>81.3</v>
      </c>
      <c r="AE495" s="38">
        <v>77.8</v>
      </c>
      <c r="AF495" s="38">
        <v>65.42</v>
      </c>
      <c r="AG495" s="38">
        <v>59.89</v>
      </c>
      <c r="AH495" s="38">
        <v>57.35</v>
      </c>
      <c r="AI495" s="38">
        <v>56.34</v>
      </c>
      <c r="AJ495" s="38">
        <v>57.15</v>
      </c>
      <c r="AK495" s="38">
        <v>59.28</v>
      </c>
      <c r="AL495" s="38">
        <v>64.16</v>
      </c>
      <c r="AM495" s="38">
        <v>67.92</v>
      </c>
      <c r="AN495" s="38">
        <v>69.430000000000007</v>
      </c>
      <c r="AO495" s="38">
        <v>70.040000000000006</v>
      </c>
      <c r="AP495" s="38">
        <v>69.12</v>
      </c>
      <c r="AQ495" s="38">
        <v>66.42</v>
      </c>
      <c r="AR495" s="38">
        <v>59.51</v>
      </c>
      <c r="AS495" s="38">
        <v>56.2</v>
      </c>
      <c r="AT495" s="38">
        <v>54.28</v>
      </c>
      <c r="AU495" s="38">
        <v>54.01</v>
      </c>
      <c r="AV495" s="38">
        <v>54.53</v>
      </c>
      <c r="AW495" s="38">
        <v>55.81</v>
      </c>
      <c r="AX495" s="38">
        <v>59.4</v>
      </c>
      <c r="AY495" s="38">
        <v>62.53</v>
      </c>
      <c r="BA495" s="37">
        <v>81.94</v>
      </c>
      <c r="BB495" s="38">
        <v>1.3431</v>
      </c>
    </row>
    <row r="496" spans="1:54" x14ac:dyDescent="0.35">
      <c r="A496" s="2">
        <f t="shared" si="7"/>
        <v>44516</v>
      </c>
      <c r="B496" t="s">
        <v>538</v>
      </c>
      <c r="C496" s="32">
        <v>44516</v>
      </c>
      <c r="D496" s="38">
        <v>239.91</v>
      </c>
      <c r="E496" s="38">
        <v>244.97</v>
      </c>
      <c r="F496" s="38">
        <v>243.35</v>
      </c>
      <c r="G496" s="38">
        <v>217.35</v>
      </c>
      <c r="H496" s="38">
        <v>130.68</v>
      </c>
      <c r="I496" s="38">
        <v>108.11</v>
      </c>
      <c r="J496" s="38">
        <v>105.08</v>
      </c>
      <c r="K496" s="38">
        <v>105.92</v>
      </c>
      <c r="L496" s="38">
        <v>106.23</v>
      </c>
      <c r="M496" s="38">
        <v>107.62</v>
      </c>
      <c r="N496" s="38">
        <v>109.03</v>
      </c>
      <c r="O496" s="38">
        <v>112.97</v>
      </c>
      <c r="P496" s="38">
        <v>115.97</v>
      </c>
      <c r="Q496" s="38">
        <v>118.29</v>
      </c>
      <c r="R496" s="38">
        <v>117.22</v>
      </c>
      <c r="S496" s="38">
        <v>108.45</v>
      </c>
      <c r="T496" s="38">
        <v>89.95</v>
      </c>
      <c r="U496" s="38">
        <v>76.28</v>
      </c>
      <c r="V496" s="38">
        <v>68.150000000000006</v>
      </c>
      <c r="W496" s="38">
        <v>70.89</v>
      </c>
      <c r="X496" s="38">
        <v>72.430000000000007</v>
      </c>
      <c r="Y496" s="38">
        <v>75.41</v>
      </c>
      <c r="Z496" s="38">
        <v>77.81</v>
      </c>
      <c r="AA496" s="38">
        <v>79.86</v>
      </c>
      <c r="AB496" s="38">
        <v>81.650000000000006</v>
      </c>
      <c r="AC496" s="38">
        <v>82.85</v>
      </c>
      <c r="AD496" s="38">
        <v>82.74</v>
      </c>
      <c r="AE496" s="38">
        <v>79.239999999999995</v>
      </c>
      <c r="AF496" s="38">
        <v>65.97</v>
      </c>
      <c r="AG496" s="38">
        <v>60.44</v>
      </c>
      <c r="AH496" s="38">
        <v>57.9</v>
      </c>
      <c r="AI496" s="38">
        <v>56.89</v>
      </c>
      <c r="AJ496" s="38">
        <v>57.7</v>
      </c>
      <c r="AK496" s="38">
        <v>59.61</v>
      </c>
      <c r="AL496" s="38">
        <v>64.5</v>
      </c>
      <c r="AM496" s="38">
        <v>68.260000000000005</v>
      </c>
      <c r="AN496" s="38">
        <v>69.77</v>
      </c>
      <c r="AO496" s="38">
        <v>70.38</v>
      </c>
      <c r="AP496" s="38">
        <v>69.459999999999994</v>
      </c>
      <c r="AQ496" s="38">
        <v>66.760000000000005</v>
      </c>
      <c r="AR496" s="38">
        <v>59.85</v>
      </c>
      <c r="AS496" s="38">
        <v>56.54</v>
      </c>
      <c r="AT496" s="38">
        <v>54.62</v>
      </c>
      <c r="AU496" s="38">
        <v>54.35</v>
      </c>
      <c r="AV496" s="38">
        <v>54.87</v>
      </c>
      <c r="AW496" s="38">
        <v>56.15</v>
      </c>
      <c r="AX496" s="38">
        <v>59.74</v>
      </c>
      <c r="AY496" s="38">
        <v>62.87</v>
      </c>
      <c r="BA496" s="37">
        <v>82.85</v>
      </c>
      <c r="BB496" s="38">
        <v>1.3421000000000001</v>
      </c>
    </row>
    <row r="497" spans="1:54" x14ac:dyDescent="0.35">
      <c r="A497" s="2">
        <f t="shared" si="7"/>
        <v>44517</v>
      </c>
      <c r="B497" t="s">
        <v>539</v>
      </c>
      <c r="C497" s="32">
        <v>44517</v>
      </c>
      <c r="D497" s="38">
        <v>239.01</v>
      </c>
      <c r="E497" s="38">
        <v>244.75</v>
      </c>
      <c r="F497" s="38">
        <v>243.21</v>
      </c>
      <c r="G497" s="38">
        <v>214.21</v>
      </c>
      <c r="H497" s="38">
        <v>129</v>
      </c>
      <c r="I497" s="38">
        <v>107</v>
      </c>
      <c r="J497" s="38">
        <v>104.06</v>
      </c>
      <c r="K497" s="38">
        <v>104.25</v>
      </c>
      <c r="L497" s="38">
        <v>104.65</v>
      </c>
      <c r="M497" s="38">
        <v>106</v>
      </c>
      <c r="N497" s="38">
        <v>106.96</v>
      </c>
      <c r="O497" s="38">
        <v>110.9</v>
      </c>
      <c r="P497" s="38">
        <v>113.9</v>
      </c>
      <c r="Q497" s="38">
        <v>116.36</v>
      </c>
      <c r="R497" s="38">
        <v>115.29</v>
      </c>
      <c r="S497" s="38">
        <v>106.52</v>
      </c>
      <c r="T497" s="38">
        <v>89.49</v>
      </c>
      <c r="U497" s="38">
        <v>76.66</v>
      </c>
      <c r="V497" s="38">
        <v>68.53</v>
      </c>
      <c r="W497" s="38">
        <v>71.27</v>
      </c>
      <c r="X497" s="38">
        <v>72.81</v>
      </c>
      <c r="Y497" s="38">
        <v>75.3</v>
      </c>
      <c r="Z497" s="38">
        <v>78.34</v>
      </c>
      <c r="AA497" s="38">
        <v>80.540000000000006</v>
      </c>
      <c r="AB497" s="38">
        <v>82.33</v>
      </c>
      <c r="AC497" s="38">
        <v>83.53</v>
      </c>
      <c r="AD497" s="38">
        <v>83.42</v>
      </c>
      <c r="AE497" s="38">
        <v>80.33</v>
      </c>
      <c r="AF497" s="38">
        <v>66.61</v>
      </c>
      <c r="AG497" s="38">
        <v>61.08</v>
      </c>
      <c r="AH497" s="38">
        <v>58.54</v>
      </c>
      <c r="AI497" s="38">
        <v>57.53</v>
      </c>
      <c r="AJ497" s="38">
        <v>58.34</v>
      </c>
      <c r="AK497" s="38">
        <v>60.25</v>
      </c>
      <c r="AL497" s="38">
        <v>64.94</v>
      </c>
      <c r="AM497" s="38">
        <v>68.62</v>
      </c>
      <c r="AN497" s="38">
        <v>70.13</v>
      </c>
      <c r="AO497" s="38">
        <v>70.739999999999995</v>
      </c>
      <c r="AP497" s="38">
        <v>69.819999999999993</v>
      </c>
      <c r="AQ497" s="38">
        <v>67.12</v>
      </c>
      <c r="AR497" s="38">
        <v>60.21</v>
      </c>
      <c r="AS497" s="38">
        <v>56.9</v>
      </c>
      <c r="AT497" s="38">
        <v>54.98</v>
      </c>
      <c r="AU497" s="38">
        <v>54.71</v>
      </c>
      <c r="AV497" s="38">
        <v>55.23</v>
      </c>
      <c r="AW497" s="38">
        <v>56.51</v>
      </c>
      <c r="AX497" s="38">
        <v>60.1</v>
      </c>
      <c r="AY497" s="38">
        <v>63.23</v>
      </c>
      <c r="BA497" s="37">
        <v>80.67</v>
      </c>
      <c r="BB497" s="38">
        <v>1.3465</v>
      </c>
    </row>
    <row r="498" spans="1:54" x14ac:dyDescent="0.35">
      <c r="A498" s="2">
        <f t="shared" si="7"/>
        <v>44518</v>
      </c>
      <c r="B498" t="s">
        <v>540</v>
      </c>
      <c r="C498" s="32">
        <v>44518</v>
      </c>
      <c r="D498" s="38">
        <v>239.8</v>
      </c>
      <c r="E498" s="38">
        <v>246.34</v>
      </c>
      <c r="F498" s="38">
        <v>245.36</v>
      </c>
      <c r="G498" s="38">
        <v>215.36</v>
      </c>
      <c r="H498" s="38">
        <v>131.65</v>
      </c>
      <c r="I498" s="38">
        <v>110.6</v>
      </c>
      <c r="J498" s="38">
        <v>107.62</v>
      </c>
      <c r="K498" s="38">
        <v>107.6</v>
      </c>
      <c r="L498" s="38">
        <v>107.88</v>
      </c>
      <c r="M498" s="38">
        <v>109.11</v>
      </c>
      <c r="N498" s="38">
        <v>110.08</v>
      </c>
      <c r="O498" s="38">
        <v>114.03</v>
      </c>
      <c r="P498" s="38">
        <v>117.2</v>
      </c>
      <c r="Q498" s="38">
        <v>120.06</v>
      </c>
      <c r="R498" s="38">
        <v>118.99</v>
      </c>
      <c r="S498" s="38">
        <v>110.23</v>
      </c>
      <c r="T498" s="38">
        <v>90.95</v>
      </c>
      <c r="U498" s="38">
        <v>77.489999999999995</v>
      </c>
      <c r="V498" s="38">
        <v>69.36</v>
      </c>
      <c r="W498" s="38">
        <v>72.099999999999994</v>
      </c>
      <c r="X498" s="38">
        <v>73.64</v>
      </c>
      <c r="Y498" s="38">
        <v>76.13</v>
      </c>
      <c r="Z498" s="38">
        <v>78.13</v>
      </c>
      <c r="AA498" s="38">
        <v>80.33</v>
      </c>
      <c r="AB498" s="38">
        <v>82.12</v>
      </c>
      <c r="AC498" s="38">
        <v>83.32</v>
      </c>
      <c r="AD498" s="38">
        <v>83.21</v>
      </c>
      <c r="AE498" s="38">
        <v>79.77</v>
      </c>
      <c r="AF498" s="38">
        <v>65.849999999999994</v>
      </c>
      <c r="AG498" s="38">
        <v>60.32</v>
      </c>
      <c r="AH498" s="38">
        <v>57.78</v>
      </c>
      <c r="AI498" s="38">
        <v>56.77</v>
      </c>
      <c r="AJ498" s="38">
        <v>57.58</v>
      </c>
      <c r="AK498" s="38">
        <v>59.49</v>
      </c>
      <c r="AL498" s="38">
        <v>64.180000000000007</v>
      </c>
      <c r="AM498" s="38">
        <v>67.86</v>
      </c>
      <c r="AN498" s="38">
        <v>69.37</v>
      </c>
      <c r="AO498" s="38">
        <v>69.98</v>
      </c>
      <c r="AP498" s="38">
        <v>69.06</v>
      </c>
      <c r="AQ498" s="38">
        <v>66.36</v>
      </c>
      <c r="AR498" s="38">
        <v>58.85</v>
      </c>
      <c r="AS498" s="38">
        <v>55.54</v>
      </c>
      <c r="AT498" s="38">
        <v>53.62</v>
      </c>
      <c r="AU498" s="38">
        <v>53.35</v>
      </c>
      <c r="AV498" s="38">
        <v>53.87</v>
      </c>
      <c r="AW498" s="38">
        <v>55.15</v>
      </c>
      <c r="AX498" s="38">
        <v>58.74</v>
      </c>
      <c r="AY498" s="38">
        <v>61.87</v>
      </c>
      <c r="BA498" s="37">
        <v>82.45</v>
      </c>
      <c r="BB498" s="38">
        <v>1.3476999999999999</v>
      </c>
    </row>
    <row r="499" spans="1:54" x14ac:dyDescent="0.35">
      <c r="A499" s="2">
        <f t="shared" si="7"/>
        <v>44519</v>
      </c>
      <c r="B499" t="s">
        <v>541</v>
      </c>
      <c r="C499" s="32">
        <v>44519</v>
      </c>
      <c r="D499" s="38">
        <v>219.51</v>
      </c>
      <c r="E499" s="38">
        <v>226.3</v>
      </c>
      <c r="F499" s="38">
        <v>225.78</v>
      </c>
      <c r="G499" s="38">
        <v>195.82</v>
      </c>
      <c r="H499" s="38">
        <v>126.19</v>
      </c>
      <c r="I499" s="38">
        <v>105.83</v>
      </c>
      <c r="J499" s="38">
        <v>102.92</v>
      </c>
      <c r="K499" s="38">
        <v>102.9</v>
      </c>
      <c r="L499" s="38">
        <v>103.18</v>
      </c>
      <c r="M499" s="38">
        <v>104.02</v>
      </c>
      <c r="N499" s="38">
        <v>105.27</v>
      </c>
      <c r="O499" s="38">
        <v>109.24</v>
      </c>
      <c r="P499" s="38">
        <v>112.41</v>
      </c>
      <c r="Q499" s="38">
        <v>114.93</v>
      </c>
      <c r="R499" s="38">
        <v>113.86</v>
      </c>
      <c r="S499" s="38">
        <v>105.25</v>
      </c>
      <c r="T499" s="38">
        <v>88.55</v>
      </c>
      <c r="U499" s="38">
        <v>75.34</v>
      </c>
      <c r="V499" s="38">
        <v>67.209999999999994</v>
      </c>
      <c r="W499" s="38">
        <v>69.95</v>
      </c>
      <c r="X499" s="38">
        <v>71.489999999999995</v>
      </c>
      <c r="Y499" s="38">
        <v>73.98</v>
      </c>
      <c r="Z499" s="38">
        <v>76.98</v>
      </c>
      <c r="AA499" s="38">
        <v>79.180000000000007</v>
      </c>
      <c r="AB499" s="38">
        <v>80.97</v>
      </c>
      <c r="AC499" s="38">
        <v>82.17</v>
      </c>
      <c r="AD499" s="38">
        <v>82.06</v>
      </c>
      <c r="AE499" s="38">
        <v>78.62</v>
      </c>
      <c r="AF499" s="38">
        <v>65.290000000000006</v>
      </c>
      <c r="AG499" s="38">
        <v>59.76</v>
      </c>
      <c r="AH499" s="38">
        <v>57.22</v>
      </c>
      <c r="AI499" s="38">
        <v>56.21</v>
      </c>
      <c r="AJ499" s="38">
        <v>57.02</v>
      </c>
      <c r="AK499" s="38">
        <v>58.93</v>
      </c>
      <c r="AL499" s="38">
        <v>63.62</v>
      </c>
      <c r="AM499" s="38">
        <v>67.3</v>
      </c>
      <c r="AN499" s="38">
        <v>68.81</v>
      </c>
      <c r="AO499" s="38">
        <v>69.42</v>
      </c>
      <c r="AP499" s="38">
        <v>68.5</v>
      </c>
      <c r="AQ499" s="38">
        <v>65.8</v>
      </c>
      <c r="AR499" s="38">
        <v>58.29</v>
      </c>
      <c r="AS499" s="38">
        <v>54.98</v>
      </c>
      <c r="AT499" s="38">
        <v>53.06</v>
      </c>
      <c r="AU499" s="38">
        <v>52.79</v>
      </c>
      <c r="AV499" s="38">
        <v>53.31</v>
      </c>
      <c r="AW499" s="38">
        <v>54.59</v>
      </c>
      <c r="AX499" s="38">
        <v>58.18</v>
      </c>
      <c r="AY499" s="38">
        <v>61.31</v>
      </c>
      <c r="BA499" s="37">
        <v>80.239999999999995</v>
      </c>
      <c r="BB499" s="38">
        <v>1.3462000000000001</v>
      </c>
    </row>
    <row r="500" spans="1:54" x14ac:dyDescent="0.35">
      <c r="A500" s="2">
        <f t="shared" si="7"/>
        <v>44522</v>
      </c>
      <c r="B500" t="s">
        <v>542</v>
      </c>
      <c r="C500" s="32">
        <v>44522</v>
      </c>
      <c r="D500" s="38">
        <v>211.17</v>
      </c>
      <c r="E500" s="38">
        <v>217.72</v>
      </c>
      <c r="F500" s="38">
        <v>217.59</v>
      </c>
      <c r="G500" s="38">
        <v>192.22</v>
      </c>
      <c r="H500" s="38">
        <v>122.02</v>
      </c>
      <c r="I500" s="38">
        <v>105.01</v>
      </c>
      <c r="J500" s="38">
        <v>102.1</v>
      </c>
      <c r="K500" s="38">
        <v>102.1</v>
      </c>
      <c r="L500" s="38">
        <v>101.11</v>
      </c>
      <c r="M500" s="38">
        <v>102.38</v>
      </c>
      <c r="N500" s="38">
        <v>103.66</v>
      </c>
      <c r="O500" s="38">
        <v>107.81</v>
      </c>
      <c r="P500" s="38">
        <v>110.98</v>
      </c>
      <c r="Q500" s="38">
        <v>113.21</v>
      </c>
      <c r="R500" s="38">
        <v>112.14</v>
      </c>
      <c r="S500" s="38">
        <v>103.53</v>
      </c>
      <c r="T500" s="38">
        <v>86.84</v>
      </c>
      <c r="U500" s="38">
        <v>73.63</v>
      </c>
      <c r="V500" s="38">
        <v>65.5</v>
      </c>
      <c r="W500" s="38">
        <v>68.239999999999995</v>
      </c>
      <c r="X500" s="38">
        <v>69.78</v>
      </c>
      <c r="Y500" s="38">
        <v>72.27</v>
      </c>
      <c r="Z500" s="38">
        <v>75.27</v>
      </c>
      <c r="AA500" s="38">
        <v>77.47</v>
      </c>
      <c r="AB500" s="38">
        <v>79.260000000000005</v>
      </c>
      <c r="AC500" s="38">
        <v>80.459999999999994</v>
      </c>
      <c r="AD500" s="38">
        <v>80.349999999999994</v>
      </c>
      <c r="AE500" s="38">
        <v>76.91</v>
      </c>
      <c r="AF500" s="38">
        <v>64.430000000000007</v>
      </c>
      <c r="AG500" s="38">
        <v>58.9</v>
      </c>
      <c r="AH500" s="38">
        <v>56.36</v>
      </c>
      <c r="AI500" s="38">
        <v>55.35</v>
      </c>
      <c r="AJ500" s="38">
        <v>56.16</v>
      </c>
      <c r="AK500" s="38">
        <v>58.07</v>
      </c>
      <c r="AL500" s="38">
        <v>62.57</v>
      </c>
      <c r="AM500" s="38">
        <v>66.239999999999995</v>
      </c>
      <c r="AN500" s="38">
        <v>67.75</v>
      </c>
      <c r="AO500" s="38">
        <v>68.36</v>
      </c>
      <c r="AP500" s="38">
        <v>67.44</v>
      </c>
      <c r="AQ500" s="38">
        <v>64.739999999999995</v>
      </c>
      <c r="AR500" s="38">
        <v>57.99</v>
      </c>
      <c r="AS500" s="38">
        <v>54.68</v>
      </c>
      <c r="AT500" s="38">
        <v>52.76</v>
      </c>
      <c r="AU500" s="38">
        <v>52.49</v>
      </c>
      <c r="AV500" s="38">
        <v>53.01</v>
      </c>
      <c r="AW500" s="38">
        <v>54.29</v>
      </c>
      <c r="AX500" s="38">
        <v>57.88</v>
      </c>
      <c r="AY500" s="38">
        <v>61.01</v>
      </c>
      <c r="BA500" s="37">
        <v>80.97</v>
      </c>
      <c r="BB500" s="38">
        <v>1.3402000000000001</v>
      </c>
    </row>
    <row r="501" spans="1:54" x14ac:dyDescent="0.35">
      <c r="A501" s="2">
        <f t="shared" si="7"/>
        <v>44523</v>
      </c>
      <c r="B501" t="s">
        <v>543</v>
      </c>
      <c r="C501" s="32">
        <v>44523</v>
      </c>
      <c r="D501" s="38">
        <v>229.05</v>
      </c>
      <c r="E501" s="38">
        <v>235.32</v>
      </c>
      <c r="F501" s="38">
        <v>235.08</v>
      </c>
      <c r="G501" s="38">
        <v>207.5</v>
      </c>
      <c r="H501" s="38">
        <v>127.14</v>
      </c>
      <c r="I501" s="38">
        <v>108.16</v>
      </c>
      <c r="J501" s="38">
        <v>105.25</v>
      </c>
      <c r="K501" s="38">
        <v>105.52</v>
      </c>
      <c r="L501" s="38">
        <v>104.76</v>
      </c>
      <c r="M501" s="38">
        <v>106.43</v>
      </c>
      <c r="N501" s="38">
        <v>108.18</v>
      </c>
      <c r="O501" s="38">
        <v>112.48</v>
      </c>
      <c r="P501" s="38">
        <v>115.65</v>
      </c>
      <c r="Q501" s="38">
        <v>117.88</v>
      </c>
      <c r="R501" s="38">
        <v>117.06</v>
      </c>
      <c r="S501" s="38">
        <v>108.22</v>
      </c>
      <c r="T501" s="38">
        <v>89.48</v>
      </c>
      <c r="U501" s="38">
        <v>75.459999999999994</v>
      </c>
      <c r="V501" s="38">
        <v>67</v>
      </c>
      <c r="W501" s="38">
        <v>69.739999999999995</v>
      </c>
      <c r="X501" s="38">
        <v>71.39</v>
      </c>
      <c r="Y501" s="38">
        <v>74.12</v>
      </c>
      <c r="Z501" s="38">
        <v>77.44</v>
      </c>
      <c r="AA501" s="38">
        <v>79.88</v>
      </c>
      <c r="AB501" s="38">
        <v>81.73</v>
      </c>
      <c r="AC501" s="38">
        <v>82.93</v>
      </c>
      <c r="AD501" s="38">
        <v>82.82</v>
      </c>
      <c r="AE501" s="38">
        <v>79.38</v>
      </c>
      <c r="AF501" s="38">
        <v>66.52</v>
      </c>
      <c r="AG501" s="38">
        <v>60.26</v>
      </c>
      <c r="AH501" s="38">
        <v>57.55</v>
      </c>
      <c r="AI501" s="38">
        <v>56.54</v>
      </c>
      <c r="AJ501" s="38">
        <v>57.35</v>
      </c>
      <c r="AK501" s="38">
        <v>59.26</v>
      </c>
      <c r="AL501" s="38">
        <v>63.64</v>
      </c>
      <c r="AM501" s="38">
        <v>67.31</v>
      </c>
      <c r="AN501" s="38">
        <v>68.819999999999993</v>
      </c>
      <c r="AO501" s="38">
        <v>69.430000000000007</v>
      </c>
      <c r="AP501" s="38">
        <v>68.510000000000005</v>
      </c>
      <c r="AQ501" s="38">
        <v>65.81</v>
      </c>
      <c r="AR501" s="38">
        <v>59.06</v>
      </c>
      <c r="AS501" s="38">
        <v>55.75</v>
      </c>
      <c r="AT501" s="38">
        <v>53.83</v>
      </c>
      <c r="AU501" s="38">
        <v>53.56</v>
      </c>
      <c r="AV501" s="38">
        <v>54.08</v>
      </c>
      <c r="AW501" s="38">
        <v>55.36</v>
      </c>
      <c r="AX501" s="38">
        <v>58.95</v>
      </c>
      <c r="AY501" s="38">
        <v>62.08</v>
      </c>
      <c r="BA501" s="37">
        <v>83.43</v>
      </c>
      <c r="BB501" s="38">
        <v>1.337</v>
      </c>
    </row>
    <row r="502" spans="1:54" x14ac:dyDescent="0.35">
      <c r="A502" s="2">
        <f t="shared" si="7"/>
        <v>44524</v>
      </c>
      <c r="B502" t="s">
        <v>544</v>
      </c>
      <c r="C502" s="32">
        <v>44524</v>
      </c>
      <c r="D502" s="38">
        <v>235.37</v>
      </c>
      <c r="E502" s="38">
        <v>241.07</v>
      </c>
      <c r="F502" s="38">
        <v>240.96</v>
      </c>
      <c r="G502" s="38">
        <v>214.25</v>
      </c>
      <c r="H502" s="38">
        <v>131.12</v>
      </c>
      <c r="I502" s="38">
        <v>111.73</v>
      </c>
      <c r="J502" s="38">
        <v>108.82</v>
      </c>
      <c r="K502" s="38">
        <v>109.05</v>
      </c>
      <c r="L502" s="38">
        <v>108.73</v>
      </c>
      <c r="M502" s="38">
        <v>110.4</v>
      </c>
      <c r="N502" s="38">
        <v>111.36</v>
      </c>
      <c r="O502" s="38">
        <v>115.45</v>
      </c>
      <c r="P502" s="38">
        <v>118.53</v>
      </c>
      <c r="Q502" s="38">
        <v>120.9</v>
      </c>
      <c r="R502" s="38">
        <v>120.09</v>
      </c>
      <c r="S502" s="38">
        <v>111.11</v>
      </c>
      <c r="T502" s="38">
        <v>91.64</v>
      </c>
      <c r="U502" s="38">
        <v>77.48</v>
      </c>
      <c r="V502" s="38">
        <v>69.02</v>
      </c>
      <c r="W502" s="38">
        <v>71.760000000000005</v>
      </c>
      <c r="X502" s="38">
        <v>73.41</v>
      </c>
      <c r="Y502" s="38">
        <v>76.040000000000006</v>
      </c>
      <c r="Z502" s="38">
        <v>79.209999999999994</v>
      </c>
      <c r="AA502" s="38">
        <v>81.53</v>
      </c>
      <c r="AB502" s="38">
        <v>83.38</v>
      </c>
      <c r="AC502" s="38">
        <v>84.58</v>
      </c>
      <c r="AD502" s="38">
        <v>84.47</v>
      </c>
      <c r="AE502" s="38">
        <v>81.03</v>
      </c>
      <c r="AF502" s="38">
        <v>68.17</v>
      </c>
      <c r="AG502" s="38">
        <v>61.91</v>
      </c>
      <c r="AH502" s="38">
        <v>59.2</v>
      </c>
      <c r="AI502" s="38">
        <v>58.19</v>
      </c>
      <c r="AJ502" s="38">
        <v>59</v>
      </c>
      <c r="AK502" s="38">
        <v>60.91</v>
      </c>
      <c r="AL502" s="38">
        <v>65.33</v>
      </c>
      <c r="AM502" s="38">
        <v>69</v>
      </c>
      <c r="AN502" s="38">
        <v>70.510000000000005</v>
      </c>
      <c r="AO502" s="38">
        <v>71.12</v>
      </c>
      <c r="AP502" s="38">
        <v>70.2</v>
      </c>
      <c r="AQ502" s="38">
        <v>67.5</v>
      </c>
      <c r="AR502" s="38">
        <v>60.75</v>
      </c>
      <c r="AS502" s="38">
        <v>57.44</v>
      </c>
      <c r="AT502" s="38">
        <v>55.52</v>
      </c>
      <c r="AU502" s="38">
        <v>55.25</v>
      </c>
      <c r="AV502" s="38">
        <v>55.77</v>
      </c>
      <c r="AW502" s="38">
        <v>57.05</v>
      </c>
      <c r="AX502" s="38">
        <v>60.02</v>
      </c>
      <c r="AY502" s="38">
        <v>62.38</v>
      </c>
      <c r="BA502" s="37">
        <v>82.37</v>
      </c>
      <c r="BB502" s="38">
        <v>1.333</v>
      </c>
    </row>
    <row r="503" spans="1:54" x14ac:dyDescent="0.35">
      <c r="A503" s="2">
        <f t="shared" si="7"/>
        <v>44525</v>
      </c>
      <c r="B503" t="s">
        <v>545</v>
      </c>
      <c r="C503" s="32">
        <v>44525</v>
      </c>
      <c r="D503" s="38">
        <v>233.66</v>
      </c>
      <c r="E503" s="38">
        <v>239.28</v>
      </c>
      <c r="F503" s="38">
        <v>239.53</v>
      </c>
      <c r="G503" s="38">
        <v>217.03</v>
      </c>
      <c r="H503" s="38">
        <v>132.03</v>
      </c>
      <c r="I503" s="38">
        <v>113.67</v>
      </c>
      <c r="J503" s="38">
        <v>110.76</v>
      </c>
      <c r="K503" s="38">
        <v>110.81</v>
      </c>
      <c r="L503" s="38">
        <v>110.56</v>
      </c>
      <c r="M503" s="38">
        <v>112.23</v>
      </c>
      <c r="N503" s="38">
        <v>113.21</v>
      </c>
      <c r="O503" s="38">
        <v>117.3</v>
      </c>
      <c r="P503" s="38">
        <v>120.38</v>
      </c>
      <c r="Q503" s="38">
        <v>122.75</v>
      </c>
      <c r="R503" s="38">
        <v>121.94</v>
      </c>
      <c r="S503" s="38">
        <v>112.96</v>
      </c>
      <c r="T503" s="38">
        <v>94.87</v>
      </c>
      <c r="U503" s="38">
        <v>81.150000000000006</v>
      </c>
      <c r="V503" s="38">
        <v>72.69</v>
      </c>
      <c r="W503" s="38">
        <v>75.430000000000007</v>
      </c>
      <c r="X503" s="38">
        <v>77.08</v>
      </c>
      <c r="Y503" s="38">
        <v>79.709999999999994</v>
      </c>
      <c r="Z503" s="38">
        <v>82.84</v>
      </c>
      <c r="AA503" s="38">
        <v>85.07</v>
      </c>
      <c r="AB503" s="38">
        <v>86.92</v>
      </c>
      <c r="AC503" s="38">
        <v>88.12</v>
      </c>
      <c r="AD503" s="38">
        <v>88.01</v>
      </c>
      <c r="AE503" s="38">
        <v>84.44</v>
      </c>
      <c r="AF503" s="38">
        <v>70.459999999999994</v>
      </c>
      <c r="AG503" s="38">
        <v>63.56</v>
      </c>
      <c r="AH503" s="38">
        <v>60.7</v>
      </c>
      <c r="AI503" s="38">
        <v>59.69</v>
      </c>
      <c r="AJ503" s="38">
        <v>60.5</v>
      </c>
      <c r="AK503" s="38">
        <v>62.41</v>
      </c>
      <c r="AL503" s="38">
        <v>66.83</v>
      </c>
      <c r="AM503" s="38">
        <v>70.5</v>
      </c>
      <c r="AN503" s="38">
        <v>72.010000000000005</v>
      </c>
      <c r="AO503" s="38">
        <v>72.62</v>
      </c>
      <c r="AP503" s="38">
        <v>71.7</v>
      </c>
      <c r="AQ503" s="38">
        <v>69</v>
      </c>
      <c r="AR503" s="38">
        <v>62.25</v>
      </c>
      <c r="AS503" s="38">
        <v>58.94</v>
      </c>
      <c r="AT503" s="38">
        <v>57.02</v>
      </c>
      <c r="AU503" s="38">
        <v>56.75</v>
      </c>
      <c r="AV503" s="38">
        <v>57.27</v>
      </c>
      <c r="AW503" s="38">
        <v>58.55</v>
      </c>
      <c r="AX503" s="38">
        <v>61.52</v>
      </c>
      <c r="AY503" s="38">
        <v>63.88</v>
      </c>
      <c r="BA503" s="37">
        <v>82.05</v>
      </c>
      <c r="BB503" s="38">
        <v>1.3319000000000001</v>
      </c>
    </row>
    <row r="504" spans="1:54" x14ac:dyDescent="0.35">
      <c r="A504" s="2">
        <f t="shared" si="7"/>
        <v>44526</v>
      </c>
      <c r="B504" t="s">
        <v>546</v>
      </c>
      <c r="C504" s="32">
        <v>44526</v>
      </c>
      <c r="D504" s="38">
        <v>222.08</v>
      </c>
      <c r="E504" s="38">
        <v>227.5</v>
      </c>
      <c r="F504" s="38">
        <v>227.56</v>
      </c>
      <c r="G504" s="38">
        <v>203.06</v>
      </c>
      <c r="H504" s="38">
        <v>128.36000000000001</v>
      </c>
      <c r="I504" s="38">
        <v>109.78</v>
      </c>
      <c r="J504" s="38">
        <v>106.72</v>
      </c>
      <c r="K504" s="38">
        <v>106.73</v>
      </c>
      <c r="L504" s="38">
        <v>106.55</v>
      </c>
      <c r="M504" s="38">
        <v>108.21</v>
      </c>
      <c r="N504" s="38">
        <v>109.19</v>
      </c>
      <c r="O504" s="38">
        <v>112.92</v>
      </c>
      <c r="P504" s="38">
        <v>116</v>
      </c>
      <c r="Q504" s="38">
        <v>118.37</v>
      </c>
      <c r="R504" s="38">
        <v>117.56</v>
      </c>
      <c r="S504" s="38">
        <v>109.31</v>
      </c>
      <c r="T504" s="38">
        <v>92.71</v>
      </c>
      <c r="U504" s="38">
        <v>79.430000000000007</v>
      </c>
      <c r="V504" s="38">
        <v>70.97</v>
      </c>
      <c r="W504" s="38">
        <v>73.709999999999994</v>
      </c>
      <c r="X504" s="38">
        <v>75.36</v>
      </c>
      <c r="Y504" s="38">
        <v>77.989999999999995</v>
      </c>
      <c r="Z504" s="38">
        <v>81.12</v>
      </c>
      <c r="AA504" s="38">
        <v>83.35</v>
      </c>
      <c r="AB504" s="38">
        <v>85.2</v>
      </c>
      <c r="AC504" s="38">
        <v>86.4</v>
      </c>
      <c r="AD504" s="38">
        <v>86.29</v>
      </c>
      <c r="AE504" s="38">
        <v>82.72</v>
      </c>
      <c r="AF504" s="38">
        <v>68.739999999999995</v>
      </c>
      <c r="AG504" s="38">
        <v>61.84</v>
      </c>
      <c r="AH504" s="38">
        <v>58.98</v>
      </c>
      <c r="AI504" s="38">
        <v>57.97</v>
      </c>
      <c r="AJ504" s="38">
        <v>58.78</v>
      </c>
      <c r="AK504" s="38">
        <v>60.69</v>
      </c>
      <c r="AL504" s="38">
        <v>65.11</v>
      </c>
      <c r="AM504" s="38">
        <v>68.78</v>
      </c>
      <c r="AN504" s="38">
        <v>70.290000000000006</v>
      </c>
      <c r="AO504" s="38">
        <v>70.900000000000006</v>
      </c>
      <c r="AP504" s="38">
        <v>69.98</v>
      </c>
      <c r="AQ504" s="38">
        <v>67.28</v>
      </c>
      <c r="AR504" s="38">
        <v>60.53</v>
      </c>
      <c r="AS504" s="38">
        <v>57.22</v>
      </c>
      <c r="AT504" s="38">
        <v>55.3</v>
      </c>
      <c r="AU504" s="38">
        <v>55.03</v>
      </c>
      <c r="AV504" s="38">
        <v>55.55</v>
      </c>
      <c r="AW504" s="38">
        <v>56.83</v>
      </c>
      <c r="AX504" s="38">
        <v>59.8</v>
      </c>
      <c r="AY504" s="38">
        <v>62.16</v>
      </c>
      <c r="BA504" s="37">
        <v>72.37</v>
      </c>
      <c r="BB504" s="38">
        <v>1.3335999999999999</v>
      </c>
    </row>
    <row r="505" spans="1:54" x14ac:dyDescent="0.35">
      <c r="A505" s="2">
        <f t="shared" si="7"/>
        <v>44529</v>
      </c>
      <c r="B505" t="s">
        <v>547</v>
      </c>
      <c r="C505" s="32">
        <v>44529</v>
      </c>
      <c r="D505" s="38">
        <v>236.04</v>
      </c>
      <c r="E505" s="38">
        <v>240.44</v>
      </c>
      <c r="F505" s="38">
        <v>240.58</v>
      </c>
      <c r="G505" s="38">
        <v>217.89</v>
      </c>
      <c r="H505" s="38">
        <v>130.88999999999999</v>
      </c>
      <c r="I505" s="38">
        <v>112.31</v>
      </c>
      <c r="J505" s="38">
        <v>108.96</v>
      </c>
      <c r="K505" s="38">
        <v>108.97</v>
      </c>
      <c r="L505" s="38">
        <v>108.79</v>
      </c>
      <c r="M505" s="38">
        <v>110.45</v>
      </c>
      <c r="N505" s="38">
        <v>111.5</v>
      </c>
      <c r="O505" s="38">
        <v>115.23</v>
      </c>
      <c r="P505" s="38">
        <v>118.31</v>
      </c>
      <c r="Q505" s="38">
        <v>120.68</v>
      </c>
      <c r="R505" s="38">
        <v>119.87</v>
      </c>
      <c r="S505" s="38">
        <v>111.62</v>
      </c>
      <c r="T505" s="38">
        <v>95.02</v>
      </c>
      <c r="U505" s="38">
        <v>81.739999999999995</v>
      </c>
      <c r="V505" s="38">
        <v>73.28</v>
      </c>
      <c r="W505" s="38">
        <v>76.02</v>
      </c>
      <c r="X505" s="38">
        <v>77.67</v>
      </c>
      <c r="Y505" s="38">
        <v>79.87</v>
      </c>
      <c r="Z505" s="38">
        <v>82.74</v>
      </c>
      <c r="AA505" s="38">
        <v>84.97</v>
      </c>
      <c r="AB505" s="38">
        <v>86.82</v>
      </c>
      <c r="AC505" s="38">
        <v>88.02</v>
      </c>
      <c r="AD505" s="38">
        <v>87.91</v>
      </c>
      <c r="AE505" s="38">
        <v>84.34</v>
      </c>
      <c r="AF505" s="38">
        <v>70.650000000000006</v>
      </c>
      <c r="AG505" s="38">
        <v>63.75</v>
      </c>
      <c r="AH505" s="38">
        <v>60.89</v>
      </c>
      <c r="AI505" s="38">
        <v>59.88</v>
      </c>
      <c r="AJ505" s="38">
        <v>60.69</v>
      </c>
      <c r="AK505" s="38">
        <v>62.6</v>
      </c>
      <c r="AL505" s="38">
        <v>67.02</v>
      </c>
      <c r="AM505" s="38">
        <v>70.69</v>
      </c>
      <c r="AN505" s="38">
        <v>72.2</v>
      </c>
      <c r="AO505" s="38">
        <v>72.81</v>
      </c>
      <c r="AP505" s="38">
        <v>71.89</v>
      </c>
      <c r="AQ505" s="38">
        <v>69.19</v>
      </c>
      <c r="AR505" s="38">
        <v>62.44</v>
      </c>
      <c r="AS505" s="38">
        <v>59.13</v>
      </c>
      <c r="AT505" s="38">
        <v>57.21</v>
      </c>
      <c r="AU505" s="38">
        <v>56.94</v>
      </c>
      <c r="AV505" s="38">
        <v>57.46</v>
      </c>
      <c r="AW505" s="38">
        <v>58.74</v>
      </c>
      <c r="AX505" s="38">
        <v>61.71</v>
      </c>
      <c r="AY505" s="38">
        <v>64.069999999999993</v>
      </c>
      <c r="BA505" s="37">
        <v>73.34</v>
      </c>
      <c r="BB505" s="38">
        <v>1.3294999999999999</v>
      </c>
    </row>
    <row r="506" spans="1:54" x14ac:dyDescent="0.35">
      <c r="A506" s="2">
        <f t="shared" si="7"/>
        <v>44530</v>
      </c>
      <c r="B506" t="s">
        <v>548</v>
      </c>
      <c r="C506" s="32">
        <v>44530</v>
      </c>
      <c r="D506" s="38">
        <v>238.31</v>
      </c>
      <c r="E506" s="38">
        <v>238.31</v>
      </c>
      <c r="F506" s="38">
        <v>216.35</v>
      </c>
      <c r="G506" s="38">
        <v>131.36000000000001</v>
      </c>
      <c r="H506" s="38">
        <v>112.77</v>
      </c>
      <c r="I506" s="38">
        <v>109.42</v>
      </c>
      <c r="J506" s="38">
        <v>109.43</v>
      </c>
      <c r="K506" s="38">
        <v>109.25</v>
      </c>
      <c r="L506" s="38">
        <v>110.91</v>
      </c>
      <c r="M506" s="38">
        <v>112.02</v>
      </c>
      <c r="N506" s="38">
        <v>115.75</v>
      </c>
      <c r="O506" s="38">
        <v>118.83</v>
      </c>
      <c r="P506" s="38">
        <v>121.2</v>
      </c>
      <c r="Q506" s="38">
        <v>120.39</v>
      </c>
      <c r="R506" s="38">
        <v>112.06</v>
      </c>
      <c r="S506" s="38">
        <v>95.56</v>
      </c>
      <c r="T506" s="38">
        <v>82.2</v>
      </c>
      <c r="U506" s="38">
        <v>73.739999999999995</v>
      </c>
      <c r="V506" s="38">
        <v>76.48</v>
      </c>
      <c r="W506" s="38">
        <v>78.13</v>
      </c>
      <c r="X506" s="38">
        <v>80.319999999999993</v>
      </c>
      <c r="Y506" s="38">
        <v>83.12</v>
      </c>
      <c r="Z506" s="38">
        <v>85.29</v>
      </c>
      <c r="AA506" s="38">
        <v>87.13</v>
      </c>
      <c r="AB506" s="38">
        <v>88.31</v>
      </c>
      <c r="AC506" s="38">
        <v>88.18</v>
      </c>
      <c r="AD506" s="38">
        <v>84.56</v>
      </c>
      <c r="AE506" s="38">
        <v>71.099999999999994</v>
      </c>
      <c r="AF506" s="38">
        <v>64.2</v>
      </c>
      <c r="AG506" s="38">
        <v>61.34</v>
      </c>
      <c r="AH506" s="38">
        <v>60.33</v>
      </c>
      <c r="AI506" s="38">
        <v>61.14</v>
      </c>
      <c r="AJ506" s="38">
        <v>63.05</v>
      </c>
      <c r="AK506" s="38">
        <v>67.41</v>
      </c>
      <c r="AL506" s="38">
        <v>71.08</v>
      </c>
      <c r="AM506" s="38">
        <v>72.59</v>
      </c>
      <c r="AN506" s="38">
        <v>73.2</v>
      </c>
      <c r="AO506" s="38">
        <v>72.28</v>
      </c>
      <c r="AP506" s="38">
        <v>69.58</v>
      </c>
      <c r="AQ506" s="38">
        <v>62.83</v>
      </c>
      <c r="AR506" s="38">
        <v>59.52</v>
      </c>
      <c r="AS506" s="38">
        <v>57.6</v>
      </c>
      <c r="AT506" s="38">
        <v>57.33</v>
      </c>
      <c r="AU506" s="38">
        <v>57.85</v>
      </c>
      <c r="AV506" s="38">
        <v>59.13</v>
      </c>
      <c r="AW506" s="38">
        <v>62.1</v>
      </c>
      <c r="AX506" s="38">
        <v>64.459999999999994</v>
      </c>
      <c r="AY506" s="38">
        <v>66.5</v>
      </c>
      <c r="BA506" s="37">
        <v>70.86</v>
      </c>
      <c r="BB506" s="38">
        <v>1.3232999999999999</v>
      </c>
    </row>
    <row r="507" spans="1:54" x14ac:dyDescent="0.35">
      <c r="A507" s="2">
        <f t="shared" si="7"/>
        <v>44531</v>
      </c>
      <c r="B507" t="s">
        <v>549</v>
      </c>
      <c r="C507" s="32">
        <v>44531</v>
      </c>
      <c r="D507" s="38">
        <v>244.53</v>
      </c>
      <c r="E507" s="38">
        <v>245.22</v>
      </c>
      <c r="F507" s="38">
        <v>224.83</v>
      </c>
      <c r="G507" s="38">
        <v>131.65</v>
      </c>
      <c r="H507" s="38">
        <v>113.15</v>
      </c>
      <c r="I507" s="38">
        <v>109.8</v>
      </c>
      <c r="J507" s="38">
        <v>110.14</v>
      </c>
      <c r="K507" s="38">
        <v>109.96</v>
      </c>
      <c r="L507" s="38">
        <v>111.62</v>
      </c>
      <c r="M507" s="38">
        <v>112.37</v>
      </c>
      <c r="N507" s="38">
        <v>116.1</v>
      </c>
      <c r="O507" s="38">
        <v>119.18</v>
      </c>
      <c r="P507" s="38">
        <v>121.55</v>
      </c>
      <c r="Q507" s="38">
        <v>120.74</v>
      </c>
      <c r="R507" s="38">
        <v>112.41</v>
      </c>
      <c r="S507" s="38">
        <v>95.41</v>
      </c>
      <c r="T507" s="38">
        <v>82.05</v>
      </c>
      <c r="U507" s="38">
        <v>73.59</v>
      </c>
      <c r="V507" s="38">
        <v>76.33</v>
      </c>
      <c r="W507" s="38">
        <v>77.98</v>
      </c>
      <c r="X507" s="38">
        <v>80.17</v>
      </c>
      <c r="Y507" s="38">
        <v>83.35</v>
      </c>
      <c r="Z507" s="38">
        <v>85.52</v>
      </c>
      <c r="AA507" s="38">
        <v>87.36</v>
      </c>
      <c r="AB507" s="38">
        <v>88.54</v>
      </c>
      <c r="AC507" s="38">
        <v>88.41</v>
      </c>
      <c r="AD507" s="38">
        <v>84.79</v>
      </c>
      <c r="AE507" s="38">
        <v>71.459999999999994</v>
      </c>
      <c r="AF507" s="38">
        <v>64.56</v>
      </c>
      <c r="AG507" s="38">
        <v>61.7</v>
      </c>
      <c r="AH507" s="38">
        <v>60.69</v>
      </c>
      <c r="AI507" s="38">
        <v>61.5</v>
      </c>
      <c r="AJ507" s="38">
        <v>63.41</v>
      </c>
      <c r="AK507" s="38">
        <v>67.37</v>
      </c>
      <c r="AL507" s="38">
        <v>71.040000000000006</v>
      </c>
      <c r="AM507" s="38">
        <v>72.55</v>
      </c>
      <c r="AN507" s="38">
        <v>73.16</v>
      </c>
      <c r="AO507" s="38">
        <v>72.239999999999995</v>
      </c>
      <c r="AP507" s="38">
        <v>69.540000000000006</v>
      </c>
      <c r="AQ507" s="38">
        <v>62.79</v>
      </c>
      <c r="AR507" s="38">
        <v>59.48</v>
      </c>
      <c r="AS507" s="38">
        <v>57.56</v>
      </c>
      <c r="AT507" s="38">
        <v>57.29</v>
      </c>
      <c r="AU507" s="38">
        <v>57.81</v>
      </c>
      <c r="AV507" s="38">
        <v>59.09</v>
      </c>
      <c r="AW507" s="38">
        <v>62.06</v>
      </c>
      <c r="AX507" s="38">
        <v>64.42</v>
      </c>
      <c r="AY507" s="38">
        <v>66.459999999999994</v>
      </c>
      <c r="BA507" s="37">
        <v>69.53</v>
      </c>
      <c r="BB507" s="38">
        <v>1.3314999999999999</v>
      </c>
    </row>
    <row r="508" spans="1:54" x14ac:dyDescent="0.35">
      <c r="A508" s="2">
        <f t="shared" si="7"/>
        <v>44532</v>
      </c>
      <c r="B508" t="s">
        <v>550</v>
      </c>
      <c r="C508" s="32">
        <v>44532</v>
      </c>
      <c r="D508" s="38">
        <v>242.09</v>
      </c>
      <c r="E508" s="38">
        <v>242.92</v>
      </c>
      <c r="F508" s="38">
        <v>224.09</v>
      </c>
      <c r="G508" s="38">
        <v>133.13</v>
      </c>
      <c r="H508" s="38">
        <v>115.53</v>
      </c>
      <c r="I508" s="38">
        <v>112.18</v>
      </c>
      <c r="J508" s="38">
        <v>112.52</v>
      </c>
      <c r="K508" s="38">
        <v>112.54</v>
      </c>
      <c r="L508" s="38">
        <v>114.26</v>
      </c>
      <c r="M508" s="38">
        <v>114.78</v>
      </c>
      <c r="N508" s="38">
        <v>118.51</v>
      </c>
      <c r="O508" s="38">
        <v>121.59</v>
      </c>
      <c r="P508" s="38">
        <v>123.86</v>
      </c>
      <c r="Q508" s="38">
        <v>122.78</v>
      </c>
      <c r="R508" s="38">
        <v>113.81</v>
      </c>
      <c r="S508" s="38">
        <v>95.46</v>
      </c>
      <c r="T508" s="38">
        <v>82.1</v>
      </c>
      <c r="U508" s="38">
        <v>73.64</v>
      </c>
      <c r="V508" s="38">
        <v>76.38</v>
      </c>
      <c r="W508" s="38">
        <v>78.03</v>
      </c>
      <c r="X508" s="38">
        <v>80.22</v>
      </c>
      <c r="Y508" s="38">
        <v>84.28</v>
      </c>
      <c r="Z508" s="38">
        <v>86.45</v>
      </c>
      <c r="AA508" s="38">
        <v>88.29</v>
      </c>
      <c r="AB508" s="38">
        <v>89.47</v>
      </c>
      <c r="AC508" s="38">
        <v>89.34</v>
      </c>
      <c r="AD508" s="38">
        <v>85.5</v>
      </c>
      <c r="AE508" s="38">
        <v>71.5</v>
      </c>
      <c r="AF508" s="38">
        <v>64.599999999999994</v>
      </c>
      <c r="AG508" s="38">
        <v>61.74</v>
      </c>
      <c r="AH508" s="38">
        <v>60.73</v>
      </c>
      <c r="AI508" s="38">
        <v>61.54</v>
      </c>
      <c r="AJ508" s="38">
        <v>63.45</v>
      </c>
      <c r="AK508" s="38">
        <v>67.19</v>
      </c>
      <c r="AL508" s="38">
        <v>70.86</v>
      </c>
      <c r="AM508" s="38">
        <v>72.37</v>
      </c>
      <c r="AN508" s="38">
        <v>72.98</v>
      </c>
      <c r="AO508" s="38">
        <v>72.06</v>
      </c>
      <c r="AP508" s="38">
        <v>69.36</v>
      </c>
      <c r="AQ508" s="38">
        <v>62.61</v>
      </c>
      <c r="AR508" s="38">
        <v>59.3</v>
      </c>
      <c r="AS508" s="38">
        <v>57.38</v>
      </c>
      <c r="AT508" s="38">
        <v>57.11</v>
      </c>
      <c r="AU508" s="38">
        <v>57.63</v>
      </c>
      <c r="AV508" s="38">
        <v>58.91</v>
      </c>
      <c r="AW508" s="38">
        <v>61.88</v>
      </c>
      <c r="AX508" s="38">
        <v>64.239999999999995</v>
      </c>
      <c r="AY508" s="38">
        <v>66.28</v>
      </c>
      <c r="BA508" s="37">
        <v>70.56</v>
      </c>
      <c r="BB508" s="38">
        <v>1.3307</v>
      </c>
    </row>
    <row r="509" spans="1:54" x14ac:dyDescent="0.35">
      <c r="A509" s="2">
        <f t="shared" si="7"/>
        <v>44533</v>
      </c>
      <c r="B509" t="s">
        <v>551</v>
      </c>
      <c r="C509" s="32">
        <v>44533</v>
      </c>
      <c r="D509" s="38">
        <v>228.9</v>
      </c>
      <c r="E509" s="38">
        <v>229.8</v>
      </c>
      <c r="F509" s="38">
        <v>210.87</v>
      </c>
      <c r="G509" s="38">
        <v>136.72999999999999</v>
      </c>
      <c r="H509" s="38">
        <v>119.13</v>
      </c>
      <c r="I509" s="38">
        <v>115.78</v>
      </c>
      <c r="J509" s="38">
        <v>116.12</v>
      </c>
      <c r="K509" s="38">
        <v>116.14</v>
      </c>
      <c r="L509" s="38">
        <v>117.86</v>
      </c>
      <c r="M509" s="38">
        <v>119.04</v>
      </c>
      <c r="N509" s="38">
        <v>122.77</v>
      </c>
      <c r="O509" s="38">
        <v>125.85</v>
      </c>
      <c r="P509" s="38">
        <v>128.12</v>
      </c>
      <c r="Q509" s="38">
        <v>127.04</v>
      </c>
      <c r="R509" s="38">
        <v>118.07</v>
      </c>
      <c r="S509" s="38">
        <v>96.52</v>
      </c>
      <c r="T509" s="38">
        <v>83.16</v>
      </c>
      <c r="U509" s="38">
        <v>74.7</v>
      </c>
      <c r="V509" s="38">
        <v>77.44</v>
      </c>
      <c r="W509" s="38">
        <v>79.09</v>
      </c>
      <c r="X509" s="38">
        <v>81.28</v>
      </c>
      <c r="Y509" s="38">
        <v>84.72</v>
      </c>
      <c r="Z509" s="38">
        <v>86.89</v>
      </c>
      <c r="AA509" s="38">
        <v>88.73</v>
      </c>
      <c r="AB509" s="38">
        <v>89.91</v>
      </c>
      <c r="AC509" s="38">
        <v>89.78</v>
      </c>
      <c r="AD509" s="38">
        <v>85.94</v>
      </c>
      <c r="AE509" s="38">
        <v>72.75</v>
      </c>
      <c r="AF509" s="38">
        <v>65.849999999999994</v>
      </c>
      <c r="AG509" s="38">
        <v>62.99</v>
      </c>
      <c r="AH509" s="38">
        <v>61.98</v>
      </c>
      <c r="AI509" s="38">
        <v>62.79</v>
      </c>
      <c r="AJ509" s="38">
        <v>64.7</v>
      </c>
      <c r="AK509" s="38">
        <v>68.44</v>
      </c>
      <c r="AL509" s="38">
        <v>72.11</v>
      </c>
      <c r="AM509" s="38">
        <v>73.62</v>
      </c>
      <c r="AN509" s="38">
        <v>74.23</v>
      </c>
      <c r="AO509" s="38">
        <v>73.31</v>
      </c>
      <c r="AP509" s="38">
        <v>70.61</v>
      </c>
      <c r="AQ509" s="38">
        <v>63.86</v>
      </c>
      <c r="AR509" s="38">
        <v>60.55</v>
      </c>
      <c r="AS509" s="38">
        <v>58.63</v>
      </c>
      <c r="AT509" s="38">
        <v>58.36</v>
      </c>
      <c r="AU509" s="38">
        <v>58.88</v>
      </c>
      <c r="AV509" s="38">
        <v>60.16</v>
      </c>
      <c r="AW509" s="38">
        <v>63.13</v>
      </c>
      <c r="AX509" s="38">
        <v>65.489999999999995</v>
      </c>
      <c r="AY509" s="38">
        <v>67.53</v>
      </c>
      <c r="BA509" s="37">
        <v>70.709999999999994</v>
      </c>
      <c r="BB509" s="38">
        <v>1.3219000000000001</v>
      </c>
    </row>
    <row r="510" spans="1:54" x14ac:dyDescent="0.35">
      <c r="A510" s="2">
        <f t="shared" si="7"/>
        <v>44536</v>
      </c>
      <c r="B510" t="s">
        <v>552</v>
      </c>
      <c r="C510" s="32">
        <v>44536</v>
      </c>
      <c r="D510" s="38">
        <v>230.08</v>
      </c>
      <c r="E510" s="38">
        <v>231.08</v>
      </c>
      <c r="F510" s="38">
        <v>211.66</v>
      </c>
      <c r="G510" s="38">
        <v>143.28</v>
      </c>
      <c r="H510" s="38">
        <v>127.5</v>
      </c>
      <c r="I510" s="38">
        <v>124.15</v>
      </c>
      <c r="J510" s="38">
        <v>123.77</v>
      </c>
      <c r="K510" s="38">
        <v>123.79</v>
      </c>
      <c r="L510" s="38">
        <v>125.51</v>
      </c>
      <c r="M510" s="38">
        <v>126.6</v>
      </c>
      <c r="N510" s="38">
        <v>130.36000000000001</v>
      </c>
      <c r="O510" s="38">
        <v>133.44</v>
      </c>
      <c r="P510" s="38">
        <v>135.69</v>
      </c>
      <c r="Q510" s="38">
        <v>134.61000000000001</v>
      </c>
      <c r="R510" s="38">
        <v>125.64</v>
      </c>
      <c r="S510" s="38">
        <v>98.91</v>
      </c>
      <c r="T510" s="38">
        <v>83.91</v>
      </c>
      <c r="U510" s="38">
        <v>75.45</v>
      </c>
      <c r="V510" s="38">
        <v>77.69</v>
      </c>
      <c r="W510" s="38">
        <v>79.34</v>
      </c>
      <c r="X510" s="38">
        <v>81.53</v>
      </c>
      <c r="Y510" s="38">
        <v>85.51</v>
      </c>
      <c r="Z510" s="38">
        <v>87.72</v>
      </c>
      <c r="AA510" s="38">
        <v>89.61</v>
      </c>
      <c r="AB510" s="38">
        <v>90.79</v>
      </c>
      <c r="AC510" s="38">
        <v>90.66</v>
      </c>
      <c r="AD510" s="38">
        <v>86.82</v>
      </c>
      <c r="AE510" s="38">
        <v>73.53</v>
      </c>
      <c r="AF510" s="38">
        <v>66.56</v>
      </c>
      <c r="AG510" s="38">
        <v>63.7</v>
      </c>
      <c r="AH510" s="38">
        <v>62.69</v>
      </c>
      <c r="AI510" s="38">
        <v>63.5</v>
      </c>
      <c r="AJ510" s="38">
        <v>65.41</v>
      </c>
      <c r="AK510" s="38">
        <v>69.02</v>
      </c>
      <c r="AL510" s="38">
        <v>72.34</v>
      </c>
      <c r="AM510" s="38">
        <v>73.849999999999994</v>
      </c>
      <c r="AN510" s="38">
        <v>74.459999999999994</v>
      </c>
      <c r="AO510" s="38">
        <v>73.540000000000006</v>
      </c>
      <c r="AP510" s="38">
        <v>70.84</v>
      </c>
      <c r="AQ510" s="38">
        <v>62.82</v>
      </c>
      <c r="AR510" s="38">
        <v>58.81</v>
      </c>
      <c r="AS510" s="38">
        <v>56.89</v>
      </c>
      <c r="AT510" s="38">
        <v>56.62</v>
      </c>
      <c r="AU510" s="38">
        <v>57.14</v>
      </c>
      <c r="AV510" s="38">
        <v>58.42</v>
      </c>
      <c r="AW510" s="38">
        <v>61.66</v>
      </c>
      <c r="AX510" s="38">
        <v>64.02</v>
      </c>
      <c r="AY510" s="38">
        <v>66.06</v>
      </c>
      <c r="BA510" s="37">
        <v>73.38</v>
      </c>
      <c r="BB510" s="38">
        <v>1.3236000000000001</v>
      </c>
    </row>
    <row r="511" spans="1:54" x14ac:dyDescent="0.35">
      <c r="A511" s="2">
        <f t="shared" si="7"/>
        <v>44537</v>
      </c>
      <c r="B511" t="s">
        <v>553</v>
      </c>
      <c r="C511" s="32">
        <v>44537</v>
      </c>
      <c r="D511" s="38">
        <v>243.98</v>
      </c>
      <c r="E511" s="38">
        <v>245</v>
      </c>
      <c r="F511" s="38">
        <v>227.13</v>
      </c>
      <c r="G511" s="38">
        <v>158.68</v>
      </c>
      <c r="H511" s="38">
        <v>142.88</v>
      </c>
      <c r="I511" s="38">
        <v>139.58000000000001</v>
      </c>
      <c r="J511" s="38">
        <v>142.82</v>
      </c>
      <c r="K511" s="38">
        <v>142.84</v>
      </c>
      <c r="L511" s="38">
        <v>142.66999999999999</v>
      </c>
      <c r="M511" s="38">
        <v>143.16999999999999</v>
      </c>
      <c r="N511" s="38">
        <v>146.74</v>
      </c>
      <c r="O511" s="38">
        <v>149.82</v>
      </c>
      <c r="P511" s="38">
        <v>152.69999999999999</v>
      </c>
      <c r="Q511" s="38">
        <v>151.62</v>
      </c>
      <c r="R511" s="38">
        <v>141.26</v>
      </c>
      <c r="S511" s="38">
        <v>102.69</v>
      </c>
      <c r="T511" s="38">
        <v>86.2</v>
      </c>
      <c r="U511" s="38">
        <v>77.739999999999995</v>
      </c>
      <c r="V511" s="38">
        <v>79.98</v>
      </c>
      <c r="W511" s="38">
        <v>81.63</v>
      </c>
      <c r="X511" s="38">
        <v>83.82</v>
      </c>
      <c r="Y511" s="38">
        <v>88.41</v>
      </c>
      <c r="Z511" s="38">
        <v>90.62</v>
      </c>
      <c r="AA511" s="38">
        <v>92.51</v>
      </c>
      <c r="AB511" s="38">
        <v>93.69</v>
      </c>
      <c r="AC511" s="38">
        <v>93.56</v>
      </c>
      <c r="AD511" s="38">
        <v>89.72</v>
      </c>
      <c r="AE511" s="38">
        <v>76.47</v>
      </c>
      <c r="AF511" s="38">
        <v>69.5</v>
      </c>
      <c r="AG511" s="38">
        <v>66.64</v>
      </c>
      <c r="AH511" s="38">
        <v>65.63</v>
      </c>
      <c r="AI511" s="38">
        <v>66.44</v>
      </c>
      <c r="AJ511" s="38">
        <v>68.349999999999994</v>
      </c>
      <c r="AK511" s="38">
        <v>71.77</v>
      </c>
      <c r="AL511" s="38">
        <v>75.09</v>
      </c>
      <c r="AM511" s="38">
        <v>76.599999999999994</v>
      </c>
      <c r="AN511" s="38">
        <v>77.209999999999994</v>
      </c>
      <c r="AO511" s="38">
        <v>76.290000000000006</v>
      </c>
      <c r="AP511" s="38">
        <v>73.38</v>
      </c>
      <c r="AQ511" s="38">
        <v>65.13</v>
      </c>
      <c r="AR511" s="38">
        <v>61.01</v>
      </c>
      <c r="AS511" s="38">
        <v>59.09</v>
      </c>
      <c r="AT511" s="38">
        <v>58.82</v>
      </c>
      <c r="AU511" s="38">
        <v>59.34</v>
      </c>
      <c r="AV511" s="38">
        <v>60.62</v>
      </c>
      <c r="AW511" s="38">
        <v>63.86</v>
      </c>
      <c r="AX511" s="38">
        <v>66.2</v>
      </c>
      <c r="AY511" s="38">
        <v>68.239999999999995</v>
      </c>
      <c r="BA511" s="37">
        <v>75.540000000000006</v>
      </c>
      <c r="BB511" s="38">
        <v>1.3234999999999999</v>
      </c>
    </row>
    <row r="512" spans="1:54" x14ac:dyDescent="0.35">
      <c r="A512" s="2">
        <f t="shared" si="7"/>
        <v>44538</v>
      </c>
      <c r="B512" t="s">
        <v>554</v>
      </c>
      <c r="C512" s="32">
        <v>44538</v>
      </c>
      <c r="D512" s="38">
        <v>260.33</v>
      </c>
      <c r="E512" s="38">
        <v>261.23</v>
      </c>
      <c r="F512" s="38">
        <v>241.24</v>
      </c>
      <c r="G512" s="38">
        <v>181.51</v>
      </c>
      <c r="H512" s="38">
        <v>165.99</v>
      </c>
      <c r="I512" s="38">
        <v>162.69</v>
      </c>
      <c r="J512" s="38">
        <v>162.63</v>
      </c>
      <c r="K512" s="38">
        <v>162.65</v>
      </c>
      <c r="L512" s="38">
        <v>163.80000000000001</v>
      </c>
      <c r="M512" s="38">
        <v>164.51</v>
      </c>
      <c r="N512" s="38">
        <v>168.51</v>
      </c>
      <c r="O512" s="38">
        <v>171.41</v>
      </c>
      <c r="P512" s="38">
        <v>174.29</v>
      </c>
      <c r="Q512" s="38">
        <v>173.21</v>
      </c>
      <c r="R512" s="38">
        <v>162.49</v>
      </c>
      <c r="S512" s="38">
        <v>107.63</v>
      </c>
      <c r="T512" s="38">
        <v>90.85</v>
      </c>
      <c r="U512" s="38">
        <v>82.39</v>
      </c>
      <c r="V512" s="38">
        <v>84.63</v>
      </c>
      <c r="W512" s="38">
        <v>86.28</v>
      </c>
      <c r="X512" s="38">
        <v>88.47</v>
      </c>
      <c r="Y512" s="38">
        <v>93.37</v>
      </c>
      <c r="Z512" s="38">
        <v>95.58</v>
      </c>
      <c r="AA512" s="38">
        <v>97.47</v>
      </c>
      <c r="AB512" s="38">
        <v>98.65</v>
      </c>
      <c r="AC512" s="38">
        <v>98.52</v>
      </c>
      <c r="AD512" s="38">
        <v>94.58</v>
      </c>
      <c r="AE512" s="38">
        <v>79.91</v>
      </c>
      <c r="AF512" s="38">
        <v>72.94</v>
      </c>
      <c r="AG512" s="38">
        <v>69.709999999999994</v>
      </c>
      <c r="AH512" s="38">
        <v>68.7</v>
      </c>
      <c r="AI512" s="38">
        <v>69.510000000000005</v>
      </c>
      <c r="AJ512" s="38">
        <v>71.42</v>
      </c>
      <c r="AK512" s="38">
        <v>74.84</v>
      </c>
      <c r="AL512" s="38">
        <v>78.16</v>
      </c>
      <c r="AM512" s="38">
        <v>79.67</v>
      </c>
      <c r="AN512" s="38">
        <v>80.28</v>
      </c>
      <c r="AO512" s="38">
        <v>79.36</v>
      </c>
      <c r="AP512" s="38">
        <v>76.45</v>
      </c>
      <c r="AQ512" s="38">
        <v>66.98</v>
      </c>
      <c r="AR512" s="38">
        <v>62.86</v>
      </c>
      <c r="AS512" s="38">
        <v>60.94</v>
      </c>
      <c r="AT512" s="38">
        <v>60.67</v>
      </c>
      <c r="AU512" s="38">
        <v>61.19</v>
      </c>
      <c r="AV512" s="38">
        <v>62.47</v>
      </c>
      <c r="AW512" s="38">
        <v>65.709999999999994</v>
      </c>
      <c r="AX512" s="38">
        <v>68.05</v>
      </c>
      <c r="AY512" s="38">
        <v>70.09</v>
      </c>
      <c r="BA512" s="37">
        <v>75.94</v>
      </c>
      <c r="BB512" s="38">
        <v>1.3216000000000001</v>
      </c>
    </row>
    <row r="513" spans="1:54" x14ac:dyDescent="0.35">
      <c r="A513" s="2">
        <f t="shared" si="7"/>
        <v>44539</v>
      </c>
      <c r="B513" t="s">
        <v>555</v>
      </c>
      <c r="C513" s="32">
        <v>44539</v>
      </c>
      <c r="D513" s="38">
        <v>256.11</v>
      </c>
      <c r="E513" s="38">
        <v>257.27</v>
      </c>
      <c r="F513" s="38">
        <v>238.76</v>
      </c>
      <c r="G513" s="38">
        <v>173.63</v>
      </c>
      <c r="H513" s="38">
        <v>160</v>
      </c>
      <c r="I513" s="38">
        <v>154.93</v>
      </c>
      <c r="J513" s="38">
        <v>155.25</v>
      </c>
      <c r="K513" s="38">
        <v>155.56</v>
      </c>
      <c r="L513" s="38">
        <v>156.69</v>
      </c>
      <c r="M513" s="38">
        <v>157.5</v>
      </c>
      <c r="N513" s="38">
        <v>161.5</v>
      </c>
      <c r="O513" s="38">
        <v>164.68</v>
      </c>
      <c r="P513" s="38">
        <v>167.56</v>
      </c>
      <c r="Q513" s="38">
        <v>166.48</v>
      </c>
      <c r="R513" s="38">
        <v>155.71</v>
      </c>
      <c r="S513" s="38">
        <v>102.65</v>
      </c>
      <c r="T513" s="38">
        <v>85.85</v>
      </c>
      <c r="U513" s="38">
        <v>77.39</v>
      </c>
      <c r="V513" s="38">
        <v>79.63</v>
      </c>
      <c r="W513" s="38">
        <v>81.28</v>
      </c>
      <c r="X513" s="38">
        <v>83.47</v>
      </c>
      <c r="Y513" s="38">
        <v>88.38</v>
      </c>
      <c r="Z513" s="38">
        <v>90.59</v>
      </c>
      <c r="AA513" s="38">
        <v>92.48</v>
      </c>
      <c r="AB513" s="38">
        <v>93.66</v>
      </c>
      <c r="AC513" s="38">
        <v>93.53</v>
      </c>
      <c r="AD513" s="38">
        <v>89.59</v>
      </c>
      <c r="AE513" s="38">
        <v>76.89</v>
      </c>
      <c r="AF513" s="38">
        <v>69.92</v>
      </c>
      <c r="AG513" s="38">
        <v>66.69</v>
      </c>
      <c r="AH513" s="38">
        <v>65.680000000000007</v>
      </c>
      <c r="AI513" s="38">
        <v>66.489999999999995</v>
      </c>
      <c r="AJ513" s="38">
        <v>68.400000000000006</v>
      </c>
      <c r="AK513" s="38">
        <v>71.06</v>
      </c>
      <c r="AL513" s="38">
        <v>74.38</v>
      </c>
      <c r="AM513" s="38">
        <v>75.89</v>
      </c>
      <c r="AN513" s="38">
        <v>76.5</v>
      </c>
      <c r="AO513" s="38">
        <v>75.58</v>
      </c>
      <c r="AP513" s="38">
        <v>73.58</v>
      </c>
      <c r="AQ513" s="38">
        <v>67.459999999999994</v>
      </c>
      <c r="AR513" s="38">
        <v>63.46</v>
      </c>
      <c r="AS513" s="38">
        <v>61.54</v>
      </c>
      <c r="AT513" s="38">
        <v>61.27</v>
      </c>
      <c r="AU513" s="38">
        <v>61.79</v>
      </c>
      <c r="AV513" s="38">
        <v>65.790000000000006</v>
      </c>
      <c r="AW513" s="38">
        <v>69.03</v>
      </c>
      <c r="AX513" s="38">
        <v>71.37</v>
      </c>
      <c r="AY513" s="38">
        <v>73.41</v>
      </c>
      <c r="BA513" s="37">
        <v>74.099999999999994</v>
      </c>
      <c r="BB513" s="38">
        <v>1.3206</v>
      </c>
    </row>
    <row r="514" spans="1:54" x14ac:dyDescent="0.35">
      <c r="A514" s="2">
        <f t="shared" si="7"/>
        <v>44540</v>
      </c>
      <c r="B514" t="s">
        <v>556</v>
      </c>
      <c r="C514" s="32">
        <v>44540</v>
      </c>
      <c r="D514" s="38">
        <v>268.8</v>
      </c>
      <c r="E514" s="38">
        <v>269.7</v>
      </c>
      <c r="F514" s="38">
        <v>249.8</v>
      </c>
      <c r="G514" s="38">
        <v>189.34</v>
      </c>
      <c r="H514" s="38">
        <v>175.33</v>
      </c>
      <c r="I514" s="38">
        <v>171.83</v>
      </c>
      <c r="J514" s="38">
        <v>172.33</v>
      </c>
      <c r="K514" s="38">
        <v>172.64</v>
      </c>
      <c r="L514" s="38">
        <v>173.77</v>
      </c>
      <c r="M514" s="38">
        <v>173.84</v>
      </c>
      <c r="N514" s="38">
        <v>177.84</v>
      </c>
      <c r="O514" s="38">
        <v>181.02</v>
      </c>
      <c r="P514" s="38">
        <v>183.9</v>
      </c>
      <c r="Q514" s="38">
        <v>182.82</v>
      </c>
      <c r="R514" s="38">
        <v>171.32</v>
      </c>
      <c r="S514" s="38">
        <v>103.32</v>
      </c>
      <c r="T514" s="38">
        <v>85.97</v>
      </c>
      <c r="U514" s="38">
        <v>77.510000000000005</v>
      </c>
      <c r="V514" s="38">
        <v>79.75</v>
      </c>
      <c r="W514" s="38">
        <v>81.400000000000006</v>
      </c>
      <c r="X514" s="38">
        <v>83.59</v>
      </c>
      <c r="Y514" s="38">
        <v>88.39</v>
      </c>
      <c r="Z514" s="38">
        <v>90.51</v>
      </c>
      <c r="AA514" s="38">
        <v>92.4</v>
      </c>
      <c r="AB514" s="38">
        <v>93.58</v>
      </c>
      <c r="AC514" s="38">
        <v>93.45</v>
      </c>
      <c r="AD514" s="38">
        <v>89.51</v>
      </c>
      <c r="AE514" s="38">
        <v>75.89</v>
      </c>
      <c r="AF514" s="38">
        <v>68.92</v>
      </c>
      <c r="AG514" s="38">
        <v>65.69</v>
      </c>
      <c r="AH514" s="38">
        <v>64.680000000000007</v>
      </c>
      <c r="AI514" s="38">
        <v>65.489999999999995</v>
      </c>
      <c r="AJ514" s="38">
        <v>67.400000000000006</v>
      </c>
      <c r="AK514" s="38">
        <v>70.06</v>
      </c>
      <c r="AL514" s="38">
        <v>73.38</v>
      </c>
      <c r="AM514" s="38">
        <v>74.89</v>
      </c>
      <c r="AN514" s="38">
        <v>75.5</v>
      </c>
      <c r="AO514" s="38">
        <v>74.58</v>
      </c>
      <c r="AP514" s="38">
        <v>72.58</v>
      </c>
      <c r="AQ514" s="38">
        <v>64.58</v>
      </c>
      <c r="AR514" s="38">
        <v>60.58</v>
      </c>
      <c r="AS514" s="38">
        <v>58.66</v>
      </c>
      <c r="AT514" s="38">
        <v>58.39</v>
      </c>
      <c r="AU514" s="38">
        <v>58.91</v>
      </c>
      <c r="AV514" s="38">
        <v>62.91</v>
      </c>
      <c r="AW514" s="38">
        <v>64.91</v>
      </c>
      <c r="AX514" s="38">
        <v>67.25</v>
      </c>
      <c r="AY514" s="38">
        <v>69.290000000000006</v>
      </c>
      <c r="BA514" s="37">
        <v>74.98</v>
      </c>
      <c r="BB514" s="38">
        <v>1.3228</v>
      </c>
    </row>
    <row r="515" spans="1:54" x14ac:dyDescent="0.35">
      <c r="A515" s="2">
        <f t="shared" si="7"/>
        <v>44543</v>
      </c>
      <c r="B515" t="s">
        <v>557</v>
      </c>
      <c r="C515" s="32">
        <v>44543</v>
      </c>
      <c r="D515" s="38">
        <v>294.54000000000002</v>
      </c>
      <c r="E515" s="38">
        <v>295.33999999999997</v>
      </c>
      <c r="F515" s="38">
        <v>273.01</v>
      </c>
      <c r="G515" s="38">
        <v>199.39</v>
      </c>
      <c r="H515" s="38">
        <v>182.48</v>
      </c>
      <c r="I515" s="38">
        <v>178.98</v>
      </c>
      <c r="J515" s="38">
        <v>179.63</v>
      </c>
      <c r="K515" s="38">
        <v>179.94</v>
      </c>
      <c r="L515" s="38">
        <v>181.16</v>
      </c>
      <c r="M515" s="38">
        <v>181.66</v>
      </c>
      <c r="N515" s="38">
        <v>185.59</v>
      </c>
      <c r="O515" s="38">
        <v>188.77</v>
      </c>
      <c r="P515" s="38">
        <v>191.84</v>
      </c>
      <c r="Q515" s="38">
        <v>190.76</v>
      </c>
      <c r="R515" s="38">
        <v>179.26</v>
      </c>
      <c r="S515" s="38">
        <v>106</v>
      </c>
      <c r="T515" s="38">
        <v>88.65</v>
      </c>
      <c r="U515" s="38">
        <v>80.19</v>
      </c>
      <c r="V515" s="38">
        <v>82.43</v>
      </c>
      <c r="W515" s="38">
        <v>84.08</v>
      </c>
      <c r="X515" s="38">
        <v>86.27</v>
      </c>
      <c r="Y515" s="38">
        <v>90.91</v>
      </c>
      <c r="Z515" s="38">
        <v>93.03</v>
      </c>
      <c r="AA515" s="38">
        <v>94.92</v>
      </c>
      <c r="AB515" s="38">
        <v>96.1</v>
      </c>
      <c r="AC515" s="38">
        <v>95.97</v>
      </c>
      <c r="AD515" s="38">
        <v>92.03</v>
      </c>
      <c r="AE515" s="38">
        <v>78.41</v>
      </c>
      <c r="AF515" s="38">
        <v>71.44</v>
      </c>
      <c r="AG515" s="38">
        <v>68.209999999999994</v>
      </c>
      <c r="AH515" s="38">
        <v>67.2</v>
      </c>
      <c r="AI515" s="38">
        <v>68.010000000000005</v>
      </c>
      <c r="AJ515" s="38">
        <v>69.92</v>
      </c>
      <c r="AK515" s="38">
        <v>73.02</v>
      </c>
      <c r="AL515" s="38">
        <v>76.34</v>
      </c>
      <c r="AM515" s="38">
        <v>77.849999999999994</v>
      </c>
      <c r="AN515" s="38">
        <v>78.459999999999994</v>
      </c>
      <c r="AO515" s="38">
        <v>77.540000000000006</v>
      </c>
      <c r="AP515" s="38">
        <v>75.540000000000006</v>
      </c>
      <c r="AQ515" s="38">
        <v>66.540000000000006</v>
      </c>
      <c r="AR515" s="38">
        <v>62.54</v>
      </c>
      <c r="AS515" s="38">
        <v>60.62</v>
      </c>
      <c r="AT515" s="38">
        <v>60.35</v>
      </c>
      <c r="AU515" s="38">
        <v>60.87</v>
      </c>
      <c r="AV515" s="38">
        <v>64.87</v>
      </c>
      <c r="AW515" s="38">
        <v>66.87</v>
      </c>
      <c r="AX515" s="38">
        <v>69.209999999999994</v>
      </c>
      <c r="AY515" s="38">
        <v>71.25</v>
      </c>
      <c r="BA515" s="37">
        <v>74.12</v>
      </c>
      <c r="BB515" s="38">
        <v>1.3230999999999999</v>
      </c>
    </row>
    <row r="516" spans="1:54" x14ac:dyDescent="0.35">
      <c r="A516" s="2">
        <f t="shared" si="7"/>
        <v>44544</v>
      </c>
      <c r="B516" t="s">
        <v>558</v>
      </c>
      <c r="C516" s="32">
        <v>44544</v>
      </c>
      <c r="D516" s="38">
        <v>323.39999999999998</v>
      </c>
      <c r="E516" s="38">
        <v>323.89999999999998</v>
      </c>
      <c r="F516" s="38">
        <v>295.89999999999998</v>
      </c>
      <c r="G516" s="38">
        <v>195.45</v>
      </c>
      <c r="H516" s="38">
        <v>181.77</v>
      </c>
      <c r="I516" s="38">
        <v>179.27</v>
      </c>
      <c r="J516" s="38">
        <v>179.87</v>
      </c>
      <c r="K516" s="38">
        <v>180.18</v>
      </c>
      <c r="L516" s="38">
        <v>180.77</v>
      </c>
      <c r="M516" s="38">
        <v>181.22</v>
      </c>
      <c r="N516" s="38">
        <v>185.06</v>
      </c>
      <c r="O516" s="38">
        <v>188.24</v>
      </c>
      <c r="P516" s="38">
        <v>191.42</v>
      </c>
      <c r="Q516" s="38">
        <v>190.18</v>
      </c>
      <c r="R516" s="38">
        <v>178.68</v>
      </c>
      <c r="S516" s="38">
        <v>103.17</v>
      </c>
      <c r="T516" s="38">
        <v>85.82</v>
      </c>
      <c r="U516" s="38">
        <v>77.36</v>
      </c>
      <c r="V516" s="38">
        <v>79.599999999999994</v>
      </c>
      <c r="W516" s="38">
        <v>81.25</v>
      </c>
      <c r="X516" s="38">
        <v>83.44</v>
      </c>
      <c r="Y516" s="38">
        <v>88.94</v>
      </c>
      <c r="Z516" s="38">
        <v>91.06</v>
      </c>
      <c r="AA516" s="38">
        <v>92.95</v>
      </c>
      <c r="AB516" s="38">
        <v>94.13</v>
      </c>
      <c r="AC516" s="38">
        <v>94</v>
      </c>
      <c r="AD516" s="38">
        <v>90.06</v>
      </c>
      <c r="AE516" s="38">
        <v>75.709999999999994</v>
      </c>
      <c r="AF516" s="38">
        <v>68.739999999999995</v>
      </c>
      <c r="AG516" s="38">
        <v>65.510000000000005</v>
      </c>
      <c r="AH516" s="38">
        <v>64.5</v>
      </c>
      <c r="AI516" s="38">
        <v>65.31</v>
      </c>
      <c r="AJ516" s="38">
        <v>67.22</v>
      </c>
      <c r="AK516" s="38">
        <v>70.62</v>
      </c>
      <c r="AL516" s="38">
        <v>73.94</v>
      </c>
      <c r="AM516" s="38">
        <v>75.45</v>
      </c>
      <c r="AN516" s="38">
        <v>76.06</v>
      </c>
      <c r="AO516" s="38">
        <v>75.14</v>
      </c>
      <c r="AP516" s="38">
        <v>73.14</v>
      </c>
      <c r="AQ516" s="38">
        <v>64.14</v>
      </c>
      <c r="AR516" s="38">
        <v>60.14</v>
      </c>
      <c r="AS516" s="38">
        <v>58.22</v>
      </c>
      <c r="AT516" s="38">
        <v>57.95</v>
      </c>
      <c r="AU516" s="38">
        <v>58.47</v>
      </c>
      <c r="AV516" s="38">
        <v>62.47</v>
      </c>
      <c r="AW516" s="38">
        <v>64.47</v>
      </c>
      <c r="AX516" s="38">
        <v>66.81</v>
      </c>
      <c r="AY516" s="38">
        <v>68.849999999999994</v>
      </c>
      <c r="BA516" s="37">
        <v>73.37</v>
      </c>
      <c r="BB516" s="38">
        <v>1.3232999999999999</v>
      </c>
    </row>
    <row r="517" spans="1:54" x14ac:dyDescent="0.35">
      <c r="A517" s="2">
        <f t="shared" si="7"/>
        <v>44545</v>
      </c>
      <c r="B517" t="s">
        <v>559</v>
      </c>
      <c r="C517" s="32">
        <v>44545</v>
      </c>
      <c r="D517" s="38">
        <v>335.06</v>
      </c>
      <c r="E517" s="38">
        <v>334.78</v>
      </c>
      <c r="F517" s="38">
        <v>298.82</v>
      </c>
      <c r="G517" s="38">
        <v>189.37</v>
      </c>
      <c r="H517" s="38">
        <v>175.47</v>
      </c>
      <c r="I517" s="38">
        <v>173.57</v>
      </c>
      <c r="J517" s="38">
        <v>173.22</v>
      </c>
      <c r="K517" s="38">
        <v>173.53</v>
      </c>
      <c r="L517" s="38">
        <v>174.12</v>
      </c>
      <c r="M517" s="38">
        <v>175.07</v>
      </c>
      <c r="N517" s="38">
        <v>179.07</v>
      </c>
      <c r="O517" s="38">
        <v>182.25</v>
      </c>
      <c r="P517" s="38">
        <v>185.43</v>
      </c>
      <c r="Q517" s="38">
        <v>184.19</v>
      </c>
      <c r="R517" s="38">
        <v>172.69</v>
      </c>
      <c r="S517" s="38">
        <v>103.19</v>
      </c>
      <c r="T517" s="38">
        <v>85.84</v>
      </c>
      <c r="U517" s="38">
        <v>77.38</v>
      </c>
      <c r="V517" s="38">
        <v>79.62</v>
      </c>
      <c r="W517" s="38">
        <v>81.27</v>
      </c>
      <c r="X517" s="38">
        <v>83.46</v>
      </c>
      <c r="Y517" s="38">
        <v>88.96</v>
      </c>
      <c r="Z517" s="38">
        <v>91.08</v>
      </c>
      <c r="AA517" s="38">
        <v>92.97</v>
      </c>
      <c r="AB517" s="38">
        <v>94.15</v>
      </c>
      <c r="AC517" s="38">
        <v>94.02</v>
      </c>
      <c r="AD517" s="38">
        <v>90.08</v>
      </c>
      <c r="AE517" s="38">
        <v>75.08</v>
      </c>
      <c r="AF517" s="38">
        <v>68.11</v>
      </c>
      <c r="AG517" s="38">
        <v>64.88</v>
      </c>
      <c r="AH517" s="38">
        <v>63.87</v>
      </c>
      <c r="AI517" s="38">
        <v>64.680000000000007</v>
      </c>
      <c r="AJ517" s="38">
        <v>66.59</v>
      </c>
      <c r="AK517" s="38">
        <v>72.94</v>
      </c>
      <c r="AL517" s="38">
        <v>76.260000000000005</v>
      </c>
      <c r="AM517" s="38">
        <v>77.77</v>
      </c>
      <c r="AN517" s="38">
        <v>78.38</v>
      </c>
      <c r="AO517" s="38">
        <v>77.459999999999994</v>
      </c>
      <c r="AP517" s="38">
        <v>75.459999999999994</v>
      </c>
      <c r="AQ517" s="38">
        <v>66.459999999999994</v>
      </c>
      <c r="AR517" s="38">
        <v>62.46</v>
      </c>
      <c r="AS517" s="38">
        <v>60.54</v>
      </c>
      <c r="AT517" s="38">
        <v>60.27</v>
      </c>
      <c r="AU517" s="38">
        <v>60.79</v>
      </c>
      <c r="AV517" s="38">
        <v>64.790000000000006</v>
      </c>
      <c r="AW517" s="38">
        <v>66.790000000000006</v>
      </c>
      <c r="AX517" s="38">
        <v>69.13</v>
      </c>
      <c r="AY517" s="38">
        <v>71.17</v>
      </c>
      <c r="BA517" s="37">
        <v>73.709999999999994</v>
      </c>
      <c r="BB517" s="38">
        <v>1.3213999999999999</v>
      </c>
    </row>
    <row r="518" spans="1:54" x14ac:dyDescent="0.35">
      <c r="A518" s="2">
        <f t="shared" si="7"/>
        <v>44546</v>
      </c>
      <c r="B518" t="s">
        <v>560</v>
      </c>
      <c r="C518" s="32">
        <v>44546</v>
      </c>
      <c r="D518" s="38">
        <v>359.48</v>
      </c>
      <c r="E518" s="38">
        <v>359.02</v>
      </c>
      <c r="F518" s="38">
        <v>318</v>
      </c>
      <c r="G518" s="38">
        <v>204.34</v>
      </c>
      <c r="H518" s="38">
        <v>193.01</v>
      </c>
      <c r="I518" s="38">
        <v>191.21</v>
      </c>
      <c r="J518" s="38">
        <v>190.86</v>
      </c>
      <c r="K518" s="38">
        <v>191.17</v>
      </c>
      <c r="L518" s="38">
        <v>192.37</v>
      </c>
      <c r="M518" s="38">
        <v>192.85</v>
      </c>
      <c r="N518" s="38">
        <v>196.15</v>
      </c>
      <c r="O518" s="38">
        <v>199.33</v>
      </c>
      <c r="P518" s="38">
        <v>202.75</v>
      </c>
      <c r="Q518" s="38">
        <v>201.51</v>
      </c>
      <c r="R518" s="38">
        <v>190.01</v>
      </c>
      <c r="S518" s="38">
        <v>108.07</v>
      </c>
      <c r="T518" s="38">
        <v>90.72</v>
      </c>
      <c r="U518" s="38">
        <v>82.26</v>
      </c>
      <c r="V518" s="38">
        <v>84.5</v>
      </c>
      <c r="W518" s="38">
        <v>86.15</v>
      </c>
      <c r="X518" s="38">
        <v>88.34</v>
      </c>
      <c r="Y518" s="38">
        <v>92.62</v>
      </c>
      <c r="Z518" s="38">
        <v>94.74</v>
      </c>
      <c r="AA518" s="38">
        <v>96.63</v>
      </c>
      <c r="AB518" s="38">
        <v>97.81</v>
      </c>
      <c r="AC518" s="38">
        <v>97.68</v>
      </c>
      <c r="AD518" s="38">
        <v>93.74</v>
      </c>
      <c r="AE518" s="38">
        <v>79.739999999999995</v>
      </c>
      <c r="AF518" s="38">
        <v>72.77</v>
      </c>
      <c r="AG518" s="38">
        <v>69.540000000000006</v>
      </c>
      <c r="AH518" s="38">
        <v>68.53</v>
      </c>
      <c r="AI518" s="38">
        <v>69.34</v>
      </c>
      <c r="AJ518" s="38">
        <v>71.25</v>
      </c>
      <c r="AK518" s="38">
        <v>74.08</v>
      </c>
      <c r="AL518" s="38">
        <v>77.400000000000006</v>
      </c>
      <c r="AM518" s="38">
        <v>78.91</v>
      </c>
      <c r="AN518" s="38">
        <v>79.52</v>
      </c>
      <c r="AO518" s="38">
        <v>78.599999999999994</v>
      </c>
      <c r="AP518" s="38">
        <v>76.599999999999994</v>
      </c>
      <c r="AQ518" s="38">
        <v>67.599999999999994</v>
      </c>
      <c r="AR518" s="38">
        <v>63.6</v>
      </c>
      <c r="AS518" s="38">
        <v>61.68</v>
      </c>
      <c r="AT518" s="38">
        <v>61.41</v>
      </c>
      <c r="AU518" s="38">
        <v>61.93</v>
      </c>
      <c r="AV518" s="38">
        <v>65.930000000000007</v>
      </c>
      <c r="AW518" s="38">
        <v>67.930000000000007</v>
      </c>
      <c r="AX518" s="38">
        <v>70.27</v>
      </c>
      <c r="AY518" s="38">
        <v>72.31</v>
      </c>
      <c r="BA518" s="37">
        <v>74.64</v>
      </c>
      <c r="BB518" s="38">
        <v>1.3327</v>
      </c>
    </row>
    <row r="519" spans="1:54" x14ac:dyDescent="0.35">
      <c r="A519" s="2">
        <f t="shared" si="7"/>
        <v>44547</v>
      </c>
      <c r="B519" t="s">
        <v>561</v>
      </c>
      <c r="C519" s="32">
        <v>44547</v>
      </c>
      <c r="D519" s="38">
        <v>344.9</v>
      </c>
      <c r="E519" s="38">
        <v>345.31</v>
      </c>
      <c r="F519" s="38">
        <v>307.61</v>
      </c>
      <c r="G519" s="38">
        <v>216.09</v>
      </c>
      <c r="H519" s="38">
        <v>204.76</v>
      </c>
      <c r="I519" s="38">
        <v>203.16</v>
      </c>
      <c r="J519" s="38">
        <v>201.71</v>
      </c>
      <c r="K519" s="38">
        <v>202.02</v>
      </c>
      <c r="L519" s="38">
        <v>203.22</v>
      </c>
      <c r="M519" s="38">
        <v>204.71</v>
      </c>
      <c r="N519" s="38">
        <v>208.01</v>
      </c>
      <c r="O519" s="38">
        <v>211.19</v>
      </c>
      <c r="P519" s="38">
        <v>215.75</v>
      </c>
      <c r="Q519" s="38">
        <v>214.51</v>
      </c>
      <c r="R519" s="38">
        <v>203.27</v>
      </c>
      <c r="S519" s="38">
        <v>109.17</v>
      </c>
      <c r="T519" s="38">
        <v>91.82</v>
      </c>
      <c r="U519" s="38">
        <v>83.36</v>
      </c>
      <c r="V519" s="38">
        <v>85.6</v>
      </c>
      <c r="W519" s="38">
        <v>87.25</v>
      </c>
      <c r="X519" s="38">
        <v>89.44</v>
      </c>
      <c r="Y519" s="38">
        <v>94.72</v>
      </c>
      <c r="Z519" s="38">
        <v>96.84</v>
      </c>
      <c r="AA519" s="38">
        <v>98.73</v>
      </c>
      <c r="AB519" s="38">
        <v>99.91</v>
      </c>
      <c r="AC519" s="38">
        <v>99.78</v>
      </c>
      <c r="AD519" s="38">
        <v>95.84</v>
      </c>
      <c r="AE519" s="38">
        <v>81.09</v>
      </c>
      <c r="AF519" s="38">
        <v>74.12</v>
      </c>
      <c r="AG519" s="38">
        <v>70.89</v>
      </c>
      <c r="AH519" s="38">
        <v>69.88</v>
      </c>
      <c r="AI519" s="38">
        <v>70.69</v>
      </c>
      <c r="AJ519" s="38">
        <v>72.599999999999994</v>
      </c>
      <c r="AK519" s="38">
        <v>75.430000000000007</v>
      </c>
      <c r="AL519" s="38">
        <v>78.75</v>
      </c>
      <c r="AM519" s="38">
        <v>80.260000000000005</v>
      </c>
      <c r="AN519" s="38">
        <v>80.87</v>
      </c>
      <c r="AO519" s="38">
        <v>79.95</v>
      </c>
      <c r="AP519" s="38">
        <v>77.95</v>
      </c>
      <c r="AQ519" s="38">
        <v>68.95</v>
      </c>
      <c r="AR519" s="38">
        <v>64.95</v>
      </c>
      <c r="AS519" s="38">
        <v>63.03</v>
      </c>
      <c r="AT519" s="38">
        <v>62.76</v>
      </c>
      <c r="AU519" s="38">
        <v>63.28</v>
      </c>
      <c r="AV519" s="38">
        <v>67.28</v>
      </c>
      <c r="AW519" s="38">
        <v>69.28</v>
      </c>
      <c r="AX519" s="38">
        <v>71.62</v>
      </c>
      <c r="AY519" s="38">
        <v>73.66</v>
      </c>
      <c r="BA519" s="37">
        <v>72.97</v>
      </c>
      <c r="BB519" s="38">
        <v>1.3263</v>
      </c>
    </row>
    <row r="520" spans="1:54" x14ac:dyDescent="0.35">
      <c r="A520" s="2">
        <f t="shared" si="7"/>
        <v>44550</v>
      </c>
      <c r="B520" t="s">
        <v>562</v>
      </c>
      <c r="C520" s="32">
        <v>44550</v>
      </c>
      <c r="D520" s="38">
        <v>371.83</v>
      </c>
      <c r="E520" s="38">
        <v>372.52</v>
      </c>
      <c r="F520" s="38">
        <v>337.31</v>
      </c>
      <c r="G520" s="38">
        <v>243.42</v>
      </c>
      <c r="H520" s="38">
        <v>231.92</v>
      </c>
      <c r="I520" s="38">
        <v>230.37</v>
      </c>
      <c r="J520" s="38">
        <v>229.76</v>
      </c>
      <c r="K520" s="38">
        <v>229.92</v>
      </c>
      <c r="L520" s="38">
        <v>230.35</v>
      </c>
      <c r="M520" s="38">
        <v>231.78</v>
      </c>
      <c r="N520" s="38">
        <v>235.07</v>
      </c>
      <c r="O520" s="38">
        <v>238.23</v>
      </c>
      <c r="P520" s="38">
        <v>242.99</v>
      </c>
      <c r="Q520" s="38">
        <v>241.67</v>
      </c>
      <c r="R520" s="38">
        <v>225.72</v>
      </c>
      <c r="S520" s="38">
        <v>115.7</v>
      </c>
      <c r="T520" s="38">
        <v>96.44</v>
      </c>
      <c r="U520" s="38">
        <v>87.98</v>
      </c>
      <c r="V520" s="38">
        <v>90.22</v>
      </c>
      <c r="W520" s="38">
        <v>91.87</v>
      </c>
      <c r="X520" s="38">
        <v>94.61</v>
      </c>
      <c r="Y520" s="38">
        <v>99.18</v>
      </c>
      <c r="Z520" s="38">
        <v>101.21</v>
      </c>
      <c r="AA520" s="38">
        <v>103.1</v>
      </c>
      <c r="AB520" s="38">
        <v>104.28</v>
      </c>
      <c r="AC520" s="38">
        <v>104.15</v>
      </c>
      <c r="AD520" s="38">
        <v>100.16</v>
      </c>
      <c r="AE520" s="38">
        <v>80.55</v>
      </c>
      <c r="AF520" s="38">
        <v>73.41</v>
      </c>
      <c r="AG520" s="38">
        <v>70.180000000000007</v>
      </c>
      <c r="AH520" s="38">
        <v>69.17</v>
      </c>
      <c r="AI520" s="38">
        <v>69.98</v>
      </c>
      <c r="AJ520" s="38">
        <v>71.89</v>
      </c>
      <c r="AK520" s="38">
        <v>74.72</v>
      </c>
      <c r="AL520" s="38">
        <v>78.040000000000006</v>
      </c>
      <c r="AM520" s="38">
        <v>79.55</v>
      </c>
      <c r="AN520" s="38">
        <v>80.16</v>
      </c>
      <c r="AO520" s="38">
        <v>79.239999999999995</v>
      </c>
      <c r="AP520" s="38">
        <v>77.239999999999995</v>
      </c>
      <c r="AQ520" s="38">
        <v>68.239999999999995</v>
      </c>
      <c r="AR520" s="38">
        <v>64.239999999999995</v>
      </c>
      <c r="AS520" s="38">
        <v>62.32</v>
      </c>
      <c r="AT520" s="38">
        <v>62.05</v>
      </c>
      <c r="AU520" s="38">
        <v>62.57</v>
      </c>
      <c r="AV520" s="38">
        <v>66.569999999999993</v>
      </c>
      <c r="AW520" s="38">
        <v>68.569999999999993</v>
      </c>
      <c r="AX520" s="38">
        <v>70.91</v>
      </c>
      <c r="AY520" s="38">
        <v>72.95</v>
      </c>
      <c r="BA520" s="37">
        <v>70.510000000000005</v>
      </c>
      <c r="BB520" s="38">
        <v>1.3221000000000001</v>
      </c>
    </row>
    <row r="521" spans="1:54" x14ac:dyDescent="0.35">
      <c r="A521" s="2">
        <f t="shared" si="7"/>
        <v>44551</v>
      </c>
      <c r="B521" t="s">
        <v>563</v>
      </c>
      <c r="C521" s="32">
        <v>44551</v>
      </c>
      <c r="D521" s="38">
        <v>451.72</v>
      </c>
      <c r="E521" s="38">
        <v>452.35</v>
      </c>
      <c r="F521" s="38">
        <v>416.82</v>
      </c>
      <c r="G521" s="38">
        <v>325.82</v>
      </c>
      <c r="H521" s="38">
        <v>313.89999999999998</v>
      </c>
      <c r="I521" s="38">
        <v>312.18</v>
      </c>
      <c r="J521" s="38">
        <v>312.52</v>
      </c>
      <c r="K521" s="38">
        <v>312.64999999999998</v>
      </c>
      <c r="L521" s="38">
        <v>313.11</v>
      </c>
      <c r="M521" s="38">
        <v>315.37</v>
      </c>
      <c r="N521" s="38">
        <v>318.56</v>
      </c>
      <c r="O521" s="38">
        <v>321.7</v>
      </c>
      <c r="P521" s="38">
        <v>326.04000000000002</v>
      </c>
      <c r="Q521" s="38">
        <v>324.45</v>
      </c>
      <c r="R521" s="38">
        <v>308.33</v>
      </c>
      <c r="S521" s="38">
        <v>147.13</v>
      </c>
      <c r="T521" s="38">
        <v>99.03</v>
      </c>
      <c r="U521" s="38">
        <v>90.5</v>
      </c>
      <c r="V521" s="38">
        <v>92.69</v>
      </c>
      <c r="W521" s="38">
        <v>94.29</v>
      </c>
      <c r="X521" s="38">
        <v>96.98</v>
      </c>
      <c r="Y521" s="38">
        <v>104.62</v>
      </c>
      <c r="Z521" s="38">
        <v>108.62</v>
      </c>
      <c r="AA521" s="38">
        <v>110.51</v>
      </c>
      <c r="AB521" s="38">
        <v>111.69</v>
      </c>
      <c r="AC521" s="38">
        <v>111.56</v>
      </c>
      <c r="AD521" s="38">
        <v>107.57</v>
      </c>
      <c r="AE521" s="38">
        <v>83.26</v>
      </c>
      <c r="AF521" s="38">
        <v>75.760000000000005</v>
      </c>
      <c r="AG521" s="38">
        <v>72.53</v>
      </c>
      <c r="AH521" s="38">
        <v>71.52</v>
      </c>
      <c r="AI521" s="38">
        <v>72.33</v>
      </c>
      <c r="AJ521" s="38">
        <v>74.239999999999995</v>
      </c>
      <c r="AK521" s="38">
        <v>71.959999999999994</v>
      </c>
      <c r="AL521" s="38">
        <v>73</v>
      </c>
      <c r="AM521" s="38">
        <v>74.510000000000005</v>
      </c>
      <c r="AN521" s="38">
        <v>75.12</v>
      </c>
      <c r="AO521" s="38">
        <v>74.2</v>
      </c>
      <c r="AP521" s="38">
        <v>72.2</v>
      </c>
      <c r="AQ521" s="38">
        <v>63.2</v>
      </c>
      <c r="AR521" s="38">
        <v>59.2</v>
      </c>
      <c r="AS521" s="38">
        <v>57.28</v>
      </c>
      <c r="AT521" s="38">
        <v>57.01</v>
      </c>
      <c r="AU521" s="38">
        <v>57.53</v>
      </c>
      <c r="AV521" s="38">
        <v>61.53</v>
      </c>
      <c r="AW521" s="38">
        <v>63.53</v>
      </c>
      <c r="AX521" s="38">
        <v>65.87</v>
      </c>
      <c r="AY521" s="38">
        <v>67.91</v>
      </c>
      <c r="BA521" s="37">
        <v>72.849999999999994</v>
      </c>
      <c r="BB521" s="38">
        <v>1.3232999999999999</v>
      </c>
    </row>
    <row r="522" spans="1:54" x14ac:dyDescent="0.35">
      <c r="A522" s="2">
        <f t="shared" si="7"/>
        <v>44552</v>
      </c>
      <c r="B522" t="s">
        <v>564</v>
      </c>
      <c r="C522" s="32">
        <v>44552</v>
      </c>
      <c r="D522" s="38">
        <v>432.34</v>
      </c>
      <c r="E522" s="38">
        <v>433.18</v>
      </c>
      <c r="F522" s="38">
        <v>409</v>
      </c>
      <c r="G522" s="38">
        <v>335.94</v>
      </c>
      <c r="H522" s="38">
        <v>323.44</v>
      </c>
      <c r="I522" s="38">
        <v>321.69</v>
      </c>
      <c r="J522" s="38">
        <v>322.02999999999997</v>
      </c>
      <c r="K522" s="38">
        <v>321.99</v>
      </c>
      <c r="L522" s="38">
        <v>322.54000000000002</v>
      </c>
      <c r="M522" s="38">
        <v>324.67</v>
      </c>
      <c r="N522" s="38">
        <v>327.71</v>
      </c>
      <c r="O522" s="38">
        <v>333.62</v>
      </c>
      <c r="P522" s="38">
        <v>338.11</v>
      </c>
      <c r="Q522" s="38">
        <v>336.61</v>
      </c>
      <c r="R522" s="38">
        <v>313.97000000000003</v>
      </c>
      <c r="S522" s="38">
        <v>143.74</v>
      </c>
      <c r="T522" s="38">
        <v>94.9</v>
      </c>
      <c r="U522" s="38">
        <v>86.09</v>
      </c>
      <c r="V522" s="38">
        <v>88.17</v>
      </c>
      <c r="W522" s="38">
        <v>89.73</v>
      </c>
      <c r="X522" s="38">
        <v>92.23</v>
      </c>
      <c r="Y522" s="38">
        <v>98.23</v>
      </c>
      <c r="Z522" s="38">
        <v>101.23</v>
      </c>
      <c r="AA522" s="38">
        <v>103.12</v>
      </c>
      <c r="AB522" s="38">
        <v>104.3</v>
      </c>
      <c r="AC522" s="38">
        <v>104.17</v>
      </c>
      <c r="AD522" s="38">
        <v>100.18</v>
      </c>
      <c r="AE522" s="38">
        <v>75.77</v>
      </c>
      <c r="AF522" s="38">
        <v>68.27</v>
      </c>
      <c r="AG522" s="38">
        <v>65.040000000000006</v>
      </c>
      <c r="AH522" s="38">
        <v>64.03</v>
      </c>
      <c r="AI522" s="38">
        <v>64.84</v>
      </c>
      <c r="AJ522" s="38">
        <v>66.75</v>
      </c>
      <c r="AK522" s="38">
        <v>64.47</v>
      </c>
      <c r="AL522" s="38">
        <v>65.510000000000005</v>
      </c>
      <c r="AM522" s="38">
        <v>67.02</v>
      </c>
      <c r="AN522" s="38">
        <v>67.63</v>
      </c>
      <c r="AO522" s="38">
        <v>66.709999999999994</v>
      </c>
      <c r="AP522" s="38">
        <v>64.709999999999994</v>
      </c>
      <c r="AQ522" s="38">
        <v>55.71</v>
      </c>
      <c r="AR522" s="38">
        <v>51.71</v>
      </c>
      <c r="AS522" s="38">
        <v>49.79</v>
      </c>
      <c r="AT522" s="38">
        <v>49.52</v>
      </c>
      <c r="AU522" s="38">
        <v>50.04</v>
      </c>
      <c r="AV522" s="38">
        <v>55.04</v>
      </c>
      <c r="AW522" s="38">
        <v>61.89</v>
      </c>
      <c r="AX522" s="38">
        <v>66.06</v>
      </c>
      <c r="AY522" s="38">
        <v>68.099999999999994</v>
      </c>
      <c r="BA522" s="37">
        <v>74.69</v>
      </c>
      <c r="BB522" s="38">
        <v>1.3345</v>
      </c>
    </row>
    <row r="523" spans="1:54" x14ac:dyDescent="0.35">
      <c r="A523" s="2">
        <f t="shared" si="7"/>
        <v>44553</v>
      </c>
      <c r="B523" t="s">
        <v>565</v>
      </c>
      <c r="C523" s="32">
        <v>44553</v>
      </c>
      <c r="D523" s="38">
        <v>325.60000000000002</v>
      </c>
      <c r="E523" s="38">
        <v>328.5</v>
      </c>
      <c r="F523" s="38">
        <v>311.67</v>
      </c>
      <c r="G523" s="38">
        <v>272.2</v>
      </c>
      <c r="H523" s="38">
        <v>264.18</v>
      </c>
      <c r="I523" s="38">
        <v>263.38</v>
      </c>
      <c r="J523" s="38">
        <v>263.02999999999997</v>
      </c>
      <c r="K523" s="38">
        <v>263.13</v>
      </c>
      <c r="L523" s="38">
        <v>264.24</v>
      </c>
      <c r="M523" s="38">
        <v>265.72000000000003</v>
      </c>
      <c r="N523" s="38">
        <v>268.11</v>
      </c>
      <c r="O523" s="38">
        <v>274.14</v>
      </c>
      <c r="P523" s="38">
        <v>278.77999999999997</v>
      </c>
      <c r="Q523" s="38">
        <v>277.38</v>
      </c>
      <c r="R523" s="38">
        <v>262.38</v>
      </c>
      <c r="S523" s="38">
        <v>132.44</v>
      </c>
      <c r="T523" s="38">
        <v>92.44</v>
      </c>
      <c r="U523" s="38">
        <v>84.44</v>
      </c>
      <c r="V523" s="38">
        <v>86.52</v>
      </c>
      <c r="W523" s="38">
        <v>88.08</v>
      </c>
      <c r="X523" s="38">
        <v>90.58</v>
      </c>
      <c r="Y523" s="38">
        <v>96.1</v>
      </c>
      <c r="Z523" s="38">
        <v>98.48</v>
      </c>
      <c r="AA523" s="38">
        <v>100.05</v>
      </c>
      <c r="AB523" s="38">
        <v>101.28</v>
      </c>
      <c r="AC523" s="38">
        <v>101.31</v>
      </c>
      <c r="AD523" s="38">
        <v>97.52</v>
      </c>
      <c r="AE523" s="38">
        <v>73.59</v>
      </c>
      <c r="AF523" s="38">
        <v>66.41</v>
      </c>
      <c r="AG523" s="38">
        <v>63.48</v>
      </c>
      <c r="AH523" s="38">
        <v>62.67</v>
      </c>
      <c r="AI523" s="38">
        <v>63.64</v>
      </c>
      <c r="AJ523" s="38">
        <v>65.760000000000005</v>
      </c>
      <c r="AK523" s="38">
        <v>63.8</v>
      </c>
      <c r="AL523" s="38">
        <v>65.11</v>
      </c>
      <c r="AM523" s="38">
        <v>66.8</v>
      </c>
      <c r="AN523" s="38">
        <v>67.66</v>
      </c>
      <c r="AO523" s="38">
        <v>67.02</v>
      </c>
      <c r="AP523" s="38">
        <v>65.5</v>
      </c>
      <c r="AQ523" s="38">
        <v>57.7</v>
      </c>
      <c r="AR523" s="38">
        <v>54.06</v>
      </c>
      <c r="AS523" s="38">
        <v>52.14</v>
      </c>
      <c r="AT523" s="38">
        <v>51.87</v>
      </c>
      <c r="AU523" s="38">
        <v>52.39</v>
      </c>
      <c r="AV523" s="38">
        <v>57.39</v>
      </c>
      <c r="AW523" s="38">
        <v>64.239999999999995</v>
      </c>
      <c r="AX523" s="38">
        <v>68.41</v>
      </c>
      <c r="AY523" s="38">
        <v>70.45</v>
      </c>
      <c r="BA523" s="37">
        <v>76.260000000000005</v>
      </c>
      <c r="BB523" s="38">
        <v>1.341</v>
      </c>
    </row>
    <row r="524" spans="1:54" x14ac:dyDescent="0.35">
      <c r="A524" s="2">
        <f t="shared" si="7"/>
        <v>44554</v>
      </c>
      <c r="B524" t="s">
        <v>566</v>
      </c>
      <c r="C524" s="32">
        <v>44554</v>
      </c>
      <c r="D524" s="38">
        <v>267.82</v>
      </c>
      <c r="E524" s="38">
        <v>272.69</v>
      </c>
      <c r="F524" s="38">
        <v>260.89999999999998</v>
      </c>
      <c r="G524" s="38">
        <v>242.84</v>
      </c>
      <c r="H524" s="38">
        <v>236.64</v>
      </c>
      <c r="I524" s="38">
        <v>235.71</v>
      </c>
      <c r="J524" s="38">
        <v>235.89</v>
      </c>
      <c r="K524" s="38">
        <v>236.26</v>
      </c>
      <c r="L524" s="38">
        <v>237.76</v>
      </c>
      <c r="M524" s="38">
        <v>239.08</v>
      </c>
      <c r="N524" s="38">
        <v>242.47</v>
      </c>
      <c r="O524" s="38">
        <v>248.14</v>
      </c>
      <c r="P524" s="38">
        <v>249.68</v>
      </c>
      <c r="Q524" s="38">
        <v>248.02</v>
      </c>
      <c r="R524" s="38">
        <v>235.43</v>
      </c>
      <c r="S524" s="38">
        <v>125.43</v>
      </c>
      <c r="T524" s="38">
        <v>90.43</v>
      </c>
      <c r="U524" s="38">
        <v>84.43</v>
      </c>
      <c r="V524" s="38">
        <v>86.53</v>
      </c>
      <c r="W524" s="38">
        <v>88.13</v>
      </c>
      <c r="X524" s="38">
        <v>90.88</v>
      </c>
      <c r="Y524" s="38">
        <v>95.88</v>
      </c>
      <c r="Z524" s="38">
        <v>98.28</v>
      </c>
      <c r="AA524" s="38">
        <v>99.88</v>
      </c>
      <c r="AB524" s="38">
        <v>101.14</v>
      </c>
      <c r="AC524" s="38">
        <v>101.25</v>
      </c>
      <c r="AD524" s="38">
        <v>97.5</v>
      </c>
      <c r="AE524" s="38">
        <v>73.5</v>
      </c>
      <c r="AF524" s="38">
        <v>66.5</v>
      </c>
      <c r="AG524" s="38">
        <v>63.6</v>
      </c>
      <c r="AH524" s="38">
        <v>62.85</v>
      </c>
      <c r="AI524" s="38">
        <v>63.85</v>
      </c>
      <c r="AJ524" s="38">
        <v>66.05</v>
      </c>
      <c r="AK524" s="38">
        <v>64.650000000000006</v>
      </c>
      <c r="AL524" s="38">
        <v>66.150000000000006</v>
      </c>
      <c r="AM524" s="38">
        <v>67.900000000000006</v>
      </c>
      <c r="AN524" s="38">
        <v>68.900000000000006</v>
      </c>
      <c r="AO524" s="38">
        <v>68.3</v>
      </c>
      <c r="AP524" s="38">
        <v>66.8</v>
      </c>
      <c r="AQ524" s="38">
        <v>59.2</v>
      </c>
      <c r="AR524" s="38">
        <v>55.56</v>
      </c>
      <c r="AS524" s="38">
        <v>53.64</v>
      </c>
      <c r="AT524" s="38">
        <v>53.37</v>
      </c>
      <c r="AU524" s="38">
        <v>53.89</v>
      </c>
      <c r="AV524" s="38">
        <v>58.89</v>
      </c>
      <c r="AW524" s="38">
        <v>65.739999999999995</v>
      </c>
      <c r="AX524" s="38">
        <v>69.91</v>
      </c>
      <c r="AY524" s="38">
        <v>71.95</v>
      </c>
      <c r="BA524" s="37">
        <v>75.239999999999995</v>
      </c>
      <c r="BB524" s="38">
        <v>1.3412999999999999</v>
      </c>
    </row>
    <row r="525" spans="1:54" x14ac:dyDescent="0.35">
      <c r="A525" s="2">
        <f t="shared" ref="A525:A588" si="8">+A520+7</f>
        <v>44557</v>
      </c>
      <c r="B525" t="s">
        <v>567</v>
      </c>
      <c r="C525" s="32">
        <v>44557</v>
      </c>
      <c r="D525" s="38">
        <v>267.82</v>
      </c>
      <c r="E525" s="38">
        <v>272.69</v>
      </c>
      <c r="F525" s="38">
        <v>260.89999999999998</v>
      </c>
      <c r="G525" s="38">
        <v>242.84</v>
      </c>
      <c r="H525" s="38">
        <v>236.64</v>
      </c>
      <c r="I525" s="38">
        <v>235.71</v>
      </c>
      <c r="J525" s="38">
        <v>235.89</v>
      </c>
      <c r="K525" s="38">
        <v>236.26</v>
      </c>
      <c r="L525" s="38">
        <v>237.76</v>
      </c>
      <c r="M525" s="38">
        <v>239.08</v>
      </c>
      <c r="N525" s="38">
        <v>242.47</v>
      </c>
      <c r="O525" s="38">
        <v>248.14</v>
      </c>
      <c r="P525" s="38">
        <v>249.68</v>
      </c>
      <c r="Q525" s="38">
        <v>248.02</v>
      </c>
      <c r="R525" s="38">
        <v>235.43</v>
      </c>
      <c r="S525" s="38">
        <v>125.43</v>
      </c>
      <c r="T525" s="38">
        <v>90.43</v>
      </c>
      <c r="U525" s="38">
        <v>84.43</v>
      </c>
      <c r="V525" s="38">
        <v>86.53</v>
      </c>
      <c r="W525" s="38">
        <v>88.13</v>
      </c>
      <c r="X525" s="38">
        <v>90.88</v>
      </c>
      <c r="Y525" s="38">
        <v>95.88</v>
      </c>
      <c r="Z525" s="38">
        <v>98.28</v>
      </c>
      <c r="AA525" s="38">
        <v>99.88</v>
      </c>
      <c r="AB525" s="38">
        <v>101.14</v>
      </c>
      <c r="AC525" s="38">
        <v>101.25</v>
      </c>
      <c r="AD525" s="38">
        <v>97.5</v>
      </c>
      <c r="AE525" s="38">
        <v>73.5</v>
      </c>
      <c r="AF525" s="38">
        <v>66.5</v>
      </c>
      <c r="AG525" s="38">
        <v>63.6</v>
      </c>
      <c r="AH525" s="38">
        <v>62.85</v>
      </c>
      <c r="AI525" s="38">
        <v>63.85</v>
      </c>
      <c r="AJ525" s="38">
        <v>66.05</v>
      </c>
      <c r="AK525" s="38">
        <v>64.650000000000006</v>
      </c>
      <c r="AL525" s="38">
        <v>66.150000000000006</v>
      </c>
      <c r="AM525" s="38">
        <v>67.900000000000006</v>
      </c>
      <c r="AN525" s="38">
        <v>68.900000000000006</v>
      </c>
      <c r="AO525" s="38">
        <v>68.3</v>
      </c>
      <c r="AP525" s="38">
        <v>66.8</v>
      </c>
      <c r="AQ525" s="38">
        <v>59.2</v>
      </c>
      <c r="AR525" s="38">
        <v>55.56</v>
      </c>
      <c r="AS525" s="38">
        <v>53.64</v>
      </c>
      <c r="AT525" s="38">
        <v>53.37</v>
      </c>
      <c r="AU525" s="38">
        <v>53.89</v>
      </c>
      <c r="AV525" s="38">
        <v>58.89</v>
      </c>
      <c r="AW525" s="38">
        <v>65.739999999999995</v>
      </c>
      <c r="AX525" s="38">
        <v>69.91</v>
      </c>
      <c r="AY525" s="38">
        <v>71.95</v>
      </c>
      <c r="BA525" s="37" t="e">
        <v>#N/A</v>
      </c>
      <c r="BB525" s="38" t="e">
        <v>#N/A</v>
      </c>
    </row>
    <row r="526" spans="1:54" x14ac:dyDescent="0.35">
      <c r="A526" s="2">
        <f t="shared" si="8"/>
        <v>44558</v>
      </c>
      <c r="B526" t="s">
        <v>568</v>
      </c>
      <c r="C526" s="32">
        <v>44558</v>
      </c>
      <c r="D526" s="38">
        <v>267.82</v>
      </c>
      <c r="E526" s="38">
        <v>272.69</v>
      </c>
      <c r="F526" s="38">
        <v>260.89999999999998</v>
      </c>
      <c r="G526" s="38">
        <v>242.84</v>
      </c>
      <c r="H526" s="38">
        <v>236.64</v>
      </c>
      <c r="I526" s="38">
        <v>235.71</v>
      </c>
      <c r="J526" s="38">
        <v>235.89</v>
      </c>
      <c r="K526" s="38">
        <v>236.26</v>
      </c>
      <c r="L526" s="38">
        <v>237.76</v>
      </c>
      <c r="M526" s="38">
        <v>239.08</v>
      </c>
      <c r="N526" s="38">
        <v>242.47</v>
      </c>
      <c r="O526" s="38">
        <v>248.14</v>
      </c>
      <c r="P526" s="38">
        <v>249.68</v>
      </c>
      <c r="Q526" s="38">
        <v>248.02</v>
      </c>
      <c r="R526" s="38">
        <v>235.43</v>
      </c>
      <c r="S526" s="38">
        <v>125.43</v>
      </c>
      <c r="T526" s="38">
        <v>90.43</v>
      </c>
      <c r="U526" s="38">
        <v>84.43</v>
      </c>
      <c r="V526" s="38">
        <v>86.53</v>
      </c>
      <c r="W526" s="38">
        <v>88.13</v>
      </c>
      <c r="X526" s="38">
        <v>90.88</v>
      </c>
      <c r="Y526" s="38">
        <v>95.88</v>
      </c>
      <c r="Z526" s="38">
        <v>98.28</v>
      </c>
      <c r="AA526" s="38">
        <v>99.88</v>
      </c>
      <c r="AB526" s="38">
        <v>101.14</v>
      </c>
      <c r="AC526" s="38">
        <v>101.25</v>
      </c>
      <c r="AD526" s="38">
        <v>97.5</v>
      </c>
      <c r="AE526" s="38">
        <v>73.5</v>
      </c>
      <c r="AF526" s="38">
        <v>66.5</v>
      </c>
      <c r="AG526" s="38">
        <v>63.6</v>
      </c>
      <c r="AH526" s="38">
        <v>62.85</v>
      </c>
      <c r="AI526" s="38">
        <v>63.85</v>
      </c>
      <c r="AJ526" s="38">
        <v>66.05</v>
      </c>
      <c r="AK526" s="38">
        <v>64.650000000000006</v>
      </c>
      <c r="AL526" s="38">
        <v>66.150000000000006</v>
      </c>
      <c r="AM526" s="38">
        <v>67.900000000000006</v>
      </c>
      <c r="AN526" s="38">
        <v>68.900000000000006</v>
      </c>
      <c r="AO526" s="38">
        <v>68.3</v>
      </c>
      <c r="AP526" s="38">
        <v>66.8</v>
      </c>
      <c r="AQ526" s="38">
        <v>59.2</v>
      </c>
      <c r="AR526" s="38">
        <v>55.56</v>
      </c>
      <c r="AS526" s="38">
        <v>53.64</v>
      </c>
      <c r="AT526" s="38">
        <v>53.37</v>
      </c>
      <c r="AU526" s="38">
        <v>53.89</v>
      </c>
      <c r="AV526" s="38">
        <v>58.89</v>
      </c>
      <c r="AW526" s="38">
        <v>65.739999999999995</v>
      </c>
      <c r="AX526" s="38">
        <v>69.91</v>
      </c>
      <c r="AY526" s="38">
        <v>71.95</v>
      </c>
      <c r="BA526" s="37" t="e">
        <v>#N/A</v>
      </c>
      <c r="BB526" s="38" t="e">
        <v>#N/A</v>
      </c>
    </row>
    <row r="527" spans="1:54" x14ac:dyDescent="0.35">
      <c r="A527" s="2">
        <f t="shared" si="8"/>
        <v>44559</v>
      </c>
      <c r="B527" t="s">
        <v>569</v>
      </c>
      <c r="C527" s="32">
        <v>44559</v>
      </c>
      <c r="D527" s="38">
        <v>233.18</v>
      </c>
      <c r="E527" s="38">
        <v>238.58</v>
      </c>
      <c r="F527" s="38">
        <v>231.21</v>
      </c>
      <c r="G527" s="38">
        <v>219.62</v>
      </c>
      <c r="H527" s="38">
        <v>215.27</v>
      </c>
      <c r="I527" s="38">
        <v>214.27</v>
      </c>
      <c r="J527" s="38">
        <v>218.39</v>
      </c>
      <c r="K527" s="38">
        <v>218.91</v>
      </c>
      <c r="L527" s="38">
        <v>220.04</v>
      </c>
      <c r="M527" s="38">
        <v>220.04</v>
      </c>
      <c r="N527" s="38">
        <v>222.54</v>
      </c>
      <c r="O527" s="38">
        <v>228.35</v>
      </c>
      <c r="P527" s="38">
        <v>230.03</v>
      </c>
      <c r="Q527" s="38">
        <v>228.53</v>
      </c>
      <c r="R527" s="38">
        <v>217.41</v>
      </c>
      <c r="S527" s="38">
        <v>124.59</v>
      </c>
      <c r="T527" s="38">
        <v>91.48</v>
      </c>
      <c r="U527" s="38">
        <v>85.45</v>
      </c>
      <c r="V527" s="38">
        <v>87.5</v>
      </c>
      <c r="W527" s="38">
        <v>89.05</v>
      </c>
      <c r="X527" s="38">
        <v>91.27</v>
      </c>
      <c r="Y527" s="38">
        <v>96.23</v>
      </c>
      <c r="Z527" s="38">
        <v>98.66</v>
      </c>
      <c r="AA527" s="38">
        <v>100.26</v>
      </c>
      <c r="AB527" s="38">
        <v>101.52</v>
      </c>
      <c r="AC527" s="38">
        <v>101.63</v>
      </c>
      <c r="AD527" s="38">
        <v>97.88</v>
      </c>
      <c r="AE527" s="38">
        <v>72.63</v>
      </c>
      <c r="AF527" s="38">
        <v>65.63</v>
      </c>
      <c r="AG527" s="38">
        <v>62.73</v>
      </c>
      <c r="AH527" s="38">
        <v>61.98</v>
      </c>
      <c r="AI527" s="38">
        <v>62.98</v>
      </c>
      <c r="AJ527" s="38">
        <v>65.180000000000007</v>
      </c>
      <c r="AK527" s="38">
        <v>66.180000000000007</v>
      </c>
      <c r="AL527" s="38">
        <v>70.180000000000007</v>
      </c>
      <c r="AM527" s="38">
        <v>71.930000000000007</v>
      </c>
      <c r="AN527" s="38">
        <v>72.930000000000007</v>
      </c>
      <c r="AO527" s="38">
        <v>72.33</v>
      </c>
      <c r="AP527" s="38">
        <v>70.83</v>
      </c>
      <c r="AQ527" s="38">
        <v>60.14</v>
      </c>
      <c r="AR527" s="38">
        <v>54.14</v>
      </c>
      <c r="AS527" s="38">
        <v>52.22</v>
      </c>
      <c r="AT527" s="38">
        <v>51.95</v>
      </c>
      <c r="AU527" s="38">
        <v>52.47</v>
      </c>
      <c r="AV527" s="38">
        <v>57.47</v>
      </c>
      <c r="AW527" s="38">
        <v>64.709999999999994</v>
      </c>
      <c r="AX527" s="38">
        <v>68.87</v>
      </c>
      <c r="AY527" s="38">
        <v>70.900000000000006</v>
      </c>
      <c r="BA527" s="37">
        <v>78.63</v>
      </c>
      <c r="BB527" s="38">
        <v>1.3486</v>
      </c>
    </row>
    <row r="528" spans="1:54" x14ac:dyDescent="0.35">
      <c r="A528" s="2">
        <f t="shared" si="8"/>
        <v>44560</v>
      </c>
      <c r="B528" t="s">
        <v>570</v>
      </c>
      <c r="C528" s="32">
        <v>44560</v>
      </c>
      <c r="D528" s="38">
        <v>210.34</v>
      </c>
      <c r="E528" s="38">
        <v>216.76</v>
      </c>
      <c r="F528" s="38">
        <v>209.29</v>
      </c>
      <c r="G528" s="38">
        <v>192.29</v>
      </c>
      <c r="H528" s="38">
        <v>189.09</v>
      </c>
      <c r="I528" s="38">
        <v>188.29</v>
      </c>
      <c r="J528" s="38">
        <v>190.29</v>
      </c>
      <c r="K528" s="38">
        <v>190.77</v>
      </c>
      <c r="L528" s="38">
        <v>191.22</v>
      </c>
      <c r="M528" s="38">
        <v>191.22</v>
      </c>
      <c r="N528" s="38">
        <v>194.13</v>
      </c>
      <c r="O528" s="38">
        <v>200.22</v>
      </c>
      <c r="P528" s="38">
        <v>202.05</v>
      </c>
      <c r="Q528" s="38">
        <v>201.23</v>
      </c>
      <c r="R528" s="38">
        <v>194.59</v>
      </c>
      <c r="S528" s="38">
        <v>116.02</v>
      </c>
      <c r="T528" s="38">
        <v>87.02</v>
      </c>
      <c r="U528" s="38">
        <v>81.17</v>
      </c>
      <c r="V528" s="38">
        <v>83.22</v>
      </c>
      <c r="W528" s="38">
        <v>84.77</v>
      </c>
      <c r="X528" s="38">
        <v>88.27</v>
      </c>
      <c r="Y528" s="38">
        <v>94.01</v>
      </c>
      <c r="Z528" s="38">
        <v>96.77</v>
      </c>
      <c r="AA528" s="38">
        <v>98.36</v>
      </c>
      <c r="AB528" s="38">
        <v>99.62</v>
      </c>
      <c r="AC528" s="38">
        <v>99.73</v>
      </c>
      <c r="AD528" s="38">
        <v>95.98</v>
      </c>
      <c r="AE528" s="38">
        <v>70.73</v>
      </c>
      <c r="AF528" s="38">
        <v>63.73</v>
      </c>
      <c r="AG528" s="38">
        <v>60.83</v>
      </c>
      <c r="AH528" s="38">
        <v>60.08</v>
      </c>
      <c r="AI528" s="38">
        <v>61.08</v>
      </c>
      <c r="AJ528" s="38">
        <v>63.28</v>
      </c>
      <c r="AK528" s="38">
        <v>67.13</v>
      </c>
      <c r="AL528" s="38">
        <v>70.33</v>
      </c>
      <c r="AM528" s="38">
        <v>72.08</v>
      </c>
      <c r="AN528" s="38">
        <v>73.08</v>
      </c>
      <c r="AO528" s="38">
        <v>72.48</v>
      </c>
      <c r="AP528" s="38">
        <v>70.98</v>
      </c>
      <c r="AQ528" s="38">
        <v>60.29</v>
      </c>
      <c r="AR528" s="38">
        <v>54.29</v>
      </c>
      <c r="AS528" s="38">
        <v>52.37</v>
      </c>
      <c r="AT528" s="38">
        <v>52.1</v>
      </c>
      <c r="AU528" s="38">
        <v>52.62</v>
      </c>
      <c r="AV528" s="38">
        <v>57.62</v>
      </c>
      <c r="AW528" s="38">
        <v>64.73</v>
      </c>
      <c r="AX528" s="38">
        <v>68.88</v>
      </c>
      <c r="AY528" s="38">
        <v>70.91</v>
      </c>
      <c r="BA528" s="37">
        <v>78.61</v>
      </c>
      <c r="BB528" s="38">
        <v>1.3499000000000001</v>
      </c>
    </row>
    <row r="529" spans="1:54" x14ac:dyDescent="0.35">
      <c r="A529" s="2">
        <f t="shared" si="8"/>
        <v>44561</v>
      </c>
      <c r="B529" t="s">
        <v>571</v>
      </c>
      <c r="C529" s="32">
        <v>44561</v>
      </c>
      <c r="D529" s="38">
        <v>170.64</v>
      </c>
      <c r="E529" s="38">
        <v>167.02</v>
      </c>
      <c r="F529" s="38">
        <v>155.79</v>
      </c>
      <c r="G529" s="38">
        <v>153.12</v>
      </c>
      <c r="H529" s="38">
        <v>153.12</v>
      </c>
      <c r="I529" s="38">
        <v>153.62</v>
      </c>
      <c r="J529" s="38">
        <v>153.94999999999999</v>
      </c>
      <c r="K529" s="38">
        <v>154.44999999999999</v>
      </c>
      <c r="L529" s="38">
        <v>155.9</v>
      </c>
      <c r="M529" s="38">
        <v>158.9</v>
      </c>
      <c r="N529" s="38">
        <v>164.9</v>
      </c>
      <c r="O529" s="38">
        <v>165.65</v>
      </c>
      <c r="P529" s="38">
        <v>164.87</v>
      </c>
      <c r="Q529" s="38">
        <v>158.37</v>
      </c>
      <c r="R529" s="38">
        <v>98.37</v>
      </c>
      <c r="S529" s="38">
        <v>77.37</v>
      </c>
      <c r="T529" s="38">
        <v>72.37</v>
      </c>
      <c r="U529" s="38">
        <v>75.37</v>
      </c>
      <c r="V529" s="38">
        <v>77.02</v>
      </c>
      <c r="W529" s="38">
        <v>80.02</v>
      </c>
      <c r="X529" s="38">
        <v>85.02</v>
      </c>
      <c r="Y529" s="38">
        <v>87.78</v>
      </c>
      <c r="Z529" s="38">
        <v>89.35</v>
      </c>
      <c r="AA529" s="38">
        <v>90.61</v>
      </c>
      <c r="AB529" s="38">
        <v>90.72</v>
      </c>
      <c r="AC529" s="38">
        <v>86.97</v>
      </c>
      <c r="AD529" s="38">
        <v>62.97</v>
      </c>
      <c r="AE529" s="38">
        <v>55.97</v>
      </c>
      <c r="AF529" s="38">
        <v>53.07</v>
      </c>
      <c r="AG529" s="38">
        <v>52.32</v>
      </c>
      <c r="AH529" s="38">
        <v>53.32</v>
      </c>
      <c r="AI529" s="38">
        <v>55.52</v>
      </c>
      <c r="AJ529" s="38">
        <v>59.37</v>
      </c>
      <c r="AK529" s="38">
        <v>62.57</v>
      </c>
      <c r="AL529" s="38">
        <v>64.319999999999993</v>
      </c>
      <c r="AM529" s="38">
        <v>65.319999999999993</v>
      </c>
      <c r="AN529" s="38">
        <v>64.72</v>
      </c>
      <c r="AO529" s="38">
        <v>63.22</v>
      </c>
      <c r="AP529" s="38">
        <v>54.22</v>
      </c>
      <c r="AQ529" s="38">
        <v>48.22</v>
      </c>
      <c r="AR529" s="38">
        <v>46.3</v>
      </c>
      <c r="AS529" s="38">
        <v>46.03</v>
      </c>
      <c r="AT529" s="38">
        <v>46.55</v>
      </c>
      <c r="AU529" s="38">
        <v>51.55</v>
      </c>
      <c r="AV529" s="38">
        <v>59.55</v>
      </c>
      <c r="AW529" s="38">
        <v>63.7</v>
      </c>
      <c r="AX529" s="38">
        <v>65.73</v>
      </c>
      <c r="AY529" s="38">
        <v>66.78</v>
      </c>
      <c r="BA529" s="37">
        <v>77.239999999999995</v>
      </c>
      <c r="BB529" s="38">
        <v>1.3476999999999999</v>
      </c>
    </row>
    <row r="530" spans="1:54" x14ac:dyDescent="0.35">
      <c r="A530" s="2">
        <f t="shared" si="8"/>
        <v>44564</v>
      </c>
      <c r="B530" t="s">
        <v>572</v>
      </c>
      <c r="C530" s="32">
        <v>44564</v>
      </c>
      <c r="D530" s="38">
        <v>170.64</v>
      </c>
      <c r="E530" s="38">
        <v>167.02</v>
      </c>
      <c r="F530" s="38">
        <v>155.79</v>
      </c>
      <c r="G530" s="38">
        <v>153.12</v>
      </c>
      <c r="H530" s="38">
        <v>153.12</v>
      </c>
      <c r="I530" s="38">
        <v>153.62</v>
      </c>
      <c r="J530" s="38">
        <v>153.94999999999999</v>
      </c>
      <c r="K530" s="38">
        <v>154.44999999999999</v>
      </c>
      <c r="L530" s="38">
        <v>155.9</v>
      </c>
      <c r="M530" s="38">
        <v>158.9</v>
      </c>
      <c r="N530" s="38">
        <v>164.9</v>
      </c>
      <c r="O530" s="38">
        <v>165.65</v>
      </c>
      <c r="P530" s="38">
        <v>164.87</v>
      </c>
      <c r="Q530" s="38">
        <v>158.37</v>
      </c>
      <c r="R530" s="38">
        <v>98.37</v>
      </c>
      <c r="S530" s="38">
        <v>77.37</v>
      </c>
      <c r="T530" s="38">
        <v>72.37</v>
      </c>
      <c r="U530" s="38">
        <v>75.37</v>
      </c>
      <c r="V530" s="38">
        <v>77.02</v>
      </c>
      <c r="W530" s="38">
        <v>80.02</v>
      </c>
      <c r="X530" s="38">
        <v>85.02</v>
      </c>
      <c r="Y530" s="38">
        <v>87.78</v>
      </c>
      <c r="Z530" s="38">
        <v>89.35</v>
      </c>
      <c r="AA530" s="38">
        <v>90.61</v>
      </c>
      <c r="AB530" s="38">
        <v>90.72</v>
      </c>
      <c r="AC530" s="38">
        <v>86.97</v>
      </c>
      <c r="AD530" s="38">
        <v>62.97</v>
      </c>
      <c r="AE530" s="38">
        <v>55.97</v>
      </c>
      <c r="AF530" s="38">
        <v>53.07</v>
      </c>
      <c r="AG530" s="38">
        <v>52.32</v>
      </c>
      <c r="AH530" s="38">
        <v>53.32</v>
      </c>
      <c r="AI530" s="38">
        <v>55.52</v>
      </c>
      <c r="AJ530" s="38">
        <v>59.37</v>
      </c>
      <c r="AK530" s="38">
        <v>62.57</v>
      </c>
      <c r="AL530" s="38">
        <v>64.319999999999993</v>
      </c>
      <c r="AM530" s="38">
        <v>65.319999999999993</v>
      </c>
      <c r="AN530" s="38">
        <v>64.72</v>
      </c>
      <c r="AO530" s="38">
        <v>63.22</v>
      </c>
      <c r="AP530" s="38">
        <v>54.22</v>
      </c>
      <c r="AQ530" s="38">
        <v>48.22</v>
      </c>
      <c r="AR530" s="38">
        <v>46.3</v>
      </c>
      <c r="AS530" s="38">
        <v>46.03</v>
      </c>
      <c r="AT530" s="38">
        <v>46.55</v>
      </c>
      <c r="AU530" s="38">
        <v>51.55</v>
      </c>
      <c r="AV530" s="38">
        <v>59.55</v>
      </c>
      <c r="AW530" s="38">
        <v>63.7</v>
      </c>
      <c r="AX530" s="38">
        <v>65.73</v>
      </c>
      <c r="AY530" s="38">
        <v>66.78</v>
      </c>
      <c r="BA530" s="37">
        <v>78.25</v>
      </c>
      <c r="BB530" s="38" t="e">
        <v>#N/A</v>
      </c>
    </row>
    <row r="531" spans="1:54" x14ac:dyDescent="0.35">
      <c r="A531" s="2">
        <f t="shared" si="8"/>
        <v>44565</v>
      </c>
      <c r="B531" t="s">
        <v>573</v>
      </c>
      <c r="C531" s="32">
        <v>44565</v>
      </c>
      <c r="D531" s="38">
        <v>216.57</v>
      </c>
      <c r="E531" s="38">
        <v>214.11</v>
      </c>
      <c r="F531" s="38">
        <v>199.76</v>
      </c>
      <c r="G531" s="38">
        <v>197.63</v>
      </c>
      <c r="H531" s="38">
        <v>197.13</v>
      </c>
      <c r="I531" s="38">
        <v>196.56</v>
      </c>
      <c r="J531" s="38">
        <v>198.06</v>
      </c>
      <c r="K531" s="38">
        <v>198.93</v>
      </c>
      <c r="L531" s="38">
        <v>199.42</v>
      </c>
      <c r="M531" s="38">
        <v>204.92</v>
      </c>
      <c r="N531" s="38">
        <v>207.92</v>
      </c>
      <c r="O531" s="38">
        <v>209.42</v>
      </c>
      <c r="P531" s="38">
        <v>208.82</v>
      </c>
      <c r="Q531" s="38">
        <v>199.82</v>
      </c>
      <c r="R531" s="38">
        <v>124.36</v>
      </c>
      <c r="S531" s="38">
        <v>89.36</v>
      </c>
      <c r="T531" s="38">
        <v>80.400000000000006</v>
      </c>
      <c r="U531" s="38">
        <v>83.41</v>
      </c>
      <c r="V531" s="38">
        <v>85.43</v>
      </c>
      <c r="W531" s="38">
        <v>89.62</v>
      </c>
      <c r="X531" s="38">
        <v>95.06</v>
      </c>
      <c r="Y531" s="38">
        <v>98.06</v>
      </c>
      <c r="Z531" s="38">
        <v>99.63</v>
      </c>
      <c r="AA531" s="38">
        <v>100.89</v>
      </c>
      <c r="AB531" s="38">
        <v>101</v>
      </c>
      <c r="AC531" s="38">
        <v>97.25</v>
      </c>
      <c r="AD531" s="38">
        <v>70.25</v>
      </c>
      <c r="AE531" s="38">
        <v>61.75</v>
      </c>
      <c r="AF531" s="38">
        <v>58.85</v>
      </c>
      <c r="AG531" s="38">
        <v>58.1</v>
      </c>
      <c r="AH531" s="38">
        <v>59.1</v>
      </c>
      <c r="AI531" s="38">
        <v>61.3</v>
      </c>
      <c r="AJ531" s="38">
        <v>66.3</v>
      </c>
      <c r="AK531" s="38">
        <v>69.3</v>
      </c>
      <c r="AL531" s="38">
        <v>71.05</v>
      </c>
      <c r="AM531" s="38">
        <v>72.05</v>
      </c>
      <c r="AN531" s="38">
        <v>71.45</v>
      </c>
      <c r="AO531" s="38">
        <v>69.95</v>
      </c>
      <c r="AP531" s="38">
        <v>62.15</v>
      </c>
      <c r="AQ531" s="38">
        <v>56.15</v>
      </c>
      <c r="AR531" s="38">
        <v>54.23</v>
      </c>
      <c r="AS531" s="38">
        <v>53.96</v>
      </c>
      <c r="AT531" s="38">
        <v>54.96</v>
      </c>
      <c r="AU531" s="38">
        <v>60.6</v>
      </c>
      <c r="AV531" s="38">
        <v>64.599999999999994</v>
      </c>
      <c r="AW531" s="38">
        <v>66.599999999999994</v>
      </c>
      <c r="AX531" s="38">
        <v>68.63</v>
      </c>
      <c r="AY531" s="38">
        <v>69.680000000000007</v>
      </c>
      <c r="BA531" s="37">
        <v>79.39</v>
      </c>
      <c r="BB531" s="38">
        <v>1.3552999999999999</v>
      </c>
    </row>
    <row r="532" spans="1:54" x14ac:dyDescent="0.35">
      <c r="A532" s="2">
        <f t="shared" si="8"/>
        <v>44566</v>
      </c>
      <c r="B532" t="s">
        <v>574</v>
      </c>
      <c r="C532" s="32">
        <v>44566</v>
      </c>
      <c r="D532" s="38">
        <v>223.45</v>
      </c>
      <c r="E532" s="38">
        <v>219.94</v>
      </c>
      <c r="F532" s="38">
        <v>203.89</v>
      </c>
      <c r="G532" s="38">
        <v>201.89</v>
      </c>
      <c r="H532" s="38">
        <v>201.35</v>
      </c>
      <c r="I532" s="38">
        <v>200.06</v>
      </c>
      <c r="J532" s="38">
        <v>200.44</v>
      </c>
      <c r="K532" s="38">
        <v>201.44</v>
      </c>
      <c r="L532" s="38">
        <v>202.15</v>
      </c>
      <c r="M532" s="38">
        <v>208.16</v>
      </c>
      <c r="N532" s="38">
        <v>211.16</v>
      </c>
      <c r="O532" s="38">
        <v>213.41</v>
      </c>
      <c r="P532" s="38">
        <v>212.56</v>
      </c>
      <c r="Q532" s="38">
        <v>202.56</v>
      </c>
      <c r="R532" s="38">
        <v>127.72</v>
      </c>
      <c r="S532" s="38">
        <v>92.72</v>
      </c>
      <c r="T532" s="38">
        <v>83.72</v>
      </c>
      <c r="U532" s="38">
        <v>88.72</v>
      </c>
      <c r="V532" s="38">
        <v>90.72</v>
      </c>
      <c r="W532" s="38">
        <v>94.72</v>
      </c>
      <c r="X532" s="38">
        <v>98.72</v>
      </c>
      <c r="Y532" s="38">
        <v>101.72</v>
      </c>
      <c r="Z532" s="38">
        <v>103.22</v>
      </c>
      <c r="AA532" s="38">
        <v>104.47</v>
      </c>
      <c r="AB532" s="38">
        <v>104.57</v>
      </c>
      <c r="AC532" s="38">
        <v>101.32</v>
      </c>
      <c r="AD532" s="38">
        <v>74.819999999999993</v>
      </c>
      <c r="AE532" s="38">
        <v>66.819999999999993</v>
      </c>
      <c r="AF532" s="38">
        <v>63.92</v>
      </c>
      <c r="AG532" s="38">
        <v>63.17</v>
      </c>
      <c r="AH532" s="38">
        <v>64.17</v>
      </c>
      <c r="AI532" s="38">
        <v>66.37</v>
      </c>
      <c r="AJ532" s="38">
        <v>70.37</v>
      </c>
      <c r="AK532" s="38">
        <v>73.37</v>
      </c>
      <c r="AL532" s="38">
        <v>75.12</v>
      </c>
      <c r="AM532" s="38">
        <v>76.12</v>
      </c>
      <c r="AN532" s="38">
        <v>75.52</v>
      </c>
      <c r="AO532" s="38">
        <v>74.02</v>
      </c>
      <c r="AP532" s="38">
        <v>66.22</v>
      </c>
      <c r="AQ532" s="38">
        <v>60.22</v>
      </c>
      <c r="AR532" s="38">
        <v>58.3</v>
      </c>
      <c r="AS532" s="38">
        <v>58.03</v>
      </c>
      <c r="AT532" s="38">
        <v>59.03</v>
      </c>
      <c r="AU532" s="38">
        <v>64.67</v>
      </c>
      <c r="AV532" s="38">
        <v>68.67</v>
      </c>
      <c r="AW532" s="38">
        <v>70.67</v>
      </c>
      <c r="AX532" s="38">
        <v>72.7</v>
      </c>
      <c r="AY532" s="38">
        <v>73.75</v>
      </c>
      <c r="BA532" s="37">
        <v>80.599999999999994</v>
      </c>
      <c r="BB532" s="38">
        <v>1.3565</v>
      </c>
    </row>
    <row r="533" spans="1:54" x14ac:dyDescent="0.35">
      <c r="A533" s="2">
        <f t="shared" si="8"/>
        <v>44567</v>
      </c>
      <c r="B533" t="s">
        <v>575</v>
      </c>
      <c r="C533" s="32">
        <v>44567</v>
      </c>
      <c r="D533" s="38">
        <v>235.2</v>
      </c>
      <c r="E533" s="38">
        <v>231.64</v>
      </c>
      <c r="F533" s="38">
        <v>212.24</v>
      </c>
      <c r="G533" s="38">
        <v>208.64</v>
      </c>
      <c r="H533" s="38">
        <v>208.24</v>
      </c>
      <c r="I533" s="38">
        <v>209.13</v>
      </c>
      <c r="J533" s="38">
        <v>209.48</v>
      </c>
      <c r="K533" s="38">
        <v>210.48</v>
      </c>
      <c r="L533" s="38">
        <v>211.18</v>
      </c>
      <c r="M533" s="38">
        <v>217.18</v>
      </c>
      <c r="N533" s="38">
        <v>220.18</v>
      </c>
      <c r="O533" s="38">
        <v>222.43</v>
      </c>
      <c r="P533" s="38">
        <v>221.43</v>
      </c>
      <c r="Q533" s="38">
        <v>211.43</v>
      </c>
      <c r="R533" s="38">
        <v>133.71</v>
      </c>
      <c r="S533" s="38">
        <v>103.71</v>
      </c>
      <c r="T533" s="38">
        <v>94.71</v>
      </c>
      <c r="U533" s="38">
        <v>98.71</v>
      </c>
      <c r="V533" s="38">
        <v>100.71</v>
      </c>
      <c r="W533" s="38">
        <v>104.71</v>
      </c>
      <c r="X533" s="38">
        <v>110.21</v>
      </c>
      <c r="Y533" s="38">
        <v>113.21</v>
      </c>
      <c r="Z533" s="38">
        <v>114.71</v>
      </c>
      <c r="AA533" s="38">
        <v>115.96</v>
      </c>
      <c r="AB533" s="38">
        <v>116.06</v>
      </c>
      <c r="AC533" s="38">
        <v>112.81</v>
      </c>
      <c r="AD533" s="38">
        <v>81.31</v>
      </c>
      <c r="AE533" s="38">
        <v>70.31</v>
      </c>
      <c r="AF533" s="38">
        <v>67.41</v>
      </c>
      <c r="AG533" s="38">
        <v>66.66</v>
      </c>
      <c r="AH533" s="38">
        <v>67.66</v>
      </c>
      <c r="AI533" s="38">
        <v>69.86</v>
      </c>
      <c r="AJ533" s="38">
        <v>74.3</v>
      </c>
      <c r="AK533" s="38">
        <v>77.3</v>
      </c>
      <c r="AL533" s="38">
        <v>79.05</v>
      </c>
      <c r="AM533" s="38">
        <v>80.05</v>
      </c>
      <c r="AN533" s="38">
        <v>79.45</v>
      </c>
      <c r="AO533" s="38">
        <v>77.95</v>
      </c>
      <c r="AP533" s="38">
        <v>67.95</v>
      </c>
      <c r="AQ533" s="38">
        <v>61.95</v>
      </c>
      <c r="AR533" s="38">
        <v>60.03</v>
      </c>
      <c r="AS533" s="38">
        <v>59.76</v>
      </c>
      <c r="AT533" s="38">
        <v>60.76</v>
      </c>
      <c r="AU533" s="38">
        <v>66.400000000000006</v>
      </c>
      <c r="AV533" s="38">
        <v>68.599999999999994</v>
      </c>
      <c r="AW533" s="38">
        <v>70.599999999999994</v>
      </c>
      <c r="AX533" s="38">
        <v>72.63</v>
      </c>
      <c r="AY533" s="38">
        <v>74.760000000000005</v>
      </c>
      <c r="BA533" s="37">
        <v>81.99</v>
      </c>
      <c r="BB533" s="38">
        <v>1.3527</v>
      </c>
    </row>
    <row r="534" spans="1:54" x14ac:dyDescent="0.35">
      <c r="A534" s="2">
        <f t="shared" si="8"/>
        <v>44568</v>
      </c>
      <c r="B534" t="s">
        <v>576</v>
      </c>
      <c r="C534" s="32">
        <v>44568</v>
      </c>
      <c r="D534" s="38">
        <v>214.96</v>
      </c>
      <c r="E534" s="38">
        <v>213.34</v>
      </c>
      <c r="F534" s="38">
        <v>194.71</v>
      </c>
      <c r="G534" s="38">
        <v>191.01</v>
      </c>
      <c r="H534" s="38">
        <v>190.51</v>
      </c>
      <c r="I534" s="38">
        <v>190.51</v>
      </c>
      <c r="J534" s="38">
        <v>192.17</v>
      </c>
      <c r="K534" s="38">
        <v>193.17</v>
      </c>
      <c r="L534" s="38">
        <v>193.92</v>
      </c>
      <c r="M534" s="38">
        <v>200.16</v>
      </c>
      <c r="N534" s="38">
        <v>203.16</v>
      </c>
      <c r="O534" s="38">
        <v>206.66</v>
      </c>
      <c r="P534" s="38">
        <v>205.66</v>
      </c>
      <c r="Q534" s="38">
        <v>195.66</v>
      </c>
      <c r="R534" s="38">
        <v>118.8</v>
      </c>
      <c r="S534" s="38">
        <v>91.92</v>
      </c>
      <c r="T534" s="38">
        <v>82.03</v>
      </c>
      <c r="U534" s="38">
        <v>86.14</v>
      </c>
      <c r="V534" s="38">
        <v>88.25</v>
      </c>
      <c r="W534" s="38">
        <v>91.37</v>
      </c>
      <c r="X534" s="38">
        <v>96.78</v>
      </c>
      <c r="Y534" s="38">
        <v>99.78</v>
      </c>
      <c r="Z534" s="38">
        <v>101.28</v>
      </c>
      <c r="AA534" s="38">
        <v>102.53</v>
      </c>
      <c r="AB534" s="38">
        <v>102.63</v>
      </c>
      <c r="AC534" s="38">
        <v>100.13</v>
      </c>
      <c r="AD534" s="38">
        <v>72.83</v>
      </c>
      <c r="AE534" s="38">
        <v>64.33</v>
      </c>
      <c r="AF534" s="38">
        <v>61.43</v>
      </c>
      <c r="AG534" s="38">
        <v>60.68</v>
      </c>
      <c r="AH534" s="38">
        <v>61.68</v>
      </c>
      <c r="AI534" s="38">
        <v>63.88</v>
      </c>
      <c r="AJ534" s="38">
        <v>68.13</v>
      </c>
      <c r="AK534" s="38">
        <v>71.13</v>
      </c>
      <c r="AL534" s="38">
        <v>72.88</v>
      </c>
      <c r="AM534" s="38">
        <v>73.88</v>
      </c>
      <c r="AN534" s="38">
        <v>73.28</v>
      </c>
      <c r="AO534" s="38">
        <v>71.78</v>
      </c>
      <c r="AP534" s="38">
        <v>61.78</v>
      </c>
      <c r="AQ534" s="38">
        <v>55.78</v>
      </c>
      <c r="AR534" s="38">
        <v>53.83</v>
      </c>
      <c r="AS534" s="38">
        <v>53.53</v>
      </c>
      <c r="AT534" s="38">
        <v>55.08</v>
      </c>
      <c r="AU534" s="38">
        <v>62.08</v>
      </c>
      <c r="AV534" s="38">
        <v>65.08</v>
      </c>
      <c r="AW534" s="38">
        <v>68.08</v>
      </c>
      <c r="AX534" s="38">
        <v>70.11</v>
      </c>
      <c r="AY534" s="38">
        <v>72.239999999999995</v>
      </c>
      <c r="BA534" s="37">
        <v>82.28</v>
      </c>
      <c r="BB534" s="38">
        <v>1.3572</v>
      </c>
    </row>
    <row r="535" spans="1:54" x14ac:dyDescent="0.35">
      <c r="A535" s="2">
        <f t="shared" si="8"/>
        <v>44571</v>
      </c>
      <c r="B535" t="s">
        <v>577</v>
      </c>
      <c r="C535" s="32">
        <v>44571</v>
      </c>
      <c r="D535" s="38">
        <v>205.88</v>
      </c>
      <c r="E535" s="38">
        <v>203.8</v>
      </c>
      <c r="F535" s="38">
        <v>190.5</v>
      </c>
      <c r="G535" s="38">
        <v>187.5</v>
      </c>
      <c r="H535" s="38">
        <v>187.09</v>
      </c>
      <c r="I535" s="38">
        <v>187.37</v>
      </c>
      <c r="J535" s="38">
        <v>187.48</v>
      </c>
      <c r="K535" s="38">
        <v>188.73</v>
      </c>
      <c r="L535" s="38">
        <v>189.23</v>
      </c>
      <c r="M535" s="38">
        <v>195.73</v>
      </c>
      <c r="N535" s="38">
        <v>198.73</v>
      </c>
      <c r="O535" s="38">
        <v>202.33</v>
      </c>
      <c r="P535" s="38">
        <v>201.33</v>
      </c>
      <c r="Q535" s="38">
        <v>189.13</v>
      </c>
      <c r="R535" s="38">
        <v>116.93</v>
      </c>
      <c r="S535" s="38">
        <v>93.93</v>
      </c>
      <c r="T535" s="38">
        <v>84.93</v>
      </c>
      <c r="U535" s="38">
        <v>88.43</v>
      </c>
      <c r="V535" s="38">
        <v>90.19</v>
      </c>
      <c r="W535" s="38">
        <v>95.19</v>
      </c>
      <c r="X535" s="38">
        <v>97.59</v>
      </c>
      <c r="Y535" s="38">
        <v>99.59</v>
      </c>
      <c r="Z535" s="38">
        <v>101.09</v>
      </c>
      <c r="AA535" s="38">
        <v>102.34</v>
      </c>
      <c r="AB535" s="38">
        <v>102.44</v>
      </c>
      <c r="AC535" s="38">
        <v>99.94</v>
      </c>
      <c r="AD535" s="38">
        <v>74.44</v>
      </c>
      <c r="AE535" s="38">
        <v>66.44</v>
      </c>
      <c r="AF535" s="38">
        <v>63.54</v>
      </c>
      <c r="AG535" s="38">
        <v>62.79</v>
      </c>
      <c r="AH535" s="38">
        <v>63.79</v>
      </c>
      <c r="AI535" s="38">
        <v>65.989999999999995</v>
      </c>
      <c r="AJ535" s="38">
        <v>69.89</v>
      </c>
      <c r="AK535" s="38">
        <v>73.14</v>
      </c>
      <c r="AL535" s="38">
        <v>75.540000000000006</v>
      </c>
      <c r="AM535" s="38">
        <v>76.540000000000006</v>
      </c>
      <c r="AN535" s="38">
        <v>75.94</v>
      </c>
      <c r="AO535" s="38">
        <v>74.44</v>
      </c>
      <c r="AP535" s="38">
        <v>66.44</v>
      </c>
      <c r="AQ535" s="38">
        <v>60.44</v>
      </c>
      <c r="AR535" s="38">
        <v>58.49</v>
      </c>
      <c r="AS535" s="38">
        <v>58.19</v>
      </c>
      <c r="AT535" s="38">
        <v>59.69</v>
      </c>
      <c r="AU535" s="38">
        <v>66.69</v>
      </c>
      <c r="AV535" s="38">
        <v>67.69</v>
      </c>
      <c r="AW535" s="38">
        <v>68.69</v>
      </c>
      <c r="AX535" s="38">
        <v>70.72</v>
      </c>
      <c r="AY535" s="38">
        <v>72.849999999999994</v>
      </c>
      <c r="BA535" s="37">
        <v>81.56</v>
      </c>
      <c r="BB535" s="38">
        <v>1.3561000000000001</v>
      </c>
    </row>
    <row r="536" spans="1:54" x14ac:dyDescent="0.35">
      <c r="A536" s="2">
        <f t="shared" si="8"/>
        <v>44572</v>
      </c>
      <c r="B536" t="s">
        <v>578</v>
      </c>
      <c r="C536" s="32">
        <v>44572</v>
      </c>
      <c r="D536" s="38">
        <v>190.23</v>
      </c>
      <c r="E536" s="38">
        <v>188.85</v>
      </c>
      <c r="F536" s="38">
        <v>176.11</v>
      </c>
      <c r="G536" s="38">
        <v>173.71</v>
      </c>
      <c r="H536" s="38">
        <v>173.53</v>
      </c>
      <c r="I536" s="38">
        <v>173.38</v>
      </c>
      <c r="J536" s="38">
        <v>173.63</v>
      </c>
      <c r="K536" s="38">
        <v>174.83</v>
      </c>
      <c r="L536" s="38">
        <v>175.33</v>
      </c>
      <c r="M536" s="38">
        <v>181.51</v>
      </c>
      <c r="N536" s="38">
        <v>184.51</v>
      </c>
      <c r="O536" s="38">
        <v>188.13</v>
      </c>
      <c r="P536" s="38">
        <v>188.46</v>
      </c>
      <c r="Q536" s="38">
        <v>174.21</v>
      </c>
      <c r="R536" s="38">
        <v>111.21</v>
      </c>
      <c r="S536" s="38">
        <v>93.21</v>
      </c>
      <c r="T536" s="38">
        <v>84.21</v>
      </c>
      <c r="U536" s="38">
        <v>87.71</v>
      </c>
      <c r="V536" s="38">
        <v>89.47</v>
      </c>
      <c r="W536" s="38">
        <v>94.47</v>
      </c>
      <c r="X536" s="38">
        <v>96.57</v>
      </c>
      <c r="Y536" s="38">
        <v>98.57</v>
      </c>
      <c r="Z536" s="38">
        <v>100.07</v>
      </c>
      <c r="AA536" s="38">
        <v>101.32</v>
      </c>
      <c r="AB536" s="38">
        <v>101.42</v>
      </c>
      <c r="AC536" s="38">
        <v>98.92</v>
      </c>
      <c r="AD536" s="38">
        <v>75.760000000000005</v>
      </c>
      <c r="AE536" s="38">
        <v>67.760000000000005</v>
      </c>
      <c r="AF536" s="38">
        <v>64.86</v>
      </c>
      <c r="AG536" s="38">
        <v>64.11</v>
      </c>
      <c r="AH536" s="38">
        <v>65.11</v>
      </c>
      <c r="AI536" s="38">
        <v>67.31</v>
      </c>
      <c r="AJ536" s="38">
        <v>70.31</v>
      </c>
      <c r="AK536" s="38">
        <v>73.56</v>
      </c>
      <c r="AL536" s="38">
        <v>75.959999999999994</v>
      </c>
      <c r="AM536" s="38">
        <v>76.959999999999994</v>
      </c>
      <c r="AN536" s="38">
        <v>76.36</v>
      </c>
      <c r="AO536" s="38">
        <v>74.86</v>
      </c>
      <c r="AP536" s="38">
        <v>66.86</v>
      </c>
      <c r="AQ536" s="38">
        <v>60.86</v>
      </c>
      <c r="AR536" s="38">
        <v>58.91</v>
      </c>
      <c r="AS536" s="38">
        <v>58.61</v>
      </c>
      <c r="AT536" s="38">
        <v>60.11</v>
      </c>
      <c r="AU536" s="38">
        <v>66.11</v>
      </c>
      <c r="AV536" s="38">
        <v>67.11</v>
      </c>
      <c r="AW536" s="38">
        <v>68.11</v>
      </c>
      <c r="AX536" s="38">
        <v>70.14</v>
      </c>
      <c r="AY536" s="38">
        <v>72.27</v>
      </c>
      <c r="BA536" s="37">
        <v>84.98</v>
      </c>
      <c r="BB536" s="38">
        <v>1.3605</v>
      </c>
    </row>
    <row r="537" spans="1:54" x14ac:dyDescent="0.35">
      <c r="A537" s="2">
        <f t="shared" si="8"/>
        <v>44573</v>
      </c>
      <c r="B537" t="s">
        <v>579</v>
      </c>
      <c r="C537" s="32">
        <v>44573</v>
      </c>
      <c r="D537" s="38">
        <v>179.98</v>
      </c>
      <c r="E537" s="38">
        <v>178.51</v>
      </c>
      <c r="F537" s="38">
        <v>160.01</v>
      </c>
      <c r="G537" s="38">
        <v>156.02000000000001</v>
      </c>
      <c r="H537" s="38">
        <v>155.41999999999999</v>
      </c>
      <c r="I537" s="38">
        <v>155.22</v>
      </c>
      <c r="J537" s="38">
        <v>155.22999999999999</v>
      </c>
      <c r="K537" s="38">
        <v>156.51</v>
      </c>
      <c r="L537" s="38">
        <v>158.01</v>
      </c>
      <c r="M537" s="38">
        <v>164.21</v>
      </c>
      <c r="N537" s="38">
        <v>166.71</v>
      </c>
      <c r="O537" s="38">
        <v>168.71</v>
      </c>
      <c r="P537" s="38">
        <v>169.04</v>
      </c>
      <c r="Q537" s="38">
        <v>158.04</v>
      </c>
      <c r="R537" s="38">
        <v>104.74</v>
      </c>
      <c r="S537" s="38">
        <v>91.74</v>
      </c>
      <c r="T537" s="38">
        <v>82.74</v>
      </c>
      <c r="U537" s="38">
        <v>86.24</v>
      </c>
      <c r="V537" s="38">
        <v>88</v>
      </c>
      <c r="W537" s="38">
        <v>92.75</v>
      </c>
      <c r="X537" s="38">
        <v>93.75</v>
      </c>
      <c r="Y537" s="38">
        <v>95.75</v>
      </c>
      <c r="Z537" s="38">
        <v>97.25</v>
      </c>
      <c r="AA537" s="38">
        <v>98.5</v>
      </c>
      <c r="AB537" s="38">
        <v>98.6</v>
      </c>
      <c r="AC537" s="38">
        <v>96.1</v>
      </c>
      <c r="AD537" s="38">
        <v>75.099999999999994</v>
      </c>
      <c r="AE537" s="38">
        <v>67.099999999999994</v>
      </c>
      <c r="AF537" s="38">
        <v>64.2</v>
      </c>
      <c r="AG537" s="38">
        <v>63.45</v>
      </c>
      <c r="AH537" s="38">
        <v>64.45</v>
      </c>
      <c r="AI537" s="38">
        <v>66.650000000000006</v>
      </c>
      <c r="AJ537" s="38">
        <v>69.650000000000006</v>
      </c>
      <c r="AK537" s="38">
        <v>72.900000000000006</v>
      </c>
      <c r="AL537" s="38">
        <v>75.3</v>
      </c>
      <c r="AM537" s="38">
        <v>76.3</v>
      </c>
      <c r="AN537" s="38">
        <v>75.7</v>
      </c>
      <c r="AO537" s="38">
        <v>74.2</v>
      </c>
      <c r="AP537" s="38">
        <v>66.7</v>
      </c>
      <c r="AQ537" s="38">
        <v>60.7</v>
      </c>
      <c r="AR537" s="38">
        <v>58.75</v>
      </c>
      <c r="AS537" s="38">
        <v>58.45</v>
      </c>
      <c r="AT537" s="38">
        <v>59.95</v>
      </c>
      <c r="AU537" s="38">
        <v>64.45</v>
      </c>
      <c r="AV537" s="38">
        <v>66.55</v>
      </c>
      <c r="AW537" s="38">
        <v>67.55</v>
      </c>
      <c r="AX537" s="38">
        <v>69.58</v>
      </c>
      <c r="AY537" s="38">
        <v>71.709999999999994</v>
      </c>
      <c r="BA537" s="37">
        <v>85.83</v>
      </c>
      <c r="BB537" s="38">
        <v>1.3687</v>
      </c>
    </row>
    <row r="538" spans="1:54" x14ac:dyDescent="0.35">
      <c r="A538" s="2">
        <f t="shared" si="8"/>
        <v>44574</v>
      </c>
      <c r="B538" t="s">
        <v>580</v>
      </c>
      <c r="C538" s="32">
        <v>44574</v>
      </c>
      <c r="D538" s="38">
        <v>204.97</v>
      </c>
      <c r="E538" s="38">
        <v>203.37</v>
      </c>
      <c r="F538" s="38">
        <v>163.27000000000001</v>
      </c>
      <c r="G538" s="38">
        <v>158.87</v>
      </c>
      <c r="H538" s="38">
        <v>158.27000000000001</v>
      </c>
      <c r="I538" s="38">
        <v>153.1</v>
      </c>
      <c r="J538" s="38">
        <v>153.15</v>
      </c>
      <c r="K538" s="38">
        <v>155.09</v>
      </c>
      <c r="L538" s="38">
        <v>157.09</v>
      </c>
      <c r="M538" s="38">
        <v>164.94</v>
      </c>
      <c r="N538" s="38">
        <v>167.44</v>
      </c>
      <c r="O538" s="38">
        <v>169.53</v>
      </c>
      <c r="P538" s="38">
        <v>169.88</v>
      </c>
      <c r="Q538" s="38">
        <v>159.13</v>
      </c>
      <c r="R538" s="38">
        <v>105.19</v>
      </c>
      <c r="S538" s="38">
        <v>92.23</v>
      </c>
      <c r="T538" s="38">
        <v>83.74</v>
      </c>
      <c r="U538" s="38">
        <v>87.3</v>
      </c>
      <c r="V538" s="38">
        <v>89.35</v>
      </c>
      <c r="W538" s="38">
        <v>94.45</v>
      </c>
      <c r="X538" s="38">
        <v>95.6</v>
      </c>
      <c r="Y538" s="38">
        <v>97.61</v>
      </c>
      <c r="Z538" s="38">
        <v>99.11</v>
      </c>
      <c r="AA538" s="38">
        <v>100.36</v>
      </c>
      <c r="AB538" s="38">
        <v>100.46</v>
      </c>
      <c r="AC538" s="38">
        <v>97.96</v>
      </c>
      <c r="AD538" s="38">
        <v>77.510000000000005</v>
      </c>
      <c r="AE538" s="38">
        <v>69.510000000000005</v>
      </c>
      <c r="AF538" s="38">
        <v>66.61</v>
      </c>
      <c r="AG538" s="38">
        <v>65.86</v>
      </c>
      <c r="AH538" s="38">
        <v>66.86</v>
      </c>
      <c r="AI538" s="38">
        <v>69.36</v>
      </c>
      <c r="AJ538" s="38">
        <v>73.36</v>
      </c>
      <c r="AK538" s="38">
        <v>76.61</v>
      </c>
      <c r="AL538" s="38">
        <v>79.11</v>
      </c>
      <c r="AM538" s="38">
        <v>80.36</v>
      </c>
      <c r="AN538" s="38">
        <v>79.760000000000005</v>
      </c>
      <c r="AO538" s="38">
        <v>78.260000000000005</v>
      </c>
      <c r="AP538" s="38">
        <v>71.010000000000005</v>
      </c>
      <c r="AQ538" s="38">
        <v>65.010000000000005</v>
      </c>
      <c r="AR538" s="38">
        <v>63.06</v>
      </c>
      <c r="AS538" s="38">
        <v>62.76</v>
      </c>
      <c r="AT538" s="38">
        <v>64.260000000000005</v>
      </c>
      <c r="AU538" s="38">
        <v>68.760000000000005</v>
      </c>
      <c r="AV538" s="38">
        <v>69.959999999999994</v>
      </c>
      <c r="AW538" s="38">
        <v>70.959999999999994</v>
      </c>
      <c r="AX538" s="38">
        <v>73.209999999999994</v>
      </c>
      <c r="AY538" s="38">
        <v>75.510000000000005</v>
      </c>
      <c r="BA538" s="37">
        <v>85.8</v>
      </c>
      <c r="BB538" s="38">
        <v>1.3734</v>
      </c>
    </row>
    <row r="539" spans="1:54" x14ac:dyDescent="0.35">
      <c r="A539" s="2">
        <f t="shared" si="8"/>
        <v>44575</v>
      </c>
      <c r="B539" t="s">
        <v>581</v>
      </c>
      <c r="C539" s="32">
        <v>44575</v>
      </c>
      <c r="D539" s="38">
        <v>208.13</v>
      </c>
      <c r="E539" s="38">
        <v>206.71</v>
      </c>
      <c r="F539" s="38">
        <v>168.13</v>
      </c>
      <c r="G539" s="38">
        <v>162.38</v>
      </c>
      <c r="H539" s="38">
        <v>161.68</v>
      </c>
      <c r="I539" s="38">
        <v>161.28</v>
      </c>
      <c r="J539" s="38">
        <v>161.47999999999999</v>
      </c>
      <c r="K539" s="38">
        <v>162.78</v>
      </c>
      <c r="L539" s="38">
        <v>164.1</v>
      </c>
      <c r="M539" s="38">
        <v>171.1</v>
      </c>
      <c r="N539" s="38">
        <v>173.6</v>
      </c>
      <c r="O539" s="38">
        <v>175.6</v>
      </c>
      <c r="P539" s="38">
        <v>176.05</v>
      </c>
      <c r="Q539" s="38">
        <v>165.05</v>
      </c>
      <c r="R539" s="38">
        <v>108.63</v>
      </c>
      <c r="S539" s="38">
        <v>93.62</v>
      </c>
      <c r="T539" s="38">
        <v>83.62</v>
      </c>
      <c r="U539" s="38">
        <v>87.12</v>
      </c>
      <c r="V539" s="38">
        <v>89.12</v>
      </c>
      <c r="W539" s="38">
        <v>94.12</v>
      </c>
      <c r="X539" s="38">
        <v>95.12</v>
      </c>
      <c r="Y539" s="38">
        <v>97.12</v>
      </c>
      <c r="Z539" s="38">
        <v>98.62</v>
      </c>
      <c r="AA539" s="38">
        <v>99.87</v>
      </c>
      <c r="AB539" s="38">
        <v>99.97</v>
      </c>
      <c r="AC539" s="38">
        <v>97.47</v>
      </c>
      <c r="AD539" s="38">
        <v>77.47</v>
      </c>
      <c r="AE539" s="38">
        <v>69.47</v>
      </c>
      <c r="AF539" s="38">
        <v>66.47</v>
      </c>
      <c r="AG539" s="38">
        <v>65.47</v>
      </c>
      <c r="AH539" s="38">
        <v>66.47</v>
      </c>
      <c r="AI539" s="38">
        <v>68.97</v>
      </c>
      <c r="AJ539" s="38">
        <v>73.47</v>
      </c>
      <c r="AK539" s="38">
        <v>76.72</v>
      </c>
      <c r="AL539" s="38">
        <v>79.22</v>
      </c>
      <c r="AM539" s="38">
        <v>80.47</v>
      </c>
      <c r="AN539" s="38">
        <v>79.88</v>
      </c>
      <c r="AO539" s="38">
        <v>78.38</v>
      </c>
      <c r="AP539" s="38">
        <v>71.16</v>
      </c>
      <c r="AQ539" s="38">
        <v>65.16</v>
      </c>
      <c r="AR539" s="38">
        <v>63.16</v>
      </c>
      <c r="AS539" s="38">
        <v>62.86</v>
      </c>
      <c r="AT539" s="38">
        <v>64.36</v>
      </c>
      <c r="AU539" s="38">
        <v>69.36</v>
      </c>
      <c r="AV539" s="38">
        <v>70.14</v>
      </c>
      <c r="AW539" s="38">
        <v>70.64</v>
      </c>
      <c r="AX539" s="38">
        <v>72.89</v>
      </c>
      <c r="AY539" s="38">
        <v>75.19</v>
      </c>
      <c r="BA539" s="37">
        <v>87.17</v>
      </c>
      <c r="BB539" s="38">
        <v>1.3683000000000001</v>
      </c>
    </row>
    <row r="540" spans="1:54" x14ac:dyDescent="0.35">
      <c r="A540" s="2">
        <f t="shared" si="8"/>
        <v>44578</v>
      </c>
      <c r="B540" t="s">
        <v>582</v>
      </c>
      <c r="C540" s="32">
        <v>44578</v>
      </c>
      <c r="D540" s="38">
        <v>184.35</v>
      </c>
      <c r="E540" s="38">
        <v>182.1</v>
      </c>
      <c r="F540" s="38">
        <v>157.63999999999999</v>
      </c>
      <c r="G540" s="38">
        <v>153.66</v>
      </c>
      <c r="H540" s="38">
        <v>152.99</v>
      </c>
      <c r="I540" s="38">
        <v>152.82</v>
      </c>
      <c r="J540" s="38">
        <v>153.09</v>
      </c>
      <c r="K540" s="38">
        <v>153.87</v>
      </c>
      <c r="L540" s="38">
        <v>155.94</v>
      </c>
      <c r="M540" s="38">
        <v>163.19</v>
      </c>
      <c r="N540" s="38">
        <v>165.69</v>
      </c>
      <c r="O540" s="38">
        <v>167.59</v>
      </c>
      <c r="P540" s="38">
        <v>168.09</v>
      </c>
      <c r="Q540" s="38">
        <v>156.09</v>
      </c>
      <c r="R540" s="38">
        <v>104.16</v>
      </c>
      <c r="S540" s="38">
        <v>92.16</v>
      </c>
      <c r="T540" s="38">
        <v>82.16</v>
      </c>
      <c r="U540" s="38">
        <v>85.66</v>
      </c>
      <c r="V540" s="38">
        <v>87.66</v>
      </c>
      <c r="W540" s="38">
        <v>92.66</v>
      </c>
      <c r="X540" s="38">
        <v>94.1</v>
      </c>
      <c r="Y540" s="38">
        <v>96.1</v>
      </c>
      <c r="Z540" s="38">
        <v>97.6</v>
      </c>
      <c r="AA540" s="38">
        <v>98.85</v>
      </c>
      <c r="AB540" s="38">
        <v>98.95</v>
      </c>
      <c r="AC540" s="38">
        <v>96.45</v>
      </c>
      <c r="AD540" s="38">
        <v>76.45</v>
      </c>
      <c r="AE540" s="38">
        <v>68.45</v>
      </c>
      <c r="AF540" s="38">
        <v>65.45</v>
      </c>
      <c r="AG540" s="38">
        <v>64.45</v>
      </c>
      <c r="AH540" s="38">
        <v>65.45</v>
      </c>
      <c r="AI540" s="38">
        <v>67.95</v>
      </c>
      <c r="AJ540" s="38">
        <v>71.95</v>
      </c>
      <c r="AK540" s="38">
        <v>75.2</v>
      </c>
      <c r="AL540" s="38">
        <v>77.7</v>
      </c>
      <c r="AM540" s="38">
        <v>78.95</v>
      </c>
      <c r="AN540" s="38">
        <v>78.36</v>
      </c>
      <c r="AO540" s="38">
        <v>76.86</v>
      </c>
      <c r="AP540" s="38">
        <v>70.36</v>
      </c>
      <c r="AQ540" s="38">
        <v>64.36</v>
      </c>
      <c r="AR540" s="38">
        <v>62.36</v>
      </c>
      <c r="AS540" s="38">
        <v>62.06</v>
      </c>
      <c r="AT540" s="38">
        <v>63.56</v>
      </c>
      <c r="AU540" s="38">
        <v>69.56</v>
      </c>
      <c r="AV540" s="38">
        <v>70.56</v>
      </c>
      <c r="AW540" s="38">
        <v>71.06</v>
      </c>
      <c r="AX540" s="38">
        <v>73.31</v>
      </c>
      <c r="AY540" s="38">
        <v>75.61</v>
      </c>
      <c r="BA540" s="37">
        <v>87.82</v>
      </c>
      <c r="BB540" s="38">
        <v>1.365</v>
      </c>
    </row>
    <row r="541" spans="1:54" x14ac:dyDescent="0.35">
      <c r="A541" s="2">
        <f t="shared" si="8"/>
        <v>44579</v>
      </c>
      <c r="B541" t="s">
        <v>583</v>
      </c>
      <c r="C541" s="32">
        <v>44579</v>
      </c>
      <c r="D541" s="38">
        <v>187.52</v>
      </c>
      <c r="E541" s="38">
        <v>185.49</v>
      </c>
      <c r="F541" s="38">
        <v>158.81</v>
      </c>
      <c r="G541" s="38">
        <v>155.11000000000001</v>
      </c>
      <c r="H541" s="38">
        <v>154.11000000000001</v>
      </c>
      <c r="I541" s="38">
        <v>153.76</v>
      </c>
      <c r="J541" s="38">
        <v>154.01</v>
      </c>
      <c r="K541" s="38">
        <v>155.51</v>
      </c>
      <c r="L541" s="38">
        <v>157.54</v>
      </c>
      <c r="M541" s="38">
        <v>163.69</v>
      </c>
      <c r="N541" s="38">
        <v>166.39</v>
      </c>
      <c r="O541" s="38">
        <v>168.3</v>
      </c>
      <c r="P541" s="38">
        <v>168.8</v>
      </c>
      <c r="Q541" s="38">
        <v>156.80000000000001</v>
      </c>
      <c r="R541" s="38">
        <v>105.7</v>
      </c>
      <c r="S541" s="38">
        <v>93.7</v>
      </c>
      <c r="T541" s="38">
        <v>83.71</v>
      </c>
      <c r="U541" s="38">
        <v>85.71</v>
      </c>
      <c r="V541" s="38">
        <v>87.71</v>
      </c>
      <c r="W541" s="38">
        <v>91.72</v>
      </c>
      <c r="X541" s="38">
        <v>94.11</v>
      </c>
      <c r="Y541" s="38">
        <v>97.11</v>
      </c>
      <c r="Z541" s="38">
        <v>98.11</v>
      </c>
      <c r="AA541" s="38">
        <v>99.36</v>
      </c>
      <c r="AB541" s="38">
        <v>99.46</v>
      </c>
      <c r="AC541" s="38">
        <v>96.96</v>
      </c>
      <c r="AD541" s="38">
        <v>76.75</v>
      </c>
      <c r="AE541" s="38">
        <v>68.75</v>
      </c>
      <c r="AF541" s="38">
        <v>65.75</v>
      </c>
      <c r="AG541" s="38">
        <v>64.75</v>
      </c>
      <c r="AH541" s="38">
        <v>65.75</v>
      </c>
      <c r="AI541" s="38">
        <v>68.25</v>
      </c>
      <c r="AJ541" s="38">
        <v>72.25</v>
      </c>
      <c r="AK541" s="38">
        <v>76</v>
      </c>
      <c r="AL541" s="38">
        <v>78.5</v>
      </c>
      <c r="AM541" s="38">
        <v>79.75</v>
      </c>
      <c r="AN541" s="38">
        <v>79.16</v>
      </c>
      <c r="AO541" s="38">
        <v>77.41</v>
      </c>
      <c r="AP541" s="38">
        <v>69.41</v>
      </c>
      <c r="AQ541" s="38">
        <v>62.41</v>
      </c>
      <c r="AR541" s="38">
        <v>60.41</v>
      </c>
      <c r="AS541" s="38">
        <v>60.11</v>
      </c>
      <c r="AT541" s="38">
        <v>61.61</v>
      </c>
      <c r="AU541" s="38">
        <v>67.61</v>
      </c>
      <c r="AV541" s="38">
        <v>68.77</v>
      </c>
      <c r="AW541" s="38">
        <v>69.27</v>
      </c>
      <c r="AX541" s="38">
        <v>71.52</v>
      </c>
      <c r="AY541" s="38">
        <v>73.819999999999993</v>
      </c>
      <c r="BA541" s="37">
        <v>88.83</v>
      </c>
      <c r="BB541" s="38">
        <v>1.3582000000000001</v>
      </c>
    </row>
    <row r="542" spans="1:54" x14ac:dyDescent="0.35">
      <c r="A542" s="2">
        <f t="shared" si="8"/>
        <v>44580</v>
      </c>
      <c r="B542" t="s">
        <v>584</v>
      </c>
      <c r="C542" s="32">
        <v>44580</v>
      </c>
      <c r="D542" s="38">
        <v>180.73</v>
      </c>
      <c r="E542" s="38">
        <v>179.17</v>
      </c>
      <c r="F542" s="38">
        <v>152.6</v>
      </c>
      <c r="G542" s="38">
        <v>148.6</v>
      </c>
      <c r="H542" s="38">
        <v>147.79</v>
      </c>
      <c r="I542" s="38">
        <v>147.54</v>
      </c>
      <c r="J542" s="38">
        <v>147.79</v>
      </c>
      <c r="K542" s="38">
        <v>149.29</v>
      </c>
      <c r="L542" s="38">
        <v>150.79</v>
      </c>
      <c r="M542" s="38">
        <v>156.55000000000001</v>
      </c>
      <c r="N542" s="38">
        <v>159.41999999999999</v>
      </c>
      <c r="O542" s="38">
        <v>161.38999999999999</v>
      </c>
      <c r="P542" s="38">
        <v>161.81</v>
      </c>
      <c r="Q542" s="38">
        <v>149.72999999999999</v>
      </c>
      <c r="R542" s="38">
        <v>103.99</v>
      </c>
      <c r="S542" s="38">
        <v>93.79</v>
      </c>
      <c r="T542" s="38">
        <v>83.8</v>
      </c>
      <c r="U542" s="38">
        <v>84.3</v>
      </c>
      <c r="V542" s="38">
        <v>86.3</v>
      </c>
      <c r="W542" s="38">
        <v>90.17</v>
      </c>
      <c r="X542" s="38">
        <v>92.53</v>
      </c>
      <c r="Y542" s="38">
        <v>95.53</v>
      </c>
      <c r="Z542" s="38">
        <v>96.53</v>
      </c>
      <c r="AA542" s="38">
        <v>98.66</v>
      </c>
      <c r="AB542" s="38">
        <v>98.76</v>
      </c>
      <c r="AC542" s="38">
        <v>96.26</v>
      </c>
      <c r="AD542" s="38">
        <v>76.88</v>
      </c>
      <c r="AE542" s="38">
        <v>68.88</v>
      </c>
      <c r="AF542" s="38">
        <v>65.88</v>
      </c>
      <c r="AG542" s="38">
        <v>64.88</v>
      </c>
      <c r="AH542" s="38">
        <v>65.88</v>
      </c>
      <c r="AI542" s="38">
        <v>68.38</v>
      </c>
      <c r="AJ542" s="38">
        <v>72.680000000000007</v>
      </c>
      <c r="AK542" s="38">
        <v>76.180000000000007</v>
      </c>
      <c r="AL542" s="38">
        <v>78.680000000000007</v>
      </c>
      <c r="AM542" s="38">
        <v>79.930000000000007</v>
      </c>
      <c r="AN542" s="38">
        <v>79.38</v>
      </c>
      <c r="AO542" s="38">
        <v>76.66</v>
      </c>
      <c r="AP542" s="38">
        <v>68.58</v>
      </c>
      <c r="AQ542" s="38">
        <v>61.58</v>
      </c>
      <c r="AR542" s="38">
        <v>59.58</v>
      </c>
      <c r="AS542" s="38">
        <v>59.28</v>
      </c>
      <c r="AT542" s="38">
        <v>60.78</v>
      </c>
      <c r="AU542" s="38">
        <v>66.78</v>
      </c>
      <c r="AV542" s="38">
        <v>68.03</v>
      </c>
      <c r="AW542" s="38">
        <v>68.53</v>
      </c>
      <c r="AX542" s="38">
        <v>70.78</v>
      </c>
      <c r="AY542" s="38">
        <v>73.08</v>
      </c>
      <c r="BA542" s="37">
        <v>89.64</v>
      </c>
      <c r="BB542" s="38">
        <v>1.359</v>
      </c>
    </row>
    <row r="543" spans="1:54" x14ac:dyDescent="0.35">
      <c r="A543" s="2">
        <f t="shared" si="8"/>
        <v>44581</v>
      </c>
      <c r="B543" t="s">
        <v>585</v>
      </c>
      <c r="C543" s="32">
        <v>44581</v>
      </c>
      <c r="D543" s="38">
        <v>179.13</v>
      </c>
      <c r="E543" s="38">
        <v>178.17</v>
      </c>
      <c r="F543" s="38">
        <v>157.15</v>
      </c>
      <c r="G543" s="38">
        <v>153.31</v>
      </c>
      <c r="H543" s="38">
        <v>152.65</v>
      </c>
      <c r="I543" s="38">
        <v>154.33000000000001</v>
      </c>
      <c r="J543" s="38">
        <v>154.66</v>
      </c>
      <c r="K543" s="38">
        <v>156.16</v>
      </c>
      <c r="L543" s="38">
        <v>157.06</v>
      </c>
      <c r="M543" s="38">
        <v>163.78</v>
      </c>
      <c r="N543" s="38">
        <v>166.68</v>
      </c>
      <c r="O543" s="38">
        <v>168.68</v>
      </c>
      <c r="P543" s="38">
        <v>169.18</v>
      </c>
      <c r="Q543" s="38">
        <v>156.18</v>
      </c>
      <c r="R543" s="38">
        <v>105.67</v>
      </c>
      <c r="S543" s="38">
        <v>93.37</v>
      </c>
      <c r="T543" s="38">
        <v>83.37</v>
      </c>
      <c r="U543" s="38">
        <v>83.97</v>
      </c>
      <c r="V543" s="38">
        <v>85.97</v>
      </c>
      <c r="W543" s="38">
        <v>89.97</v>
      </c>
      <c r="X543" s="38">
        <v>93.39</v>
      </c>
      <c r="Y543" s="38">
        <v>96.39</v>
      </c>
      <c r="Z543" s="38">
        <v>97.39</v>
      </c>
      <c r="AA543" s="38">
        <v>99.62</v>
      </c>
      <c r="AB543" s="38">
        <v>99.72</v>
      </c>
      <c r="AC543" s="38">
        <v>97.22</v>
      </c>
      <c r="AD543" s="38">
        <v>77.7</v>
      </c>
      <c r="AE543" s="38">
        <v>69.7</v>
      </c>
      <c r="AF543" s="38">
        <v>66.7</v>
      </c>
      <c r="AG543" s="38">
        <v>65.7</v>
      </c>
      <c r="AH543" s="38">
        <v>66.7</v>
      </c>
      <c r="AI543" s="38">
        <v>69.2</v>
      </c>
      <c r="AJ543" s="38">
        <v>72.2</v>
      </c>
      <c r="AK543" s="38">
        <v>75.7</v>
      </c>
      <c r="AL543" s="38">
        <v>78.2</v>
      </c>
      <c r="AM543" s="38">
        <v>79.45</v>
      </c>
      <c r="AN543" s="38">
        <v>78.900000000000006</v>
      </c>
      <c r="AO543" s="38">
        <v>76.180000000000007</v>
      </c>
      <c r="AP543" s="38">
        <v>68.099999999999994</v>
      </c>
      <c r="AQ543" s="38">
        <v>61.1</v>
      </c>
      <c r="AR543" s="38">
        <v>59.1</v>
      </c>
      <c r="AS543" s="38">
        <v>58.8</v>
      </c>
      <c r="AT543" s="38">
        <v>60.3</v>
      </c>
      <c r="AU543" s="38">
        <v>66.3</v>
      </c>
      <c r="AV543" s="38">
        <v>67.8</v>
      </c>
      <c r="AW543" s="38">
        <v>68.3</v>
      </c>
      <c r="AX543" s="38">
        <v>70.599999999999994</v>
      </c>
      <c r="AY543" s="38">
        <v>72.900000000000006</v>
      </c>
      <c r="BA543" s="37">
        <v>89.75</v>
      </c>
      <c r="BB543" s="38">
        <v>1.3658999999999999</v>
      </c>
    </row>
    <row r="544" spans="1:54" x14ac:dyDescent="0.35">
      <c r="A544" s="2">
        <f t="shared" si="8"/>
        <v>44582</v>
      </c>
      <c r="B544" t="s">
        <v>586</v>
      </c>
      <c r="C544" s="32">
        <v>44582</v>
      </c>
      <c r="D544" s="38">
        <v>189.31</v>
      </c>
      <c r="E544" s="38">
        <v>188.36</v>
      </c>
      <c r="F544" s="38">
        <v>169.44</v>
      </c>
      <c r="G544" s="38">
        <v>166.34</v>
      </c>
      <c r="H544" s="38">
        <v>165.54</v>
      </c>
      <c r="I544" s="38">
        <v>165.73</v>
      </c>
      <c r="J544" s="38">
        <v>166</v>
      </c>
      <c r="K544" s="38">
        <v>166.89</v>
      </c>
      <c r="L544" s="38">
        <v>168.09</v>
      </c>
      <c r="M544" s="38">
        <v>174.59</v>
      </c>
      <c r="N544" s="38">
        <v>177.49</v>
      </c>
      <c r="O544" s="38">
        <v>179.14</v>
      </c>
      <c r="P544" s="38">
        <v>179.59</v>
      </c>
      <c r="Q544" s="38">
        <v>166.59</v>
      </c>
      <c r="R544" s="38">
        <v>108.28</v>
      </c>
      <c r="S544" s="38">
        <v>92.28</v>
      </c>
      <c r="T544" s="38">
        <v>82.88</v>
      </c>
      <c r="U544" s="38">
        <v>84.88</v>
      </c>
      <c r="V544" s="38">
        <v>86.88</v>
      </c>
      <c r="W544" s="38">
        <v>91.13</v>
      </c>
      <c r="X544" s="38">
        <v>95.27</v>
      </c>
      <c r="Y544" s="38">
        <v>98.27</v>
      </c>
      <c r="Z544" s="38">
        <v>99.27</v>
      </c>
      <c r="AA544" s="38">
        <v>101.5</v>
      </c>
      <c r="AB544" s="38">
        <v>101.6</v>
      </c>
      <c r="AC544" s="38">
        <v>99.1</v>
      </c>
      <c r="AD544" s="38">
        <v>77.099999999999994</v>
      </c>
      <c r="AE544" s="38">
        <v>68.099999999999994</v>
      </c>
      <c r="AF544" s="38">
        <v>65.099999999999994</v>
      </c>
      <c r="AG544" s="38">
        <v>64.099999999999994</v>
      </c>
      <c r="AH544" s="38">
        <v>65.099999999999994</v>
      </c>
      <c r="AI544" s="38">
        <v>67.599999999999994</v>
      </c>
      <c r="AJ544" s="38">
        <v>71.900000000000006</v>
      </c>
      <c r="AK544" s="38">
        <v>75.400000000000006</v>
      </c>
      <c r="AL544" s="38">
        <v>77.900000000000006</v>
      </c>
      <c r="AM544" s="38">
        <v>79.150000000000006</v>
      </c>
      <c r="AN544" s="38">
        <v>78.599999999999994</v>
      </c>
      <c r="AO544" s="38">
        <v>75.88</v>
      </c>
      <c r="AP544" s="38">
        <v>67.8</v>
      </c>
      <c r="AQ544" s="38">
        <v>60.8</v>
      </c>
      <c r="AR544" s="38">
        <v>58.8</v>
      </c>
      <c r="AS544" s="38">
        <v>58.5</v>
      </c>
      <c r="AT544" s="38">
        <v>60</v>
      </c>
      <c r="AU544" s="38">
        <v>66</v>
      </c>
      <c r="AV544" s="38">
        <v>67.5</v>
      </c>
      <c r="AW544" s="38">
        <v>68</v>
      </c>
      <c r="AX544" s="38">
        <v>70.3</v>
      </c>
      <c r="AY544" s="38">
        <v>72.599999999999994</v>
      </c>
      <c r="BA544" s="37">
        <v>89.75</v>
      </c>
      <c r="BB544" s="38">
        <v>1.3559000000000001</v>
      </c>
    </row>
    <row r="545" spans="1:54" x14ac:dyDescent="0.35">
      <c r="A545" s="2">
        <f t="shared" si="8"/>
        <v>44585</v>
      </c>
      <c r="B545" t="s">
        <v>587</v>
      </c>
      <c r="C545" s="32">
        <v>44585</v>
      </c>
      <c r="D545" s="38">
        <v>224.74</v>
      </c>
      <c r="E545" s="38">
        <v>223.63</v>
      </c>
      <c r="F545" s="38">
        <v>201.67</v>
      </c>
      <c r="G545" s="38">
        <v>197.57</v>
      </c>
      <c r="H545" s="38">
        <v>196.6</v>
      </c>
      <c r="I545" s="38">
        <v>196.7</v>
      </c>
      <c r="J545" s="38">
        <v>196.97</v>
      </c>
      <c r="K545" s="38">
        <v>197.86</v>
      </c>
      <c r="L545" s="38">
        <v>198.94</v>
      </c>
      <c r="M545" s="38">
        <v>205.44</v>
      </c>
      <c r="N545" s="38">
        <v>208.34</v>
      </c>
      <c r="O545" s="38">
        <v>209.87</v>
      </c>
      <c r="P545" s="38">
        <v>210.32</v>
      </c>
      <c r="Q545" s="38">
        <v>197.32</v>
      </c>
      <c r="R545" s="38">
        <v>113.23</v>
      </c>
      <c r="S545" s="38">
        <v>97.23</v>
      </c>
      <c r="T545" s="38">
        <v>87.83</v>
      </c>
      <c r="U545" s="38">
        <v>90.33</v>
      </c>
      <c r="V545" s="38">
        <v>92.33</v>
      </c>
      <c r="W545" s="38">
        <v>96.58</v>
      </c>
      <c r="X545" s="38">
        <v>99.72</v>
      </c>
      <c r="Y545" s="38">
        <v>102.72</v>
      </c>
      <c r="Z545" s="38">
        <v>103.72</v>
      </c>
      <c r="AA545" s="38">
        <v>105.95</v>
      </c>
      <c r="AB545" s="38">
        <v>106.05</v>
      </c>
      <c r="AC545" s="38">
        <v>103.55</v>
      </c>
      <c r="AD545" s="38">
        <v>79.55</v>
      </c>
      <c r="AE545" s="38">
        <v>70.55</v>
      </c>
      <c r="AF545" s="38">
        <v>67.55</v>
      </c>
      <c r="AG545" s="38">
        <v>66.55</v>
      </c>
      <c r="AH545" s="38">
        <v>67.55</v>
      </c>
      <c r="AI545" s="38">
        <v>70.05</v>
      </c>
      <c r="AJ545" s="38">
        <v>74.349999999999994</v>
      </c>
      <c r="AK545" s="38">
        <v>77.849999999999994</v>
      </c>
      <c r="AL545" s="38">
        <v>80.349999999999994</v>
      </c>
      <c r="AM545" s="38">
        <v>81.599999999999994</v>
      </c>
      <c r="AN545" s="38">
        <v>81.05</v>
      </c>
      <c r="AO545" s="38">
        <v>78.33</v>
      </c>
      <c r="AP545" s="38">
        <v>69.25</v>
      </c>
      <c r="AQ545" s="38">
        <v>62.25</v>
      </c>
      <c r="AR545" s="38">
        <v>60.25</v>
      </c>
      <c r="AS545" s="38">
        <v>59.95</v>
      </c>
      <c r="AT545" s="38">
        <v>61.45</v>
      </c>
      <c r="AU545" s="38">
        <v>67.45</v>
      </c>
      <c r="AV545" s="38">
        <v>68.95</v>
      </c>
      <c r="AW545" s="38">
        <v>69.45</v>
      </c>
      <c r="AX545" s="38">
        <v>71.75</v>
      </c>
      <c r="AY545" s="38">
        <v>74.05</v>
      </c>
      <c r="BA545" s="37">
        <v>87.74</v>
      </c>
      <c r="BB545" s="38">
        <v>1.3464</v>
      </c>
    </row>
    <row r="546" spans="1:54" x14ac:dyDescent="0.35">
      <c r="A546" s="2">
        <f t="shared" si="8"/>
        <v>44586</v>
      </c>
      <c r="B546" t="s">
        <v>588</v>
      </c>
      <c r="C546" s="32">
        <v>44586</v>
      </c>
      <c r="D546" s="38">
        <v>225.36</v>
      </c>
      <c r="E546" s="38">
        <v>224.36</v>
      </c>
      <c r="F546" s="38">
        <v>207.41</v>
      </c>
      <c r="G546" s="38">
        <v>203.11</v>
      </c>
      <c r="H546" s="38">
        <v>202.41</v>
      </c>
      <c r="I546" s="38">
        <v>202.61</v>
      </c>
      <c r="J546" s="38">
        <v>202.88</v>
      </c>
      <c r="K546" s="38">
        <v>204.03</v>
      </c>
      <c r="L546" s="38">
        <v>205.5</v>
      </c>
      <c r="M546" s="38">
        <v>212</v>
      </c>
      <c r="N546" s="38">
        <v>214.9</v>
      </c>
      <c r="O546" s="38">
        <v>216.43</v>
      </c>
      <c r="P546" s="38">
        <v>216.88</v>
      </c>
      <c r="Q546" s="38">
        <v>203.88</v>
      </c>
      <c r="R546" s="38">
        <v>114.28</v>
      </c>
      <c r="S546" s="38">
        <v>98.27</v>
      </c>
      <c r="T546" s="38">
        <v>88.87</v>
      </c>
      <c r="U546" s="38">
        <v>91.37</v>
      </c>
      <c r="V546" s="38">
        <v>93.37</v>
      </c>
      <c r="W546" s="38">
        <v>97.62</v>
      </c>
      <c r="X546" s="38">
        <v>100.62</v>
      </c>
      <c r="Y546" s="38">
        <v>103.62</v>
      </c>
      <c r="Z546" s="38">
        <v>104.62</v>
      </c>
      <c r="AA546" s="38">
        <v>106.85</v>
      </c>
      <c r="AB546" s="38">
        <v>106.95</v>
      </c>
      <c r="AC546" s="38">
        <v>104.45</v>
      </c>
      <c r="AD546" s="38">
        <v>79.45</v>
      </c>
      <c r="AE546" s="38">
        <v>70.45</v>
      </c>
      <c r="AF546" s="38">
        <v>67.45</v>
      </c>
      <c r="AG546" s="38">
        <v>66.45</v>
      </c>
      <c r="AH546" s="38">
        <v>67.45</v>
      </c>
      <c r="AI546" s="38">
        <v>69.95</v>
      </c>
      <c r="AJ546" s="38">
        <v>74.349999999999994</v>
      </c>
      <c r="AK546" s="38">
        <v>77.849999999999994</v>
      </c>
      <c r="AL546" s="38">
        <v>80.349999999999994</v>
      </c>
      <c r="AM546" s="38">
        <v>81.599999999999994</v>
      </c>
      <c r="AN546" s="38">
        <v>81.05</v>
      </c>
      <c r="AO546" s="38">
        <v>78.33</v>
      </c>
      <c r="AP546" s="38">
        <v>69.25</v>
      </c>
      <c r="AQ546" s="38">
        <v>62.25</v>
      </c>
      <c r="AR546" s="38">
        <v>60.25</v>
      </c>
      <c r="AS546" s="38">
        <v>59.95</v>
      </c>
      <c r="AT546" s="38">
        <v>61.45</v>
      </c>
      <c r="AU546" s="38">
        <v>67.45</v>
      </c>
      <c r="AV546" s="38">
        <v>68.95</v>
      </c>
      <c r="AW546" s="38">
        <v>69.45</v>
      </c>
      <c r="AX546" s="38">
        <v>71.75</v>
      </c>
      <c r="AY546" s="38">
        <v>74.05</v>
      </c>
      <c r="BA546" s="37">
        <v>89.49</v>
      </c>
      <c r="BB546" s="38">
        <v>1.3486</v>
      </c>
    </row>
    <row r="547" spans="1:54" x14ac:dyDescent="0.35">
      <c r="A547" s="2">
        <f t="shared" si="8"/>
        <v>44587</v>
      </c>
      <c r="B547" t="s">
        <v>589</v>
      </c>
      <c r="C547" s="32">
        <v>44587</v>
      </c>
      <c r="D547" s="38">
        <v>219.17</v>
      </c>
      <c r="E547" s="38">
        <v>219.22</v>
      </c>
      <c r="F547" s="38">
        <v>210.1</v>
      </c>
      <c r="G547" s="38">
        <v>206.59</v>
      </c>
      <c r="H547" s="38">
        <v>205.99</v>
      </c>
      <c r="I547" s="38">
        <v>205.88</v>
      </c>
      <c r="J547" s="38">
        <v>206.15</v>
      </c>
      <c r="K547" s="38">
        <v>207.49</v>
      </c>
      <c r="L547" s="38">
        <v>209</v>
      </c>
      <c r="M547" s="38">
        <v>215.5</v>
      </c>
      <c r="N547" s="38">
        <v>218.4</v>
      </c>
      <c r="O547" s="38">
        <v>219.93</v>
      </c>
      <c r="P547" s="38">
        <v>220.38</v>
      </c>
      <c r="Q547" s="38">
        <v>207.38</v>
      </c>
      <c r="R547" s="38">
        <v>119.13</v>
      </c>
      <c r="S547" s="38">
        <v>103.01</v>
      </c>
      <c r="T547" s="38">
        <v>93.54</v>
      </c>
      <c r="U547" s="38">
        <v>96.28</v>
      </c>
      <c r="V547" s="38">
        <v>98.28</v>
      </c>
      <c r="W547" s="38">
        <v>102.53</v>
      </c>
      <c r="X547" s="38">
        <v>104.4</v>
      </c>
      <c r="Y547" s="38">
        <v>107.4</v>
      </c>
      <c r="Z547" s="38">
        <v>108.4</v>
      </c>
      <c r="AA547" s="38">
        <v>110.63</v>
      </c>
      <c r="AB547" s="38">
        <v>110.73</v>
      </c>
      <c r="AC547" s="38">
        <v>108.23</v>
      </c>
      <c r="AD547" s="38">
        <v>83.23</v>
      </c>
      <c r="AE547" s="38">
        <v>74.23</v>
      </c>
      <c r="AF547" s="38">
        <v>71.23</v>
      </c>
      <c r="AG547" s="38">
        <v>70.23</v>
      </c>
      <c r="AH547" s="38">
        <v>71.23</v>
      </c>
      <c r="AI547" s="38">
        <v>73.73</v>
      </c>
      <c r="AJ547" s="38">
        <v>78.13</v>
      </c>
      <c r="AK547" s="38">
        <v>81.63</v>
      </c>
      <c r="AL547" s="38">
        <v>84.13</v>
      </c>
      <c r="AM547" s="38">
        <v>85.38</v>
      </c>
      <c r="AN547" s="38">
        <v>84.83</v>
      </c>
      <c r="AO547" s="38">
        <v>82.11</v>
      </c>
      <c r="AP547" s="38">
        <v>72.11</v>
      </c>
      <c r="AQ547" s="38">
        <v>65.11</v>
      </c>
      <c r="AR547" s="38">
        <v>63.11</v>
      </c>
      <c r="AS547" s="38">
        <v>62.81</v>
      </c>
      <c r="AT547" s="38">
        <v>64.31</v>
      </c>
      <c r="AU547" s="38">
        <v>70.31</v>
      </c>
      <c r="AV547" s="38">
        <v>71.81</v>
      </c>
      <c r="AW547" s="38">
        <v>72.31</v>
      </c>
      <c r="AX547" s="38">
        <v>74.61</v>
      </c>
      <c r="AY547" s="38">
        <v>76.91</v>
      </c>
      <c r="BA547" s="37">
        <v>91.22</v>
      </c>
      <c r="BB547" s="38">
        <v>1.3512999999999999</v>
      </c>
    </row>
    <row r="548" spans="1:54" x14ac:dyDescent="0.35">
      <c r="A548" s="2">
        <f t="shared" si="8"/>
        <v>44588</v>
      </c>
      <c r="B548" t="s">
        <v>590</v>
      </c>
      <c r="C548" s="32">
        <v>44588</v>
      </c>
      <c r="D548" s="38">
        <v>219.96</v>
      </c>
      <c r="E548" s="38">
        <v>220.43</v>
      </c>
      <c r="F548" s="38">
        <v>216.37</v>
      </c>
      <c r="G548" s="38">
        <v>213.57</v>
      </c>
      <c r="H548" s="38">
        <v>212.88</v>
      </c>
      <c r="I548" s="38">
        <v>212.64</v>
      </c>
      <c r="J548" s="38">
        <v>212.96</v>
      </c>
      <c r="K548" s="38">
        <v>214.21</v>
      </c>
      <c r="L548" s="38">
        <v>215.47</v>
      </c>
      <c r="M548" s="38">
        <v>222.09</v>
      </c>
      <c r="N548" s="38">
        <v>225.12</v>
      </c>
      <c r="O548" s="38">
        <v>226.87</v>
      </c>
      <c r="P548" s="38">
        <v>227.46</v>
      </c>
      <c r="Q548" s="38">
        <v>213.91</v>
      </c>
      <c r="R548" s="38">
        <v>121.66</v>
      </c>
      <c r="S548" s="38">
        <v>105.24</v>
      </c>
      <c r="T548" s="38">
        <v>95.91</v>
      </c>
      <c r="U548" s="38">
        <v>98.91</v>
      </c>
      <c r="V548" s="38">
        <v>101.91</v>
      </c>
      <c r="W548" s="38">
        <v>106.72</v>
      </c>
      <c r="X548" s="38">
        <v>108.37</v>
      </c>
      <c r="Y548" s="38">
        <v>111.37</v>
      </c>
      <c r="Z548" s="38">
        <v>112.37</v>
      </c>
      <c r="AA548" s="38">
        <v>114.6</v>
      </c>
      <c r="AB548" s="38">
        <v>114.7</v>
      </c>
      <c r="AC548" s="38">
        <v>112.31</v>
      </c>
      <c r="AD548" s="38">
        <v>86.45</v>
      </c>
      <c r="AE548" s="38">
        <v>76.64</v>
      </c>
      <c r="AF548" s="38">
        <v>73.64</v>
      </c>
      <c r="AG548" s="38">
        <v>72.64</v>
      </c>
      <c r="AH548" s="38">
        <v>73.64</v>
      </c>
      <c r="AI548" s="38">
        <v>76.14</v>
      </c>
      <c r="AJ548" s="38">
        <v>79.59</v>
      </c>
      <c r="AK548" s="38">
        <v>82.59</v>
      </c>
      <c r="AL548" s="38">
        <v>85.09</v>
      </c>
      <c r="AM548" s="38">
        <v>86.34</v>
      </c>
      <c r="AN548" s="38">
        <v>85.79</v>
      </c>
      <c r="AO548" s="38">
        <v>83.07</v>
      </c>
      <c r="AP548" s="38">
        <v>73.069999999999993</v>
      </c>
      <c r="AQ548" s="38">
        <v>66.069999999999993</v>
      </c>
      <c r="AR548" s="38">
        <v>64.069999999999993</v>
      </c>
      <c r="AS548" s="38">
        <v>63.77</v>
      </c>
      <c r="AT548" s="38">
        <v>65.27</v>
      </c>
      <c r="AU548" s="38">
        <v>71.27</v>
      </c>
      <c r="AV548" s="38">
        <v>72.77</v>
      </c>
      <c r="AW548" s="38">
        <v>73.27</v>
      </c>
      <c r="AX548" s="38">
        <v>75.569999999999993</v>
      </c>
      <c r="AY548" s="38">
        <v>77.87</v>
      </c>
      <c r="BA548" s="37">
        <v>90.7</v>
      </c>
      <c r="BB548" s="38">
        <v>1.339</v>
      </c>
    </row>
    <row r="549" spans="1:54" x14ac:dyDescent="0.35">
      <c r="A549" s="2">
        <f t="shared" si="8"/>
        <v>44589</v>
      </c>
      <c r="B549" t="s">
        <v>591</v>
      </c>
      <c r="C549" s="32">
        <v>44589</v>
      </c>
      <c r="D549" s="38">
        <v>219.42</v>
      </c>
      <c r="E549" s="38">
        <v>219.83</v>
      </c>
      <c r="F549" s="38">
        <v>215.66</v>
      </c>
      <c r="G549" s="38">
        <v>213.65</v>
      </c>
      <c r="H549" s="38">
        <v>213.13</v>
      </c>
      <c r="I549" s="38">
        <v>213.09</v>
      </c>
      <c r="J549" s="38">
        <v>213.41</v>
      </c>
      <c r="K549" s="38">
        <v>214.41</v>
      </c>
      <c r="L549" s="38">
        <v>215.61</v>
      </c>
      <c r="M549" s="38">
        <v>222.61</v>
      </c>
      <c r="N549" s="38">
        <v>225.64</v>
      </c>
      <c r="O549" s="38">
        <v>227.39</v>
      </c>
      <c r="P549" s="38">
        <v>227.98</v>
      </c>
      <c r="Q549" s="38">
        <v>214.43</v>
      </c>
      <c r="R549" s="38">
        <v>129.43</v>
      </c>
      <c r="S549" s="38">
        <v>113.01</v>
      </c>
      <c r="T549" s="38">
        <v>103.68</v>
      </c>
      <c r="U549" s="38">
        <v>106.98</v>
      </c>
      <c r="V549" s="38">
        <v>109.98</v>
      </c>
      <c r="W549" s="38">
        <v>114.79</v>
      </c>
      <c r="X549" s="38">
        <v>115.59</v>
      </c>
      <c r="Y549" s="38">
        <v>118.59</v>
      </c>
      <c r="Z549" s="38">
        <v>119.59</v>
      </c>
      <c r="AA549" s="38">
        <v>121.82</v>
      </c>
      <c r="AB549" s="38">
        <v>121.92</v>
      </c>
      <c r="AC549" s="38">
        <v>119.53</v>
      </c>
      <c r="AD549" s="38">
        <v>88.83</v>
      </c>
      <c r="AE549" s="38">
        <v>79.02</v>
      </c>
      <c r="AF549" s="38">
        <v>76.02</v>
      </c>
      <c r="AG549" s="38">
        <v>75.02</v>
      </c>
      <c r="AH549" s="38">
        <v>76.02</v>
      </c>
      <c r="AI549" s="38">
        <v>78.52</v>
      </c>
      <c r="AJ549" s="38">
        <v>81.52</v>
      </c>
      <c r="AK549" s="38">
        <v>84.52</v>
      </c>
      <c r="AL549" s="38">
        <v>87.02</v>
      </c>
      <c r="AM549" s="38">
        <v>88.27</v>
      </c>
      <c r="AN549" s="38">
        <v>87.72</v>
      </c>
      <c r="AO549" s="38">
        <v>85</v>
      </c>
      <c r="AP549" s="38">
        <v>75</v>
      </c>
      <c r="AQ549" s="38">
        <v>68</v>
      </c>
      <c r="AR549" s="38">
        <v>66</v>
      </c>
      <c r="AS549" s="38">
        <v>65.7</v>
      </c>
      <c r="AT549" s="38">
        <v>67.2</v>
      </c>
      <c r="AU549" s="38">
        <v>73.2</v>
      </c>
      <c r="AV549" s="38">
        <v>74.7</v>
      </c>
      <c r="AW549" s="38">
        <v>75.2</v>
      </c>
      <c r="AX549" s="38">
        <v>77.5</v>
      </c>
      <c r="AY549" s="38">
        <v>79.8</v>
      </c>
      <c r="BA549" s="37">
        <v>91.47</v>
      </c>
      <c r="BB549" s="38">
        <v>1.3414999999999999</v>
      </c>
    </row>
    <row r="550" spans="1:54" x14ac:dyDescent="0.35">
      <c r="A550" s="2">
        <f t="shared" si="8"/>
        <v>44592</v>
      </c>
      <c r="B550" t="s">
        <v>592</v>
      </c>
      <c r="C550" s="32">
        <v>44592</v>
      </c>
      <c r="D550" s="38">
        <v>203.08</v>
      </c>
      <c r="E550" s="38">
        <v>198.97</v>
      </c>
      <c r="F550" s="38">
        <v>196.76</v>
      </c>
      <c r="G550" s="38">
        <v>196.05</v>
      </c>
      <c r="H550" s="38">
        <v>196.1</v>
      </c>
      <c r="I550" s="38">
        <v>196.45</v>
      </c>
      <c r="J550" s="38">
        <v>197.25</v>
      </c>
      <c r="K550" s="38">
        <v>198.83</v>
      </c>
      <c r="L550" s="38">
        <v>205.25</v>
      </c>
      <c r="M550" s="38">
        <v>208.19</v>
      </c>
      <c r="N550" s="38">
        <v>209.62</v>
      </c>
      <c r="O550" s="38">
        <v>210.21</v>
      </c>
      <c r="P550" s="38">
        <v>198.21</v>
      </c>
      <c r="Q550" s="38">
        <v>124.46</v>
      </c>
      <c r="R550" s="38">
        <v>113.97</v>
      </c>
      <c r="S550" s="38">
        <v>105.03</v>
      </c>
      <c r="T550" s="38">
        <v>108.35</v>
      </c>
      <c r="U550" s="38">
        <v>111.37</v>
      </c>
      <c r="V550" s="38">
        <v>116.2</v>
      </c>
      <c r="W550" s="38">
        <v>116.78</v>
      </c>
      <c r="X550" s="38">
        <v>119.82</v>
      </c>
      <c r="Y550" s="38">
        <v>120.85</v>
      </c>
      <c r="Z550" s="38">
        <v>123.11</v>
      </c>
      <c r="AA550" s="38">
        <v>123.24</v>
      </c>
      <c r="AB550" s="38">
        <v>120.77</v>
      </c>
      <c r="AC550" s="38">
        <v>89.52</v>
      </c>
      <c r="AD550" s="38">
        <v>79.3</v>
      </c>
      <c r="AE550" s="38">
        <v>76.3</v>
      </c>
      <c r="AF550" s="38">
        <v>75.31</v>
      </c>
      <c r="AG550" s="38">
        <v>76.31</v>
      </c>
      <c r="AH550" s="38">
        <v>78.81</v>
      </c>
      <c r="AI550" s="38">
        <v>81.81</v>
      </c>
      <c r="AJ550" s="38">
        <v>84.81</v>
      </c>
      <c r="AK550" s="38">
        <v>87.32</v>
      </c>
      <c r="AL550" s="38">
        <v>88.57</v>
      </c>
      <c r="AM550" s="38">
        <v>88.02</v>
      </c>
      <c r="AN550" s="38">
        <v>85.38</v>
      </c>
      <c r="AO550" s="38">
        <v>74.53</v>
      </c>
      <c r="AP550" s="38">
        <v>67.53</v>
      </c>
      <c r="AQ550" s="38">
        <v>65.53</v>
      </c>
      <c r="AR550" s="38">
        <v>65.23</v>
      </c>
      <c r="AS550" s="38">
        <v>66.73</v>
      </c>
      <c r="AT550" s="38">
        <v>71.73</v>
      </c>
      <c r="AU550" s="38">
        <v>73.12</v>
      </c>
      <c r="AV550" s="38">
        <v>73.87</v>
      </c>
      <c r="AW550" s="38">
        <v>76.17</v>
      </c>
      <c r="AX550" s="38">
        <v>78.47</v>
      </c>
      <c r="AY550" s="38">
        <v>77.92</v>
      </c>
      <c r="BA550" s="37">
        <v>92.35</v>
      </c>
      <c r="BB550" s="38">
        <v>1.3418000000000001</v>
      </c>
    </row>
    <row r="551" spans="1:54" x14ac:dyDescent="0.35">
      <c r="A551" s="2">
        <f t="shared" si="8"/>
        <v>44593</v>
      </c>
      <c r="B551" t="s">
        <v>593</v>
      </c>
      <c r="C551" s="32">
        <v>44593</v>
      </c>
      <c r="D551" s="38">
        <v>180.79</v>
      </c>
      <c r="E551" s="38">
        <v>176.86</v>
      </c>
      <c r="F551" s="38">
        <v>174.42</v>
      </c>
      <c r="G551" s="38">
        <v>173.94</v>
      </c>
      <c r="H551" s="38">
        <v>173.95</v>
      </c>
      <c r="I551" s="38">
        <v>174.3</v>
      </c>
      <c r="J551" s="38">
        <v>174.95</v>
      </c>
      <c r="K551" s="38">
        <v>176.94</v>
      </c>
      <c r="L551" s="38">
        <v>183.08</v>
      </c>
      <c r="M551" s="38">
        <v>185.65</v>
      </c>
      <c r="N551" s="38">
        <v>186.73</v>
      </c>
      <c r="O551" s="38">
        <v>187.32</v>
      </c>
      <c r="P551" s="38">
        <v>177.91</v>
      </c>
      <c r="Q551" s="38">
        <v>116.34</v>
      </c>
      <c r="R551" s="38">
        <v>107.75</v>
      </c>
      <c r="S551" s="38">
        <v>99.27</v>
      </c>
      <c r="T551" s="38">
        <v>102.59</v>
      </c>
      <c r="U551" s="38">
        <v>105.61</v>
      </c>
      <c r="V551" s="38">
        <v>110.56</v>
      </c>
      <c r="W551" s="38">
        <v>110.91</v>
      </c>
      <c r="X551" s="38">
        <v>113.56</v>
      </c>
      <c r="Y551" s="38">
        <v>114.59</v>
      </c>
      <c r="Z551" s="38">
        <v>116.85</v>
      </c>
      <c r="AA551" s="38">
        <v>116.98</v>
      </c>
      <c r="AB551" s="38">
        <v>114.51</v>
      </c>
      <c r="AC551" s="38">
        <v>87.76</v>
      </c>
      <c r="AD551" s="38">
        <v>78.11</v>
      </c>
      <c r="AE551" s="38">
        <v>75.11</v>
      </c>
      <c r="AF551" s="38">
        <v>74.11</v>
      </c>
      <c r="AG551" s="38">
        <v>75.11</v>
      </c>
      <c r="AH551" s="38">
        <v>77.86</v>
      </c>
      <c r="AI551" s="38">
        <v>81.36</v>
      </c>
      <c r="AJ551" s="38">
        <v>84.36</v>
      </c>
      <c r="AK551" s="38">
        <v>86.87</v>
      </c>
      <c r="AL551" s="38">
        <v>88.12</v>
      </c>
      <c r="AM551" s="38">
        <v>87.57</v>
      </c>
      <c r="AN551" s="38">
        <v>84.57</v>
      </c>
      <c r="AO551" s="38">
        <v>72.22</v>
      </c>
      <c r="AP551" s="38">
        <v>65.22</v>
      </c>
      <c r="AQ551" s="38">
        <v>63.22</v>
      </c>
      <c r="AR551" s="38">
        <v>62.92</v>
      </c>
      <c r="AS551" s="38">
        <v>64.42</v>
      </c>
      <c r="AT551" s="38">
        <v>68.42</v>
      </c>
      <c r="AU551" s="38">
        <v>70.42</v>
      </c>
      <c r="AV551" s="38">
        <v>72.42</v>
      </c>
      <c r="AW551" s="38">
        <v>74.72</v>
      </c>
      <c r="AX551" s="38">
        <v>77.02</v>
      </c>
      <c r="AY551" s="38">
        <v>76.47</v>
      </c>
      <c r="BA551" s="37">
        <v>90.24</v>
      </c>
      <c r="BB551" s="38">
        <v>1.3506</v>
      </c>
    </row>
    <row r="552" spans="1:54" x14ac:dyDescent="0.35">
      <c r="A552" s="2">
        <f t="shared" si="8"/>
        <v>44594</v>
      </c>
      <c r="B552" t="s">
        <v>594</v>
      </c>
      <c r="C552" s="32">
        <v>44594</v>
      </c>
      <c r="D552" s="38">
        <v>183.9</v>
      </c>
      <c r="E552" s="38">
        <v>181.85</v>
      </c>
      <c r="F552" s="38">
        <v>180.15</v>
      </c>
      <c r="G552" s="38">
        <v>179.65</v>
      </c>
      <c r="H552" s="38">
        <v>179.15</v>
      </c>
      <c r="I552" s="38">
        <v>179.5</v>
      </c>
      <c r="J552" s="38">
        <v>181.54</v>
      </c>
      <c r="K552" s="38">
        <v>183.07</v>
      </c>
      <c r="L552" s="38">
        <v>189.02</v>
      </c>
      <c r="M552" s="38">
        <v>191.22</v>
      </c>
      <c r="N552" s="38">
        <v>192.47</v>
      </c>
      <c r="O552" s="38">
        <v>193.06</v>
      </c>
      <c r="P552" s="38">
        <v>182.8</v>
      </c>
      <c r="Q552" s="38">
        <v>118.07</v>
      </c>
      <c r="R552" s="38">
        <v>109.15</v>
      </c>
      <c r="S552" s="38">
        <v>100.67</v>
      </c>
      <c r="T552" s="38">
        <v>103.99</v>
      </c>
      <c r="U552" s="38">
        <v>107.01</v>
      </c>
      <c r="V552" s="38">
        <v>111.82</v>
      </c>
      <c r="W552" s="38">
        <v>112.06</v>
      </c>
      <c r="X552" s="38">
        <v>114.71</v>
      </c>
      <c r="Y552" s="38">
        <v>115.74</v>
      </c>
      <c r="Z552" s="38">
        <v>118</v>
      </c>
      <c r="AA552" s="38">
        <v>118.13</v>
      </c>
      <c r="AB552" s="38">
        <v>115.66</v>
      </c>
      <c r="AC552" s="38">
        <v>89.66</v>
      </c>
      <c r="AD552" s="38">
        <v>80.010000000000005</v>
      </c>
      <c r="AE552" s="38">
        <v>77.010000000000005</v>
      </c>
      <c r="AF552" s="38">
        <v>76.010000000000005</v>
      </c>
      <c r="AG552" s="38">
        <v>77.010000000000005</v>
      </c>
      <c r="AH552" s="38">
        <v>79.760000000000005</v>
      </c>
      <c r="AI552" s="38">
        <v>83.26</v>
      </c>
      <c r="AJ552" s="38">
        <v>86.26</v>
      </c>
      <c r="AK552" s="38">
        <v>88.77</v>
      </c>
      <c r="AL552" s="38">
        <v>90.02</v>
      </c>
      <c r="AM552" s="38">
        <v>89.47</v>
      </c>
      <c r="AN552" s="38">
        <v>85.47</v>
      </c>
      <c r="AO552" s="38">
        <v>72.47</v>
      </c>
      <c r="AP552" s="38">
        <v>65.47</v>
      </c>
      <c r="AQ552" s="38">
        <v>63.47</v>
      </c>
      <c r="AR552" s="38">
        <v>63.17</v>
      </c>
      <c r="AS552" s="38">
        <v>64.67</v>
      </c>
      <c r="AT552" s="38">
        <v>68.67</v>
      </c>
      <c r="AU552" s="38">
        <v>71.67</v>
      </c>
      <c r="AV552" s="38">
        <v>73.67</v>
      </c>
      <c r="AW552" s="38">
        <v>75.97</v>
      </c>
      <c r="AX552" s="38">
        <v>78.27</v>
      </c>
      <c r="AY552" s="38">
        <v>77.72</v>
      </c>
      <c r="BA552" s="37">
        <v>91.43</v>
      </c>
      <c r="BB552" s="38">
        <v>1.3572</v>
      </c>
    </row>
    <row r="553" spans="1:54" x14ac:dyDescent="0.35">
      <c r="A553" s="2">
        <f t="shared" si="8"/>
        <v>44595</v>
      </c>
      <c r="B553" t="s">
        <v>595</v>
      </c>
      <c r="C553" s="32">
        <v>44595</v>
      </c>
      <c r="D553" s="38">
        <v>192.76</v>
      </c>
      <c r="E553" s="38">
        <v>191</v>
      </c>
      <c r="F553" s="38">
        <v>188.99</v>
      </c>
      <c r="G553" s="38">
        <v>188.59</v>
      </c>
      <c r="H553" s="38">
        <v>188.16</v>
      </c>
      <c r="I553" s="38">
        <v>188.56</v>
      </c>
      <c r="J553" s="38">
        <v>190.69</v>
      </c>
      <c r="K553" s="38">
        <v>191.59</v>
      </c>
      <c r="L553" s="38">
        <v>198.24</v>
      </c>
      <c r="M553" s="38">
        <v>200.82</v>
      </c>
      <c r="N553" s="38">
        <v>202.07</v>
      </c>
      <c r="O553" s="38">
        <v>202.52</v>
      </c>
      <c r="P553" s="38">
        <v>191.37</v>
      </c>
      <c r="Q553" s="38">
        <v>120.55</v>
      </c>
      <c r="R553" s="38">
        <v>110.55</v>
      </c>
      <c r="S553" s="38">
        <v>102.07</v>
      </c>
      <c r="T553" s="38">
        <v>105.39</v>
      </c>
      <c r="U553" s="38">
        <v>108.41</v>
      </c>
      <c r="V553" s="38">
        <v>113.22</v>
      </c>
      <c r="W553" s="38">
        <v>113.46</v>
      </c>
      <c r="X553" s="38">
        <v>116.11</v>
      </c>
      <c r="Y553" s="38">
        <v>117.14</v>
      </c>
      <c r="Z553" s="38">
        <v>119.4</v>
      </c>
      <c r="AA553" s="38">
        <v>119.42</v>
      </c>
      <c r="AB553" s="38">
        <v>116.87</v>
      </c>
      <c r="AC553" s="38">
        <v>89.37</v>
      </c>
      <c r="AD553" s="38">
        <v>79.72</v>
      </c>
      <c r="AE553" s="38">
        <v>76.72</v>
      </c>
      <c r="AF553" s="38">
        <v>75.72</v>
      </c>
      <c r="AG553" s="38">
        <v>76.72</v>
      </c>
      <c r="AH553" s="38">
        <v>79.47</v>
      </c>
      <c r="AI553" s="38">
        <v>82.97</v>
      </c>
      <c r="AJ553" s="38">
        <v>85.97</v>
      </c>
      <c r="AK553" s="38">
        <v>88.48</v>
      </c>
      <c r="AL553" s="38">
        <v>89.73</v>
      </c>
      <c r="AM553" s="38">
        <v>89.18</v>
      </c>
      <c r="AN553" s="38">
        <v>85.18</v>
      </c>
      <c r="AO553" s="38">
        <v>72.180000000000007</v>
      </c>
      <c r="AP553" s="38">
        <v>65.180000000000007</v>
      </c>
      <c r="AQ553" s="38">
        <v>63.18</v>
      </c>
      <c r="AR553" s="38">
        <v>62.88</v>
      </c>
      <c r="AS553" s="38">
        <v>64.38</v>
      </c>
      <c r="AT553" s="38">
        <v>68.38</v>
      </c>
      <c r="AU553" s="38">
        <v>71.63</v>
      </c>
      <c r="AV553" s="38">
        <v>73.63</v>
      </c>
      <c r="AW553" s="38">
        <v>75.930000000000007</v>
      </c>
      <c r="AX553" s="38">
        <v>78.23</v>
      </c>
      <c r="AY553" s="38">
        <v>77.680000000000007</v>
      </c>
      <c r="BA553" s="37">
        <v>92.99</v>
      </c>
      <c r="BB553" s="38">
        <v>1.361</v>
      </c>
    </row>
    <row r="554" spans="1:54" x14ac:dyDescent="0.35">
      <c r="A554" s="2">
        <f t="shared" si="8"/>
        <v>44596</v>
      </c>
      <c r="B554" t="s">
        <v>596</v>
      </c>
      <c r="C554" s="32">
        <v>44596</v>
      </c>
      <c r="D554" s="38">
        <v>200.49</v>
      </c>
      <c r="E554" s="38">
        <v>200.04</v>
      </c>
      <c r="F554" s="38">
        <v>199.13</v>
      </c>
      <c r="G554" s="38">
        <v>198.69</v>
      </c>
      <c r="H554" s="38">
        <v>198.19</v>
      </c>
      <c r="I554" s="38">
        <v>198.54</v>
      </c>
      <c r="J554" s="38">
        <v>200.52</v>
      </c>
      <c r="K554" s="38">
        <v>201.67</v>
      </c>
      <c r="L554" s="38">
        <v>208.17</v>
      </c>
      <c r="M554" s="38">
        <v>210.55</v>
      </c>
      <c r="N554" s="38">
        <v>211.61</v>
      </c>
      <c r="O554" s="38">
        <v>212.06</v>
      </c>
      <c r="P554" s="38">
        <v>201.56</v>
      </c>
      <c r="Q554" s="38">
        <v>128.18</v>
      </c>
      <c r="R554" s="38">
        <v>118.18</v>
      </c>
      <c r="S554" s="38">
        <v>109.7</v>
      </c>
      <c r="T554" s="38">
        <v>112.7</v>
      </c>
      <c r="U554" s="38">
        <v>115.7</v>
      </c>
      <c r="V554" s="38">
        <v>119.7</v>
      </c>
      <c r="W554" s="38">
        <v>120.35</v>
      </c>
      <c r="X554" s="38">
        <v>123</v>
      </c>
      <c r="Y554" s="38">
        <v>124.03</v>
      </c>
      <c r="Z554" s="38">
        <v>126.29</v>
      </c>
      <c r="AA554" s="38">
        <v>126.31</v>
      </c>
      <c r="AB554" s="38">
        <v>123.76</v>
      </c>
      <c r="AC554" s="38">
        <v>93.76</v>
      </c>
      <c r="AD554" s="38">
        <v>82.76</v>
      </c>
      <c r="AE554" s="38">
        <v>79.760000000000005</v>
      </c>
      <c r="AF554" s="38">
        <v>78.760000000000005</v>
      </c>
      <c r="AG554" s="38">
        <v>79.760000000000005</v>
      </c>
      <c r="AH554" s="38">
        <v>82.51</v>
      </c>
      <c r="AI554" s="38">
        <v>85.51</v>
      </c>
      <c r="AJ554" s="38">
        <v>88.51</v>
      </c>
      <c r="AK554" s="38">
        <v>91.02</v>
      </c>
      <c r="AL554" s="38">
        <v>92.27</v>
      </c>
      <c r="AM554" s="38">
        <v>91.72</v>
      </c>
      <c r="AN554" s="38">
        <v>87.72</v>
      </c>
      <c r="AO554" s="38">
        <v>76.16</v>
      </c>
      <c r="AP554" s="38">
        <v>69.16</v>
      </c>
      <c r="AQ554" s="38">
        <v>67.16</v>
      </c>
      <c r="AR554" s="38">
        <v>66.86</v>
      </c>
      <c r="AS554" s="38">
        <v>68.36</v>
      </c>
      <c r="AT554" s="38">
        <v>72.36</v>
      </c>
      <c r="AU554" s="38">
        <v>75.86</v>
      </c>
      <c r="AV554" s="38">
        <v>77.86</v>
      </c>
      <c r="AW554" s="38">
        <v>80.16</v>
      </c>
      <c r="AX554" s="38">
        <v>82.46</v>
      </c>
      <c r="AY554" s="38">
        <v>81.91</v>
      </c>
      <c r="BA554" s="37">
        <v>96.86</v>
      </c>
      <c r="BB554" s="38">
        <v>1.353</v>
      </c>
    </row>
    <row r="555" spans="1:54" x14ac:dyDescent="0.35">
      <c r="A555" s="2">
        <f t="shared" si="8"/>
        <v>44599</v>
      </c>
      <c r="B555" t="s">
        <v>597</v>
      </c>
      <c r="C555" s="32">
        <v>44599</v>
      </c>
      <c r="D555" s="38">
        <v>193.83</v>
      </c>
      <c r="E555" s="38">
        <v>193.42</v>
      </c>
      <c r="F555" s="38">
        <v>192.82</v>
      </c>
      <c r="G555" s="38">
        <v>192.62</v>
      </c>
      <c r="H555" s="38">
        <v>192.18</v>
      </c>
      <c r="I555" s="38">
        <v>192.63</v>
      </c>
      <c r="J555" s="38">
        <v>193.63</v>
      </c>
      <c r="K555" s="38">
        <v>195.14</v>
      </c>
      <c r="L555" s="38">
        <v>202.64</v>
      </c>
      <c r="M555" s="38">
        <v>205.04</v>
      </c>
      <c r="N555" s="38">
        <v>205.8</v>
      </c>
      <c r="O555" s="38">
        <v>206.22</v>
      </c>
      <c r="P555" s="38">
        <v>196.18</v>
      </c>
      <c r="Q555" s="38">
        <v>125.6</v>
      </c>
      <c r="R555" s="38">
        <v>116.11</v>
      </c>
      <c r="S555" s="38">
        <v>108.11</v>
      </c>
      <c r="T555" s="38">
        <v>111.11</v>
      </c>
      <c r="U555" s="38">
        <v>114.11</v>
      </c>
      <c r="V555" s="38">
        <v>118.11</v>
      </c>
      <c r="W555" s="38">
        <v>119.55</v>
      </c>
      <c r="X555" s="38">
        <v>122.2</v>
      </c>
      <c r="Y555" s="38">
        <v>123.23</v>
      </c>
      <c r="Z555" s="38">
        <v>125.49</v>
      </c>
      <c r="AA555" s="38">
        <v>125.51</v>
      </c>
      <c r="AB555" s="38">
        <v>122.96</v>
      </c>
      <c r="AC555" s="38">
        <v>92.96</v>
      </c>
      <c r="AD555" s="38">
        <v>81.96</v>
      </c>
      <c r="AE555" s="38">
        <v>78.959999999999994</v>
      </c>
      <c r="AF555" s="38">
        <v>77.959999999999994</v>
      </c>
      <c r="AG555" s="38">
        <v>78.959999999999994</v>
      </c>
      <c r="AH555" s="38">
        <v>81.81</v>
      </c>
      <c r="AI555" s="38">
        <v>85.31</v>
      </c>
      <c r="AJ555" s="38">
        <v>88.31</v>
      </c>
      <c r="AK555" s="38">
        <v>90.82</v>
      </c>
      <c r="AL555" s="38">
        <v>92.07</v>
      </c>
      <c r="AM555" s="38">
        <v>91.52</v>
      </c>
      <c r="AN555" s="38">
        <v>87.52</v>
      </c>
      <c r="AO555" s="38">
        <v>75.78</v>
      </c>
      <c r="AP555" s="38">
        <v>68.78</v>
      </c>
      <c r="AQ555" s="38">
        <v>66.78</v>
      </c>
      <c r="AR555" s="38">
        <v>66.48</v>
      </c>
      <c r="AS555" s="38">
        <v>67.98</v>
      </c>
      <c r="AT555" s="38">
        <v>71.98</v>
      </c>
      <c r="AU555" s="38">
        <v>75.48</v>
      </c>
      <c r="AV555" s="38">
        <v>77.48</v>
      </c>
      <c r="AW555" s="38">
        <v>79.78</v>
      </c>
      <c r="AX555" s="38">
        <v>82.08</v>
      </c>
      <c r="AY555" s="38">
        <v>81.53</v>
      </c>
      <c r="BA555" s="37">
        <v>97.28</v>
      </c>
      <c r="BB555" s="38">
        <v>1.353</v>
      </c>
    </row>
    <row r="556" spans="1:54" x14ac:dyDescent="0.35">
      <c r="A556" s="2">
        <f t="shared" si="8"/>
        <v>44600</v>
      </c>
      <c r="B556" t="s">
        <v>598</v>
      </c>
      <c r="C556" s="32">
        <v>44600</v>
      </c>
      <c r="D556" s="38">
        <v>185.99</v>
      </c>
      <c r="E556" s="38">
        <v>186.66</v>
      </c>
      <c r="F556" s="38">
        <v>186.19</v>
      </c>
      <c r="G556" s="38">
        <v>186.08</v>
      </c>
      <c r="H556" s="38">
        <v>186.03</v>
      </c>
      <c r="I556" s="38">
        <v>186.93</v>
      </c>
      <c r="J556" s="38">
        <v>187.93</v>
      </c>
      <c r="K556" s="38">
        <v>189.32</v>
      </c>
      <c r="L556" s="38">
        <v>196.33</v>
      </c>
      <c r="M556" s="38">
        <v>198.98</v>
      </c>
      <c r="N556" s="38">
        <v>199.76</v>
      </c>
      <c r="O556" s="38">
        <v>200.27</v>
      </c>
      <c r="P556" s="38">
        <v>190.18</v>
      </c>
      <c r="Q556" s="38">
        <v>124.18</v>
      </c>
      <c r="R556" s="38">
        <v>115.18</v>
      </c>
      <c r="S556" s="38">
        <v>107.18</v>
      </c>
      <c r="T556" s="38">
        <v>110.18</v>
      </c>
      <c r="U556" s="38">
        <v>113.18</v>
      </c>
      <c r="V556" s="38">
        <v>117.18</v>
      </c>
      <c r="W556" s="38">
        <v>118.62</v>
      </c>
      <c r="X556" s="38">
        <v>121.27</v>
      </c>
      <c r="Y556" s="38">
        <v>122.3</v>
      </c>
      <c r="Z556" s="38">
        <v>124.71</v>
      </c>
      <c r="AA556" s="38">
        <v>124.73</v>
      </c>
      <c r="AB556" s="38">
        <v>122.18</v>
      </c>
      <c r="AC556" s="38">
        <v>92.13</v>
      </c>
      <c r="AD556" s="38">
        <v>81.13</v>
      </c>
      <c r="AE556" s="38">
        <v>78.13</v>
      </c>
      <c r="AF556" s="38">
        <v>77.13</v>
      </c>
      <c r="AG556" s="38">
        <v>78.13</v>
      </c>
      <c r="AH556" s="38">
        <v>81.63</v>
      </c>
      <c r="AI556" s="38">
        <v>85.58</v>
      </c>
      <c r="AJ556" s="38">
        <v>88.58</v>
      </c>
      <c r="AK556" s="38">
        <v>91.09</v>
      </c>
      <c r="AL556" s="38">
        <v>92.34</v>
      </c>
      <c r="AM556" s="38">
        <v>91.79</v>
      </c>
      <c r="AN556" s="38">
        <v>87.79</v>
      </c>
      <c r="AO556" s="38">
        <v>76.290000000000006</v>
      </c>
      <c r="AP556" s="38">
        <v>69.290000000000006</v>
      </c>
      <c r="AQ556" s="38">
        <v>67.290000000000006</v>
      </c>
      <c r="AR556" s="38">
        <v>66.989999999999995</v>
      </c>
      <c r="AS556" s="38">
        <v>68.489999999999995</v>
      </c>
      <c r="AT556" s="38">
        <v>72.489999999999995</v>
      </c>
      <c r="AU556" s="38">
        <v>75.989999999999995</v>
      </c>
      <c r="AV556" s="38">
        <v>76.989999999999995</v>
      </c>
      <c r="AW556" s="38">
        <v>79.290000000000006</v>
      </c>
      <c r="AX556" s="38">
        <v>81.59</v>
      </c>
      <c r="AY556" s="38">
        <v>81.040000000000006</v>
      </c>
      <c r="BA556" s="37">
        <v>96.07</v>
      </c>
      <c r="BB556" s="38">
        <v>1.3552999999999999</v>
      </c>
    </row>
    <row r="557" spans="1:54" x14ac:dyDescent="0.35">
      <c r="A557" s="2">
        <f t="shared" si="8"/>
        <v>44601</v>
      </c>
      <c r="B557" t="s">
        <v>599</v>
      </c>
      <c r="C557" s="32">
        <v>44601</v>
      </c>
      <c r="D557" s="38">
        <v>179.54</v>
      </c>
      <c r="E557" s="38">
        <v>179.31</v>
      </c>
      <c r="F557" s="38">
        <v>178.32</v>
      </c>
      <c r="G557" s="38">
        <v>177.47</v>
      </c>
      <c r="H557" s="38">
        <v>177.19</v>
      </c>
      <c r="I557" s="38">
        <v>177.9</v>
      </c>
      <c r="J557" s="38">
        <v>178.91</v>
      </c>
      <c r="K557" s="38">
        <v>180.21</v>
      </c>
      <c r="L557" s="38">
        <v>187.23</v>
      </c>
      <c r="M557" s="38">
        <v>189.88</v>
      </c>
      <c r="N557" s="38">
        <v>190.66</v>
      </c>
      <c r="O557" s="38">
        <v>191.17</v>
      </c>
      <c r="P557" s="38">
        <v>181.49</v>
      </c>
      <c r="Q557" s="38">
        <v>119.99</v>
      </c>
      <c r="R557" s="38">
        <v>111.1</v>
      </c>
      <c r="S557" s="38">
        <v>103.1</v>
      </c>
      <c r="T557" s="38">
        <v>106.1</v>
      </c>
      <c r="U557" s="38">
        <v>109.1</v>
      </c>
      <c r="V557" s="38">
        <v>113.1</v>
      </c>
      <c r="W557" s="38">
        <v>113.2</v>
      </c>
      <c r="X557" s="38">
        <v>115.85</v>
      </c>
      <c r="Y557" s="38">
        <v>116.88</v>
      </c>
      <c r="Z557" s="38">
        <v>119.29</v>
      </c>
      <c r="AA557" s="38">
        <v>119.31</v>
      </c>
      <c r="AB557" s="38">
        <v>116.76</v>
      </c>
      <c r="AC557" s="38">
        <v>91.51</v>
      </c>
      <c r="AD557" s="38">
        <v>81.510000000000005</v>
      </c>
      <c r="AE557" s="38">
        <v>78.510000000000005</v>
      </c>
      <c r="AF557" s="38">
        <v>77.510000000000005</v>
      </c>
      <c r="AG557" s="38">
        <v>78.510000000000005</v>
      </c>
      <c r="AH557" s="38">
        <v>82.01</v>
      </c>
      <c r="AI557" s="38">
        <v>85.96</v>
      </c>
      <c r="AJ557" s="38">
        <v>88.96</v>
      </c>
      <c r="AK557" s="38">
        <v>91.47</v>
      </c>
      <c r="AL557" s="38">
        <v>92.72</v>
      </c>
      <c r="AM557" s="38">
        <v>92.17</v>
      </c>
      <c r="AN557" s="38">
        <v>88.17</v>
      </c>
      <c r="AO557" s="38">
        <v>76.67</v>
      </c>
      <c r="AP557" s="38">
        <v>69.67</v>
      </c>
      <c r="AQ557" s="38">
        <v>67.67</v>
      </c>
      <c r="AR557" s="38">
        <v>67.37</v>
      </c>
      <c r="AS557" s="38">
        <v>68.87</v>
      </c>
      <c r="AT557" s="38">
        <v>72.87</v>
      </c>
      <c r="AU557" s="38">
        <v>76.37</v>
      </c>
      <c r="AV557" s="38">
        <v>77.37</v>
      </c>
      <c r="AW557" s="38">
        <v>79.67</v>
      </c>
      <c r="AX557" s="38">
        <v>81.97</v>
      </c>
      <c r="AY557" s="38">
        <v>81.42</v>
      </c>
      <c r="BA557" s="37">
        <v>94.95</v>
      </c>
      <c r="BB557" s="38">
        <v>1.3546</v>
      </c>
    </row>
    <row r="558" spans="1:54" x14ac:dyDescent="0.35">
      <c r="A558" s="2">
        <f t="shared" si="8"/>
        <v>44602</v>
      </c>
      <c r="B558" t="s">
        <v>600</v>
      </c>
      <c r="C558" s="32">
        <v>44602</v>
      </c>
      <c r="D558" s="38">
        <v>178.16</v>
      </c>
      <c r="E558" s="38">
        <v>178.72</v>
      </c>
      <c r="F558" s="38">
        <v>178.29</v>
      </c>
      <c r="G558" s="38">
        <v>178.01</v>
      </c>
      <c r="H558" s="38">
        <v>177.81</v>
      </c>
      <c r="I558" s="38">
        <v>178.41</v>
      </c>
      <c r="J558" s="38">
        <v>179.66</v>
      </c>
      <c r="K558" s="38">
        <v>181.16</v>
      </c>
      <c r="L558" s="38">
        <v>188.16</v>
      </c>
      <c r="M558" s="38">
        <v>190.81</v>
      </c>
      <c r="N558" s="38">
        <v>191.43</v>
      </c>
      <c r="O558" s="38">
        <v>191.94</v>
      </c>
      <c r="P558" s="38">
        <v>182.26</v>
      </c>
      <c r="Q558" s="38">
        <v>121.52</v>
      </c>
      <c r="R558" s="38">
        <v>112.63</v>
      </c>
      <c r="S558" s="38">
        <v>104.88</v>
      </c>
      <c r="T558" s="38">
        <v>107.64</v>
      </c>
      <c r="U558" s="38">
        <v>110.64</v>
      </c>
      <c r="V558" s="38">
        <v>114.76</v>
      </c>
      <c r="W558" s="38">
        <v>116.17</v>
      </c>
      <c r="X558" s="38">
        <v>119.09</v>
      </c>
      <c r="Y558" s="38">
        <v>120.12</v>
      </c>
      <c r="Z558" s="38">
        <v>122.53</v>
      </c>
      <c r="AA558" s="38">
        <v>122.55</v>
      </c>
      <c r="AB558" s="38">
        <v>119.55</v>
      </c>
      <c r="AC558" s="38">
        <v>93.07</v>
      </c>
      <c r="AD558" s="38">
        <v>83.07</v>
      </c>
      <c r="AE558" s="38">
        <v>80.069999999999993</v>
      </c>
      <c r="AF558" s="38">
        <v>79.069999999999993</v>
      </c>
      <c r="AG558" s="38">
        <v>80.069999999999993</v>
      </c>
      <c r="AH558" s="38">
        <v>83.57</v>
      </c>
      <c r="AI558" s="38">
        <v>86.57</v>
      </c>
      <c r="AJ558" s="38">
        <v>89.4</v>
      </c>
      <c r="AK558" s="38">
        <v>91.91</v>
      </c>
      <c r="AL558" s="38">
        <v>93.16</v>
      </c>
      <c r="AM558" s="38">
        <v>92.61</v>
      </c>
      <c r="AN558" s="38">
        <v>88.61</v>
      </c>
      <c r="AO558" s="38">
        <v>77.11</v>
      </c>
      <c r="AP558" s="38">
        <v>70.11</v>
      </c>
      <c r="AQ558" s="38">
        <v>68.11</v>
      </c>
      <c r="AR558" s="38">
        <v>67.81</v>
      </c>
      <c r="AS558" s="38">
        <v>69.31</v>
      </c>
      <c r="AT558" s="38">
        <v>73.31</v>
      </c>
      <c r="AU558" s="38">
        <v>76.81</v>
      </c>
      <c r="AV558" s="38">
        <v>77.81</v>
      </c>
      <c r="AW558" s="38">
        <v>80.11</v>
      </c>
      <c r="AX558" s="38">
        <v>82.41</v>
      </c>
      <c r="AY558" s="38">
        <v>81.86</v>
      </c>
      <c r="BA558" s="37">
        <v>96.37</v>
      </c>
      <c r="BB558" s="38">
        <v>1.3615999999999999</v>
      </c>
    </row>
    <row r="559" spans="1:54" x14ac:dyDescent="0.35">
      <c r="A559" s="2">
        <f t="shared" si="8"/>
        <v>44603</v>
      </c>
      <c r="B559" t="s">
        <v>601</v>
      </c>
      <c r="C559" s="32">
        <v>44603</v>
      </c>
      <c r="D559" s="38">
        <v>185.86</v>
      </c>
      <c r="E559" s="38">
        <v>185.93</v>
      </c>
      <c r="F559" s="38">
        <v>185.43</v>
      </c>
      <c r="G559" s="38">
        <v>185.33</v>
      </c>
      <c r="H559" s="38">
        <v>185.06</v>
      </c>
      <c r="I559" s="38">
        <v>185.41</v>
      </c>
      <c r="J559" s="38">
        <v>186.84</v>
      </c>
      <c r="K559" s="38">
        <v>188.72</v>
      </c>
      <c r="L559" s="38">
        <v>195.72</v>
      </c>
      <c r="M559" s="38">
        <v>198.37</v>
      </c>
      <c r="N559" s="38">
        <v>198.91</v>
      </c>
      <c r="O559" s="38">
        <v>198.85</v>
      </c>
      <c r="P559" s="38">
        <v>189.26</v>
      </c>
      <c r="Q559" s="38">
        <v>129.26</v>
      </c>
      <c r="R559" s="38">
        <v>118.88</v>
      </c>
      <c r="S559" s="38">
        <v>110.88</v>
      </c>
      <c r="T559" s="38">
        <v>113.64</v>
      </c>
      <c r="U559" s="38">
        <v>116.64</v>
      </c>
      <c r="V559" s="38">
        <v>120.76</v>
      </c>
      <c r="W559" s="38">
        <v>121.19</v>
      </c>
      <c r="X559" s="38">
        <v>124.11</v>
      </c>
      <c r="Y559" s="38">
        <v>125.14</v>
      </c>
      <c r="Z559" s="38">
        <v>127.55</v>
      </c>
      <c r="AA559" s="38">
        <v>127.57</v>
      </c>
      <c r="AB559" s="38">
        <v>124.57</v>
      </c>
      <c r="AC559" s="38">
        <v>96.98</v>
      </c>
      <c r="AD559" s="38">
        <v>86.98</v>
      </c>
      <c r="AE559" s="38">
        <v>83.98</v>
      </c>
      <c r="AF559" s="38">
        <v>82.98</v>
      </c>
      <c r="AG559" s="38">
        <v>83.98</v>
      </c>
      <c r="AH559" s="38">
        <v>87.48</v>
      </c>
      <c r="AI559" s="38">
        <v>91.23</v>
      </c>
      <c r="AJ559" s="38">
        <v>94.06</v>
      </c>
      <c r="AK559" s="38">
        <v>96.57</v>
      </c>
      <c r="AL559" s="38">
        <v>97.82</v>
      </c>
      <c r="AM559" s="38">
        <v>97.27</v>
      </c>
      <c r="AN559" s="38">
        <v>93.27</v>
      </c>
      <c r="AO559" s="38">
        <v>80.27</v>
      </c>
      <c r="AP559" s="38">
        <v>73.27</v>
      </c>
      <c r="AQ559" s="38">
        <v>71.27</v>
      </c>
      <c r="AR559" s="38">
        <v>70.97</v>
      </c>
      <c r="AS559" s="38">
        <v>72.47</v>
      </c>
      <c r="AT559" s="38">
        <v>76.319999999999993</v>
      </c>
      <c r="AU559" s="38">
        <v>79.819999999999993</v>
      </c>
      <c r="AV559" s="38">
        <v>80.819999999999993</v>
      </c>
      <c r="AW559" s="38">
        <v>83.12</v>
      </c>
      <c r="AX559" s="38">
        <v>85.42</v>
      </c>
      <c r="AY559" s="38">
        <v>84.87</v>
      </c>
      <c r="BA559" s="37">
        <v>97.5</v>
      </c>
      <c r="BB559" s="38">
        <v>1.3603000000000001</v>
      </c>
    </row>
    <row r="560" spans="1:54" x14ac:dyDescent="0.35">
      <c r="A560" s="2">
        <f t="shared" si="8"/>
        <v>44606</v>
      </c>
      <c r="B560" t="s">
        <v>602</v>
      </c>
      <c r="C560" s="32">
        <v>44606</v>
      </c>
      <c r="D560" s="38">
        <v>193.02</v>
      </c>
      <c r="E560" s="38">
        <v>193.07</v>
      </c>
      <c r="F560" s="38">
        <v>192.41</v>
      </c>
      <c r="G560" s="38">
        <v>192.27</v>
      </c>
      <c r="H560" s="38">
        <v>191.34</v>
      </c>
      <c r="I560" s="38">
        <v>191.69</v>
      </c>
      <c r="J560" s="38">
        <v>193.23</v>
      </c>
      <c r="K560" s="38">
        <v>195.19</v>
      </c>
      <c r="L560" s="38">
        <v>203.22</v>
      </c>
      <c r="M560" s="38">
        <v>205.82</v>
      </c>
      <c r="N560" s="38">
        <v>206.4</v>
      </c>
      <c r="O560" s="38">
        <v>206.41</v>
      </c>
      <c r="P560" s="38">
        <v>195.54</v>
      </c>
      <c r="Q560" s="38">
        <v>131.77000000000001</v>
      </c>
      <c r="R560" s="38">
        <v>120.83</v>
      </c>
      <c r="S560" s="38">
        <v>112.93</v>
      </c>
      <c r="T560" s="38">
        <v>115.38</v>
      </c>
      <c r="U560" s="38">
        <v>118.39</v>
      </c>
      <c r="V560" s="38">
        <v>123.93</v>
      </c>
      <c r="W560" s="38">
        <v>124.67</v>
      </c>
      <c r="X560" s="38">
        <v>127.59</v>
      </c>
      <c r="Y560" s="38">
        <v>128.63</v>
      </c>
      <c r="Z560" s="38">
        <v>131.09</v>
      </c>
      <c r="AA560" s="38">
        <v>131.18</v>
      </c>
      <c r="AB560" s="38">
        <v>127.99</v>
      </c>
      <c r="AC560" s="38">
        <v>99.24</v>
      </c>
      <c r="AD560" s="38">
        <v>87.36</v>
      </c>
      <c r="AE560" s="38">
        <v>84.36</v>
      </c>
      <c r="AF560" s="38">
        <v>83.37</v>
      </c>
      <c r="AG560" s="38">
        <v>84.37</v>
      </c>
      <c r="AH560" s="38">
        <v>87.88</v>
      </c>
      <c r="AI560" s="38">
        <v>91.74</v>
      </c>
      <c r="AJ560" s="38">
        <v>95.15</v>
      </c>
      <c r="AK560" s="38">
        <v>97.66</v>
      </c>
      <c r="AL560" s="38">
        <v>98.91</v>
      </c>
      <c r="AM560" s="38">
        <v>98.36</v>
      </c>
      <c r="AN560" s="38">
        <v>94.36</v>
      </c>
      <c r="AO560" s="38">
        <v>81.36</v>
      </c>
      <c r="AP560" s="38">
        <v>74.36</v>
      </c>
      <c r="AQ560" s="38">
        <v>71.36</v>
      </c>
      <c r="AR560" s="38">
        <v>71.06</v>
      </c>
      <c r="AS560" s="38">
        <v>72.56</v>
      </c>
      <c r="AT560" s="38">
        <v>75.56</v>
      </c>
      <c r="AU560" s="38">
        <v>78.56</v>
      </c>
      <c r="AV560" s="38">
        <v>79.56</v>
      </c>
      <c r="AW560" s="38">
        <v>81.86</v>
      </c>
      <c r="AX560" s="38">
        <v>84.16</v>
      </c>
      <c r="AY560" s="38">
        <v>83.61</v>
      </c>
      <c r="BA560" s="37">
        <v>101.66</v>
      </c>
      <c r="BB560" s="38">
        <v>1.3512999999999999</v>
      </c>
    </row>
    <row r="561" spans="1:54" x14ac:dyDescent="0.35">
      <c r="A561" s="2">
        <f t="shared" si="8"/>
        <v>44607</v>
      </c>
      <c r="B561" t="s">
        <v>603</v>
      </c>
      <c r="C561" s="32">
        <v>44607</v>
      </c>
      <c r="D561" s="38">
        <v>170.89</v>
      </c>
      <c r="E561" s="38">
        <v>170.74</v>
      </c>
      <c r="F561" s="38">
        <v>169.9</v>
      </c>
      <c r="G561" s="38">
        <v>165.75</v>
      </c>
      <c r="H561" s="38">
        <v>168.01</v>
      </c>
      <c r="I561" s="38">
        <v>168.83</v>
      </c>
      <c r="J561" s="38">
        <v>170.54</v>
      </c>
      <c r="K561" s="38">
        <v>172.68</v>
      </c>
      <c r="L561" s="38">
        <v>179.84</v>
      </c>
      <c r="M561" s="38">
        <v>182.34</v>
      </c>
      <c r="N561" s="38">
        <v>183.25</v>
      </c>
      <c r="O561" s="38">
        <v>183.2</v>
      </c>
      <c r="P561" s="38">
        <v>172.94</v>
      </c>
      <c r="Q561" s="38">
        <v>125.4</v>
      </c>
      <c r="R561" s="38">
        <v>115.37</v>
      </c>
      <c r="S561" s="38">
        <v>108.04</v>
      </c>
      <c r="T561" s="38">
        <v>110.05</v>
      </c>
      <c r="U561" s="38">
        <v>113.04</v>
      </c>
      <c r="V561" s="38">
        <v>118.33</v>
      </c>
      <c r="W561" s="38">
        <v>119.26</v>
      </c>
      <c r="X561" s="38">
        <v>123.63</v>
      </c>
      <c r="Y561" s="38">
        <v>121.99</v>
      </c>
      <c r="Z561" s="38">
        <v>125.49</v>
      </c>
      <c r="AA561" s="38">
        <v>125.58</v>
      </c>
      <c r="AB561" s="38">
        <v>122.24</v>
      </c>
      <c r="AC561" s="38">
        <v>96.49</v>
      </c>
      <c r="AD561" s="38">
        <v>84.64</v>
      </c>
      <c r="AE561" s="38">
        <v>81.63</v>
      </c>
      <c r="AF561" s="38">
        <v>80.709999999999994</v>
      </c>
      <c r="AG561" s="38">
        <v>81.67</v>
      </c>
      <c r="AH561" s="38">
        <v>85.12</v>
      </c>
      <c r="AI561" s="38">
        <v>89.43</v>
      </c>
      <c r="AJ561" s="38">
        <v>92.83</v>
      </c>
      <c r="AK561" s="38">
        <v>95.28</v>
      </c>
      <c r="AL561" s="38">
        <v>96.65</v>
      </c>
      <c r="AM561" s="38">
        <v>96.12</v>
      </c>
      <c r="AN561" s="38">
        <v>92.14</v>
      </c>
      <c r="AO561" s="38">
        <v>79.13</v>
      </c>
      <c r="AP561" s="38">
        <v>72.319999999999993</v>
      </c>
      <c r="AQ561" s="38">
        <v>69.38</v>
      </c>
      <c r="AR561" s="38">
        <v>69.099999999999994</v>
      </c>
      <c r="AS561" s="38">
        <v>70.62</v>
      </c>
      <c r="AT561" s="38">
        <v>73.569999999999993</v>
      </c>
      <c r="AU561" s="38">
        <v>76.59</v>
      </c>
      <c r="AV561" s="38">
        <v>77.67</v>
      </c>
      <c r="AW561" s="38">
        <v>80.040000000000006</v>
      </c>
      <c r="AX561" s="38">
        <v>82.31</v>
      </c>
      <c r="AY561" s="38">
        <v>81.78</v>
      </c>
      <c r="BA561" s="37">
        <v>98.43</v>
      </c>
      <c r="BB561" s="38">
        <v>1.3522000000000001</v>
      </c>
    </row>
    <row r="562" spans="1:54" x14ac:dyDescent="0.35">
      <c r="A562" s="2">
        <f t="shared" si="8"/>
        <v>44608</v>
      </c>
      <c r="B562" t="s">
        <v>604</v>
      </c>
      <c r="C562" s="32">
        <v>44608</v>
      </c>
      <c r="D562" s="38">
        <v>166.92</v>
      </c>
      <c r="E562" s="38">
        <v>167.33</v>
      </c>
      <c r="F562" s="38">
        <v>166.48</v>
      </c>
      <c r="G562" s="38">
        <v>166.36</v>
      </c>
      <c r="H562" s="38">
        <v>166.01</v>
      </c>
      <c r="I562" s="38">
        <v>166.72</v>
      </c>
      <c r="J562" s="38">
        <v>168.53</v>
      </c>
      <c r="K562" s="38">
        <v>169.73</v>
      </c>
      <c r="L562" s="38">
        <v>176.93</v>
      </c>
      <c r="M562" s="38">
        <v>179.18</v>
      </c>
      <c r="N562" s="38">
        <v>180.94</v>
      </c>
      <c r="O562" s="38">
        <v>181.34</v>
      </c>
      <c r="P562" s="38">
        <v>171.37</v>
      </c>
      <c r="Q562" s="38">
        <v>121.37</v>
      </c>
      <c r="R562" s="38">
        <v>111.01</v>
      </c>
      <c r="S562" s="38">
        <v>104.01</v>
      </c>
      <c r="T562" s="38">
        <v>105.87</v>
      </c>
      <c r="U562" s="38">
        <v>108.69</v>
      </c>
      <c r="V562" s="38">
        <v>113.67</v>
      </c>
      <c r="W562" s="38">
        <v>114.79</v>
      </c>
      <c r="X562" s="38">
        <v>118.61</v>
      </c>
      <c r="Y562" s="38">
        <v>117.65</v>
      </c>
      <c r="Z562" s="38">
        <v>122.53</v>
      </c>
      <c r="AA562" s="38">
        <v>122.74</v>
      </c>
      <c r="AB562" s="38">
        <v>119.39</v>
      </c>
      <c r="AC562" s="38">
        <v>94.93</v>
      </c>
      <c r="AD562" s="38">
        <v>83.13</v>
      </c>
      <c r="AE562" s="38">
        <v>80.12</v>
      </c>
      <c r="AF562" s="38">
        <v>79.290000000000006</v>
      </c>
      <c r="AG562" s="38">
        <v>80.2</v>
      </c>
      <c r="AH562" s="38">
        <v>83.57</v>
      </c>
      <c r="AI562" s="38">
        <v>88.4</v>
      </c>
      <c r="AJ562" s="38">
        <v>91.61</v>
      </c>
      <c r="AK562" s="38">
        <v>93.92</v>
      </c>
      <c r="AL562" s="38">
        <v>95.14</v>
      </c>
      <c r="AM562" s="38">
        <v>94.5</v>
      </c>
      <c r="AN562" s="38">
        <v>90.41</v>
      </c>
      <c r="AO562" s="38">
        <v>76.8</v>
      </c>
      <c r="AP562" s="38">
        <v>70.14</v>
      </c>
      <c r="AQ562" s="38">
        <v>67.23</v>
      </c>
      <c r="AR562" s="38">
        <v>66.92</v>
      </c>
      <c r="AS562" s="38">
        <v>68.39</v>
      </c>
      <c r="AT562" s="38">
        <v>71.23</v>
      </c>
      <c r="AU562" s="38">
        <v>74.709999999999994</v>
      </c>
      <c r="AV562" s="38">
        <v>75.81</v>
      </c>
      <c r="AW562" s="38">
        <v>78.180000000000007</v>
      </c>
      <c r="AX562" s="38">
        <v>80.5</v>
      </c>
      <c r="AY562" s="38">
        <v>79.95</v>
      </c>
      <c r="BA562" s="37">
        <v>97.44</v>
      </c>
      <c r="BB562" s="38">
        <v>1.3577999999999999</v>
      </c>
    </row>
    <row r="563" spans="1:54" x14ac:dyDescent="0.35">
      <c r="A563" s="2">
        <f t="shared" si="8"/>
        <v>44609</v>
      </c>
      <c r="B563" t="s">
        <v>605</v>
      </c>
      <c r="C563" s="32">
        <v>44609</v>
      </c>
      <c r="D563" s="38">
        <v>179.67</v>
      </c>
      <c r="E563" s="38">
        <v>180</v>
      </c>
      <c r="F563" s="38">
        <v>178.17</v>
      </c>
      <c r="G563" s="38">
        <v>178.01</v>
      </c>
      <c r="H563" s="38">
        <v>177.68</v>
      </c>
      <c r="I563" s="38">
        <v>178.58</v>
      </c>
      <c r="J563" s="38">
        <v>180.38</v>
      </c>
      <c r="K563" s="38">
        <v>181.58</v>
      </c>
      <c r="L563" s="38">
        <v>189.11</v>
      </c>
      <c r="M563" s="38">
        <v>191.55</v>
      </c>
      <c r="N563" s="38">
        <v>193.32</v>
      </c>
      <c r="O563" s="38">
        <v>193.11</v>
      </c>
      <c r="P563" s="38">
        <v>183.41</v>
      </c>
      <c r="Q563" s="38">
        <v>122.96</v>
      </c>
      <c r="R563" s="38">
        <v>110.88</v>
      </c>
      <c r="S563" s="38">
        <v>103.88</v>
      </c>
      <c r="T563" s="38">
        <v>106.53</v>
      </c>
      <c r="U563" s="38">
        <v>109.37</v>
      </c>
      <c r="V563" s="38">
        <v>114.4</v>
      </c>
      <c r="W563" s="38">
        <v>115.05</v>
      </c>
      <c r="X563" s="38">
        <v>118.05</v>
      </c>
      <c r="Y563" s="38">
        <v>118.21</v>
      </c>
      <c r="Z563" s="38">
        <v>122.85</v>
      </c>
      <c r="AA563" s="38">
        <v>123.12</v>
      </c>
      <c r="AB563" s="38">
        <v>119.82</v>
      </c>
      <c r="AC563" s="38">
        <v>95.16</v>
      </c>
      <c r="AD563" s="38">
        <v>83.4</v>
      </c>
      <c r="AE563" s="38">
        <v>80.430000000000007</v>
      </c>
      <c r="AF563" s="38">
        <v>79.63</v>
      </c>
      <c r="AG563" s="38">
        <v>80.599999999999994</v>
      </c>
      <c r="AH563" s="38">
        <v>84.04</v>
      </c>
      <c r="AI563" s="38">
        <v>88.55</v>
      </c>
      <c r="AJ563" s="38">
        <v>91.76</v>
      </c>
      <c r="AK563" s="38">
        <v>94.07</v>
      </c>
      <c r="AL563" s="38">
        <v>95.59</v>
      </c>
      <c r="AM563" s="38">
        <v>94.95</v>
      </c>
      <c r="AN563" s="38">
        <v>90.86</v>
      </c>
      <c r="AO563" s="38">
        <v>77.13</v>
      </c>
      <c r="AP563" s="38">
        <v>70.430000000000007</v>
      </c>
      <c r="AQ563" s="38">
        <v>67.489999999999995</v>
      </c>
      <c r="AR563" s="38">
        <v>67.040000000000006</v>
      </c>
      <c r="AS563" s="38">
        <v>68.5</v>
      </c>
      <c r="AT563" s="38">
        <v>71.319999999999993</v>
      </c>
      <c r="AU563" s="38">
        <v>74.05</v>
      </c>
      <c r="AV563" s="38">
        <v>75.150000000000006</v>
      </c>
      <c r="AW563" s="38">
        <v>77.52</v>
      </c>
      <c r="AX563" s="38">
        <v>79.81</v>
      </c>
      <c r="AY563" s="38">
        <v>79.25</v>
      </c>
      <c r="BA563" s="37">
        <v>95.28</v>
      </c>
      <c r="BB563" s="38">
        <v>1.3620000000000001</v>
      </c>
    </row>
    <row r="564" spans="1:54" x14ac:dyDescent="0.35">
      <c r="A564" s="2">
        <f t="shared" si="8"/>
        <v>44610</v>
      </c>
      <c r="B564" t="s">
        <v>606</v>
      </c>
      <c r="C564" s="32">
        <v>44610</v>
      </c>
      <c r="D564" s="38">
        <v>176.49</v>
      </c>
      <c r="E564" s="38">
        <v>176.69</v>
      </c>
      <c r="F564" s="38">
        <v>175.99</v>
      </c>
      <c r="G564" s="38">
        <v>175.19</v>
      </c>
      <c r="H564" s="38">
        <v>174.86</v>
      </c>
      <c r="I564" s="38">
        <v>175.77</v>
      </c>
      <c r="J564" s="38">
        <v>177.42</v>
      </c>
      <c r="K564" s="38">
        <v>178.07</v>
      </c>
      <c r="L564" s="38">
        <v>186.22</v>
      </c>
      <c r="M564" s="38">
        <v>188.56</v>
      </c>
      <c r="N564" s="38">
        <v>190.11</v>
      </c>
      <c r="O564" s="38">
        <v>190.07</v>
      </c>
      <c r="P564" s="38">
        <v>180.44</v>
      </c>
      <c r="Q564" s="38">
        <v>122.75</v>
      </c>
      <c r="R564" s="38">
        <v>110.67</v>
      </c>
      <c r="S564" s="38">
        <v>103.67</v>
      </c>
      <c r="T564" s="38">
        <v>106.34</v>
      </c>
      <c r="U564" s="38">
        <v>109.17</v>
      </c>
      <c r="V564" s="38">
        <v>114.16</v>
      </c>
      <c r="W564" s="38">
        <v>114.59</v>
      </c>
      <c r="X564" s="38">
        <v>117.58</v>
      </c>
      <c r="Y564" s="38">
        <v>117.74</v>
      </c>
      <c r="Z564" s="38">
        <v>122.38</v>
      </c>
      <c r="AA564" s="38">
        <v>122.65</v>
      </c>
      <c r="AB564" s="38">
        <v>119.35</v>
      </c>
      <c r="AC564" s="38">
        <v>93.69</v>
      </c>
      <c r="AD564" s="38">
        <v>81.99</v>
      </c>
      <c r="AE564" s="38">
        <v>79.05</v>
      </c>
      <c r="AF564" s="38">
        <v>78.44</v>
      </c>
      <c r="AG564" s="38">
        <v>79.430000000000007</v>
      </c>
      <c r="AH564" s="38">
        <v>82.89</v>
      </c>
      <c r="AI564" s="38">
        <v>88.01</v>
      </c>
      <c r="AJ564" s="38">
        <v>91.2</v>
      </c>
      <c r="AK564" s="38">
        <v>93.48</v>
      </c>
      <c r="AL564" s="38">
        <v>95</v>
      </c>
      <c r="AM564" s="38">
        <v>94.35</v>
      </c>
      <c r="AN564" s="38">
        <v>90.26</v>
      </c>
      <c r="AO564" s="38">
        <v>76.25</v>
      </c>
      <c r="AP564" s="38">
        <v>69.540000000000006</v>
      </c>
      <c r="AQ564" s="38">
        <v>66.59</v>
      </c>
      <c r="AR564" s="38">
        <v>66.13</v>
      </c>
      <c r="AS564" s="38">
        <v>67.569999999999993</v>
      </c>
      <c r="AT564" s="38">
        <v>70.34</v>
      </c>
      <c r="AU564" s="38">
        <v>73.06</v>
      </c>
      <c r="AV564" s="38">
        <v>74.16</v>
      </c>
      <c r="AW564" s="38">
        <v>76.540000000000006</v>
      </c>
      <c r="AX564" s="38">
        <v>78.8</v>
      </c>
      <c r="AY564" s="38">
        <v>78.23</v>
      </c>
      <c r="BA564" s="37">
        <v>96.18</v>
      </c>
      <c r="BB564" s="38">
        <v>1.3584000000000001</v>
      </c>
    </row>
    <row r="565" spans="1:54" x14ac:dyDescent="0.35">
      <c r="A565" s="2">
        <f t="shared" si="8"/>
        <v>44613</v>
      </c>
      <c r="B565" t="s">
        <v>607</v>
      </c>
      <c r="C565" s="32">
        <v>44613</v>
      </c>
      <c r="D565" s="38">
        <v>173.53</v>
      </c>
      <c r="E565" s="38">
        <v>174.13</v>
      </c>
      <c r="F565" s="38">
        <v>173.56</v>
      </c>
      <c r="G565" s="38">
        <v>172.81</v>
      </c>
      <c r="H565" s="38">
        <v>172.43</v>
      </c>
      <c r="I565" s="38">
        <v>173.32</v>
      </c>
      <c r="J565" s="38">
        <v>174.85</v>
      </c>
      <c r="K565" s="38">
        <v>175.07</v>
      </c>
      <c r="L565" s="38">
        <v>183.18</v>
      </c>
      <c r="M565" s="38">
        <v>185.57</v>
      </c>
      <c r="N565" s="38">
        <v>187.09</v>
      </c>
      <c r="O565" s="38">
        <v>187.06</v>
      </c>
      <c r="P565" s="38">
        <v>177.46</v>
      </c>
      <c r="Q565" s="38">
        <v>123.11</v>
      </c>
      <c r="R565" s="38">
        <v>111.03</v>
      </c>
      <c r="S565" s="38">
        <v>104.05</v>
      </c>
      <c r="T565" s="38">
        <v>106.72</v>
      </c>
      <c r="U565" s="38">
        <v>109.55</v>
      </c>
      <c r="V565" s="38">
        <v>114.42</v>
      </c>
      <c r="W565" s="38">
        <v>114.31</v>
      </c>
      <c r="X565" s="38">
        <v>117.3</v>
      </c>
      <c r="Y565" s="38">
        <v>117.46</v>
      </c>
      <c r="Z565" s="38">
        <v>122.24</v>
      </c>
      <c r="AA565" s="38">
        <v>122.5</v>
      </c>
      <c r="AB565" s="38">
        <v>119.2</v>
      </c>
      <c r="AC565" s="38">
        <v>92.92</v>
      </c>
      <c r="AD565" s="38">
        <v>81.16</v>
      </c>
      <c r="AE565" s="38">
        <v>78.22</v>
      </c>
      <c r="AF565" s="38">
        <v>77.650000000000006</v>
      </c>
      <c r="AG565" s="38">
        <v>78.62</v>
      </c>
      <c r="AH565" s="38">
        <v>82.06</v>
      </c>
      <c r="AI565" s="38">
        <v>87.15</v>
      </c>
      <c r="AJ565" s="38">
        <v>90.32</v>
      </c>
      <c r="AK565" s="38">
        <v>92.58</v>
      </c>
      <c r="AL565" s="38">
        <v>94.1</v>
      </c>
      <c r="AM565" s="38">
        <v>93.44</v>
      </c>
      <c r="AN565" s="38">
        <v>89.35</v>
      </c>
      <c r="AO565" s="38">
        <v>75.36</v>
      </c>
      <c r="AP565" s="38">
        <v>68.72</v>
      </c>
      <c r="AQ565" s="38">
        <v>65.8</v>
      </c>
      <c r="AR565" s="38">
        <v>65.34</v>
      </c>
      <c r="AS565" s="38">
        <v>66.77</v>
      </c>
      <c r="AT565" s="38">
        <v>69.53</v>
      </c>
      <c r="AU565" s="38">
        <v>72.400000000000006</v>
      </c>
      <c r="AV565" s="38">
        <v>73.510000000000005</v>
      </c>
      <c r="AW565" s="38">
        <v>75.900000000000006</v>
      </c>
      <c r="AX565" s="38">
        <v>78.13</v>
      </c>
      <c r="AY565" s="38">
        <v>77.540000000000006</v>
      </c>
      <c r="BA565" s="37">
        <v>98.95</v>
      </c>
      <c r="BB565" s="38">
        <v>1.3607</v>
      </c>
    </row>
    <row r="566" spans="1:54" x14ac:dyDescent="0.35">
      <c r="A566" s="2">
        <f t="shared" si="8"/>
        <v>44614</v>
      </c>
      <c r="B566" t="s">
        <v>608</v>
      </c>
      <c r="C566" s="32">
        <v>44614</v>
      </c>
      <c r="D566" s="38">
        <v>190.99</v>
      </c>
      <c r="E566" s="38">
        <v>191.81</v>
      </c>
      <c r="F566" s="38">
        <v>192.42</v>
      </c>
      <c r="G566" s="38">
        <v>191.87</v>
      </c>
      <c r="H566" s="38">
        <v>191.28</v>
      </c>
      <c r="I566" s="38">
        <v>192.01</v>
      </c>
      <c r="J566" s="38">
        <v>193.71</v>
      </c>
      <c r="K566" s="38">
        <v>194.52</v>
      </c>
      <c r="L566" s="38">
        <v>202.62</v>
      </c>
      <c r="M566" s="38">
        <v>205.17</v>
      </c>
      <c r="N566" s="38">
        <v>206.65</v>
      </c>
      <c r="O566" s="38">
        <v>206.85</v>
      </c>
      <c r="P566" s="38">
        <v>196.44</v>
      </c>
      <c r="Q566" s="38">
        <v>138.41999999999999</v>
      </c>
      <c r="R566" s="38">
        <v>123.8</v>
      </c>
      <c r="S566" s="38">
        <v>115.73</v>
      </c>
      <c r="T566" s="38">
        <v>119.39</v>
      </c>
      <c r="U566" s="38">
        <v>122.53</v>
      </c>
      <c r="V566" s="38">
        <v>127.92</v>
      </c>
      <c r="W566" s="38">
        <v>128.27000000000001</v>
      </c>
      <c r="X566" s="38">
        <v>130.93</v>
      </c>
      <c r="Y566" s="38">
        <v>130.74</v>
      </c>
      <c r="Z566" s="38">
        <v>135.96</v>
      </c>
      <c r="AA566" s="38">
        <v>136.31</v>
      </c>
      <c r="AB566" s="38">
        <v>133.32</v>
      </c>
      <c r="AC566" s="38">
        <v>100.42</v>
      </c>
      <c r="AD566" s="38">
        <v>87.09</v>
      </c>
      <c r="AE566" s="38">
        <v>84.11</v>
      </c>
      <c r="AF566" s="38">
        <v>83.17</v>
      </c>
      <c r="AG566" s="38">
        <v>84.21</v>
      </c>
      <c r="AH566" s="38">
        <v>88.33</v>
      </c>
      <c r="AI566" s="38">
        <v>94.08</v>
      </c>
      <c r="AJ566" s="38">
        <v>97.25</v>
      </c>
      <c r="AK566" s="38">
        <v>98.86</v>
      </c>
      <c r="AL566" s="38">
        <v>100.22</v>
      </c>
      <c r="AM566" s="38">
        <v>99.55</v>
      </c>
      <c r="AN566" s="38">
        <v>94.04</v>
      </c>
      <c r="AO566" s="38">
        <v>78.489999999999995</v>
      </c>
      <c r="AP566" s="38">
        <v>71.66</v>
      </c>
      <c r="AQ566" s="38">
        <v>68.69</v>
      </c>
      <c r="AR566" s="38">
        <v>68.23</v>
      </c>
      <c r="AS566" s="38">
        <v>69.67</v>
      </c>
      <c r="AT566" s="38">
        <v>73.44</v>
      </c>
      <c r="AU566" s="38">
        <v>77.09</v>
      </c>
      <c r="AV566" s="38">
        <v>78.150000000000006</v>
      </c>
      <c r="AW566" s="38">
        <v>79.48</v>
      </c>
      <c r="AX566" s="38">
        <v>81.66</v>
      </c>
      <c r="AY566" s="38">
        <v>81.069999999999993</v>
      </c>
      <c r="BA566" s="37">
        <v>98.73</v>
      </c>
      <c r="BB566" s="38">
        <v>1.3591</v>
      </c>
    </row>
    <row r="567" spans="1:54" x14ac:dyDescent="0.35">
      <c r="A567" s="2">
        <f t="shared" si="8"/>
        <v>44615</v>
      </c>
      <c r="B567" t="s">
        <v>609</v>
      </c>
      <c r="C567" s="32">
        <v>44615</v>
      </c>
      <c r="D567" s="38">
        <v>213.33</v>
      </c>
      <c r="E567" s="38">
        <v>214.16</v>
      </c>
      <c r="F567" s="38">
        <v>215.12</v>
      </c>
      <c r="G567" s="38">
        <v>214.7</v>
      </c>
      <c r="H567" s="38">
        <v>214.08</v>
      </c>
      <c r="I567" s="38">
        <v>214.83</v>
      </c>
      <c r="J567" s="38">
        <v>216.63</v>
      </c>
      <c r="K567" s="38">
        <v>216.79</v>
      </c>
      <c r="L567" s="38">
        <v>225</v>
      </c>
      <c r="M567" s="38">
        <v>227.79</v>
      </c>
      <c r="N567" s="38">
        <v>229.32</v>
      </c>
      <c r="O567" s="38">
        <v>229.45</v>
      </c>
      <c r="P567" s="38">
        <v>217.86</v>
      </c>
      <c r="Q567" s="38">
        <v>152.03</v>
      </c>
      <c r="R567" s="38">
        <v>136.93</v>
      </c>
      <c r="S567" s="38">
        <v>127.82</v>
      </c>
      <c r="T567" s="38">
        <v>131.49</v>
      </c>
      <c r="U567" s="38">
        <v>134.97</v>
      </c>
      <c r="V567" s="38">
        <v>140.88</v>
      </c>
      <c r="W567" s="38">
        <v>139.87</v>
      </c>
      <c r="X567" s="38">
        <v>142.47999999999999</v>
      </c>
      <c r="Y567" s="38">
        <v>142.22</v>
      </c>
      <c r="Z567" s="38">
        <v>147.75</v>
      </c>
      <c r="AA567" s="38">
        <v>148.21</v>
      </c>
      <c r="AB567" s="38">
        <v>145.56</v>
      </c>
      <c r="AC567" s="38">
        <v>111.85</v>
      </c>
      <c r="AD567" s="38">
        <v>98.12</v>
      </c>
      <c r="AE567" s="38">
        <v>95.15</v>
      </c>
      <c r="AF567" s="38">
        <v>93.91</v>
      </c>
      <c r="AG567" s="38">
        <v>95.14</v>
      </c>
      <c r="AH567" s="38">
        <v>99.57</v>
      </c>
      <c r="AI567" s="38">
        <v>104.86</v>
      </c>
      <c r="AJ567" s="38">
        <v>108.18</v>
      </c>
      <c r="AK567" s="38">
        <v>109.98</v>
      </c>
      <c r="AL567" s="38">
        <v>110.42</v>
      </c>
      <c r="AM567" s="38">
        <v>109.82</v>
      </c>
      <c r="AN567" s="38">
        <v>104.31</v>
      </c>
      <c r="AO567" s="38">
        <v>87.3</v>
      </c>
      <c r="AP567" s="38">
        <v>79.930000000000007</v>
      </c>
      <c r="AQ567" s="38">
        <v>76.849999999999994</v>
      </c>
      <c r="AR567" s="38">
        <v>76.510000000000005</v>
      </c>
      <c r="AS567" s="38">
        <v>78.099999999999994</v>
      </c>
      <c r="AT567" s="38">
        <v>82.15</v>
      </c>
      <c r="AU567" s="38">
        <v>85.37</v>
      </c>
      <c r="AV567" s="38">
        <v>85.93</v>
      </c>
      <c r="AW567" s="38">
        <v>87.23</v>
      </c>
      <c r="AX567" s="38">
        <v>91.58</v>
      </c>
      <c r="AY567" s="38">
        <v>91.11</v>
      </c>
      <c r="BA567" s="37">
        <v>99.29</v>
      </c>
      <c r="BB567" s="38">
        <v>1.3560000000000001</v>
      </c>
    </row>
    <row r="568" spans="1:54" x14ac:dyDescent="0.35">
      <c r="A568" s="2">
        <f t="shared" si="8"/>
        <v>44616</v>
      </c>
      <c r="B568" t="s">
        <v>610</v>
      </c>
      <c r="C568" s="32">
        <v>44616</v>
      </c>
      <c r="D568" s="38">
        <v>321.97000000000003</v>
      </c>
      <c r="E568" s="38">
        <v>321.97000000000003</v>
      </c>
      <c r="F568" s="38">
        <v>318.51</v>
      </c>
      <c r="G568" s="38">
        <v>318.42</v>
      </c>
      <c r="H568" s="38">
        <v>318.11</v>
      </c>
      <c r="I568" s="38">
        <v>318.51</v>
      </c>
      <c r="J568" s="38">
        <v>319.33</v>
      </c>
      <c r="K568" s="38">
        <v>318.83</v>
      </c>
      <c r="L568" s="38">
        <v>325.92</v>
      </c>
      <c r="M568" s="38">
        <v>329.33</v>
      </c>
      <c r="N568" s="38">
        <v>329.89</v>
      </c>
      <c r="O568" s="38">
        <v>329.06</v>
      </c>
      <c r="P568" s="38">
        <v>312.27999999999997</v>
      </c>
      <c r="Q568" s="38">
        <v>171.28</v>
      </c>
      <c r="R568" s="38">
        <v>152.82</v>
      </c>
      <c r="S568" s="38">
        <v>142.68</v>
      </c>
      <c r="T568" s="38">
        <v>146.25</v>
      </c>
      <c r="U568" s="38">
        <v>150.07</v>
      </c>
      <c r="V568" s="38">
        <v>156.63999999999999</v>
      </c>
      <c r="W568" s="38">
        <v>155.61000000000001</v>
      </c>
      <c r="X568" s="38">
        <v>158.19999999999999</v>
      </c>
      <c r="Y568" s="38">
        <v>157.91</v>
      </c>
      <c r="Z568" s="38">
        <v>163.04</v>
      </c>
      <c r="AA568" s="38">
        <v>163.66</v>
      </c>
      <c r="AB568" s="38">
        <v>161.4</v>
      </c>
      <c r="AC568" s="38">
        <v>121.65</v>
      </c>
      <c r="AD568" s="38">
        <v>107.87</v>
      </c>
      <c r="AE568" s="38">
        <v>104.99</v>
      </c>
      <c r="AF568" s="38">
        <v>103.56</v>
      </c>
      <c r="AG568" s="38">
        <v>105.03</v>
      </c>
      <c r="AH568" s="38">
        <v>109.81</v>
      </c>
      <c r="AI568" s="38">
        <v>114.26</v>
      </c>
      <c r="AJ568" s="38">
        <v>117.78</v>
      </c>
      <c r="AK568" s="38">
        <v>119.78</v>
      </c>
      <c r="AL568" s="38">
        <v>118.55</v>
      </c>
      <c r="AM568" s="38">
        <v>118.01</v>
      </c>
      <c r="AN568" s="38">
        <v>112.52</v>
      </c>
      <c r="AO568" s="38">
        <v>89.88</v>
      </c>
      <c r="AP568" s="38">
        <v>82.52</v>
      </c>
      <c r="AQ568" s="38">
        <v>79.48</v>
      </c>
      <c r="AR568" s="38">
        <v>79.17</v>
      </c>
      <c r="AS568" s="38">
        <v>80.819999999999993</v>
      </c>
      <c r="AT568" s="38">
        <v>84.95</v>
      </c>
      <c r="AU568" s="38">
        <v>90.37</v>
      </c>
      <c r="AV568" s="38">
        <v>90.95</v>
      </c>
      <c r="AW568" s="38">
        <v>92.25</v>
      </c>
      <c r="AX568" s="38">
        <v>95.12</v>
      </c>
      <c r="AY568" s="38">
        <v>94.6</v>
      </c>
      <c r="BA568" s="37">
        <v>101.29</v>
      </c>
      <c r="BB568" s="38">
        <v>1.3274999999999999</v>
      </c>
    </row>
    <row r="569" spans="1:54" x14ac:dyDescent="0.35">
      <c r="A569" s="2">
        <f t="shared" si="8"/>
        <v>44617</v>
      </c>
      <c r="B569" t="s">
        <v>611</v>
      </c>
      <c r="C569" s="32">
        <v>44617</v>
      </c>
      <c r="D569" s="38">
        <v>225.55</v>
      </c>
      <c r="E569" s="38">
        <v>224.61</v>
      </c>
      <c r="F569" s="38">
        <v>223.85</v>
      </c>
      <c r="G569" s="38">
        <v>223.49</v>
      </c>
      <c r="H569" s="38">
        <v>223.2</v>
      </c>
      <c r="I569" s="38">
        <v>223.55</v>
      </c>
      <c r="J569" s="38">
        <v>224.37</v>
      </c>
      <c r="K569" s="38">
        <v>226.09</v>
      </c>
      <c r="L569" s="38">
        <v>233.57</v>
      </c>
      <c r="M569" s="38">
        <v>236.09</v>
      </c>
      <c r="N569" s="38">
        <v>237.6</v>
      </c>
      <c r="O569" s="38">
        <v>236.98</v>
      </c>
      <c r="P569" s="38">
        <v>220.65</v>
      </c>
      <c r="Q569" s="38">
        <v>143.47</v>
      </c>
      <c r="R569" s="38">
        <v>131.59</v>
      </c>
      <c r="S569" s="38">
        <v>123.02</v>
      </c>
      <c r="T569" s="38">
        <v>124.63</v>
      </c>
      <c r="U569" s="38">
        <v>127.87</v>
      </c>
      <c r="V569" s="38">
        <v>133.32</v>
      </c>
      <c r="W569" s="38">
        <v>133.62</v>
      </c>
      <c r="X569" s="38">
        <v>136.28</v>
      </c>
      <c r="Y569" s="38">
        <v>136.09</v>
      </c>
      <c r="Z569" s="38">
        <v>140.88</v>
      </c>
      <c r="AA569" s="38">
        <v>141.56</v>
      </c>
      <c r="AB569" s="38">
        <v>138.66999999999999</v>
      </c>
      <c r="AC569" s="38">
        <v>109.85</v>
      </c>
      <c r="AD569" s="38">
        <v>96.21</v>
      </c>
      <c r="AE569" s="38">
        <v>93.2</v>
      </c>
      <c r="AF569" s="38">
        <v>90.98</v>
      </c>
      <c r="AG569" s="38">
        <v>92.08</v>
      </c>
      <c r="AH569" s="38">
        <v>96.31</v>
      </c>
      <c r="AI569" s="38">
        <v>100.28</v>
      </c>
      <c r="AJ569" s="38">
        <v>103.51</v>
      </c>
      <c r="AK569" s="38">
        <v>105.16</v>
      </c>
      <c r="AL569" s="38">
        <v>103.56</v>
      </c>
      <c r="AM569" s="38">
        <v>102.86</v>
      </c>
      <c r="AN569" s="38">
        <v>97.33</v>
      </c>
      <c r="AO569" s="38">
        <v>79.959999999999994</v>
      </c>
      <c r="AP569" s="38">
        <v>73.27</v>
      </c>
      <c r="AQ569" s="38">
        <v>70.36</v>
      </c>
      <c r="AR569" s="38">
        <v>69.900000000000006</v>
      </c>
      <c r="AS569" s="38">
        <v>71.37</v>
      </c>
      <c r="AT569" s="38">
        <v>75.02</v>
      </c>
      <c r="AU569" s="38">
        <v>79.739999999999995</v>
      </c>
      <c r="AV569" s="38">
        <v>80.39</v>
      </c>
      <c r="AW569" s="38">
        <v>81.69</v>
      </c>
      <c r="AX569" s="38">
        <v>85.45</v>
      </c>
      <c r="AY569" s="38">
        <v>86.6</v>
      </c>
      <c r="BA569" s="37">
        <v>98.56</v>
      </c>
      <c r="BB569" s="38">
        <v>1.3415999999999999</v>
      </c>
    </row>
    <row r="570" spans="1:54" x14ac:dyDescent="0.35">
      <c r="A570" s="2">
        <f t="shared" si="8"/>
        <v>44620</v>
      </c>
      <c r="B570" t="s">
        <v>612</v>
      </c>
      <c r="C570" s="32">
        <v>44620</v>
      </c>
      <c r="D570" s="38">
        <v>237.78</v>
      </c>
      <c r="E570" s="38">
        <v>237.23</v>
      </c>
      <c r="F570" s="38">
        <v>237.07</v>
      </c>
      <c r="G570" s="38">
        <v>237.23</v>
      </c>
      <c r="H570" s="38">
        <v>237.79</v>
      </c>
      <c r="I570" s="38">
        <v>238.79</v>
      </c>
      <c r="J570" s="38">
        <v>238.29</v>
      </c>
      <c r="K570" s="38">
        <v>246.29</v>
      </c>
      <c r="L570" s="38">
        <v>250.29</v>
      </c>
      <c r="M570" s="38">
        <v>252.29</v>
      </c>
      <c r="N570" s="38">
        <v>254.59</v>
      </c>
      <c r="O570" s="38">
        <v>228.59</v>
      </c>
      <c r="P570" s="38">
        <v>149.15</v>
      </c>
      <c r="Q570" s="38">
        <v>130.38</v>
      </c>
      <c r="R570" s="38">
        <v>117.46</v>
      </c>
      <c r="S570" s="38">
        <v>117.84</v>
      </c>
      <c r="T570" s="38">
        <v>120.82</v>
      </c>
      <c r="U570" s="38">
        <v>126.82</v>
      </c>
      <c r="V570" s="38">
        <v>129.82</v>
      </c>
      <c r="W570" s="38">
        <v>132.82</v>
      </c>
      <c r="X570" s="38">
        <v>132.63</v>
      </c>
      <c r="Y570" s="38">
        <v>136.63</v>
      </c>
      <c r="Z570" s="38">
        <v>137.31</v>
      </c>
      <c r="AA570" s="38">
        <v>134.41999999999999</v>
      </c>
      <c r="AB570" s="38">
        <v>108.32</v>
      </c>
      <c r="AC570" s="38">
        <v>95.61</v>
      </c>
      <c r="AD570" s="38">
        <v>92.6</v>
      </c>
      <c r="AE570" s="38">
        <v>90.38</v>
      </c>
      <c r="AF570" s="38">
        <v>91.48</v>
      </c>
      <c r="AG570" s="38">
        <v>95.71</v>
      </c>
      <c r="AH570" s="38">
        <v>99.68</v>
      </c>
      <c r="AI570" s="38">
        <v>102.91</v>
      </c>
      <c r="AJ570" s="38">
        <v>104.56</v>
      </c>
      <c r="AK570" s="38">
        <v>102.96</v>
      </c>
      <c r="AL570" s="38">
        <v>102.26</v>
      </c>
      <c r="AM570" s="38">
        <v>97.26</v>
      </c>
      <c r="AN570" s="38">
        <v>80.31</v>
      </c>
      <c r="AO570" s="38">
        <v>74.31</v>
      </c>
      <c r="AP570" s="38">
        <v>71.31</v>
      </c>
      <c r="AQ570" s="38">
        <v>70.849999999999994</v>
      </c>
      <c r="AR570" s="38">
        <v>72.319999999999993</v>
      </c>
      <c r="AS570" s="38">
        <v>75.97</v>
      </c>
      <c r="AT570" s="38">
        <v>80.69</v>
      </c>
      <c r="AU570" s="38">
        <v>81.34</v>
      </c>
      <c r="AV570" s="38">
        <v>82.64</v>
      </c>
      <c r="AW570" s="38">
        <v>86.4</v>
      </c>
      <c r="AX570" s="38">
        <v>87.55</v>
      </c>
      <c r="AY570" s="38">
        <v>84.55</v>
      </c>
      <c r="BA570" s="37">
        <v>103.08</v>
      </c>
      <c r="BB570" s="38">
        <v>1.3419000000000001</v>
      </c>
    </row>
    <row r="571" spans="1:54" x14ac:dyDescent="0.35">
      <c r="A571" s="2">
        <f t="shared" si="8"/>
        <v>44621</v>
      </c>
      <c r="B571" t="s">
        <v>613</v>
      </c>
      <c r="C571" s="32">
        <v>44621</v>
      </c>
      <c r="D571" s="38">
        <v>289.98</v>
      </c>
      <c r="E571" s="38">
        <v>288.88</v>
      </c>
      <c r="F571" s="38">
        <v>287.58999999999997</v>
      </c>
      <c r="G571" s="38">
        <v>287.85000000000002</v>
      </c>
      <c r="H571" s="38">
        <v>286.97000000000003</v>
      </c>
      <c r="I571" s="38">
        <v>288.26</v>
      </c>
      <c r="J571" s="38">
        <v>287.76</v>
      </c>
      <c r="K571" s="38">
        <v>296.27</v>
      </c>
      <c r="L571" s="38">
        <v>299.86</v>
      </c>
      <c r="M571" s="38">
        <v>299.36</v>
      </c>
      <c r="N571" s="38">
        <v>299.56</v>
      </c>
      <c r="O571" s="38">
        <v>261.64</v>
      </c>
      <c r="P571" s="38">
        <v>162.63999999999999</v>
      </c>
      <c r="Q571" s="38">
        <v>141.62</v>
      </c>
      <c r="R571" s="38">
        <v>127.57</v>
      </c>
      <c r="S571" s="38">
        <v>126.88</v>
      </c>
      <c r="T571" s="38">
        <v>130.1</v>
      </c>
      <c r="U571" s="38">
        <v>136.63999999999999</v>
      </c>
      <c r="V571" s="38">
        <v>139.35</v>
      </c>
      <c r="W571" s="38">
        <v>142.19999999999999</v>
      </c>
      <c r="X571" s="38">
        <v>141.97</v>
      </c>
      <c r="Y571" s="38">
        <v>144.94999999999999</v>
      </c>
      <c r="Z571" s="38">
        <v>145.69999999999999</v>
      </c>
      <c r="AA571" s="38">
        <v>143.04</v>
      </c>
      <c r="AB571" s="38">
        <v>112.53</v>
      </c>
      <c r="AC571" s="38">
        <v>99.8</v>
      </c>
      <c r="AD571" s="38">
        <v>96.8</v>
      </c>
      <c r="AE571" s="38">
        <v>94.3</v>
      </c>
      <c r="AF571" s="38">
        <v>95.5</v>
      </c>
      <c r="AG571" s="38">
        <v>99.9</v>
      </c>
      <c r="AH571" s="38">
        <v>103.75</v>
      </c>
      <c r="AI571" s="38">
        <v>107.07</v>
      </c>
      <c r="AJ571" s="38">
        <v>108.84</v>
      </c>
      <c r="AK571" s="38">
        <v>107.09</v>
      </c>
      <c r="AL571" s="38">
        <v>106.44</v>
      </c>
      <c r="AM571" s="38">
        <v>101.46</v>
      </c>
      <c r="AN571" s="38">
        <v>80.23</v>
      </c>
      <c r="AO571" s="38">
        <v>74.14</v>
      </c>
      <c r="AP571" s="38">
        <v>71.12</v>
      </c>
      <c r="AQ571" s="38">
        <v>70.680000000000007</v>
      </c>
      <c r="AR571" s="38">
        <v>72.180000000000007</v>
      </c>
      <c r="AS571" s="38">
        <v>75.92</v>
      </c>
      <c r="AT571" s="38">
        <v>80.73</v>
      </c>
      <c r="AU571" s="38">
        <v>81.37</v>
      </c>
      <c r="AV571" s="38">
        <v>82.67</v>
      </c>
      <c r="AW571" s="38">
        <v>86.55</v>
      </c>
      <c r="AX571" s="38">
        <v>87.74</v>
      </c>
      <c r="AY571" s="38">
        <v>84.67</v>
      </c>
      <c r="BA571" s="37">
        <v>110.93</v>
      </c>
      <c r="BB571" s="38">
        <v>1.3351999999999999</v>
      </c>
    </row>
    <row r="572" spans="1:54" x14ac:dyDescent="0.35">
      <c r="A572" s="2">
        <f t="shared" si="8"/>
        <v>44622</v>
      </c>
      <c r="B572" t="s">
        <v>614</v>
      </c>
      <c r="C572" s="32">
        <v>44622</v>
      </c>
      <c r="D572" s="38">
        <v>394.05</v>
      </c>
      <c r="E572" s="38">
        <v>390.46</v>
      </c>
      <c r="F572" s="38">
        <v>387.46</v>
      </c>
      <c r="G572" s="38">
        <v>384.32</v>
      </c>
      <c r="H572" s="38">
        <v>384.32</v>
      </c>
      <c r="I572" s="38">
        <v>384.82</v>
      </c>
      <c r="J572" s="38">
        <v>378.32</v>
      </c>
      <c r="K572" s="38">
        <v>383.32</v>
      </c>
      <c r="L572" s="38">
        <v>383.32</v>
      </c>
      <c r="M572" s="38">
        <v>383.17</v>
      </c>
      <c r="N572" s="38">
        <v>386.36</v>
      </c>
      <c r="O572" s="38">
        <v>321.47000000000003</v>
      </c>
      <c r="P572" s="38">
        <v>181.79</v>
      </c>
      <c r="Q572" s="38">
        <v>152.30000000000001</v>
      </c>
      <c r="R572" s="38">
        <v>137.1</v>
      </c>
      <c r="S572" s="38">
        <v>136.38</v>
      </c>
      <c r="T572" s="38">
        <v>139.94999999999999</v>
      </c>
      <c r="U572" s="38">
        <v>144.68</v>
      </c>
      <c r="V572" s="38">
        <v>149.04</v>
      </c>
      <c r="W572" s="38">
        <v>151.41</v>
      </c>
      <c r="X572" s="38">
        <v>150.62</v>
      </c>
      <c r="Y572" s="38">
        <v>154.19999999999999</v>
      </c>
      <c r="Z572" s="38">
        <v>155.1</v>
      </c>
      <c r="AA572" s="38">
        <v>152.38</v>
      </c>
      <c r="AB572" s="38">
        <v>119.42</v>
      </c>
      <c r="AC572" s="38">
        <v>105.84</v>
      </c>
      <c r="AD572" s="38">
        <v>102.86</v>
      </c>
      <c r="AE572" s="38">
        <v>97.64</v>
      </c>
      <c r="AF572" s="38">
        <v>98.95</v>
      </c>
      <c r="AG572" s="38">
        <v>103.83</v>
      </c>
      <c r="AH572" s="38">
        <v>108.7</v>
      </c>
      <c r="AI572" s="38">
        <v>112.06</v>
      </c>
      <c r="AJ572" s="38">
        <v>113.35</v>
      </c>
      <c r="AK572" s="38">
        <v>110.15</v>
      </c>
      <c r="AL572" s="38">
        <v>109.44</v>
      </c>
      <c r="AM572" s="38">
        <v>104.81</v>
      </c>
      <c r="AN572" s="38">
        <v>82.24</v>
      </c>
      <c r="AO572" s="38">
        <v>75.45</v>
      </c>
      <c r="AP572" s="38">
        <v>72.510000000000005</v>
      </c>
      <c r="AQ572" s="38">
        <v>72.19</v>
      </c>
      <c r="AR572" s="38">
        <v>73.790000000000006</v>
      </c>
      <c r="AS572" s="38">
        <v>78.12</v>
      </c>
      <c r="AT572" s="38">
        <v>83.39</v>
      </c>
      <c r="AU572" s="38">
        <v>84.01</v>
      </c>
      <c r="AV572" s="38">
        <v>83.72</v>
      </c>
      <c r="AW572" s="38">
        <v>88.12</v>
      </c>
      <c r="AX572" s="38">
        <v>89.34</v>
      </c>
      <c r="AY572" s="38">
        <v>86.19</v>
      </c>
      <c r="BA572" s="37">
        <v>118.94</v>
      </c>
      <c r="BB572" s="38">
        <v>1.3314999999999999</v>
      </c>
    </row>
    <row r="573" spans="1:54" x14ac:dyDescent="0.35">
      <c r="A573" s="2">
        <f t="shared" si="8"/>
        <v>44623</v>
      </c>
      <c r="B573" t="s">
        <v>615</v>
      </c>
      <c r="C573" s="32">
        <v>44623</v>
      </c>
      <c r="D573" s="38">
        <v>384.05</v>
      </c>
      <c r="E573" s="38">
        <v>375.93</v>
      </c>
      <c r="F573" s="38">
        <v>372.94</v>
      </c>
      <c r="G573" s="38">
        <v>369.21</v>
      </c>
      <c r="H573" s="38">
        <v>368.46</v>
      </c>
      <c r="I573" s="38">
        <v>368.21</v>
      </c>
      <c r="J573" s="38">
        <v>358.26</v>
      </c>
      <c r="K573" s="38">
        <v>361.26</v>
      </c>
      <c r="L573" s="38">
        <v>362</v>
      </c>
      <c r="M573" s="38">
        <v>362</v>
      </c>
      <c r="N573" s="38">
        <v>357</v>
      </c>
      <c r="O573" s="38">
        <v>295.23</v>
      </c>
      <c r="P573" s="38">
        <v>182.33</v>
      </c>
      <c r="Q573" s="38">
        <v>152.83000000000001</v>
      </c>
      <c r="R573" s="38">
        <v>136.76</v>
      </c>
      <c r="S573" s="38">
        <v>136.04</v>
      </c>
      <c r="T573" s="38">
        <v>139.44999999999999</v>
      </c>
      <c r="U573" s="38">
        <v>146.94999999999999</v>
      </c>
      <c r="V573" s="38">
        <v>149.87</v>
      </c>
      <c r="W573" s="38">
        <v>150.22999999999999</v>
      </c>
      <c r="X573" s="38">
        <v>149.44999999999999</v>
      </c>
      <c r="Y573" s="38">
        <v>152.82</v>
      </c>
      <c r="Z573" s="38">
        <v>153.71</v>
      </c>
      <c r="AA573" s="38">
        <v>150.97</v>
      </c>
      <c r="AB573" s="38">
        <v>125.47</v>
      </c>
      <c r="AC573" s="38">
        <v>111.86</v>
      </c>
      <c r="AD573" s="38">
        <v>108.89</v>
      </c>
      <c r="AE573" s="38">
        <v>103.26</v>
      </c>
      <c r="AF573" s="38">
        <v>104.65</v>
      </c>
      <c r="AG573" s="38">
        <v>109.71</v>
      </c>
      <c r="AH573" s="38">
        <v>113.13</v>
      </c>
      <c r="AI573" s="38">
        <v>116.59</v>
      </c>
      <c r="AJ573" s="38">
        <v>118.01</v>
      </c>
      <c r="AK573" s="38">
        <v>113.9</v>
      </c>
      <c r="AL573" s="38">
        <v>113.24</v>
      </c>
      <c r="AM573" s="38">
        <v>108.65</v>
      </c>
      <c r="AN573" s="38">
        <v>83.47</v>
      </c>
      <c r="AO573" s="38">
        <v>76.599999999999994</v>
      </c>
      <c r="AP573" s="38">
        <v>73.63</v>
      </c>
      <c r="AQ573" s="38">
        <v>73.34</v>
      </c>
      <c r="AR573" s="38">
        <v>74.959999999999994</v>
      </c>
      <c r="AS573" s="38">
        <v>79.36</v>
      </c>
      <c r="AT573" s="38">
        <v>84.77</v>
      </c>
      <c r="AU573" s="38">
        <v>85.38</v>
      </c>
      <c r="AV573" s="38">
        <v>85.08</v>
      </c>
      <c r="AW573" s="38">
        <v>85.08</v>
      </c>
      <c r="AX573" s="38">
        <v>86.25</v>
      </c>
      <c r="AY573" s="38">
        <v>83.19</v>
      </c>
      <c r="BA573" s="37">
        <v>115.36</v>
      </c>
      <c r="BB573" s="38">
        <v>1.3341000000000001</v>
      </c>
    </row>
    <row r="574" spans="1:54" x14ac:dyDescent="0.35">
      <c r="A574" s="2">
        <f t="shared" si="8"/>
        <v>44624</v>
      </c>
      <c r="B574" t="s">
        <v>616</v>
      </c>
      <c r="C574" s="32">
        <v>44624</v>
      </c>
      <c r="D574" s="38">
        <v>460.27</v>
      </c>
      <c r="E574" s="38">
        <v>441</v>
      </c>
      <c r="F574" s="38">
        <v>436.7</v>
      </c>
      <c r="G574" s="38">
        <v>431.7</v>
      </c>
      <c r="H574" s="38">
        <v>422.65</v>
      </c>
      <c r="I574" s="38">
        <v>418.23</v>
      </c>
      <c r="J574" s="38">
        <v>352.94</v>
      </c>
      <c r="K574" s="38">
        <v>350.95</v>
      </c>
      <c r="L574" s="38">
        <v>343.94</v>
      </c>
      <c r="M574" s="38">
        <v>321.62</v>
      </c>
      <c r="N574" s="38">
        <v>305.24</v>
      </c>
      <c r="O574" s="38">
        <v>244.89</v>
      </c>
      <c r="P574" s="38">
        <v>199.89</v>
      </c>
      <c r="Q574" s="38">
        <v>167.02</v>
      </c>
      <c r="R574" s="38">
        <v>148.74</v>
      </c>
      <c r="S574" s="38">
        <v>147.21</v>
      </c>
      <c r="T574" s="38">
        <v>148.72</v>
      </c>
      <c r="U574" s="38">
        <v>156.72999999999999</v>
      </c>
      <c r="V574" s="38">
        <v>158.08000000000001</v>
      </c>
      <c r="W574" s="38">
        <v>158.41999999999999</v>
      </c>
      <c r="X574" s="38">
        <v>158.16</v>
      </c>
      <c r="Y574" s="38">
        <v>160.11000000000001</v>
      </c>
      <c r="Z574" s="38">
        <v>160.65</v>
      </c>
      <c r="AA574" s="38">
        <v>157.15</v>
      </c>
      <c r="AB574" s="38">
        <v>130.15</v>
      </c>
      <c r="AC574" s="38">
        <v>116.57</v>
      </c>
      <c r="AD574" s="38">
        <v>113.6</v>
      </c>
      <c r="AE574" s="38">
        <v>108.21</v>
      </c>
      <c r="AF574" s="38">
        <v>109.56</v>
      </c>
      <c r="AG574" s="38">
        <v>112.75</v>
      </c>
      <c r="AH574" s="38">
        <v>116.41</v>
      </c>
      <c r="AI574" s="38">
        <v>119.85</v>
      </c>
      <c r="AJ574" s="38">
        <v>121.12</v>
      </c>
      <c r="AK574" s="38">
        <v>118</v>
      </c>
      <c r="AL574" s="38">
        <v>117.28</v>
      </c>
      <c r="AM574" s="38">
        <v>112.66</v>
      </c>
      <c r="AN574" s="38">
        <v>88.66</v>
      </c>
      <c r="AO574" s="38">
        <v>81.64</v>
      </c>
      <c r="AP574" s="38">
        <v>78.58</v>
      </c>
      <c r="AQ574" s="38">
        <v>78.25</v>
      </c>
      <c r="AR574" s="38">
        <v>79.849999999999994</v>
      </c>
      <c r="AS574" s="38">
        <v>84.25</v>
      </c>
      <c r="AT574" s="38">
        <v>92.33</v>
      </c>
      <c r="AU574" s="38">
        <v>92.86</v>
      </c>
      <c r="AV574" s="38">
        <v>92.5</v>
      </c>
      <c r="AW574" s="38">
        <v>89.93</v>
      </c>
      <c r="AX574" s="38">
        <v>91.05</v>
      </c>
      <c r="AY574" s="38">
        <v>87.82</v>
      </c>
      <c r="BA574" s="37">
        <v>123.86</v>
      </c>
      <c r="BB574" s="38">
        <v>1.3214999999999999</v>
      </c>
    </row>
    <row r="575" spans="1:54" x14ac:dyDescent="0.35">
      <c r="A575" s="2">
        <f t="shared" si="8"/>
        <v>44627</v>
      </c>
      <c r="B575" t="s">
        <v>617</v>
      </c>
      <c r="C575" s="32">
        <v>44627</v>
      </c>
      <c r="D575" s="38">
        <v>539.53</v>
      </c>
      <c r="E575" s="38">
        <v>519.53</v>
      </c>
      <c r="F575" s="38">
        <v>509.98</v>
      </c>
      <c r="G575" s="38">
        <v>503.98</v>
      </c>
      <c r="H575" s="38">
        <v>495.48</v>
      </c>
      <c r="I575" s="38">
        <v>493.48</v>
      </c>
      <c r="J575" s="38">
        <v>430.25</v>
      </c>
      <c r="K575" s="38">
        <v>422.75</v>
      </c>
      <c r="L575" s="38">
        <v>400.25</v>
      </c>
      <c r="M575" s="38">
        <v>365.25</v>
      </c>
      <c r="N575" s="38">
        <v>336.07</v>
      </c>
      <c r="O575" s="38">
        <v>274.99</v>
      </c>
      <c r="P575" s="38">
        <v>235.92</v>
      </c>
      <c r="Q575" s="38">
        <v>198.64</v>
      </c>
      <c r="R575" s="38">
        <v>176.91</v>
      </c>
      <c r="S575" s="38">
        <v>176.29</v>
      </c>
      <c r="T575" s="38">
        <v>178.09</v>
      </c>
      <c r="U575" s="38">
        <v>186.91</v>
      </c>
      <c r="V575" s="38">
        <v>187.09</v>
      </c>
      <c r="W575" s="38">
        <v>181.23</v>
      </c>
      <c r="X575" s="38">
        <v>180.74</v>
      </c>
      <c r="Y575" s="38">
        <v>175.13</v>
      </c>
      <c r="Z575" s="38">
        <v>175.33</v>
      </c>
      <c r="AA575" s="38">
        <v>171.87</v>
      </c>
      <c r="AB575" s="38">
        <v>137.62</v>
      </c>
      <c r="AC575" s="38">
        <v>123.92</v>
      </c>
      <c r="AD575" s="38">
        <v>120.84</v>
      </c>
      <c r="AE575" s="38">
        <v>112.88</v>
      </c>
      <c r="AF575" s="38">
        <v>114.06</v>
      </c>
      <c r="AG575" s="38">
        <v>115.89</v>
      </c>
      <c r="AH575" s="38">
        <v>115.69</v>
      </c>
      <c r="AI575" s="38">
        <v>118.9</v>
      </c>
      <c r="AJ575" s="38">
        <v>119.9</v>
      </c>
      <c r="AK575" s="38">
        <v>114.1</v>
      </c>
      <c r="AL575" s="38">
        <v>113.11</v>
      </c>
      <c r="AM575" s="38">
        <v>108.24</v>
      </c>
      <c r="AN575" s="38">
        <v>92.2</v>
      </c>
      <c r="AO575" s="38">
        <v>85.1</v>
      </c>
      <c r="AP575" s="38">
        <v>81.95</v>
      </c>
      <c r="AQ575" s="38">
        <v>81.489999999999995</v>
      </c>
      <c r="AR575" s="38">
        <v>82.96</v>
      </c>
      <c r="AS575" s="38">
        <v>87.22</v>
      </c>
      <c r="AT575" s="38">
        <v>95.07</v>
      </c>
      <c r="AU575" s="38">
        <v>95.5</v>
      </c>
      <c r="AV575" s="38">
        <v>95.05</v>
      </c>
      <c r="AW575" s="38">
        <v>91</v>
      </c>
      <c r="AX575" s="38">
        <v>92.01</v>
      </c>
      <c r="AY575" s="38">
        <v>88.77</v>
      </c>
      <c r="BA575" s="37">
        <v>129.02000000000001</v>
      </c>
      <c r="BB575" s="38">
        <v>1.3134999999999999</v>
      </c>
    </row>
    <row r="576" spans="1:54" x14ac:dyDescent="0.35">
      <c r="A576" s="2">
        <f t="shared" si="8"/>
        <v>44628</v>
      </c>
      <c r="B576" t="s">
        <v>618</v>
      </c>
      <c r="C576" s="32">
        <v>44628</v>
      </c>
      <c r="D576" s="38">
        <v>511.44</v>
      </c>
      <c r="E576" s="38">
        <v>493.31</v>
      </c>
      <c r="F576" s="38">
        <v>479.3</v>
      </c>
      <c r="G576" s="38">
        <v>465.85</v>
      </c>
      <c r="H576" s="38">
        <v>458.87</v>
      </c>
      <c r="I576" s="38">
        <v>454.1</v>
      </c>
      <c r="J576" s="38">
        <v>402.95</v>
      </c>
      <c r="K576" s="38">
        <v>405</v>
      </c>
      <c r="L576" s="38">
        <v>382.94</v>
      </c>
      <c r="M576" s="38">
        <v>356.65</v>
      </c>
      <c r="N576" s="38">
        <v>330.06</v>
      </c>
      <c r="O576" s="38">
        <v>277.43</v>
      </c>
      <c r="P576" s="38">
        <v>230.59</v>
      </c>
      <c r="Q576" s="38">
        <v>186.92</v>
      </c>
      <c r="R576" s="38">
        <v>164.26</v>
      </c>
      <c r="S576" s="38">
        <v>166.27</v>
      </c>
      <c r="T576" s="38">
        <v>167.96</v>
      </c>
      <c r="U576" s="38">
        <v>176.85</v>
      </c>
      <c r="V576" s="38">
        <v>180.44</v>
      </c>
      <c r="W576" s="38">
        <v>174.73</v>
      </c>
      <c r="X576" s="38">
        <v>174.97</v>
      </c>
      <c r="Y576" s="38">
        <v>168.36</v>
      </c>
      <c r="Z576" s="38">
        <v>168.92</v>
      </c>
      <c r="AA576" s="38">
        <v>165.27</v>
      </c>
      <c r="AB576" s="38">
        <v>131.51</v>
      </c>
      <c r="AC576" s="38">
        <v>117.85</v>
      </c>
      <c r="AD576" s="38">
        <v>114.77</v>
      </c>
      <c r="AE576" s="38">
        <v>106.98</v>
      </c>
      <c r="AF576" s="38">
        <v>108.28</v>
      </c>
      <c r="AG576" s="38">
        <v>110.99</v>
      </c>
      <c r="AH576" s="38">
        <v>114.45</v>
      </c>
      <c r="AI576" s="38">
        <v>118.54</v>
      </c>
      <c r="AJ576" s="38">
        <v>120.48</v>
      </c>
      <c r="AK576" s="38">
        <v>115.04</v>
      </c>
      <c r="AL576" s="38">
        <v>112.81</v>
      </c>
      <c r="AM576" s="38">
        <v>107.98</v>
      </c>
      <c r="AN576" s="38">
        <v>90.74</v>
      </c>
      <c r="AO576" s="38">
        <v>83.45</v>
      </c>
      <c r="AP576" s="38">
        <v>80.34</v>
      </c>
      <c r="AQ576" s="38">
        <v>79.86</v>
      </c>
      <c r="AR576" s="38">
        <v>81.31</v>
      </c>
      <c r="AS576" s="38">
        <v>85.51</v>
      </c>
      <c r="AT576" s="38">
        <v>93.1</v>
      </c>
      <c r="AU576" s="38">
        <v>93.55</v>
      </c>
      <c r="AV576" s="38">
        <v>92.61</v>
      </c>
      <c r="AW576" s="38">
        <v>88.15</v>
      </c>
      <c r="AX576" s="38">
        <v>88.57</v>
      </c>
      <c r="AY576" s="38">
        <v>85.46</v>
      </c>
      <c r="BA576" s="37">
        <v>133.18</v>
      </c>
      <c r="BB576" s="38">
        <v>1.3110999999999999</v>
      </c>
    </row>
    <row r="577" spans="1:54" x14ac:dyDescent="0.35">
      <c r="A577" s="2">
        <f t="shared" si="8"/>
        <v>44629</v>
      </c>
      <c r="B577" t="s">
        <v>619</v>
      </c>
      <c r="C577" s="32">
        <v>44629</v>
      </c>
      <c r="D577" s="38">
        <v>373.58</v>
      </c>
      <c r="E577" s="38">
        <v>367.34</v>
      </c>
      <c r="F577" s="38">
        <v>360.34</v>
      </c>
      <c r="G577" s="38">
        <v>347.68</v>
      </c>
      <c r="H577" s="38">
        <v>341.68</v>
      </c>
      <c r="I577" s="38">
        <v>341.68</v>
      </c>
      <c r="J577" s="38">
        <v>328.97</v>
      </c>
      <c r="K577" s="38">
        <v>333.98</v>
      </c>
      <c r="L577" s="38">
        <v>326.69</v>
      </c>
      <c r="M577" s="38">
        <v>320.77999999999997</v>
      </c>
      <c r="N577" s="38">
        <v>311.08</v>
      </c>
      <c r="O577" s="38">
        <v>268.73</v>
      </c>
      <c r="P577" s="38">
        <v>218.95</v>
      </c>
      <c r="Q577" s="38">
        <v>171.28</v>
      </c>
      <c r="R577" s="38">
        <v>143.85</v>
      </c>
      <c r="S577" s="38">
        <v>149.91</v>
      </c>
      <c r="T577" s="38">
        <v>152.16999999999999</v>
      </c>
      <c r="U577" s="38">
        <v>163.44</v>
      </c>
      <c r="V577" s="38">
        <v>171.75</v>
      </c>
      <c r="W577" s="38">
        <v>167.93</v>
      </c>
      <c r="X577" s="38">
        <v>168.11</v>
      </c>
      <c r="Y577" s="38">
        <v>163.54</v>
      </c>
      <c r="Z577" s="38">
        <v>164.04</v>
      </c>
      <c r="AA577" s="38">
        <v>160.30000000000001</v>
      </c>
      <c r="AB577" s="38">
        <v>124.09</v>
      </c>
      <c r="AC577" s="38">
        <v>110.82</v>
      </c>
      <c r="AD577" s="38">
        <v>107.81</v>
      </c>
      <c r="AE577" s="38">
        <v>100.29</v>
      </c>
      <c r="AF577" s="38">
        <v>101.46</v>
      </c>
      <c r="AG577" s="38">
        <v>103.95</v>
      </c>
      <c r="AH577" s="38">
        <v>109.85</v>
      </c>
      <c r="AI577" s="38">
        <v>113.84</v>
      </c>
      <c r="AJ577" s="38">
        <v>115.66</v>
      </c>
      <c r="AK577" s="38">
        <v>110.07</v>
      </c>
      <c r="AL577" s="38">
        <v>107.71</v>
      </c>
      <c r="AM577" s="38">
        <v>102.77</v>
      </c>
      <c r="AN577" s="38">
        <v>88.02</v>
      </c>
      <c r="AO577" s="38">
        <v>80.94</v>
      </c>
      <c r="AP577" s="38">
        <v>77.84</v>
      </c>
      <c r="AQ577" s="38">
        <v>77.260000000000005</v>
      </c>
      <c r="AR577" s="38">
        <v>78.61</v>
      </c>
      <c r="AS577" s="38">
        <v>82.58</v>
      </c>
      <c r="AT577" s="38">
        <v>90.84</v>
      </c>
      <c r="AU577" s="38">
        <v>92.5</v>
      </c>
      <c r="AV577" s="38">
        <v>91.53</v>
      </c>
      <c r="AW577" s="38">
        <v>85.28</v>
      </c>
      <c r="AX577" s="38">
        <v>85.63</v>
      </c>
      <c r="AY577" s="38">
        <v>82.66</v>
      </c>
      <c r="BA577" s="37">
        <v>116.58</v>
      </c>
      <c r="BB577" s="38">
        <v>1.3158000000000001</v>
      </c>
    </row>
    <row r="578" spans="1:54" x14ac:dyDescent="0.35">
      <c r="A578" s="2">
        <f t="shared" si="8"/>
        <v>44630</v>
      </c>
      <c r="B578" t="s">
        <v>620</v>
      </c>
      <c r="C578" s="32">
        <v>44630</v>
      </c>
      <c r="D578" s="38">
        <v>296.89</v>
      </c>
      <c r="E578" s="38">
        <v>295.33</v>
      </c>
      <c r="F578" s="38">
        <v>289.33999999999997</v>
      </c>
      <c r="G578" s="38">
        <v>284.32</v>
      </c>
      <c r="H578" s="38">
        <v>283.19</v>
      </c>
      <c r="I578" s="38">
        <v>284.12</v>
      </c>
      <c r="J578" s="38">
        <v>278.43</v>
      </c>
      <c r="K578" s="38">
        <v>282.77</v>
      </c>
      <c r="L578" s="38">
        <v>279.66000000000003</v>
      </c>
      <c r="M578" s="38">
        <v>272.8</v>
      </c>
      <c r="N578" s="38">
        <v>266.31</v>
      </c>
      <c r="O578" s="38">
        <v>227.16</v>
      </c>
      <c r="P578" s="38">
        <v>195.86</v>
      </c>
      <c r="Q578" s="38">
        <v>157.22999999999999</v>
      </c>
      <c r="R578" s="38">
        <v>127.81</v>
      </c>
      <c r="S578" s="38">
        <v>134.19</v>
      </c>
      <c r="T578" s="38">
        <v>137.31</v>
      </c>
      <c r="U578" s="38">
        <v>148.30000000000001</v>
      </c>
      <c r="V578" s="38">
        <v>155.88</v>
      </c>
      <c r="W578" s="38">
        <v>152.26</v>
      </c>
      <c r="X578" s="38">
        <v>152.19</v>
      </c>
      <c r="Y578" s="38">
        <v>147.19</v>
      </c>
      <c r="Z578" s="38">
        <v>147.94999999999999</v>
      </c>
      <c r="AA578" s="38">
        <v>144.47</v>
      </c>
      <c r="AB578" s="38">
        <v>114.76</v>
      </c>
      <c r="AC578" s="38">
        <v>103.11</v>
      </c>
      <c r="AD578" s="38">
        <v>102.39</v>
      </c>
      <c r="AE578" s="38">
        <v>94.08</v>
      </c>
      <c r="AF578" s="38">
        <v>94.52</v>
      </c>
      <c r="AG578" s="38">
        <v>97.51</v>
      </c>
      <c r="AH578" s="38">
        <v>105.09</v>
      </c>
      <c r="AI578" s="38">
        <v>111.82</v>
      </c>
      <c r="AJ578" s="38">
        <v>114.62</v>
      </c>
      <c r="AK578" s="38">
        <v>110.19</v>
      </c>
      <c r="AL578" s="38">
        <v>108.37</v>
      </c>
      <c r="AM578" s="38">
        <v>103.72</v>
      </c>
      <c r="AN578" s="38">
        <v>89.1</v>
      </c>
      <c r="AO578" s="38">
        <v>82.1</v>
      </c>
      <c r="AP578" s="38">
        <v>78.97</v>
      </c>
      <c r="AQ578" s="38">
        <v>78.41</v>
      </c>
      <c r="AR578" s="38">
        <v>79.78</v>
      </c>
      <c r="AS578" s="38">
        <v>83.83</v>
      </c>
      <c r="AT578" s="38">
        <v>92.14</v>
      </c>
      <c r="AU578" s="38">
        <v>93.62</v>
      </c>
      <c r="AV578" s="38">
        <v>92.43</v>
      </c>
      <c r="AW578" s="38">
        <v>87.27</v>
      </c>
      <c r="AX578" s="38">
        <v>87.35</v>
      </c>
      <c r="AY578" s="38">
        <v>83.84</v>
      </c>
      <c r="BA578" s="37">
        <v>114.54</v>
      </c>
      <c r="BB578" s="38">
        <v>1.3129999999999999</v>
      </c>
    </row>
    <row r="579" spans="1:54" x14ac:dyDescent="0.35">
      <c r="A579" s="2">
        <f t="shared" si="8"/>
        <v>44631</v>
      </c>
      <c r="B579" t="s">
        <v>621</v>
      </c>
      <c r="C579" s="32">
        <v>44631</v>
      </c>
      <c r="D579" s="38">
        <v>311.06</v>
      </c>
      <c r="E579" s="38">
        <v>309.97000000000003</v>
      </c>
      <c r="F579" s="38">
        <v>308.58</v>
      </c>
      <c r="G579" s="38">
        <v>302.8</v>
      </c>
      <c r="H579" s="38">
        <v>302.22000000000003</v>
      </c>
      <c r="I579" s="38">
        <v>305.14999999999998</v>
      </c>
      <c r="J579" s="38">
        <v>296.63</v>
      </c>
      <c r="K579" s="38">
        <v>307.02</v>
      </c>
      <c r="L579" s="38">
        <v>304.57</v>
      </c>
      <c r="M579" s="38">
        <v>297.57</v>
      </c>
      <c r="N579" s="38">
        <v>284.06</v>
      </c>
      <c r="O579" s="38">
        <v>242</v>
      </c>
      <c r="P579" s="38">
        <v>195</v>
      </c>
      <c r="Q579" s="38">
        <v>165.15</v>
      </c>
      <c r="R579" s="38">
        <v>136.88</v>
      </c>
      <c r="S579" s="38">
        <v>144.59</v>
      </c>
      <c r="T579" s="38">
        <v>148.47</v>
      </c>
      <c r="U579" s="38">
        <v>158.47</v>
      </c>
      <c r="V579" s="38">
        <v>166.05</v>
      </c>
      <c r="W579" s="38">
        <v>160.26</v>
      </c>
      <c r="X579" s="38">
        <v>158.80000000000001</v>
      </c>
      <c r="Y579" s="38">
        <v>155.21</v>
      </c>
      <c r="Z579" s="38">
        <v>155.97999999999999</v>
      </c>
      <c r="AA579" s="38">
        <v>151.61000000000001</v>
      </c>
      <c r="AB579" s="38">
        <v>120.96</v>
      </c>
      <c r="AC579" s="38">
        <v>108.9</v>
      </c>
      <c r="AD579" s="38">
        <v>107.22</v>
      </c>
      <c r="AE579" s="38">
        <v>98.88</v>
      </c>
      <c r="AF579" s="38">
        <v>99.23</v>
      </c>
      <c r="AG579" s="38">
        <v>101.9</v>
      </c>
      <c r="AH579" s="38">
        <v>108.32</v>
      </c>
      <c r="AI579" s="38">
        <v>113.96</v>
      </c>
      <c r="AJ579" s="38">
        <v>116.54</v>
      </c>
      <c r="AK579" s="38">
        <v>113.95</v>
      </c>
      <c r="AL579" s="38">
        <v>112.03</v>
      </c>
      <c r="AM579" s="38">
        <v>107.27</v>
      </c>
      <c r="AN579" s="38">
        <v>90.29</v>
      </c>
      <c r="AO579" s="38">
        <v>83.36</v>
      </c>
      <c r="AP579" s="38">
        <v>80.25</v>
      </c>
      <c r="AQ579" s="38">
        <v>79.59</v>
      </c>
      <c r="AR579" s="38">
        <v>80.88</v>
      </c>
      <c r="AS579" s="38">
        <v>84.73</v>
      </c>
      <c r="AT579" s="38">
        <v>93.95</v>
      </c>
      <c r="AU579" s="38">
        <v>92.53</v>
      </c>
      <c r="AV579" s="38">
        <v>91.39</v>
      </c>
      <c r="AW579" s="38">
        <v>86.32</v>
      </c>
      <c r="AX579" s="38">
        <v>86.39</v>
      </c>
      <c r="AY579" s="38">
        <v>83.18</v>
      </c>
      <c r="BA579" s="37">
        <v>118.11</v>
      </c>
      <c r="BB579" s="38">
        <v>1.3085</v>
      </c>
    </row>
    <row r="580" spans="1:54" x14ac:dyDescent="0.35">
      <c r="A580" s="2">
        <f t="shared" si="8"/>
        <v>44634</v>
      </c>
      <c r="B580" t="s">
        <v>622</v>
      </c>
      <c r="C580" s="32">
        <v>44634</v>
      </c>
      <c r="D580" s="38">
        <v>270.92</v>
      </c>
      <c r="E580" s="38">
        <v>271.77999999999997</v>
      </c>
      <c r="F580" s="38">
        <v>271.89999999999998</v>
      </c>
      <c r="G580" s="38">
        <v>271.37</v>
      </c>
      <c r="H580" s="38">
        <v>269.51</v>
      </c>
      <c r="I580" s="38">
        <v>270.22000000000003</v>
      </c>
      <c r="J580" s="38">
        <v>260.72000000000003</v>
      </c>
      <c r="K580" s="38">
        <v>269.75</v>
      </c>
      <c r="L580" s="38">
        <v>265.75</v>
      </c>
      <c r="M580" s="38">
        <v>261.72000000000003</v>
      </c>
      <c r="N580" s="38">
        <v>242.71</v>
      </c>
      <c r="O580" s="38">
        <v>207.71</v>
      </c>
      <c r="P580" s="38">
        <v>177.71</v>
      </c>
      <c r="Q580" s="38">
        <v>149.71</v>
      </c>
      <c r="R580" s="38">
        <v>123.21</v>
      </c>
      <c r="S580" s="38">
        <v>133.21</v>
      </c>
      <c r="T580" s="38">
        <v>139.02000000000001</v>
      </c>
      <c r="U580" s="38">
        <v>151.02000000000001</v>
      </c>
      <c r="V580" s="38">
        <v>152.52000000000001</v>
      </c>
      <c r="W580" s="38">
        <v>147.13999999999999</v>
      </c>
      <c r="X580" s="38">
        <v>145.88999999999999</v>
      </c>
      <c r="Y580" s="38">
        <v>142.65</v>
      </c>
      <c r="Z580" s="38">
        <v>143.65</v>
      </c>
      <c r="AA580" s="38">
        <v>139.65</v>
      </c>
      <c r="AB580" s="38">
        <v>109.15</v>
      </c>
      <c r="AC580" s="38">
        <v>97.15</v>
      </c>
      <c r="AD580" s="38">
        <v>95.65</v>
      </c>
      <c r="AE580" s="38">
        <v>89.65</v>
      </c>
      <c r="AF580" s="38">
        <v>90.15</v>
      </c>
      <c r="AG580" s="38">
        <v>93.15</v>
      </c>
      <c r="AH580" s="38">
        <v>101.15</v>
      </c>
      <c r="AI580" s="38">
        <v>109.15</v>
      </c>
      <c r="AJ580" s="38">
        <v>111.9</v>
      </c>
      <c r="AK580" s="38">
        <v>109.4</v>
      </c>
      <c r="AL580" s="38">
        <v>107.65</v>
      </c>
      <c r="AM580" s="38">
        <v>103.15</v>
      </c>
      <c r="AN580" s="38">
        <v>86.15</v>
      </c>
      <c r="AO580" s="38">
        <v>79.150000000000006</v>
      </c>
      <c r="AP580" s="38">
        <v>76.150000000000006</v>
      </c>
      <c r="AQ580" s="38">
        <v>75.650000000000006</v>
      </c>
      <c r="AR580" s="38">
        <v>77.150000000000006</v>
      </c>
      <c r="AS580" s="38">
        <v>81.150000000000006</v>
      </c>
      <c r="AT580" s="38">
        <v>90.4</v>
      </c>
      <c r="AU580" s="38">
        <v>89.15</v>
      </c>
      <c r="AV580" s="38">
        <v>88.15</v>
      </c>
      <c r="AW580" s="38">
        <v>83.15</v>
      </c>
      <c r="AX580" s="38">
        <v>83.4</v>
      </c>
      <c r="AY580" s="38">
        <v>80.400000000000006</v>
      </c>
      <c r="BA580" s="37">
        <v>110.39</v>
      </c>
      <c r="BB580" s="38">
        <v>1.3047</v>
      </c>
    </row>
    <row r="581" spans="1:54" x14ac:dyDescent="0.35">
      <c r="A581" s="2">
        <f t="shared" si="8"/>
        <v>44635</v>
      </c>
      <c r="B581" t="s">
        <v>623</v>
      </c>
      <c r="C581" s="32">
        <v>44635</v>
      </c>
      <c r="D581" s="38">
        <v>274.39999999999998</v>
      </c>
      <c r="E581" s="38">
        <v>274.69</v>
      </c>
      <c r="F581" s="38">
        <v>274.77999999999997</v>
      </c>
      <c r="G581" s="38">
        <v>274.48</v>
      </c>
      <c r="H581" s="38">
        <v>272.89</v>
      </c>
      <c r="I581" s="38">
        <v>274.37</v>
      </c>
      <c r="J581" s="38">
        <v>263.18</v>
      </c>
      <c r="K581" s="38">
        <v>265.14</v>
      </c>
      <c r="L581" s="38">
        <v>264.23</v>
      </c>
      <c r="M581" s="38">
        <v>260.18</v>
      </c>
      <c r="N581" s="38">
        <v>242.48</v>
      </c>
      <c r="O581" s="38">
        <v>209.06</v>
      </c>
      <c r="P581" s="38">
        <v>174.85</v>
      </c>
      <c r="Q581" s="38">
        <v>147.85</v>
      </c>
      <c r="R581" s="38">
        <v>123.35</v>
      </c>
      <c r="S581" s="38">
        <v>133.35</v>
      </c>
      <c r="T581" s="38">
        <v>139.16</v>
      </c>
      <c r="U581" s="38">
        <v>151.16</v>
      </c>
      <c r="V581" s="38">
        <v>152.99</v>
      </c>
      <c r="W581" s="38">
        <v>148.99</v>
      </c>
      <c r="X581" s="38">
        <v>147.75</v>
      </c>
      <c r="Y581" s="38">
        <v>144.25</v>
      </c>
      <c r="Z581" s="38">
        <v>145.25</v>
      </c>
      <c r="AA581" s="38">
        <v>141.25</v>
      </c>
      <c r="AB581" s="38">
        <v>111.25</v>
      </c>
      <c r="AC581" s="38">
        <v>99.25</v>
      </c>
      <c r="AD581" s="38">
        <v>97.75</v>
      </c>
      <c r="AE581" s="38">
        <v>91.75</v>
      </c>
      <c r="AF581" s="38">
        <v>92.25</v>
      </c>
      <c r="AG581" s="38">
        <v>95.25</v>
      </c>
      <c r="AH581" s="38">
        <v>102.25</v>
      </c>
      <c r="AI581" s="38">
        <v>110.25</v>
      </c>
      <c r="AJ581" s="38">
        <v>113</v>
      </c>
      <c r="AK581" s="38">
        <v>110.5</v>
      </c>
      <c r="AL581" s="38">
        <v>108.75</v>
      </c>
      <c r="AM581" s="38">
        <v>103.75</v>
      </c>
      <c r="AN581" s="38">
        <v>85.75</v>
      </c>
      <c r="AO581" s="38">
        <v>78.75</v>
      </c>
      <c r="AP581" s="38">
        <v>75.75</v>
      </c>
      <c r="AQ581" s="38">
        <v>75.25</v>
      </c>
      <c r="AR581" s="38">
        <v>76.75</v>
      </c>
      <c r="AS581" s="38">
        <v>80.75</v>
      </c>
      <c r="AT581" s="38">
        <v>89.75</v>
      </c>
      <c r="AU581" s="38">
        <v>88.5</v>
      </c>
      <c r="AV581" s="38">
        <v>87.5</v>
      </c>
      <c r="AW581" s="38">
        <v>82.5</v>
      </c>
      <c r="AX581" s="38">
        <v>82.75</v>
      </c>
      <c r="AY581" s="38">
        <v>79.75</v>
      </c>
      <c r="BA581" s="37">
        <v>105.14</v>
      </c>
      <c r="BB581" s="38">
        <v>1.3067</v>
      </c>
    </row>
    <row r="582" spans="1:54" x14ac:dyDescent="0.35">
      <c r="A582" s="2">
        <f t="shared" si="8"/>
        <v>44636</v>
      </c>
      <c r="B582" t="s">
        <v>624</v>
      </c>
      <c r="C582" s="32">
        <v>44636</v>
      </c>
      <c r="D582" s="38">
        <v>240.81</v>
      </c>
      <c r="E582" s="38">
        <v>243.24</v>
      </c>
      <c r="F582" s="38">
        <v>243.87</v>
      </c>
      <c r="G582" s="38">
        <v>243.97</v>
      </c>
      <c r="H582" s="38">
        <v>242.38</v>
      </c>
      <c r="I582" s="38">
        <v>243.86</v>
      </c>
      <c r="J582" s="38">
        <v>237.36</v>
      </c>
      <c r="K582" s="38">
        <v>239.32</v>
      </c>
      <c r="L582" s="38">
        <v>239.58</v>
      </c>
      <c r="M582" s="38">
        <v>238.11</v>
      </c>
      <c r="N582" s="38">
        <v>220.26</v>
      </c>
      <c r="O582" s="38">
        <v>195.94</v>
      </c>
      <c r="P582" s="38">
        <v>158.51</v>
      </c>
      <c r="Q582" s="38">
        <v>140.5</v>
      </c>
      <c r="R582" s="38">
        <v>112.15</v>
      </c>
      <c r="S582" s="38">
        <v>121.92</v>
      </c>
      <c r="T582" s="38">
        <v>127.6</v>
      </c>
      <c r="U582" s="38">
        <v>140.5</v>
      </c>
      <c r="V582" s="38">
        <v>142.24</v>
      </c>
      <c r="W582" s="38">
        <v>138.24</v>
      </c>
      <c r="X582" s="38">
        <v>137</v>
      </c>
      <c r="Y582" s="38">
        <v>133.5</v>
      </c>
      <c r="Z582" s="38">
        <v>134.5</v>
      </c>
      <c r="AA582" s="38">
        <v>130.5</v>
      </c>
      <c r="AB582" s="38">
        <v>109.14</v>
      </c>
      <c r="AC582" s="38">
        <v>97.14</v>
      </c>
      <c r="AD582" s="38">
        <v>95.64</v>
      </c>
      <c r="AE582" s="38">
        <v>89.64</v>
      </c>
      <c r="AF582" s="38">
        <v>90.14</v>
      </c>
      <c r="AG582" s="38">
        <v>93.14</v>
      </c>
      <c r="AH582" s="38">
        <v>96.79</v>
      </c>
      <c r="AI582" s="38">
        <v>104.29</v>
      </c>
      <c r="AJ582" s="38">
        <v>107.04</v>
      </c>
      <c r="AK582" s="38">
        <v>104.54</v>
      </c>
      <c r="AL582" s="38">
        <v>102.79</v>
      </c>
      <c r="AM582" s="38">
        <v>97.79</v>
      </c>
      <c r="AN582" s="38">
        <v>79.790000000000006</v>
      </c>
      <c r="AO582" s="38">
        <v>72.790000000000006</v>
      </c>
      <c r="AP582" s="38">
        <v>69.790000000000006</v>
      </c>
      <c r="AQ582" s="38">
        <v>69.290000000000006</v>
      </c>
      <c r="AR582" s="38">
        <v>70.790000000000006</v>
      </c>
      <c r="AS582" s="38">
        <v>74.790000000000006</v>
      </c>
      <c r="AT582" s="38">
        <v>83.79</v>
      </c>
      <c r="AU582" s="38">
        <v>82.54</v>
      </c>
      <c r="AV582" s="38">
        <v>81.540000000000006</v>
      </c>
      <c r="AW582" s="38">
        <v>76.540000000000006</v>
      </c>
      <c r="AX582" s="38">
        <v>76.790000000000006</v>
      </c>
      <c r="AY582" s="38">
        <v>73.790000000000006</v>
      </c>
      <c r="BA582" s="37">
        <v>104.61</v>
      </c>
      <c r="BB582" s="38">
        <v>1.3095000000000001</v>
      </c>
    </row>
    <row r="583" spans="1:54" x14ac:dyDescent="0.35">
      <c r="A583" s="2">
        <f t="shared" si="8"/>
        <v>44637</v>
      </c>
      <c r="B583" t="s">
        <v>625</v>
      </c>
      <c r="C583" s="32">
        <v>44637</v>
      </c>
      <c r="D583" s="38">
        <v>249.78</v>
      </c>
      <c r="E583" s="38">
        <v>251.74</v>
      </c>
      <c r="F583" s="38">
        <v>252.21</v>
      </c>
      <c r="G583" s="38">
        <v>251.54</v>
      </c>
      <c r="H583" s="38">
        <v>252.59</v>
      </c>
      <c r="I583" s="38">
        <v>255.68</v>
      </c>
      <c r="J583" s="38">
        <v>248.91</v>
      </c>
      <c r="K583" s="38">
        <v>256.11</v>
      </c>
      <c r="L583" s="38">
        <v>256.51</v>
      </c>
      <c r="M583" s="38">
        <v>254.14</v>
      </c>
      <c r="N583" s="38">
        <v>244.26</v>
      </c>
      <c r="O583" s="38">
        <v>210.35</v>
      </c>
      <c r="P583" s="38">
        <v>165.44</v>
      </c>
      <c r="Q583" s="38">
        <v>145.80000000000001</v>
      </c>
      <c r="R583" s="38">
        <v>111.87</v>
      </c>
      <c r="S583" s="38">
        <v>121.49</v>
      </c>
      <c r="T583" s="38">
        <v>127.3</v>
      </c>
      <c r="U583" s="38">
        <v>138.44</v>
      </c>
      <c r="V583" s="38">
        <v>141.62</v>
      </c>
      <c r="W583" s="38">
        <v>139.63</v>
      </c>
      <c r="X583" s="38">
        <v>138.38999999999999</v>
      </c>
      <c r="Y583" s="38">
        <v>135.6</v>
      </c>
      <c r="Z583" s="38">
        <v>136.6</v>
      </c>
      <c r="AA583" s="38">
        <v>132.59</v>
      </c>
      <c r="AB583" s="38">
        <v>111.67</v>
      </c>
      <c r="AC583" s="38">
        <v>99.67</v>
      </c>
      <c r="AD583" s="38">
        <v>98.17</v>
      </c>
      <c r="AE583" s="38">
        <v>92.17</v>
      </c>
      <c r="AF583" s="38">
        <v>92.61</v>
      </c>
      <c r="AG583" s="38">
        <v>95.54</v>
      </c>
      <c r="AH583" s="38">
        <v>100.44</v>
      </c>
      <c r="AI583" s="38">
        <v>108.44</v>
      </c>
      <c r="AJ583" s="38">
        <v>111.19</v>
      </c>
      <c r="AK583" s="38">
        <v>108.69</v>
      </c>
      <c r="AL583" s="38">
        <v>106.94</v>
      </c>
      <c r="AM583" s="38">
        <v>101.94</v>
      </c>
      <c r="AN583" s="38">
        <v>84.53</v>
      </c>
      <c r="AO583" s="38">
        <v>79.53</v>
      </c>
      <c r="AP583" s="38">
        <v>76.53</v>
      </c>
      <c r="AQ583" s="38">
        <v>76.03</v>
      </c>
      <c r="AR583" s="38">
        <v>77.53</v>
      </c>
      <c r="AS583" s="38">
        <v>81.53</v>
      </c>
      <c r="AT583" s="38">
        <v>89.53</v>
      </c>
      <c r="AU583" s="38">
        <v>88.28</v>
      </c>
      <c r="AV583" s="38">
        <v>87.28</v>
      </c>
      <c r="AW583" s="38">
        <v>82.28</v>
      </c>
      <c r="AX583" s="38">
        <v>82.53</v>
      </c>
      <c r="AY583" s="38">
        <v>79.53</v>
      </c>
      <c r="BA583" s="37">
        <v>113.5</v>
      </c>
      <c r="BB583" s="38">
        <v>1.3157000000000001</v>
      </c>
    </row>
    <row r="584" spans="1:54" x14ac:dyDescent="0.35">
      <c r="A584" s="2">
        <f t="shared" si="8"/>
        <v>44638</v>
      </c>
      <c r="B584" t="s">
        <v>626</v>
      </c>
      <c r="C584" s="32">
        <v>44638</v>
      </c>
      <c r="D584" s="38">
        <v>246</v>
      </c>
      <c r="E584" s="38">
        <v>248.44</v>
      </c>
      <c r="F584" s="38">
        <v>250.14</v>
      </c>
      <c r="G584" s="38">
        <v>251.17</v>
      </c>
      <c r="H584" s="38">
        <v>251.34</v>
      </c>
      <c r="I584" s="38">
        <v>254.84</v>
      </c>
      <c r="J584" s="38">
        <v>248.82</v>
      </c>
      <c r="K584" s="38">
        <v>256.82</v>
      </c>
      <c r="L584" s="38">
        <v>256.97000000000003</v>
      </c>
      <c r="M584" s="38">
        <v>251.85</v>
      </c>
      <c r="N584" s="38">
        <v>243.7</v>
      </c>
      <c r="O584" s="38">
        <v>213.7</v>
      </c>
      <c r="P584" s="38">
        <v>165.7</v>
      </c>
      <c r="Q584" s="38">
        <v>137.69999999999999</v>
      </c>
      <c r="R584" s="38">
        <v>108.71</v>
      </c>
      <c r="S584" s="38">
        <v>129.16</v>
      </c>
      <c r="T584" s="38">
        <v>134.97</v>
      </c>
      <c r="U584" s="38">
        <v>138</v>
      </c>
      <c r="V584" s="38">
        <v>142.30000000000001</v>
      </c>
      <c r="W584" s="38">
        <v>140.71</v>
      </c>
      <c r="X584" s="38">
        <v>139.72999999999999</v>
      </c>
      <c r="Y584" s="38">
        <v>137.12</v>
      </c>
      <c r="Z584" s="38">
        <v>138.12</v>
      </c>
      <c r="AA584" s="38">
        <v>134.11000000000001</v>
      </c>
      <c r="AB584" s="38">
        <v>114.44</v>
      </c>
      <c r="AC584" s="38">
        <v>102.22</v>
      </c>
      <c r="AD584" s="38">
        <v>100.6</v>
      </c>
      <c r="AE584" s="38">
        <v>94.51</v>
      </c>
      <c r="AF584" s="38">
        <v>94.89</v>
      </c>
      <c r="AG584" s="38">
        <v>97.76</v>
      </c>
      <c r="AH584" s="38">
        <v>102.62</v>
      </c>
      <c r="AI584" s="38">
        <v>110.62</v>
      </c>
      <c r="AJ584" s="38">
        <v>113.37</v>
      </c>
      <c r="AK584" s="38">
        <v>110.87</v>
      </c>
      <c r="AL584" s="38">
        <v>109.12</v>
      </c>
      <c r="AM584" s="38">
        <v>104.12</v>
      </c>
      <c r="AN584" s="38">
        <v>86.71</v>
      </c>
      <c r="AO584" s="38">
        <v>81.709999999999994</v>
      </c>
      <c r="AP584" s="38">
        <v>78.709999999999994</v>
      </c>
      <c r="AQ584" s="38">
        <v>78.2</v>
      </c>
      <c r="AR584" s="38">
        <v>79.7</v>
      </c>
      <c r="AS584" s="38">
        <v>83.7</v>
      </c>
      <c r="AT584" s="38">
        <v>91.7</v>
      </c>
      <c r="AU584" s="38">
        <v>90.45</v>
      </c>
      <c r="AV584" s="38">
        <v>89.45</v>
      </c>
      <c r="AW584" s="38">
        <v>84.45</v>
      </c>
      <c r="AX584" s="38">
        <v>84.7</v>
      </c>
      <c r="AY584" s="38">
        <v>81.7</v>
      </c>
      <c r="BA584" s="37">
        <v>114.32</v>
      </c>
      <c r="BB584" s="38">
        <v>1.3172999999999999</v>
      </c>
    </row>
    <row r="585" spans="1:54" x14ac:dyDescent="0.35">
      <c r="A585" s="2">
        <f t="shared" si="8"/>
        <v>44641</v>
      </c>
      <c r="B585" t="s">
        <v>627</v>
      </c>
      <c r="C585" s="32">
        <v>44641</v>
      </c>
      <c r="D585" s="38">
        <v>225.31</v>
      </c>
      <c r="E585" s="38">
        <v>227.99</v>
      </c>
      <c r="F585" s="38">
        <v>230.01</v>
      </c>
      <c r="G585" s="38">
        <v>233.23</v>
      </c>
      <c r="H585" s="38">
        <v>234.41</v>
      </c>
      <c r="I585" s="38">
        <v>237.11</v>
      </c>
      <c r="J585" s="38">
        <v>231.44</v>
      </c>
      <c r="K585" s="38">
        <v>239.94</v>
      </c>
      <c r="L585" s="38">
        <v>240.44</v>
      </c>
      <c r="M585" s="38">
        <v>236.59</v>
      </c>
      <c r="N585" s="38">
        <v>231.17</v>
      </c>
      <c r="O585" s="38">
        <v>204.55</v>
      </c>
      <c r="P585" s="38">
        <v>162.79</v>
      </c>
      <c r="Q585" s="38">
        <v>135.79</v>
      </c>
      <c r="R585" s="38">
        <v>110.79</v>
      </c>
      <c r="S585" s="38">
        <v>131.66</v>
      </c>
      <c r="T585" s="38">
        <v>137.27000000000001</v>
      </c>
      <c r="U585" s="38">
        <v>140.24</v>
      </c>
      <c r="V585" s="38">
        <v>144.15</v>
      </c>
      <c r="W585" s="38">
        <v>142.56</v>
      </c>
      <c r="X585" s="38">
        <v>141.52000000000001</v>
      </c>
      <c r="Y585" s="38">
        <v>137.25</v>
      </c>
      <c r="Z585" s="38">
        <v>138.11000000000001</v>
      </c>
      <c r="AA585" s="38">
        <v>133.82</v>
      </c>
      <c r="AB585" s="38">
        <v>114.56</v>
      </c>
      <c r="AC585" s="38">
        <v>101.8</v>
      </c>
      <c r="AD585" s="38">
        <v>100.16</v>
      </c>
      <c r="AE585" s="38">
        <v>94.11</v>
      </c>
      <c r="AF585" s="38">
        <v>94.45</v>
      </c>
      <c r="AG585" s="38">
        <v>97.26</v>
      </c>
      <c r="AH585" s="38">
        <v>102.97</v>
      </c>
      <c r="AI585" s="38">
        <v>110.94</v>
      </c>
      <c r="AJ585" s="38">
        <v>113.66</v>
      </c>
      <c r="AK585" s="38">
        <v>111.14</v>
      </c>
      <c r="AL585" s="38">
        <v>109.37</v>
      </c>
      <c r="AM585" s="38">
        <v>104.31</v>
      </c>
      <c r="AN585" s="38">
        <v>84.81</v>
      </c>
      <c r="AO585" s="38">
        <v>79.099999999999994</v>
      </c>
      <c r="AP585" s="38">
        <v>76.099999999999994</v>
      </c>
      <c r="AQ585" s="38">
        <v>75.569999999999993</v>
      </c>
      <c r="AR585" s="38">
        <v>77.08</v>
      </c>
      <c r="AS585" s="38">
        <v>81.05</v>
      </c>
      <c r="AT585" s="38">
        <v>89.55</v>
      </c>
      <c r="AU585" s="38">
        <v>88.5</v>
      </c>
      <c r="AV585" s="38">
        <v>87.63</v>
      </c>
      <c r="AW585" s="38">
        <v>82.76</v>
      </c>
      <c r="AX585" s="38">
        <v>83.08</v>
      </c>
      <c r="AY585" s="38">
        <v>80.19</v>
      </c>
      <c r="BA585" s="37">
        <v>122.29</v>
      </c>
      <c r="BB585" s="38">
        <v>1.3202</v>
      </c>
    </row>
    <row r="586" spans="1:54" x14ac:dyDescent="0.35">
      <c r="A586" s="2">
        <f t="shared" si="8"/>
        <v>44642</v>
      </c>
      <c r="B586" t="s">
        <v>628</v>
      </c>
      <c r="C586" s="32">
        <v>44642</v>
      </c>
      <c r="D586" s="38">
        <v>233.6</v>
      </c>
      <c r="E586" s="38">
        <v>235.72</v>
      </c>
      <c r="F586" s="38">
        <v>237.72</v>
      </c>
      <c r="G586" s="38">
        <v>239.53</v>
      </c>
      <c r="H586" s="38">
        <v>239.8</v>
      </c>
      <c r="I586" s="38">
        <v>242.78</v>
      </c>
      <c r="J586" s="38">
        <v>237.78</v>
      </c>
      <c r="K586" s="38">
        <v>246.28</v>
      </c>
      <c r="L586" s="38">
        <v>246.78</v>
      </c>
      <c r="M586" s="38">
        <v>245.94</v>
      </c>
      <c r="N586" s="38">
        <v>241.59</v>
      </c>
      <c r="O586" s="38">
        <v>216.09</v>
      </c>
      <c r="P586" s="38">
        <v>161.19</v>
      </c>
      <c r="Q586" s="38">
        <v>141.19</v>
      </c>
      <c r="R586" s="38">
        <v>116.19</v>
      </c>
      <c r="S586" s="38">
        <v>131.69</v>
      </c>
      <c r="T586" s="38">
        <v>136.72999999999999</v>
      </c>
      <c r="U586" s="38">
        <v>139.38999999999999</v>
      </c>
      <c r="V586" s="38">
        <v>144.38999999999999</v>
      </c>
      <c r="W586" s="38">
        <v>143.09</v>
      </c>
      <c r="X586" s="38">
        <v>142.29</v>
      </c>
      <c r="Y586" s="38">
        <v>141.56</v>
      </c>
      <c r="Z586" s="38">
        <v>142.41999999999999</v>
      </c>
      <c r="AA586" s="38">
        <v>138.13</v>
      </c>
      <c r="AB586" s="38">
        <v>119.31</v>
      </c>
      <c r="AC586" s="38">
        <v>106.14</v>
      </c>
      <c r="AD586" s="38">
        <v>103.86</v>
      </c>
      <c r="AE586" s="38">
        <v>97.2</v>
      </c>
      <c r="AF586" s="38">
        <v>97.2</v>
      </c>
      <c r="AG586" s="38">
        <v>99.8</v>
      </c>
      <c r="AH586" s="38">
        <v>105.35</v>
      </c>
      <c r="AI586" s="38">
        <v>113.25</v>
      </c>
      <c r="AJ586" s="38">
        <v>115.88</v>
      </c>
      <c r="AK586" s="38">
        <v>113.3</v>
      </c>
      <c r="AL586" s="38">
        <v>111.47</v>
      </c>
      <c r="AM586" s="38">
        <v>106.35</v>
      </c>
      <c r="AN586" s="38">
        <v>87.06</v>
      </c>
      <c r="AO586" s="38">
        <v>81.3</v>
      </c>
      <c r="AP586" s="38">
        <v>78.25</v>
      </c>
      <c r="AQ586" s="38">
        <v>77.67</v>
      </c>
      <c r="AR586" s="38">
        <v>79.14</v>
      </c>
      <c r="AS586" s="38">
        <v>83.06</v>
      </c>
      <c r="AT586" s="38">
        <v>91.97</v>
      </c>
      <c r="AU586" s="38">
        <v>90.86</v>
      </c>
      <c r="AV586" s="38">
        <v>89.95</v>
      </c>
      <c r="AW586" s="38">
        <v>85.03</v>
      </c>
      <c r="AX586" s="38">
        <v>85.31</v>
      </c>
      <c r="AY586" s="38">
        <v>82.36</v>
      </c>
      <c r="BA586" s="37">
        <v>121.53</v>
      </c>
      <c r="BB586" s="38">
        <v>1.3260000000000001</v>
      </c>
    </row>
    <row r="587" spans="1:54" x14ac:dyDescent="0.35">
      <c r="A587" s="2">
        <f t="shared" si="8"/>
        <v>44643</v>
      </c>
      <c r="B587" t="s">
        <v>629</v>
      </c>
      <c r="C587" s="32">
        <v>44643</v>
      </c>
      <c r="D587" s="38">
        <v>277.5</v>
      </c>
      <c r="E587" s="38">
        <v>279.63</v>
      </c>
      <c r="F587" s="38">
        <v>280.76</v>
      </c>
      <c r="G587" s="38">
        <v>281.64999999999998</v>
      </c>
      <c r="H587" s="38">
        <v>282.25</v>
      </c>
      <c r="I587" s="38">
        <v>285.25</v>
      </c>
      <c r="J587" s="38">
        <v>280.25</v>
      </c>
      <c r="K587" s="38">
        <v>287.98</v>
      </c>
      <c r="L587" s="38">
        <v>287.44</v>
      </c>
      <c r="M587" s="38">
        <v>283.67</v>
      </c>
      <c r="N587" s="38">
        <v>276.58</v>
      </c>
      <c r="O587" s="38">
        <v>249.19</v>
      </c>
      <c r="P587" s="38">
        <v>174.74</v>
      </c>
      <c r="Q587" s="38">
        <v>154.28</v>
      </c>
      <c r="R587" s="38">
        <v>127.75</v>
      </c>
      <c r="S587" s="38">
        <v>144.5</v>
      </c>
      <c r="T587" s="38">
        <v>149.59</v>
      </c>
      <c r="U587" s="38">
        <v>152.28</v>
      </c>
      <c r="V587" s="38">
        <v>157.4</v>
      </c>
      <c r="W587" s="38">
        <v>155.52000000000001</v>
      </c>
      <c r="X587" s="38">
        <v>154.49</v>
      </c>
      <c r="Y587" s="38">
        <v>153.04</v>
      </c>
      <c r="Z587" s="38">
        <v>153.82</v>
      </c>
      <c r="AA587" s="38">
        <v>149.58000000000001</v>
      </c>
      <c r="AB587" s="38">
        <v>127.96</v>
      </c>
      <c r="AC587" s="38">
        <v>114.65</v>
      </c>
      <c r="AD587" s="38">
        <v>112.32</v>
      </c>
      <c r="AE587" s="38">
        <v>105.25</v>
      </c>
      <c r="AF587" s="38">
        <v>105.29</v>
      </c>
      <c r="AG587" s="38">
        <v>108.05</v>
      </c>
      <c r="AH587" s="38">
        <v>114.42</v>
      </c>
      <c r="AI587" s="38">
        <v>122.77</v>
      </c>
      <c r="AJ587" s="38">
        <v>125.59</v>
      </c>
      <c r="AK587" s="38">
        <v>120.93</v>
      </c>
      <c r="AL587" s="38">
        <v>119.22</v>
      </c>
      <c r="AM587" s="38">
        <v>114.21</v>
      </c>
      <c r="AN587" s="38">
        <v>94.07</v>
      </c>
      <c r="AO587" s="38">
        <v>88.12</v>
      </c>
      <c r="AP587" s="38">
        <v>84.99</v>
      </c>
      <c r="AQ587" s="38">
        <v>84.58</v>
      </c>
      <c r="AR587" s="38">
        <v>86.15</v>
      </c>
      <c r="AS587" s="38">
        <v>90.35</v>
      </c>
      <c r="AT587" s="38">
        <v>100.05</v>
      </c>
      <c r="AU587" s="38">
        <v>98.81</v>
      </c>
      <c r="AV587" s="38">
        <v>97.84</v>
      </c>
      <c r="AW587" s="38">
        <v>92.78</v>
      </c>
      <c r="AX587" s="38">
        <v>93.09</v>
      </c>
      <c r="AY587" s="38">
        <v>89.83</v>
      </c>
      <c r="BA587" s="37">
        <v>127.52</v>
      </c>
      <c r="BB587" s="38">
        <v>1.3210999999999999</v>
      </c>
    </row>
    <row r="588" spans="1:54" x14ac:dyDescent="0.35">
      <c r="A588" s="2">
        <f t="shared" si="8"/>
        <v>44644</v>
      </c>
      <c r="B588" t="s">
        <v>630</v>
      </c>
      <c r="C588" s="32">
        <v>44644</v>
      </c>
      <c r="D588" s="38">
        <v>264.82</v>
      </c>
      <c r="E588" s="38">
        <v>268.08</v>
      </c>
      <c r="F588" s="38">
        <v>269.98</v>
      </c>
      <c r="G588" s="38">
        <v>271.24</v>
      </c>
      <c r="H588" s="38">
        <v>272.39999999999998</v>
      </c>
      <c r="I588" s="38">
        <v>275.44</v>
      </c>
      <c r="J588" s="38">
        <v>267.42</v>
      </c>
      <c r="K588" s="38">
        <v>273.42</v>
      </c>
      <c r="L588" s="38">
        <v>272.42</v>
      </c>
      <c r="M588" s="38">
        <v>267.42</v>
      </c>
      <c r="N588" s="38">
        <v>260.41000000000003</v>
      </c>
      <c r="O588" s="38">
        <v>235.41</v>
      </c>
      <c r="P588" s="38">
        <v>175.24</v>
      </c>
      <c r="Q588" s="38">
        <v>158.25</v>
      </c>
      <c r="R588" s="38">
        <v>131.75</v>
      </c>
      <c r="S588" s="38">
        <v>148.75</v>
      </c>
      <c r="T588" s="38">
        <v>153.75</v>
      </c>
      <c r="U588" s="38">
        <v>156.31</v>
      </c>
      <c r="V588" s="38">
        <v>161.28</v>
      </c>
      <c r="W588" s="38">
        <v>159.16999999999999</v>
      </c>
      <c r="X588" s="38">
        <v>158.02000000000001</v>
      </c>
      <c r="Y588" s="38">
        <v>154.97999999999999</v>
      </c>
      <c r="Z588" s="38">
        <v>155.68</v>
      </c>
      <c r="AA588" s="38">
        <v>149.66</v>
      </c>
      <c r="AB588" s="38">
        <v>126.43</v>
      </c>
      <c r="AC588" s="38">
        <v>112.38</v>
      </c>
      <c r="AD588" s="38">
        <v>110.38</v>
      </c>
      <c r="AE588" s="38">
        <v>102.88</v>
      </c>
      <c r="AF588" s="38">
        <v>102.92</v>
      </c>
      <c r="AG588" s="38">
        <v>105.41</v>
      </c>
      <c r="AH588" s="38">
        <v>112.41</v>
      </c>
      <c r="AI588" s="38">
        <v>120.76</v>
      </c>
      <c r="AJ588" s="38">
        <v>123.58</v>
      </c>
      <c r="AK588" s="38">
        <v>118.92</v>
      </c>
      <c r="AL588" s="38">
        <v>117.21</v>
      </c>
      <c r="AM588" s="38">
        <v>112.2</v>
      </c>
      <c r="AN588" s="38">
        <v>92.06</v>
      </c>
      <c r="AO588" s="38">
        <v>86.11</v>
      </c>
      <c r="AP588" s="38">
        <v>82.98</v>
      </c>
      <c r="AQ588" s="38">
        <v>82.57</v>
      </c>
      <c r="AR588" s="38">
        <v>84.14</v>
      </c>
      <c r="AS588" s="38">
        <v>88.34</v>
      </c>
      <c r="AT588" s="38">
        <v>98.04</v>
      </c>
      <c r="AU588" s="38">
        <v>96.8</v>
      </c>
      <c r="AV588" s="38">
        <v>95.83</v>
      </c>
      <c r="AW588" s="38">
        <v>90.77</v>
      </c>
      <c r="AX588" s="38">
        <v>91.08</v>
      </c>
      <c r="AY588" s="38">
        <v>87.82</v>
      </c>
      <c r="BA588" s="37">
        <v>123.98</v>
      </c>
      <c r="BB588" s="38">
        <v>1.3184</v>
      </c>
    </row>
    <row r="589" spans="1:54" x14ac:dyDescent="0.35">
      <c r="A589" s="2">
        <f t="shared" ref="A589:A652" si="9">+A584+7</f>
        <v>44645</v>
      </c>
      <c r="B589" t="s">
        <v>631</v>
      </c>
      <c r="C589" s="32">
        <v>44645</v>
      </c>
      <c r="D589" s="38">
        <v>236.61</v>
      </c>
      <c r="E589" s="38">
        <v>241.11</v>
      </c>
      <c r="F589" s="38">
        <v>244.77</v>
      </c>
      <c r="G589" s="38">
        <v>245.54</v>
      </c>
      <c r="H589" s="38">
        <v>246.53</v>
      </c>
      <c r="I589" s="38">
        <v>249.4</v>
      </c>
      <c r="J589" s="38">
        <v>244.41</v>
      </c>
      <c r="K589" s="38">
        <v>250.48</v>
      </c>
      <c r="L589" s="38">
        <v>249.57</v>
      </c>
      <c r="M589" s="38">
        <v>246.05</v>
      </c>
      <c r="N589" s="38">
        <v>241.55</v>
      </c>
      <c r="O589" s="38">
        <v>219.55</v>
      </c>
      <c r="P589" s="38">
        <v>169.29</v>
      </c>
      <c r="Q589" s="38">
        <v>153.80000000000001</v>
      </c>
      <c r="R589" s="38">
        <v>128.16</v>
      </c>
      <c r="S589" s="38">
        <v>143.41999999999999</v>
      </c>
      <c r="T589" s="38">
        <v>148.19999999999999</v>
      </c>
      <c r="U589" s="38">
        <v>150.74</v>
      </c>
      <c r="V589" s="38">
        <v>154.32</v>
      </c>
      <c r="W589" s="38">
        <v>151.68</v>
      </c>
      <c r="X589" s="38">
        <v>150.65</v>
      </c>
      <c r="Y589" s="38">
        <v>147.31</v>
      </c>
      <c r="Z589" s="38">
        <v>148.05000000000001</v>
      </c>
      <c r="AA589" s="38">
        <v>142.5</v>
      </c>
      <c r="AB589" s="38">
        <v>123.43</v>
      </c>
      <c r="AC589" s="38">
        <v>109.45</v>
      </c>
      <c r="AD589" s="38">
        <v>107.45</v>
      </c>
      <c r="AE589" s="38">
        <v>100.13</v>
      </c>
      <c r="AF589" s="38">
        <v>100.15</v>
      </c>
      <c r="AG589" s="38">
        <v>102.57</v>
      </c>
      <c r="AH589" s="38">
        <v>110.18</v>
      </c>
      <c r="AI589" s="38">
        <v>118.39</v>
      </c>
      <c r="AJ589" s="38">
        <v>121.14</v>
      </c>
      <c r="AK589" s="38">
        <v>116.58</v>
      </c>
      <c r="AL589" s="38">
        <v>114.81</v>
      </c>
      <c r="AM589" s="38">
        <v>109.76</v>
      </c>
      <c r="AN589" s="38">
        <v>92.14</v>
      </c>
      <c r="AO589" s="38">
        <v>86.2</v>
      </c>
      <c r="AP589" s="38">
        <v>83.07</v>
      </c>
      <c r="AQ589" s="38">
        <v>82.65</v>
      </c>
      <c r="AR589" s="38">
        <v>84.22</v>
      </c>
      <c r="AS589" s="38">
        <v>88.41</v>
      </c>
      <c r="AT589" s="38">
        <v>98.08</v>
      </c>
      <c r="AU589" s="38">
        <v>96.83</v>
      </c>
      <c r="AV589" s="38">
        <v>95.87</v>
      </c>
      <c r="AW589" s="38">
        <v>90.81</v>
      </c>
      <c r="AX589" s="38">
        <v>91.12</v>
      </c>
      <c r="AY589" s="38">
        <v>87.87</v>
      </c>
      <c r="BA589" s="37">
        <v>122.67</v>
      </c>
      <c r="BB589" s="38">
        <v>1.3191999999999999</v>
      </c>
    </row>
    <row r="590" spans="1:54" x14ac:dyDescent="0.35">
      <c r="A590" s="2">
        <f t="shared" si="9"/>
        <v>44648</v>
      </c>
      <c r="B590" t="s">
        <v>632</v>
      </c>
      <c r="C590" s="32">
        <v>44648</v>
      </c>
      <c r="D590" s="38">
        <v>245.77</v>
      </c>
      <c r="E590" s="38">
        <v>248.12</v>
      </c>
      <c r="F590" s="38">
        <v>249.72</v>
      </c>
      <c r="G590" s="38">
        <v>250.47</v>
      </c>
      <c r="H590" s="38">
        <v>253.22</v>
      </c>
      <c r="I590" s="38">
        <v>255.97</v>
      </c>
      <c r="J590" s="38">
        <v>248.27</v>
      </c>
      <c r="K590" s="38">
        <v>255.27</v>
      </c>
      <c r="L590" s="38">
        <v>256.02</v>
      </c>
      <c r="M590" s="38">
        <v>255.25</v>
      </c>
      <c r="N590" s="38">
        <v>253.89</v>
      </c>
      <c r="O590" s="38">
        <v>231.86</v>
      </c>
      <c r="P590" s="38">
        <v>168.11</v>
      </c>
      <c r="Q590" s="38">
        <v>149.93</v>
      </c>
      <c r="R590" s="38">
        <v>125.18</v>
      </c>
      <c r="S590" s="38">
        <v>141.68</v>
      </c>
      <c r="T590" s="38">
        <v>146.32</v>
      </c>
      <c r="U590" s="38">
        <v>148.85</v>
      </c>
      <c r="V590" s="38">
        <v>152.62</v>
      </c>
      <c r="W590" s="38">
        <v>150.69999999999999</v>
      </c>
      <c r="X590" s="38">
        <v>149.72999999999999</v>
      </c>
      <c r="Y590" s="38">
        <v>146.19</v>
      </c>
      <c r="Z590" s="38">
        <v>146.93</v>
      </c>
      <c r="AA590" s="38">
        <v>141.38999999999999</v>
      </c>
      <c r="AB590" s="38">
        <v>123.5</v>
      </c>
      <c r="AC590" s="38">
        <v>109.87</v>
      </c>
      <c r="AD590" s="38">
        <v>107.88</v>
      </c>
      <c r="AE590" s="38">
        <v>100.62</v>
      </c>
      <c r="AF590" s="38">
        <v>100.63</v>
      </c>
      <c r="AG590" s="38">
        <v>103.02</v>
      </c>
      <c r="AH590" s="38">
        <v>109.28</v>
      </c>
      <c r="AI590" s="38">
        <v>117.21</v>
      </c>
      <c r="AJ590" s="38">
        <v>119.93</v>
      </c>
      <c r="AK590" s="38">
        <v>115.42</v>
      </c>
      <c r="AL590" s="38">
        <v>113.63</v>
      </c>
      <c r="AM590" s="38">
        <v>108.55</v>
      </c>
      <c r="AN590" s="38">
        <v>91.25</v>
      </c>
      <c r="AO590" s="38">
        <v>85.34</v>
      </c>
      <c r="AP590" s="38">
        <v>82.22</v>
      </c>
      <c r="AQ590" s="38">
        <v>81.77</v>
      </c>
      <c r="AR590" s="38">
        <v>83.31</v>
      </c>
      <c r="AS590" s="38">
        <v>87.45</v>
      </c>
      <c r="AT590" s="38">
        <v>96.99</v>
      </c>
      <c r="AU590" s="38">
        <v>95.76</v>
      </c>
      <c r="AV590" s="38">
        <v>94.81</v>
      </c>
      <c r="AW590" s="38">
        <v>89.77</v>
      </c>
      <c r="AX590" s="38">
        <v>90.07</v>
      </c>
      <c r="AY590" s="38">
        <v>86.88</v>
      </c>
      <c r="BA590" s="37">
        <v>114.5</v>
      </c>
      <c r="BB590" s="38">
        <v>1.3089</v>
      </c>
    </row>
    <row r="591" spans="1:54" x14ac:dyDescent="0.35">
      <c r="A591" s="2">
        <f t="shared" si="9"/>
        <v>44649</v>
      </c>
      <c r="B591" t="s">
        <v>633</v>
      </c>
      <c r="C591" s="32">
        <v>44649</v>
      </c>
      <c r="D591" s="38">
        <v>263.42</v>
      </c>
      <c r="E591" s="38">
        <v>264.01</v>
      </c>
      <c r="F591" s="38">
        <v>266.26</v>
      </c>
      <c r="G591" s="38">
        <v>266.86</v>
      </c>
      <c r="H591" s="38">
        <v>268.82</v>
      </c>
      <c r="I591" s="38">
        <v>271.3</v>
      </c>
      <c r="J591" s="38">
        <v>262.7</v>
      </c>
      <c r="K591" s="38">
        <v>269.7</v>
      </c>
      <c r="L591" s="38">
        <v>271.7</v>
      </c>
      <c r="M591" s="38">
        <v>271.7</v>
      </c>
      <c r="N591" s="38">
        <v>268.79000000000002</v>
      </c>
      <c r="O591" s="38">
        <v>245.92</v>
      </c>
      <c r="P591" s="38">
        <v>172.64</v>
      </c>
      <c r="Q591" s="38">
        <v>151.63</v>
      </c>
      <c r="R591" s="38">
        <v>127.23</v>
      </c>
      <c r="S591" s="38">
        <v>143.66999999999999</v>
      </c>
      <c r="T591" s="38">
        <v>147.84</v>
      </c>
      <c r="U591" s="38">
        <v>150.28</v>
      </c>
      <c r="V591" s="38">
        <v>152.88999999999999</v>
      </c>
      <c r="W591" s="38">
        <v>150.9</v>
      </c>
      <c r="X591" s="38">
        <v>149.84</v>
      </c>
      <c r="Y591" s="38">
        <v>148.33000000000001</v>
      </c>
      <c r="Z591" s="38">
        <v>148.91999999999999</v>
      </c>
      <c r="AA591" s="38">
        <v>143.19</v>
      </c>
      <c r="AB591" s="38">
        <v>119.02</v>
      </c>
      <c r="AC591" s="38">
        <v>105.39</v>
      </c>
      <c r="AD591" s="38">
        <v>103.4</v>
      </c>
      <c r="AE591" s="38">
        <v>96.15</v>
      </c>
      <c r="AF591" s="38">
        <v>96.16</v>
      </c>
      <c r="AG591" s="38">
        <v>98.55</v>
      </c>
      <c r="AH591" s="38">
        <v>106.72</v>
      </c>
      <c r="AI591" s="38">
        <v>115.2</v>
      </c>
      <c r="AJ591" s="38">
        <v>118.25</v>
      </c>
      <c r="AK591" s="38">
        <v>113.33</v>
      </c>
      <c r="AL591" s="38">
        <v>111.74</v>
      </c>
      <c r="AM591" s="38">
        <v>106.83</v>
      </c>
      <c r="AN591" s="38">
        <v>89.69</v>
      </c>
      <c r="AO591" s="38">
        <v>83.92</v>
      </c>
      <c r="AP591" s="38">
        <v>80.95</v>
      </c>
      <c r="AQ591" s="38">
        <v>80.63</v>
      </c>
      <c r="AR591" s="38">
        <v>82.32</v>
      </c>
      <c r="AS591" s="38">
        <v>86.67</v>
      </c>
      <c r="AT591" s="38">
        <v>96.5</v>
      </c>
      <c r="AU591" s="38">
        <v>95.32</v>
      </c>
      <c r="AV591" s="38">
        <v>94.41</v>
      </c>
      <c r="AW591" s="38">
        <v>89.39</v>
      </c>
      <c r="AX591" s="38">
        <v>89.71</v>
      </c>
      <c r="AY591" s="38">
        <v>86.54</v>
      </c>
      <c r="BA591" s="37">
        <v>112.79</v>
      </c>
      <c r="BB591" s="38">
        <v>1.3136000000000001</v>
      </c>
    </row>
    <row r="592" spans="1:54" x14ac:dyDescent="0.35">
      <c r="A592" s="2">
        <f t="shared" si="9"/>
        <v>44650</v>
      </c>
      <c r="B592" t="s">
        <v>634</v>
      </c>
      <c r="C592" s="32">
        <v>44650</v>
      </c>
      <c r="D592" s="38">
        <v>283.23</v>
      </c>
      <c r="E592" s="38">
        <v>286.58</v>
      </c>
      <c r="F592" s="38">
        <v>289.16000000000003</v>
      </c>
      <c r="G592" s="38">
        <v>290.20999999999998</v>
      </c>
      <c r="H592" s="38">
        <v>291.69</v>
      </c>
      <c r="I592" s="38">
        <v>293.61</v>
      </c>
      <c r="J592" s="38">
        <v>283.83</v>
      </c>
      <c r="K592" s="38">
        <v>290.05</v>
      </c>
      <c r="L592" s="38">
        <v>294.8</v>
      </c>
      <c r="M592" s="38">
        <v>294.64999999999998</v>
      </c>
      <c r="N592" s="38">
        <v>292.27999999999997</v>
      </c>
      <c r="O592" s="38">
        <v>270.41000000000003</v>
      </c>
      <c r="P592" s="38">
        <v>185.67</v>
      </c>
      <c r="Q592" s="38">
        <v>155.19999999999999</v>
      </c>
      <c r="R592" s="38">
        <v>127.22</v>
      </c>
      <c r="S592" s="38">
        <v>142</v>
      </c>
      <c r="T592" s="38">
        <v>145.52000000000001</v>
      </c>
      <c r="U592" s="38">
        <v>147.68</v>
      </c>
      <c r="V592" s="38">
        <v>151.87</v>
      </c>
      <c r="W592" s="38">
        <v>150.25</v>
      </c>
      <c r="X592" s="38">
        <v>149.47</v>
      </c>
      <c r="Y592" s="38">
        <v>147.38</v>
      </c>
      <c r="Z592" s="38">
        <v>148.08000000000001</v>
      </c>
      <c r="AA592" s="38">
        <v>142.4</v>
      </c>
      <c r="AB592" s="38">
        <v>117.85</v>
      </c>
      <c r="AC592" s="38">
        <v>104.19</v>
      </c>
      <c r="AD592" s="38">
        <v>102.11</v>
      </c>
      <c r="AE592" s="38">
        <v>94.75</v>
      </c>
      <c r="AF592" s="38">
        <v>94.59</v>
      </c>
      <c r="AG592" s="38">
        <v>96.78</v>
      </c>
      <c r="AH592" s="38">
        <v>106.38</v>
      </c>
      <c r="AI592" s="38">
        <v>114.8</v>
      </c>
      <c r="AJ592" s="38">
        <v>117.81</v>
      </c>
      <c r="AK592" s="38">
        <v>110.87</v>
      </c>
      <c r="AL592" s="38">
        <v>109.38</v>
      </c>
      <c r="AM592" s="38">
        <v>104.66</v>
      </c>
      <c r="AN592" s="38">
        <v>87.86</v>
      </c>
      <c r="AO592" s="38">
        <v>82.29</v>
      </c>
      <c r="AP592" s="38">
        <v>79.400000000000006</v>
      </c>
      <c r="AQ592" s="38">
        <v>78.97</v>
      </c>
      <c r="AR592" s="38">
        <v>80.52</v>
      </c>
      <c r="AS592" s="38">
        <v>84.64</v>
      </c>
      <c r="AT592" s="38">
        <v>94.07</v>
      </c>
      <c r="AU592" s="38">
        <v>92.71</v>
      </c>
      <c r="AV592" s="38">
        <v>91.76</v>
      </c>
      <c r="AW592" s="38">
        <v>86.88</v>
      </c>
      <c r="AX592" s="38">
        <v>87.53</v>
      </c>
      <c r="AY592" s="38">
        <v>84.88</v>
      </c>
      <c r="BA592" s="37">
        <v>115.59</v>
      </c>
      <c r="BB592" s="38">
        <v>1.3172999999999999</v>
      </c>
    </row>
    <row r="593" spans="1:54" x14ac:dyDescent="0.35">
      <c r="A593" s="2">
        <f t="shared" si="9"/>
        <v>44651</v>
      </c>
      <c r="B593" t="s">
        <v>635</v>
      </c>
      <c r="C593" s="32">
        <v>44651</v>
      </c>
      <c r="D593" s="38">
        <v>299.32</v>
      </c>
      <c r="E593" s="38">
        <v>303.83</v>
      </c>
      <c r="F593" s="38">
        <v>305.52999999999997</v>
      </c>
      <c r="G593" s="38">
        <v>305.52999999999997</v>
      </c>
      <c r="H593" s="38">
        <v>306.33</v>
      </c>
      <c r="I593" s="38">
        <v>297.44</v>
      </c>
      <c r="J593" s="38">
        <v>301.44</v>
      </c>
      <c r="K593" s="38">
        <v>305.27</v>
      </c>
      <c r="L593" s="38">
        <v>305.12</v>
      </c>
      <c r="M593" s="38">
        <v>302.13</v>
      </c>
      <c r="N593" s="38">
        <v>280.13</v>
      </c>
      <c r="O593" s="38">
        <v>184.91</v>
      </c>
      <c r="P593" s="38">
        <v>151.91</v>
      </c>
      <c r="Q593" s="38">
        <v>124.41</v>
      </c>
      <c r="R593" s="38">
        <v>139.19</v>
      </c>
      <c r="S593" s="38">
        <v>142.71</v>
      </c>
      <c r="T593" s="38">
        <v>145.21</v>
      </c>
      <c r="U593" s="38">
        <v>148.68</v>
      </c>
      <c r="V593" s="38">
        <v>145.94</v>
      </c>
      <c r="W593" s="38">
        <v>143.88999999999999</v>
      </c>
      <c r="X593" s="38">
        <v>141.84</v>
      </c>
      <c r="Y593" s="38">
        <v>142.83000000000001</v>
      </c>
      <c r="Z593" s="38">
        <v>137.81</v>
      </c>
      <c r="AA593" s="38">
        <v>117.48</v>
      </c>
      <c r="AB593" s="38">
        <v>104.44</v>
      </c>
      <c r="AC593" s="38">
        <v>102.43</v>
      </c>
      <c r="AD593" s="38">
        <v>95.06</v>
      </c>
      <c r="AE593" s="38">
        <v>94.89</v>
      </c>
      <c r="AF593" s="38">
        <v>98.09</v>
      </c>
      <c r="AG593" s="38">
        <v>107.08</v>
      </c>
      <c r="AH593" s="38">
        <v>115.08</v>
      </c>
      <c r="AI593" s="38">
        <v>118.09</v>
      </c>
      <c r="AJ593" s="38">
        <v>111.15</v>
      </c>
      <c r="AK593" s="38">
        <v>109.66</v>
      </c>
      <c r="AL593" s="38">
        <v>104.94</v>
      </c>
      <c r="AM593" s="38">
        <v>88.14</v>
      </c>
      <c r="AN593" s="38">
        <v>82.57</v>
      </c>
      <c r="AO593" s="38">
        <v>79.680000000000007</v>
      </c>
      <c r="AP593" s="38">
        <v>79.25</v>
      </c>
      <c r="AQ593" s="38">
        <v>80.8</v>
      </c>
      <c r="AR593" s="38">
        <v>84.92</v>
      </c>
      <c r="AS593" s="38">
        <v>94.35</v>
      </c>
      <c r="AT593" s="38">
        <v>92.99</v>
      </c>
      <c r="AU593" s="38">
        <v>92.04</v>
      </c>
      <c r="AV593" s="38">
        <v>87.16</v>
      </c>
      <c r="AW593" s="38">
        <v>87.81</v>
      </c>
      <c r="AX593" s="38">
        <v>85.16</v>
      </c>
      <c r="AY593" s="38">
        <v>68.95</v>
      </c>
      <c r="BA593" s="37">
        <v>107.29</v>
      </c>
      <c r="BB593" s="38">
        <v>1.3162</v>
      </c>
    </row>
    <row r="594" spans="1:54" x14ac:dyDescent="0.35">
      <c r="A594" s="2">
        <f t="shared" si="9"/>
        <v>44652</v>
      </c>
      <c r="B594" t="s">
        <v>636</v>
      </c>
      <c r="C594" s="32">
        <v>44652</v>
      </c>
      <c r="D594" s="38">
        <v>257.32</v>
      </c>
      <c r="E594" s="38">
        <v>262.68</v>
      </c>
      <c r="F594" s="38">
        <v>264.67</v>
      </c>
      <c r="G594" s="38">
        <v>266.02</v>
      </c>
      <c r="H594" s="38">
        <v>267.32</v>
      </c>
      <c r="I594" s="38">
        <v>260.25</v>
      </c>
      <c r="J594" s="38">
        <v>267.25</v>
      </c>
      <c r="K594" s="38">
        <v>270.75</v>
      </c>
      <c r="L594" s="38">
        <v>271.25</v>
      </c>
      <c r="M594" s="38">
        <v>271.75</v>
      </c>
      <c r="N594" s="38">
        <v>253.25</v>
      </c>
      <c r="O594" s="38">
        <v>171.77</v>
      </c>
      <c r="P594" s="38">
        <v>150.91</v>
      </c>
      <c r="Q594" s="38">
        <v>130</v>
      </c>
      <c r="R594" s="38">
        <v>140</v>
      </c>
      <c r="S594" s="38">
        <v>143.52000000000001</v>
      </c>
      <c r="T594" s="38">
        <v>146.02000000000001</v>
      </c>
      <c r="U594" s="38">
        <v>150.02000000000001</v>
      </c>
      <c r="V594" s="38">
        <v>149.02000000000001</v>
      </c>
      <c r="W594" s="38">
        <v>146.97</v>
      </c>
      <c r="X594" s="38">
        <v>144.91999999999999</v>
      </c>
      <c r="Y594" s="38">
        <v>145.91</v>
      </c>
      <c r="Z594" s="38">
        <v>142.03</v>
      </c>
      <c r="AA594" s="38">
        <v>121.45</v>
      </c>
      <c r="AB594" s="38">
        <v>108.37</v>
      </c>
      <c r="AC594" s="38">
        <v>106.3</v>
      </c>
      <c r="AD594" s="38">
        <v>98.89</v>
      </c>
      <c r="AE594" s="38">
        <v>98.69</v>
      </c>
      <c r="AF594" s="38">
        <v>99.66</v>
      </c>
      <c r="AG594" s="38">
        <v>107.64</v>
      </c>
      <c r="AH594" s="38">
        <v>115.64</v>
      </c>
      <c r="AI594" s="38">
        <v>118.65</v>
      </c>
      <c r="AJ594" s="38">
        <v>111.71</v>
      </c>
      <c r="AK594" s="38">
        <v>110.22</v>
      </c>
      <c r="AL594" s="38">
        <v>102.22</v>
      </c>
      <c r="AM594" s="38">
        <v>87.54</v>
      </c>
      <c r="AN594" s="38">
        <v>81.97</v>
      </c>
      <c r="AO594" s="38">
        <v>79.09</v>
      </c>
      <c r="AP594" s="38">
        <v>78.66</v>
      </c>
      <c r="AQ594" s="38">
        <v>80.2</v>
      </c>
      <c r="AR594" s="38">
        <v>84.32</v>
      </c>
      <c r="AS594" s="38">
        <v>92.39</v>
      </c>
      <c r="AT594" s="38">
        <v>91.03</v>
      </c>
      <c r="AU594" s="38">
        <v>90.08</v>
      </c>
      <c r="AV594" s="38">
        <v>85.2</v>
      </c>
      <c r="AW594" s="38">
        <v>85.85</v>
      </c>
      <c r="AX594" s="38">
        <v>83.2</v>
      </c>
      <c r="AY594" s="38">
        <v>67.59</v>
      </c>
      <c r="BA594" s="37">
        <v>106.13</v>
      </c>
      <c r="BB594" s="38">
        <v>1.3109</v>
      </c>
    </row>
    <row r="595" spans="1:54" x14ac:dyDescent="0.35">
      <c r="A595" s="2">
        <f t="shared" si="9"/>
        <v>44655</v>
      </c>
      <c r="B595" t="s">
        <v>637</v>
      </c>
      <c r="C595" s="32">
        <v>44655</v>
      </c>
      <c r="D595" s="38">
        <v>244.06</v>
      </c>
      <c r="E595" s="38">
        <v>252.04</v>
      </c>
      <c r="F595" s="38">
        <v>257.88</v>
      </c>
      <c r="G595" s="38">
        <v>259.77999999999997</v>
      </c>
      <c r="H595" s="38">
        <v>262.57</v>
      </c>
      <c r="I595" s="38">
        <v>255.34</v>
      </c>
      <c r="J595" s="38">
        <v>263.08999999999997</v>
      </c>
      <c r="K595" s="38">
        <v>267.75</v>
      </c>
      <c r="L595" s="38">
        <v>267.83999999999997</v>
      </c>
      <c r="M595" s="38">
        <v>266.83999999999997</v>
      </c>
      <c r="N595" s="38">
        <v>249.84</v>
      </c>
      <c r="O595" s="38">
        <v>170.93</v>
      </c>
      <c r="P595" s="38">
        <v>152.22</v>
      </c>
      <c r="Q595" s="38">
        <v>131.31</v>
      </c>
      <c r="R595" s="38">
        <v>140.83000000000001</v>
      </c>
      <c r="S595" s="38">
        <v>144.34</v>
      </c>
      <c r="T595" s="38">
        <v>146.84</v>
      </c>
      <c r="U595" s="38">
        <v>150.84</v>
      </c>
      <c r="V595" s="38">
        <v>149.84</v>
      </c>
      <c r="W595" s="38">
        <v>147.79</v>
      </c>
      <c r="X595" s="38">
        <v>146.99</v>
      </c>
      <c r="Y595" s="38">
        <v>147.97999999999999</v>
      </c>
      <c r="Z595" s="38">
        <v>144.1</v>
      </c>
      <c r="AA595" s="38">
        <v>126.21</v>
      </c>
      <c r="AB595" s="38">
        <v>113.11</v>
      </c>
      <c r="AC595" s="38">
        <v>111.05</v>
      </c>
      <c r="AD595" s="38">
        <v>103.63</v>
      </c>
      <c r="AE595" s="38">
        <v>103.43</v>
      </c>
      <c r="AF595" s="38">
        <v>104.4</v>
      </c>
      <c r="AG595" s="38">
        <v>112.03</v>
      </c>
      <c r="AH595" s="38">
        <v>120.03</v>
      </c>
      <c r="AI595" s="38">
        <v>123.02</v>
      </c>
      <c r="AJ595" s="38">
        <v>116.64</v>
      </c>
      <c r="AK595" s="38">
        <v>115.14</v>
      </c>
      <c r="AL595" s="38">
        <v>107.14</v>
      </c>
      <c r="AM595" s="38">
        <v>91.36</v>
      </c>
      <c r="AN595" s="38">
        <v>85.8</v>
      </c>
      <c r="AO595" s="38">
        <v>82.9</v>
      </c>
      <c r="AP595" s="38">
        <v>82.47</v>
      </c>
      <c r="AQ595" s="38">
        <v>84.01</v>
      </c>
      <c r="AR595" s="38">
        <v>88.13</v>
      </c>
      <c r="AS595" s="38">
        <v>94.17</v>
      </c>
      <c r="AT595" s="38">
        <v>92.81</v>
      </c>
      <c r="AU595" s="38">
        <v>91.86</v>
      </c>
      <c r="AV595" s="38">
        <v>86.98</v>
      </c>
      <c r="AW595" s="38">
        <v>87.63</v>
      </c>
      <c r="AX595" s="38">
        <v>84.97</v>
      </c>
      <c r="AY595" s="38">
        <v>69.36</v>
      </c>
      <c r="BA595" s="37">
        <v>108.15</v>
      </c>
      <c r="BB595" s="38">
        <v>1.3116000000000001</v>
      </c>
    </row>
    <row r="596" spans="1:54" x14ac:dyDescent="0.35">
      <c r="A596" s="2">
        <f t="shared" si="9"/>
        <v>44656</v>
      </c>
      <c r="B596" t="s">
        <v>638</v>
      </c>
      <c r="C596" s="32">
        <v>44656</v>
      </c>
      <c r="D596" s="38">
        <v>242.24</v>
      </c>
      <c r="E596" s="38">
        <v>249.68</v>
      </c>
      <c r="F596" s="38">
        <v>254.24</v>
      </c>
      <c r="G596" s="38">
        <v>258.68</v>
      </c>
      <c r="H596" s="38">
        <v>263.27999999999997</v>
      </c>
      <c r="I596" s="38">
        <v>260.2</v>
      </c>
      <c r="J596" s="38">
        <v>266.74</v>
      </c>
      <c r="K596" s="38">
        <v>270.2</v>
      </c>
      <c r="L596" s="38">
        <v>272.89999999999998</v>
      </c>
      <c r="M596" s="38">
        <v>271.39999999999998</v>
      </c>
      <c r="N596" s="38">
        <v>251.65</v>
      </c>
      <c r="O596" s="38">
        <v>180.22</v>
      </c>
      <c r="P596" s="38">
        <v>163.19999999999999</v>
      </c>
      <c r="Q596" s="38">
        <v>142.30000000000001</v>
      </c>
      <c r="R596" s="38">
        <v>153.12</v>
      </c>
      <c r="S596" s="38">
        <v>156.63</v>
      </c>
      <c r="T596" s="38">
        <v>159.30000000000001</v>
      </c>
      <c r="U596" s="38">
        <v>162.88</v>
      </c>
      <c r="V596" s="38">
        <v>161.75</v>
      </c>
      <c r="W596" s="38">
        <v>159.65</v>
      </c>
      <c r="X596" s="38">
        <v>159.52000000000001</v>
      </c>
      <c r="Y596" s="38">
        <v>160.44</v>
      </c>
      <c r="Z596" s="38">
        <v>155.84</v>
      </c>
      <c r="AA596" s="38">
        <v>127.85</v>
      </c>
      <c r="AB596" s="38">
        <v>114.72</v>
      </c>
      <c r="AC596" s="38">
        <v>112.63</v>
      </c>
      <c r="AD596" s="38">
        <v>105.18</v>
      </c>
      <c r="AE596" s="38">
        <v>104.95</v>
      </c>
      <c r="AF596" s="38">
        <v>107.05</v>
      </c>
      <c r="AG596" s="38">
        <v>116.28</v>
      </c>
      <c r="AH596" s="38">
        <v>124.63</v>
      </c>
      <c r="AI596" s="38">
        <v>127.62</v>
      </c>
      <c r="AJ596" s="38">
        <v>122.88</v>
      </c>
      <c r="AK596" s="38">
        <v>121.38</v>
      </c>
      <c r="AL596" s="38">
        <v>113.38</v>
      </c>
      <c r="AM596" s="38">
        <v>94.57</v>
      </c>
      <c r="AN596" s="38">
        <v>87.07</v>
      </c>
      <c r="AO596" s="38">
        <v>84.16</v>
      </c>
      <c r="AP596" s="38">
        <v>83.73</v>
      </c>
      <c r="AQ596" s="38">
        <v>85.27</v>
      </c>
      <c r="AR596" s="38">
        <v>89.39</v>
      </c>
      <c r="AS596" s="38">
        <v>98.24</v>
      </c>
      <c r="AT596" s="38">
        <v>96.87</v>
      </c>
      <c r="AU596" s="38">
        <v>95.92</v>
      </c>
      <c r="AV596" s="38">
        <v>89.73</v>
      </c>
      <c r="AW596" s="38">
        <v>90.38</v>
      </c>
      <c r="AX596" s="38">
        <v>87.72</v>
      </c>
      <c r="AY596" s="38">
        <v>72.11</v>
      </c>
      <c r="BA596" s="37">
        <v>106.6</v>
      </c>
      <c r="BB596" s="38">
        <v>1.3113999999999999</v>
      </c>
    </row>
    <row r="597" spans="1:54" x14ac:dyDescent="0.35">
      <c r="A597" s="2">
        <f t="shared" si="9"/>
        <v>44657</v>
      </c>
      <c r="B597" t="s">
        <v>639</v>
      </c>
      <c r="C597" s="32">
        <v>44657</v>
      </c>
      <c r="D597" s="38">
        <v>239.42</v>
      </c>
      <c r="E597" s="38">
        <v>248.3</v>
      </c>
      <c r="F597" s="38">
        <v>253.03</v>
      </c>
      <c r="G597" s="38">
        <v>255.73</v>
      </c>
      <c r="H597" s="38">
        <v>261.63</v>
      </c>
      <c r="I597" s="38">
        <v>260.82</v>
      </c>
      <c r="J597" s="38">
        <v>267.07</v>
      </c>
      <c r="K597" s="38">
        <v>271.02</v>
      </c>
      <c r="L597" s="38">
        <v>273.52</v>
      </c>
      <c r="M597" s="38">
        <v>272.87</v>
      </c>
      <c r="N597" s="38">
        <v>250.52</v>
      </c>
      <c r="O597" s="38">
        <v>183.02</v>
      </c>
      <c r="P597" s="38">
        <v>167.02</v>
      </c>
      <c r="Q597" s="38">
        <v>147.47</v>
      </c>
      <c r="R597" s="38">
        <v>158.61000000000001</v>
      </c>
      <c r="S597" s="38">
        <v>162.61000000000001</v>
      </c>
      <c r="T597" s="38">
        <v>164.4</v>
      </c>
      <c r="U597" s="38">
        <v>168.32</v>
      </c>
      <c r="V597" s="38">
        <v>167.42</v>
      </c>
      <c r="W597" s="38">
        <v>164.97</v>
      </c>
      <c r="X597" s="38">
        <v>163.97</v>
      </c>
      <c r="Y597" s="38">
        <v>164.51</v>
      </c>
      <c r="Z597" s="38">
        <v>160.83000000000001</v>
      </c>
      <c r="AA597" s="38">
        <v>133.43</v>
      </c>
      <c r="AB597" s="38">
        <v>120.29</v>
      </c>
      <c r="AC597" s="38">
        <v>119.13</v>
      </c>
      <c r="AD597" s="38">
        <v>111.69</v>
      </c>
      <c r="AE597" s="38">
        <v>111.13</v>
      </c>
      <c r="AF597" s="38">
        <v>112.72</v>
      </c>
      <c r="AG597" s="38">
        <v>121.4</v>
      </c>
      <c r="AH597" s="38">
        <v>129.75</v>
      </c>
      <c r="AI597" s="38">
        <v>132.74</v>
      </c>
      <c r="AJ597" s="38">
        <v>128.34</v>
      </c>
      <c r="AK597" s="38">
        <v>126.84</v>
      </c>
      <c r="AL597" s="38">
        <v>118.84</v>
      </c>
      <c r="AM597" s="38">
        <v>96.41</v>
      </c>
      <c r="AN597" s="38">
        <v>88.41</v>
      </c>
      <c r="AO597" s="38">
        <v>85.5</v>
      </c>
      <c r="AP597" s="38">
        <v>85.07</v>
      </c>
      <c r="AQ597" s="38">
        <v>86.61</v>
      </c>
      <c r="AR597" s="38">
        <v>91.07</v>
      </c>
      <c r="AS597" s="38">
        <v>100.78</v>
      </c>
      <c r="AT597" s="38">
        <v>99.4</v>
      </c>
      <c r="AU597" s="38">
        <v>98.44</v>
      </c>
      <c r="AV597" s="38">
        <v>92.25</v>
      </c>
      <c r="AW597" s="38">
        <v>92.9</v>
      </c>
      <c r="AX597" s="38">
        <v>90.24</v>
      </c>
      <c r="AY597" s="38">
        <v>72.78</v>
      </c>
      <c r="BA597" s="37">
        <v>100.81</v>
      </c>
      <c r="BB597" s="38">
        <v>1.3093999999999999</v>
      </c>
    </row>
    <row r="598" spans="1:54" x14ac:dyDescent="0.35">
      <c r="A598" s="2">
        <f t="shared" si="9"/>
        <v>44658</v>
      </c>
      <c r="B598" t="s">
        <v>640</v>
      </c>
      <c r="C598" s="32">
        <v>44658</v>
      </c>
      <c r="D598" s="38">
        <v>233.49</v>
      </c>
      <c r="E598" s="38">
        <v>241.82</v>
      </c>
      <c r="F598" s="38">
        <v>245.87</v>
      </c>
      <c r="G598" s="38">
        <v>247.98</v>
      </c>
      <c r="H598" s="38">
        <v>253.27</v>
      </c>
      <c r="I598" s="38">
        <v>254.96</v>
      </c>
      <c r="J598" s="38">
        <v>259.76</v>
      </c>
      <c r="K598" s="38">
        <v>263.74</v>
      </c>
      <c r="L598" s="38">
        <v>266.66000000000003</v>
      </c>
      <c r="M598" s="38">
        <v>266.62</v>
      </c>
      <c r="N598" s="38">
        <v>245.1</v>
      </c>
      <c r="O598" s="38">
        <v>182.14</v>
      </c>
      <c r="P598" s="38">
        <v>167.35</v>
      </c>
      <c r="Q598" s="38">
        <v>148.19</v>
      </c>
      <c r="R598" s="38">
        <v>159.91999999999999</v>
      </c>
      <c r="S598" s="38">
        <v>163.92</v>
      </c>
      <c r="T598" s="38">
        <v>165.71</v>
      </c>
      <c r="U598" s="38">
        <v>171.27</v>
      </c>
      <c r="V598" s="38">
        <v>170.25</v>
      </c>
      <c r="W598" s="38">
        <v>167.73</v>
      </c>
      <c r="X598" s="38">
        <v>166.74</v>
      </c>
      <c r="Y598" s="38">
        <v>166.82</v>
      </c>
      <c r="Z598" s="38">
        <v>162.86000000000001</v>
      </c>
      <c r="AA598" s="38">
        <v>133.65</v>
      </c>
      <c r="AB598" s="38">
        <v>120.24</v>
      </c>
      <c r="AC598" s="38">
        <v>119.08</v>
      </c>
      <c r="AD598" s="38">
        <v>111.63</v>
      </c>
      <c r="AE598" s="38">
        <v>111.06</v>
      </c>
      <c r="AF598" s="38">
        <v>112.66</v>
      </c>
      <c r="AG598" s="38">
        <v>121.32</v>
      </c>
      <c r="AH598" s="38">
        <v>129.66999999999999</v>
      </c>
      <c r="AI598" s="38">
        <v>132.68</v>
      </c>
      <c r="AJ598" s="38">
        <v>128.34</v>
      </c>
      <c r="AK598" s="38">
        <v>126.84</v>
      </c>
      <c r="AL598" s="38">
        <v>118.84</v>
      </c>
      <c r="AM598" s="38">
        <v>98.54</v>
      </c>
      <c r="AN598" s="38">
        <v>90.55</v>
      </c>
      <c r="AO598" s="38">
        <v>87.62</v>
      </c>
      <c r="AP598" s="38">
        <v>85.52</v>
      </c>
      <c r="AQ598" s="38">
        <v>87.06</v>
      </c>
      <c r="AR598" s="38">
        <v>91.5</v>
      </c>
      <c r="AS598" s="38">
        <v>103.1</v>
      </c>
      <c r="AT598" s="38">
        <v>101.72</v>
      </c>
      <c r="AU598" s="38">
        <v>100.76</v>
      </c>
      <c r="AV598" s="38">
        <v>93.33</v>
      </c>
      <c r="AW598" s="38">
        <v>93.98</v>
      </c>
      <c r="AX598" s="38">
        <v>91.32</v>
      </c>
      <c r="AY598" s="38">
        <v>78.319999999999993</v>
      </c>
      <c r="BA598" s="37">
        <v>99.83</v>
      </c>
      <c r="BB598" s="38">
        <v>1.3066</v>
      </c>
    </row>
    <row r="599" spans="1:54" x14ac:dyDescent="0.35">
      <c r="A599" s="2">
        <f t="shared" si="9"/>
        <v>44659</v>
      </c>
      <c r="B599" t="s">
        <v>641</v>
      </c>
      <c r="C599" s="32">
        <v>44659</v>
      </c>
      <c r="D599" s="38">
        <v>228.54</v>
      </c>
      <c r="E599" s="38">
        <v>238.59</v>
      </c>
      <c r="F599" s="38">
        <v>243.09</v>
      </c>
      <c r="G599" s="38">
        <v>247.54</v>
      </c>
      <c r="H599" s="38">
        <v>253.13</v>
      </c>
      <c r="I599" s="38">
        <v>253.41</v>
      </c>
      <c r="J599" s="38">
        <v>260.24</v>
      </c>
      <c r="K599" s="38">
        <v>262.95999999999998</v>
      </c>
      <c r="L599" s="38">
        <v>265.91000000000003</v>
      </c>
      <c r="M599" s="38">
        <v>265.41000000000003</v>
      </c>
      <c r="N599" s="38">
        <v>245.67</v>
      </c>
      <c r="O599" s="38">
        <v>189.46</v>
      </c>
      <c r="P599" s="38">
        <v>174.66</v>
      </c>
      <c r="Q599" s="38">
        <v>155.5</v>
      </c>
      <c r="R599" s="38">
        <v>166.89</v>
      </c>
      <c r="S599" s="38">
        <v>170.89</v>
      </c>
      <c r="T599" s="38">
        <v>172.68</v>
      </c>
      <c r="U599" s="38">
        <v>178.52</v>
      </c>
      <c r="V599" s="38">
        <v>177.51</v>
      </c>
      <c r="W599" s="38">
        <v>174.8</v>
      </c>
      <c r="X599" s="38">
        <v>173.81</v>
      </c>
      <c r="Y599" s="38">
        <v>173.89</v>
      </c>
      <c r="Z599" s="38">
        <v>169.93</v>
      </c>
      <c r="AA599" s="38">
        <v>136.72</v>
      </c>
      <c r="AB599" s="38">
        <v>123.31</v>
      </c>
      <c r="AC599" s="38">
        <v>122.15</v>
      </c>
      <c r="AD599" s="38">
        <v>114.7</v>
      </c>
      <c r="AE599" s="38">
        <v>114.13</v>
      </c>
      <c r="AF599" s="38">
        <v>115.73</v>
      </c>
      <c r="AG599" s="38">
        <v>125.29</v>
      </c>
      <c r="AH599" s="38">
        <v>133.41</v>
      </c>
      <c r="AI599" s="38">
        <v>136.41999999999999</v>
      </c>
      <c r="AJ599" s="38">
        <v>132.08000000000001</v>
      </c>
      <c r="AK599" s="38">
        <v>130.58000000000001</v>
      </c>
      <c r="AL599" s="38">
        <v>122.58</v>
      </c>
      <c r="AM599" s="38">
        <v>102.58</v>
      </c>
      <c r="AN599" s="38">
        <v>94.59</v>
      </c>
      <c r="AO599" s="38">
        <v>91.66</v>
      </c>
      <c r="AP599" s="38">
        <v>89.56</v>
      </c>
      <c r="AQ599" s="38">
        <v>91.1</v>
      </c>
      <c r="AR599" s="38">
        <v>95.54</v>
      </c>
      <c r="AS599" s="38">
        <v>107.14</v>
      </c>
      <c r="AT599" s="38">
        <v>105.76</v>
      </c>
      <c r="AU599" s="38">
        <v>104.8</v>
      </c>
      <c r="AV599" s="38">
        <v>97.37</v>
      </c>
      <c r="AW599" s="38">
        <v>98.02</v>
      </c>
      <c r="AX599" s="38">
        <v>95.36</v>
      </c>
      <c r="AY599" s="38">
        <v>82.36</v>
      </c>
      <c r="BA599" s="37">
        <v>101.26</v>
      </c>
      <c r="BB599" s="38">
        <v>1.3007</v>
      </c>
    </row>
    <row r="600" spans="1:54" x14ac:dyDescent="0.35">
      <c r="A600" s="2">
        <f t="shared" si="9"/>
        <v>44662</v>
      </c>
      <c r="B600" t="s">
        <v>642</v>
      </c>
      <c r="C600" s="32">
        <v>44662</v>
      </c>
      <c r="D600" s="38">
        <v>213.01</v>
      </c>
      <c r="E600" s="38">
        <v>227.51</v>
      </c>
      <c r="F600" s="38">
        <v>232.23</v>
      </c>
      <c r="G600" s="38">
        <v>237.01</v>
      </c>
      <c r="H600" s="38">
        <v>243.34</v>
      </c>
      <c r="I600" s="38">
        <v>244.21</v>
      </c>
      <c r="J600" s="38">
        <v>251.23</v>
      </c>
      <c r="K600" s="38">
        <v>255.21</v>
      </c>
      <c r="L600" s="38">
        <v>258.20999999999998</v>
      </c>
      <c r="M600" s="38">
        <v>258.31</v>
      </c>
      <c r="N600" s="38">
        <v>237.71</v>
      </c>
      <c r="O600" s="38">
        <v>193.78</v>
      </c>
      <c r="P600" s="38">
        <v>179.84</v>
      </c>
      <c r="Q600" s="38">
        <v>160.84</v>
      </c>
      <c r="R600" s="38">
        <v>172.61</v>
      </c>
      <c r="S600" s="38">
        <v>176.61</v>
      </c>
      <c r="T600" s="38">
        <v>178.11</v>
      </c>
      <c r="U600" s="38">
        <v>183.11</v>
      </c>
      <c r="V600" s="38">
        <v>182.11</v>
      </c>
      <c r="W600" s="38">
        <v>179.11</v>
      </c>
      <c r="X600" s="38">
        <v>178.18</v>
      </c>
      <c r="Y600" s="38">
        <v>178.26</v>
      </c>
      <c r="Z600" s="38">
        <v>174.26</v>
      </c>
      <c r="AA600" s="38">
        <v>140.80000000000001</v>
      </c>
      <c r="AB600" s="38">
        <v>127.8</v>
      </c>
      <c r="AC600" s="38">
        <v>126.64</v>
      </c>
      <c r="AD600" s="38">
        <v>119.19</v>
      </c>
      <c r="AE600" s="38">
        <v>118.62</v>
      </c>
      <c r="AF600" s="38">
        <v>120.62</v>
      </c>
      <c r="AG600" s="38">
        <v>131.62</v>
      </c>
      <c r="AH600" s="38">
        <v>139.74</v>
      </c>
      <c r="AI600" s="38">
        <v>142.75</v>
      </c>
      <c r="AJ600" s="38">
        <v>138.04</v>
      </c>
      <c r="AK600" s="38">
        <v>136.54</v>
      </c>
      <c r="AL600" s="38">
        <v>128.54</v>
      </c>
      <c r="AM600" s="38">
        <v>107.6</v>
      </c>
      <c r="AN600" s="38">
        <v>99.2</v>
      </c>
      <c r="AO600" s="38">
        <v>96.27</v>
      </c>
      <c r="AP600" s="38">
        <v>93.77</v>
      </c>
      <c r="AQ600" s="38">
        <v>95.31</v>
      </c>
      <c r="AR600" s="38">
        <v>99.99</v>
      </c>
      <c r="AS600" s="38">
        <v>111.79</v>
      </c>
      <c r="AT600" s="38">
        <v>111.34</v>
      </c>
      <c r="AU600" s="38">
        <v>110.56</v>
      </c>
      <c r="AV600" s="38">
        <v>103.13</v>
      </c>
      <c r="AW600" s="38">
        <v>103.78</v>
      </c>
      <c r="AX600" s="38">
        <v>101.12</v>
      </c>
      <c r="AY600" s="38">
        <v>88.12</v>
      </c>
      <c r="BA600" s="37">
        <v>97.92</v>
      </c>
      <c r="BB600" s="38">
        <v>1.3041</v>
      </c>
    </row>
    <row r="601" spans="1:54" x14ac:dyDescent="0.35">
      <c r="A601" s="2">
        <f t="shared" si="9"/>
        <v>44663</v>
      </c>
      <c r="B601" t="s">
        <v>643</v>
      </c>
      <c r="C601" s="32">
        <v>44663</v>
      </c>
      <c r="D601" s="38">
        <v>211.15</v>
      </c>
      <c r="E601" s="38">
        <v>229.15</v>
      </c>
      <c r="F601" s="38">
        <v>235.18</v>
      </c>
      <c r="G601" s="38">
        <v>241.53</v>
      </c>
      <c r="H601" s="38">
        <v>247.99</v>
      </c>
      <c r="I601" s="38">
        <v>247.99</v>
      </c>
      <c r="J601" s="38">
        <v>254.92</v>
      </c>
      <c r="K601" s="38">
        <v>258.16000000000003</v>
      </c>
      <c r="L601" s="38">
        <v>260.29000000000002</v>
      </c>
      <c r="M601" s="38">
        <v>259.82</v>
      </c>
      <c r="N601" s="38">
        <v>239.66</v>
      </c>
      <c r="O601" s="38">
        <v>205.49</v>
      </c>
      <c r="P601" s="38">
        <v>187.86</v>
      </c>
      <c r="Q601" s="38">
        <v>171.43</v>
      </c>
      <c r="R601" s="38">
        <v>178.2</v>
      </c>
      <c r="S601" s="38">
        <v>183.2</v>
      </c>
      <c r="T601" s="38">
        <v>184.04</v>
      </c>
      <c r="U601" s="38">
        <v>188.8</v>
      </c>
      <c r="V601" s="38">
        <v>187.83</v>
      </c>
      <c r="W601" s="38">
        <v>184.83</v>
      </c>
      <c r="X601" s="38">
        <v>184.4</v>
      </c>
      <c r="Y601" s="38">
        <v>182.93</v>
      </c>
      <c r="Z601" s="38">
        <v>178.93</v>
      </c>
      <c r="AA601" s="38">
        <v>145.38</v>
      </c>
      <c r="AB601" s="38">
        <v>132.38</v>
      </c>
      <c r="AC601" s="38">
        <v>131.22</v>
      </c>
      <c r="AD601" s="38">
        <v>124.71</v>
      </c>
      <c r="AE601" s="38">
        <v>124.14</v>
      </c>
      <c r="AF601" s="38">
        <v>126.12</v>
      </c>
      <c r="AG601" s="38">
        <v>135.38999999999999</v>
      </c>
      <c r="AH601" s="38">
        <v>142.44999999999999</v>
      </c>
      <c r="AI601" s="38">
        <v>145.46</v>
      </c>
      <c r="AJ601" s="38">
        <v>140.91</v>
      </c>
      <c r="AK601" s="38">
        <v>139.33000000000001</v>
      </c>
      <c r="AL601" s="38">
        <v>131.21</v>
      </c>
      <c r="AM601" s="38">
        <v>110.87</v>
      </c>
      <c r="AN601" s="38">
        <v>102.12</v>
      </c>
      <c r="AO601" s="38">
        <v>99.19</v>
      </c>
      <c r="AP601" s="38">
        <v>96</v>
      </c>
      <c r="AQ601" s="38">
        <v>97.1</v>
      </c>
      <c r="AR601" s="38">
        <v>101.46</v>
      </c>
      <c r="AS601" s="38">
        <v>112.97</v>
      </c>
      <c r="AT601" s="38">
        <v>112.52</v>
      </c>
      <c r="AU601" s="38">
        <v>111.74</v>
      </c>
      <c r="AV601" s="38">
        <v>104.58</v>
      </c>
      <c r="AW601" s="38">
        <v>105.35</v>
      </c>
      <c r="AX601" s="38">
        <v>102.69</v>
      </c>
      <c r="AY601" s="38">
        <v>89.69</v>
      </c>
      <c r="BA601" s="37">
        <v>104.42</v>
      </c>
      <c r="BB601" s="38">
        <v>1.3038000000000001</v>
      </c>
    </row>
    <row r="602" spans="1:54" x14ac:dyDescent="0.35">
      <c r="A602" s="2">
        <f t="shared" si="9"/>
        <v>44664</v>
      </c>
      <c r="B602" t="s">
        <v>644</v>
      </c>
      <c r="C602" s="32">
        <v>44664</v>
      </c>
      <c r="D602" s="38">
        <v>213.09</v>
      </c>
      <c r="E602" s="38">
        <v>230.4</v>
      </c>
      <c r="F602" s="38">
        <v>238.14</v>
      </c>
      <c r="G602" s="38">
        <v>245.14</v>
      </c>
      <c r="H602" s="38">
        <v>253.58</v>
      </c>
      <c r="I602" s="38">
        <v>253.58</v>
      </c>
      <c r="J602" s="38">
        <v>260.08</v>
      </c>
      <c r="K602" s="38">
        <v>263.25</v>
      </c>
      <c r="L602" s="38">
        <v>265.85000000000002</v>
      </c>
      <c r="M602" s="38">
        <v>265.89</v>
      </c>
      <c r="N602" s="38">
        <v>245.35</v>
      </c>
      <c r="O602" s="38">
        <v>210.2</v>
      </c>
      <c r="P602" s="38">
        <v>191.74</v>
      </c>
      <c r="Q602" s="38">
        <v>177.81</v>
      </c>
      <c r="R602" s="38">
        <v>184.34</v>
      </c>
      <c r="S602" s="38">
        <v>189.88</v>
      </c>
      <c r="T602" s="38">
        <v>192.94</v>
      </c>
      <c r="U602" s="38">
        <v>199.06</v>
      </c>
      <c r="V602" s="38">
        <v>198.27</v>
      </c>
      <c r="W602" s="38">
        <v>194.74</v>
      </c>
      <c r="X602" s="38">
        <v>194.43</v>
      </c>
      <c r="Y602" s="38">
        <v>193.06</v>
      </c>
      <c r="Z602" s="38">
        <v>189.06</v>
      </c>
      <c r="AA602" s="38">
        <v>155.54</v>
      </c>
      <c r="AB602" s="38">
        <v>142.44999999999999</v>
      </c>
      <c r="AC602" s="38">
        <v>141.15</v>
      </c>
      <c r="AD602" s="38">
        <v>137.78</v>
      </c>
      <c r="AE602" s="38">
        <v>137.21</v>
      </c>
      <c r="AF602" s="38">
        <v>137.65</v>
      </c>
      <c r="AG602" s="38">
        <v>144.85</v>
      </c>
      <c r="AH602" s="38">
        <v>150.47</v>
      </c>
      <c r="AI602" s="38">
        <v>153.41</v>
      </c>
      <c r="AJ602" s="38">
        <v>147.63999999999999</v>
      </c>
      <c r="AK602" s="38">
        <v>145.91</v>
      </c>
      <c r="AL602" s="38">
        <v>138.46</v>
      </c>
      <c r="AM602" s="38">
        <v>118.64</v>
      </c>
      <c r="AN602" s="38">
        <v>109.85</v>
      </c>
      <c r="AO602" s="38">
        <v>106.92</v>
      </c>
      <c r="AP602" s="38">
        <v>103.73</v>
      </c>
      <c r="AQ602" s="38">
        <v>104.83</v>
      </c>
      <c r="AR602" s="38">
        <v>109.19</v>
      </c>
      <c r="AS602" s="38">
        <v>118.69</v>
      </c>
      <c r="AT602" s="38">
        <v>118.24</v>
      </c>
      <c r="AU602" s="38">
        <v>117.46</v>
      </c>
      <c r="AV602" s="38">
        <v>112.35</v>
      </c>
      <c r="AW602" s="38">
        <v>112.65</v>
      </c>
      <c r="AX602" s="38">
        <v>108.89</v>
      </c>
      <c r="AY602" s="38">
        <v>96.53</v>
      </c>
      <c r="BA602" s="37">
        <v>108.49</v>
      </c>
      <c r="BB602" s="38">
        <v>1.3038000000000001</v>
      </c>
    </row>
    <row r="603" spans="1:54" x14ac:dyDescent="0.35">
      <c r="A603" s="2">
        <f t="shared" si="9"/>
        <v>44665</v>
      </c>
      <c r="B603" t="s">
        <v>645</v>
      </c>
      <c r="C603" s="32">
        <v>44665</v>
      </c>
      <c r="D603" s="38">
        <v>177.25</v>
      </c>
      <c r="E603" s="38">
        <v>202.55</v>
      </c>
      <c r="F603" s="38">
        <v>210</v>
      </c>
      <c r="G603" s="38">
        <v>220.48</v>
      </c>
      <c r="H603" s="38">
        <v>228.33</v>
      </c>
      <c r="I603" s="38">
        <v>226.92</v>
      </c>
      <c r="J603" s="38">
        <v>233.58</v>
      </c>
      <c r="K603" s="38">
        <v>236.92</v>
      </c>
      <c r="L603" s="38">
        <v>239.82</v>
      </c>
      <c r="M603" s="38">
        <v>239.51</v>
      </c>
      <c r="N603" s="38">
        <v>220.82</v>
      </c>
      <c r="O603" s="38">
        <v>198.6</v>
      </c>
      <c r="P603" s="38">
        <v>183.47</v>
      </c>
      <c r="Q603" s="38">
        <v>169.55</v>
      </c>
      <c r="R603" s="38">
        <v>175.67</v>
      </c>
      <c r="S603" s="38">
        <v>180.68</v>
      </c>
      <c r="T603" s="38">
        <v>184.07</v>
      </c>
      <c r="U603" s="38">
        <v>190.53</v>
      </c>
      <c r="V603" s="38">
        <v>190.06</v>
      </c>
      <c r="W603" s="38">
        <v>187.04</v>
      </c>
      <c r="X603" s="38">
        <v>188.03</v>
      </c>
      <c r="Y603" s="38">
        <v>186.66</v>
      </c>
      <c r="Z603" s="38">
        <v>182.67</v>
      </c>
      <c r="AA603" s="38">
        <v>150.97</v>
      </c>
      <c r="AB603" s="38">
        <v>138.22</v>
      </c>
      <c r="AC603" s="38">
        <v>137.06</v>
      </c>
      <c r="AD603" s="38">
        <v>133.69</v>
      </c>
      <c r="AE603" s="38">
        <v>133.12</v>
      </c>
      <c r="AF603" s="38">
        <v>135.22999999999999</v>
      </c>
      <c r="AG603" s="38">
        <v>142.86000000000001</v>
      </c>
      <c r="AH603" s="38">
        <v>148.83000000000001</v>
      </c>
      <c r="AI603" s="38">
        <v>152.06</v>
      </c>
      <c r="AJ603" s="38">
        <v>146.71</v>
      </c>
      <c r="AK603" s="38">
        <v>145.12</v>
      </c>
      <c r="AL603" s="38">
        <v>136.12</v>
      </c>
      <c r="AM603" s="38">
        <v>117.21</v>
      </c>
      <c r="AN603" s="38">
        <v>108.42</v>
      </c>
      <c r="AO603" s="38">
        <v>105.49</v>
      </c>
      <c r="AP603" s="38">
        <v>102.3</v>
      </c>
      <c r="AQ603" s="38">
        <v>103.4</v>
      </c>
      <c r="AR603" s="38">
        <v>107.76</v>
      </c>
      <c r="AS603" s="38">
        <v>117.74</v>
      </c>
      <c r="AT603" s="38">
        <v>117.29</v>
      </c>
      <c r="AU603" s="38">
        <v>116.51</v>
      </c>
      <c r="AV603" s="38">
        <v>111.4</v>
      </c>
      <c r="AW603" s="38">
        <v>111.7</v>
      </c>
      <c r="AX603" s="38">
        <v>107.94</v>
      </c>
      <c r="AY603" s="38">
        <v>97.35</v>
      </c>
      <c r="BA603" s="37">
        <v>110.83</v>
      </c>
      <c r="BB603" s="38">
        <v>1.3048</v>
      </c>
    </row>
    <row r="604" spans="1:54" x14ac:dyDescent="0.35">
      <c r="A604" s="2">
        <f t="shared" si="9"/>
        <v>44666</v>
      </c>
      <c r="B604" t="s">
        <v>646</v>
      </c>
      <c r="C604" s="32">
        <v>44666</v>
      </c>
      <c r="D604" s="38" t="e">
        <v>#N/A</v>
      </c>
      <c r="E604" s="38" t="e">
        <v>#N/A</v>
      </c>
      <c r="F604" s="38" t="e">
        <v>#N/A</v>
      </c>
      <c r="G604" s="38" t="e">
        <v>#N/A</v>
      </c>
      <c r="H604" s="38" t="e">
        <v>#N/A</v>
      </c>
      <c r="I604" s="38" t="e">
        <v>#N/A</v>
      </c>
      <c r="J604" s="38" t="e">
        <v>#N/A</v>
      </c>
      <c r="K604" s="38" t="e">
        <v>#N/A</v>
      </c>
      <c r="L604" s="38" t="e">
        <v>#N/A</v>
      </c>
      <c r="M604" s="38" t="e">
        <v>#N/A</v>
      </c>
      <c r="N604" s="38" t="e">
        <v>#N/A</v>
      </c>
      <c r="O604" s="38" t="e">
        <v>#N/A</v>
      </c>
      <c r="P604" s="38" t="e">
        <v>#N/A</v>
      </c>
      <c r="Q604" s="38" t="e">
        <v>#N/A</v>
      </c>
      <c r="R604" s="38" t="e">
        <v>#N/A</v>
      </c>
      <c r="S604" s="38" t="e">
        <v>#N/A</v>
      </c>
      <c r="T604" s="38" t="e">
        <v>#N/A</v>
      </c>
      <c r="U604" s="38" t="e">
        <v>#N/A</v>
      </c>
      <c r="V604" s="38" t="e">
        <v>#N/A</v>
      </c>
      <c r="W604" s="38" t="e">
        <v>#N/A</v>
      </c>
      <c r="X604" s="38" t="e">
        <v>#N/A</v>
      </c>
      <c r="Y604" s="38" t="e">
        <v>#N/A</v>
      </c>
      <c r="Z604" s="38" t="e">
        <v>#N/A</v>
      </c>
      <c r="AA604" s="38" t="e">
        <v>#N/A</v>
      </c>
      <c r="AB604" s="38" t="e">
        <v>#N/A</v>
      </c>
      <c r="AC604" s="38" t="e">
        <v>#N/A</v>
      </c>
      <c r="AD604" s="38" t="e">
        <v>#N/A</v>
      </c>
      <c r="AE604" s="38" t="e">
        <v>#N/A</v>
      </c>
      <c r="AF604" s="38" t="e">
        <v>#N/A</v>
      </c>
      <c r="AG604" s="38" t="e">
        <v>#N/A</v>
      </c>
      <c r="AH604" s="38" t="e">
        <v>#N/A</v>
      </c>
      <c r="AI604" s="38" t="e">
        <v>#N/A</v>
      </c>
      <c r="AJ604" s="38" t="e">
        <v>#N/A</v>
      </c>
      <c r="AK604" s="38" t="e">
        <v>#N/A</v>
      </c>
      <c r="AL604" s="38" t="e">
        <v>#N/A</v>
      </c>
      <c r="AM604" s="38" t="e">
        <v>#N/A</v>
      </c>
      <c r="AN604" s="38" t="e">
        <v>#N/A</v>
      </c>
      <c r="AO604" s="38" t="e">
        <v>#N/A</v>
      </c>
      <c r="AP604" s="38" t="e">
        <v>#N/A</v>
      </c>
      <c r="AQ604" s="38" t="e">
        <v>#N/A</v>
      </c>
      <c r="AR604" s="38" t="e">
        <v>#N/A</v>
      </c>
      <c r="AS604" s="38" t="e">
        <v>#N/A</v>
      </c>
      <c r="AT604" s="38" t="e">
        <v>#N/A</v>
      </c>
      <c r="AU604" s="38" t="e">
        <v>#N/A</v>
      </c>
      <c r="AV604" s="38" t="e">
        <v>#N/A</v>
      </c>
      <c r="AW604" s="38" t="e">
        <v>#N/A</v>
      </c>
      <c r="AX604" s="38" t="e">
        <v>#N/A</v>
      </c>
      <c r="AY604" s="38" t="e">
        <v>#N/A</v>
      </c>
      <c r="BA604" s="37" t="e">
        <v>#N/A</v>
      </c>
      <c r="BB604" s="38" t="e">
        <v>#N/A</v>
      </c>
    </row>
    <row r="605" spans="1:54" x14ac:dyDescent="0.35">
      <c r="A605" s="2">
        <f t="shared" si="9"/>
        <v>44669</v>
      </c>
      <c r="B605" t="s">
        <v>647</v>
      </c>
      <c r="C605" s="32">
        <v>44669</v>
      </c>
      <c r="D605" s="38">
        <v>177.25</v>
      </c>
      <c r="E605" s="38">
        <v>202.55</v>
      </c>
      <c r="F605" s="38">
        <v>210</v>
      </c>
      <c r="G605" s="38">
        <v>220.48</v>
      </c>
      <c r="H605" s="38">
        <v>228.33</v>
      </c>
      <c r="I605" s="38">
        <v>226.92</v>
      </c>
      <c r="J605" s="38">
        <v>233.58</v>
      </c>
      <c r="K605" s="38">
        <v>236.92</v>
      </c>
      <c r="L605" s="38">
        <v>239.82</v>
      </c>
      <c r="M605" s="38">
        <v>239.51</v>
      </c>
      <c r="N605" s="38">
        <v>220.82</v>
      </c>
      <c r="O605" s="38">
        <v>198.6</v>
      </c>
      <c r="P605" s="38">
        <v>183.47</v>
      </c>
      <c r="Q605" s="38">
        <v>169.55</v>
      </c>
      <c r="R605" s="38">
        <v>175.67</v>
      </c>
      <c r="S605" s="38">
        <v>180.68</v>
      </c>
      <c r="T605" s="38">
        <v>184.07</v>
      </c>
      <c r="U605" s="38">
        <v>190.53</v>
      </c>
      <c r="V605" s="38">
        <v>190.06</v>
      </c>
      <c r="W605" s="38">
        <v>187.04</v>
      </c>
      <c r="X605" s="38">
        <v>188.03</v>
      </c>
      <c r="Y605" s="38">
        <v>186.66</v>
      </c>
      <c r="Z605" s="38">
        <v>182.67</v>
      </c>
      <c r="AA605" s="38">
        <v>150.97</v>
      </c>
      <c r="AB605" s="38">
        <v>138.22</v>
      </c>
      <c r="AC605" s="38">
        <v>137.06</v>
      </c>
      <c r="AD605" s="38">
        <v>133.69</v>
      </c>
      <c r="AE605" s="38">
        <v>133.12</v>
      </c>
      <c r="AF605" s="38">
        <v>135.22999999999999</v>
      </c>
      <c r="AG605" s="38">
        <v>142.86000000000001</v>
      </c>
      <c r="AH605" s="38">
        <v>148.83000000000001</v>
      </c>
      <c r="AI605" s="38">
        <v>152.06</v>
      </c>
      <c r="AJ605" s="38">
        <v>146.71</v>
      </c>
      <c r="AK605" s="38">
        <v>145.12</v>
      </c>
      <c r="AL605" s="38">
        <v>136.12</v>
      </c>
      <c r="AM605" s="38">
        <v>117.21</v>
      </c>
      <c r="AN605" s="38">
        <v>108.42</v>
      </c>
      <c r="AO605" s="38">
        <v>105.49</v>
      </c>
      <c r="AP605" s="38">
        <v>102.3</v>
      </c>
      <c r="AQ605" s="38">
        <v>103.4</v>
      </c>
      <c r="AR605" s="38">
        <v>107.76</v>
      </c>
      <c r="AS605" s="38">
        <v>117.74</v>
      </c>
      <c r="AT605" s="38">
        <v>117.29</v>
      </c>
      <c r="AU605" s="38">
        <v>116.51</v>
      </c>
      <c r="AV605" s="38">
        <v>111.4</v>
      </c>
      <c r="AW605" s="38">
        <v>111.7</v>
      </c>
      <c r="AX605" s="38">
        <v>107.94</v>
      </c>
      <c r="AY605" s="38">
        <v>97.35</v>
      </c>
      <c r="BA605" s="37" t="e">
        <v>#N/A</v>
      </c>
      <c r="BB605" s="38" t="e">
        <v>#N/A</v>
      </c>
    </row>
    <row r="606" spans="1:54" x14ac:dyDescent="0.35">
      <c r="A606" s="2">
        <f t="shared" si="9"/>
        <v>44670</v>
      </c>
      <c r="B606" t="s">
        <v>648</v>
      </c>
      <c r="C606" s="32">
        <v>44670</v>
      </c>
      <c r="D606" s="38">
        <v>173.33</v>
      </c>
      <c r="E606" s="38">
        <v>199.11</v>
      </c>
      <c r="F606" s="38">
        <v>205.44</v>
      </c>
      <c r="G606" s="38">
        <v>214.86</v>
      </c>
      <c r="H606" s="38">
        <v>225.03</v>
      </c>
      <c r="I606" s="38">
        <v>225.87</v>
      </c>
      <c r="J606" s="38">
        <v>235.77</v>
      </c>
      <c r="K606" s="38">
        <v>239.44</v>
      </c>
      <c r="L606" s="38">
        <v>240.94</v>
      </c>
      <c r="M606" s="38">
        <v>239.01</v>
      </c>
      <c r="N606" s="38">
        <v>220</v>
      </c>
      <c r="O606" s="38">
        <v>199.72</v>
      </c>
      <c r="P606" s="38">
        <v>184.72</v>
      </c>
      <c r="Q606" s="38">
        <v>169.84</v>
      </c>
      <c r="R606" s="38">
        <v>172.84</v>
      </c>
      <c r="S606" s="38">
        <v>177.84</v>
      </c>
      <c r="T606" s="38">
        <v>182.84</v>
      </c>
      <c r="U606" s="38">
        <v>189.19</v>
      </c>
      <c r="V606" s="38">
        <v>188.72</v>
      </c>
      <c r="W606" s="38">
        <v>185.69</v>
      </c>
      <c r="X606" s="38">
        <v>184.63</v>
      </c>
      <c r="Y606" s="38">
        <v>183.25</v>
      </c>
      <c r="Z606" s="38">
        <v>179.25</v>
      </c>
      <c r="AA606" s="38">
        <v>150.78</v>
      </c>
      <c r="AB606" s="38">
        <v>138.03</v>
      </c>
      <c r="AC606" s="38">
        <v>136.87</v>
      </c>
      <c r="AD606" s="38">
        <v>133.5</v>
      </c>
      <c r="AE606" s="38">
        <v>132.93</v>
      </c>
      <c r="AF606" s="38">
        <v>135.04</v>
      </c>
      <c r="AG606" s="38">
        <v>141.84</v>
      </c>
      <c r="AH606" s="38">
        <v>147.81</v>
      </c>
      <c r="AI606" s="38">
        <v>151.04</v>
      </c>
      <c r="AJ606" s="38">
        <v>145.69</v>
      </c>
      <c r="AK606" s="38">
        <v>144.1</v>
      </c>
      <c r="AL606" s="38">
        <v>135.1</v>
      </c>
      <c r="AM606" s="38">
        <v>116.84</v>
      </c>
      <c r="AN606" s="38">
        <v>108.03</v>
      </c>
      <c r="AO606" s="38">
        <v>105.1</v>
      </c>
      <c r="AP606" s="38">
        <v>101.91</v>
      </c>
      <c r="AQ606" s="38">
        <v>103.01</v>
      </c>
      <c r="AR606" s="38">
        <v>107.39</v>
      </c>
      <c r="AS606" s="38">
        <v>117.46</v>
      </c>
      <c r="AT606" s="38">
        <v>117.01</v>
      </c>
      <c r="AU606" s="38">
        <v>116.23</v>
      </c>
      <c r="AV606" s="38">
        <v>111.12</v>
      </c>
      <c r="AW606" s="38">
        <v>111.42</v>
      </c>
      <c r="AX606" s="38">
        <v>107.66</v>
      </c>
      <c r="AY606" s="38">
        <v>97.71</v>
      </c>
      <c r="BA606" s="37">
        <v>105.49</v>
      </c>
      <c r="BB606" s="38">
        <v>1.2989999999999999</v>
      </c>
    </row>
    <row r="607" spans="1:54" x14ac:dyDescent="0.35">
      <c r="A607" s="2">
        <f t="shared" si="9"/>
        <v>44671</v>
      </c>
      <c r="B607" t="s">
        <v>649</v>
      </c>
      <c r="C607" s="32">
        <v>44671</v>
      </c>
      <c r="D607" s="38">
        <v>177.88</v>
      </c>
      <c r="E607" s="38">
        <v>202.24</v>
      </c>
      <c r="F607" s="38">
        <v>207.48</v>
      </c>
      <c r="G607" s="38">
        <v>216.48</v>
      </c>
      <c r="H607" s="38">
        <v>227.59</v>
      </c>
      <c r="I607" s="38">
        <v>226.64</v>
      </c>
      <c r="J607" s="38">
        <v>236.08</v>
      </c>
      <c r="K607" s="38">
        <v>240.28</v>
      </c>
      <c r="L607" s="38">
        <v>241.61</v>
      </c>
      <c r="M607" s="38">
        <v>240.61</v>
      </c>
      <c r="N607" s="38">
        <v>220.61</v>
      </c>
      <c r="O607" s="38">
        <v>203.94</v>
      </c>
      <c r="P607" s="38">
        <v>192.69</v>
      </c>
      <c r="Q607" s="38">
        <v>177.75</v>
      </c>
      <c r="R607" s="38">
        <v>178.6</v>
      </c>
      <c r="S607" s="38">
        <v>184.76</v>
      </c>
      <c r="T607" s="38">
        <v>190.53</v>
      </c>
      <c r="U607" s="38">
        <v>195.98</v>
      </c>
      <c r="V607" s="38">
        <v>195.52</v>
      </c>
      <c r="W607" s="38">
        <v>193.22</v>
      </c>
      <c r="X607" s="38">
        <v>191.55</v>
      </c>
      <c r="Y607" s="38">
        <v>190.16</v>
      </c>
      <c r="Z607" s="38">
        <v>186.16</v>
      </c>
      <c r="AA607" s="38">
        <v>159.9</v>
      </c>
      <c r="AB607" s="38">
        <v>147.9</v>
      </c>
      <c r="AC607" s="38">
        <v>146.9</v>
      </c>
      <c r="AD607" s="38">
        <v>143.53</v>
      </c>
      <c r="AE607" s="38">
        <v>142.53</v>
      </c>
      <c r="AF607" s="38">
        <v>144.53</v>
      </c>
      <c r="AG607" s="38">
        <v>150.56</v>
      </c>
      <c r="AH607" s="38">
        <v>156.53</v>
      </c>
      <c r="AI607" s="38">
        <v>159.76</v>
      </c>
      <c r="AJ607" s="38">
        <v>153.77000000000001</v>
      </c>
      <c r="AK607" s="38">
        <v>151.81</v>
      </c>
      <c r="AL607" s="38">
        <v>142.76</v>
      </c>
      <c r="AM607" s="38">
        <v>121.45</v>
      </c>
      <c r="AN607" s="38">
        <v>112.65</v>
      </c>
      <c r="AO607" s="38">
        <v>109.72</v>
      </c>
      <c r="AP607" s="38">
        <v>106.53</v>
      </c>
      <c r="AQ607" s="38">
        <v>107.63</v>
      </c>
      <c r="AR607" s="38">
        <v>110.63</v>
      </c>
      <c r="AS607" s="38">
        <v>120.63</v>
      </c>
      <c r="AT607" s="38">
        <v>120.18</v>
      </c>
      <c r="AU607" s="38">
        <v>119.18</v>
      </c>
      <c r="AV607" s="38">
        <v>113.18</v>
      </c>
      <c r="AW607" s="38">
        <v>113.48</v>
      </c>
      <c r="AX607" s="38">
        <v>109.48</v>
      </c>
      <c r="AY607" s="38">
        <v>98.41</v>
      </c>
      <c r="BA607" s="37">
        <v>105.05</v>
      </c>
      <c r="BB607" s="38">
        <v>1.3048</v>
      </c>
    </row>
    <row r="608" spans="1:54" x14ac:dyDescent="0.35">
      <c r="A608" s="2">
        <f t="shared" si="9"/>
        <v>44672</v>
      </c>
      <c r="B608" t="s">
        <v>650</v>
      </c>
      <c r="C608" s="32">
        <v>44672</v>
      </c>
      <c r="D608" s="38">
        <v>188.87</v>
      </c>
      <c r="E608" s="38">
        <v>213.13</v>
      </c>
      <c r="F608" s="38">
        <v>220.35</v>
      </c>
      <c r="G608" s="38">
        <v>228.63</v>
      </c>
      <c r="H608" s="38">
        <v>237.88</v>
      </c>
      <c r="I608" s="38">
        <v>236.4</v>
      </c>
      <c r="J608" s="38">
        <v>246.28</v>
      </c>
      <c r="K608" s="38">
        <v>250.67</v>
      </c>
      <c r="L608" s="38">
        <v>250.69</v>
      </c>
      <c r="M608" s="38">
        <v>249.57</v>
      </c>
      <c r="N608" s="38">
        <v>232.06</v>
      </c>
      <c r="O608" s="38">
        <v>211.79</v>
      </c>
      <c r="P608" s="38">
        <v>198.66</v>
      </c>
      <c r="Q608" s="38">
        <v>184.64</v>
      </c>
      <c r="R608" s="38">
        <v>187.09</v>
      </c>
      <c r="S608" s="38">
        <v>194.09</v>
      </c>
      <c r="T608" s="38">
        <v>201.09</v>
      </c>
      <c r="U608" s="38">
        <v>205.36</v>
      </c>
      <c r="V608" s="38">
        <v>204.91</v>
      </c>
      <c r="W608" s="38">
        <v>202.61</v>
      </c>
      <c r="X608" s="38">
        <v>200.59</v>
      </c>
      <c r="Y608" s="38">
        <v>199.19</v>
      </c>
      <c r="Z608" s="38">
        <v>195.19</v>
      </c>
      <c r="AA608" s="38">
        <v>169.32</v>
      </c>
      <c r="AB608" s="38">
        <v>157.32</v>
      </c>
      <c r="AC608" s="38">
        <v>156.32</v>
      </c>
      <c r="AD608" s="38">
        <v>152.94999999999999</v>
      </c>
      <c r="AE608" s="38">
        <v>151.94999999999999</v>
      </c>
      <c r="AF608" s="38">
        <v>154.55000000000001</v>
      </c>
      <c r="AG608" s="38">
        <v>159.75</v>
      </c>
      <c r="AH608" s="38">
        <v>165.71</v>
      </c>
      <c r="AI608" s="38">
        <v>168.94</v>
      </c>
      <c r="AJ608" s="38">
        <v>162.57</v>
      </c>
      <c r="AK608" s="38">
        <v>160.61000000000001</v>
      </c>
      <c r="AL608" s="38">
        <v>151.61000000000001</v>
      </c>
      <c r="AM608" s="38">
        <v>131.02000000000001</v>
      </c>
      <c r="AN608" s="38">
        <v>123.02</v>
      </c>
      <c r="AO608" s="38">
        <v>120.09</v>
      </c>
      <c r="AP608" s="38">
        <v>116.9</v>
      </c>
      <c r="AQ608" s="38">
        <v>118</v>
      </c>
      <c r="AR608" s="38">
        <v>122</v>
      </c>
      <c r="AS608" s="38">
        <v>133.51</v>
      </c>
      <c r="AT608" s="38">
        <v>133.11000000000001</v>
      </c>
      <c r="AU608" s="38">
        <v>132.13999999999999</v>
      </c>
      <c r="AV608" s="38">
        <v>126.16</v>
      </c>
      <c r="AW608" s="38">
        <v>126.47</v>
      </c>
      <c r="AX608" s="38">
        <v>122.49</v>
      </c>
      <c r="AY608" s="38">
        <v>107.22</v>
      </c>
      <c r="BA608" s="37">
        <v>107.2</v>
      </c>
      <c r="BB608" s="38">
        <v>1.3030999999999999</v>
      </c>
    </row>
    <row r="609" spans="1:54" x14ac:dyDescent="0.35">
      <c r="A609" s="2">
        <f t="shared" si="9"/>
        <v>44673</v>
      </c>
      <c r="B609" t="s">
        <v>651</v>
      </c>
      <c r="C609" s="32">
        <v>44673</v>
      </c>
      <c r="D609" s="38">
        <v>171.39</v>
      </c>
      <c r="E609" s="38">
        <v>196.39</v>
      </c>
      <c r="F609" s="38">
        <v>204.44</v>
      </c>
      <c r="G609" s="38">
        <v>212.89</v>
      </c>
      <c r="H609" s="38">
        <v>223.45</v>
      </c>
      <c r="I609" s="38">
        <v>223.25</v>
      </c>
      <c r="J609" s="38">
        <v>233.9</v>
      </c>
      <c r="K609" s="38">
        <v>238.3</v>
      </c>
      <c r="L609" s="38">
        <v>240.42</v>
      </c>
      <c r="M609" s="38">
        <v>239.13</v>
      </c>
      <c r="N609" s="38">
        <v>221.15</v>
      </c>
      <c r="O609" s="38">
        <v>204.44</v>
      </c>
      <c r="P609" s="38">
        <v>198.44</v>
      </c>
      <c r="Q609" s="38">
        <v>185.04</v>
      </c>
      <c r="R609" s="38">
        <v>183.57</v>
      </c>
      <c r="S609" s="38">
        <v>187.57</v>
      </c>
      <c r="T609" s="38">
        <v>194.57</v>
      </c>
      <c r="U609" s="38">
        <v>200.84</v>
      </c>
      <c r="V609" s="38">
        <v>202.27</v>
      </c>
      <c r="W609" s="38">
        <v>199.93</v>
      </c>
      <c r="X609" s="38">
        <v>197.96</v>
      </c>
      <c r="Y609" s="38">
        <v>196.54</v>
      </c>
      <c r="Z609" s="38">
        <v>192.52</v>
      </c>
      <c r="AA609" s="38">
        <v>166.18</v>
      </c>
      <c r="AB609" s="38">
        <v>154.16999999999999</v>
      </c>
      <c r="AC609" s="38">
        <v>153.16</v>
      </c>
      <c r="AD609" s="38">
        <v>150.82</v>
      </c>
      <c r="AE609" s="38">
        <v>149.80000000000001</v>
      </c>
      <c r="AF609" s="38">
        <v>153.77000000000001</v>
      </c>
      <c r="AG609" s="38">
        <v>156.72999999999999</v>
      </c>
      <c r="AH609" s="38">
        <v>162.68</v>
      </c>
      <c r="AI609" s="38">
        <v>165.91</v>
      </c>
      <c r="AJ609" s="38">
        <v>159.55000000000001</v>
      </c>
      <c r="AK609" s="38">
        <v>157.59</v>
      </c>
      <c r="AL609" s="38">
        <v>148.58000000000001</v>
      </c>
      <c r="AM609" s="38">
        <v>129.93</v>
      </c>
      <c r="AN609" s="38">
        <v>121.93</v>
      </c>
      <c r="AO609" s="38">
        <v>119</v>
      </c>
      <c r="AP609" s="38">
        <v>115.81</v>
      </c>
      <c r="AQ609" s="38">
        <v>116.91</v>
      </c>
      <c r="AR609" s="38">
        <v>120.91</v>
      </c>
      <c r="AS609" s="38">
        <v>133.59</v>
      </c>
      <c r="AT609" s="38">
        <v>133.21</v>
      </c>
      <c r="AU609" s="38">
        <v>132.27000000000001</v>
      </c>
      <c r="AV609" s="38">
        <v>126.32</v>
      </c>
      <c r="AW609" s="38">
        <v>126.65</v>
      </c>
      <c r="AX609" s="38">
        <v>122.7</v>
      </c>
      <c r="AY609" s="38">
        <v>106.51</v>
      </c>
      <c r="BA609" s="37">
        <v>105.15</v>
      </c>
      <c r="BB609" s="38">
        <v>1.2843</v>
      </c>
    </row>
    <row r="610" spans="1:54" x14ac:dyDescent="0.35">
      <c r="A610" s="2">
        <f t="shared" si="9"/>
        <v>44676</v>
      </c>
      <c r="B610" t="s">
        <v>652</v>
      </c>
      <c r="C610" s="32">
        <v>44676</v>
      </c>
      <c r="D610" s="38">
        <v>153.38999999999999</v>
      </c>
      <c r="E610" s="38">
        <v>182.42</v>
      </c>
      <c r="F610" s="38">
        <v>193.71</v>
      </c>
      <c r="G610" s="38">
        <v>202.91</v>
      </c>
      <c r="H610" s="38">
        <v>213.26</v>
      </c>
      <c r="I610" s="38">
        <v>215.93</v>
      </c>
      <c r="J610" s="38">
        <v>228.18</v>
      </c>
      <c r="K610" s="38">
        <v>231.55</v>
      </c>
      <c r="L610" s="38">
        <v>233.51</v>
      </c>
      <c r="M610" s="38">
        <v>232.01</v>
      </c>
      <c r="N610" s="38">
        <v>216.51</v>
      </c>
      <c r="O610" s="38">
        <v>202.78</v>
      </c>
      <c r="P610" s="38">
        <v>190.38</v>
      </c>
      <c r="Q610" s="38">
        <v>182.76</v>
      </c>
      <c r="R610" s="38">
        <v>181.15</v>
      </c>
      <c r="S610" s="38">
        <v>185.02</v>
      </c>
      <c r="T610" s="38">
        <v>192.11</v>
      </c>
      <c r="U610" s="38">
        <v>198.43</v>
      </c>
      <c r="V610" s="38">
        <v>199.77</v>
      </c>
      <c r="W610" s="38">
        <v>197.43</v>
      </c>
      <c r="X610" s="38">
        <v>195.74</v>
      </c>
      <c r="Y610" s="38">
        <v>194.32</v>
      </c>
      <c r="Z610" s="38">
        <v>190.3</v>
      </c>
      <c r="AA610" s="38">
        <v>165.65</v>
      </c>
      <c r="AB610" s="38">
        <v>153.97999999999999</v>
      </c>
      <c r="AC610" s="38">
        <v>152.97</v>
      </c>
      <c r="AD610" s="38">
        <v>150.63</v>
      </c>
      <c r="AE610" s="38">
        <v>149.61000000000001</v>
      </c>
      <c r="AF610" s="38">
        <v>153.61000000000001</v>
      </c>
      <c r="AG610" s="38">
        <v>156.76</v>
      </c>
      <c r="AH610" s="38">
        <v>162.76</v>
      </c>
      <c r="AI610" s="38">
        <v>165.99</v>
      </c>
      <c r="AJ610" s="38">
        <v>159.31</v>
      </c>
      <c r="AK610" s="38">
        <v>157.35</v>
      </c>
      <c r="AL610" s="38">
        <v>148.34</v>
      </c>
      <c r="AM610" s="38">
        <v>129.84</v>
      </c>
      <c r="AN610" s="38">
        <v>121.84</v>
      </c>
      <c r="AO610" s="38">
        <v>118.91</v>
      </c>
      <c r="AP610" s="38">
        <v>115.72</v>
      </c>
      <c r="AQ610" s="38">
        <v>116.82</v>
      </c>
      <c r="AR610" s="38">
        <v>120.82</v>
      </c>
      <c r="AS610" s="38">
        <v>133.5</v>
      </c>
      <c r="AT610" s="38">
        <v>133.12</v>
      </c>
      <c r="AU610" s="38">
        <v>132.18</v>
      </c>
      <c r="AV610" s="38">
        <v>126.23</v>
      </c>
      <c r="AW610" s="38">
        <v>126.56</v>
      </c>
      <c r="AX610" s="38">
        <v>122.61</v>
      </c>
      <c r="AY610" s="38">
        <v>106.42</v>
      </c>
      <c r="BA610" s="37">
        <v>99.27</v>
      </c>
      <c r="BB610" s="38">
        <v>1.2717000000000001</v>
      </c>
    </row>
    <row r="611" spans="1:54" x14ac:dyDescent="0.35">
      <c r="A611" s="2">
        <f t="shared" si="9"/>
        <v>44677</v>
      </c>
      <c r="B611" t="s">
        <v>653</v>
      </c>
      <c r="C611" s="32">
        <v>44677</v>
      </c>
      <c r="D611" s="38">
        <v>163.56</v>
      </c>
      <c r="E611" s="38">
        <v>197.03</v>
      </c>
      <c r="F611" s="38">
        <v>207.67</v>
      </c>
      <c r="G611" s="38">
        <v>215.84</v>
      </c>
      <c r="H611" s="38">
        <v>228.49</v>
      </c>
      <c r="I611" s="38">
        <v>234.54</v>
      </c>
      <c r="J611" s="38">
        <v>247.28</v>
      </c>
      <c r="K611" s="38">
        <v>250.48</v>
      </c>
      <c r="L611" s="38">
        <v>253.73</v>
      </c>
      <c r="M611" s="38">
        <v>252.24</v>
      </c>
      <c r="N611" s="38">
        <v>235.09</v>
      </c>
      <c r="O611" s="38">
        <v>203.52</v>
      </c>
      <c r="P611" s="38">
        <v>183.89</v>
      </c>
      <c r="Q611" s="38">
        <v>174.73</v>
      </c>
      <c r="R611" s="38">
        <v>173.02</v>
      </c>
      <c r="S611" s="38">
        <v>176.37</v>
      </c>
      <c r="T611" s="38">
        <v>183.21</v>
      </c>
      <c r="U611" s="38">
        <v>188.28</v>
      </c>
      <c r="V611" s="38">
        <v>189.57</v>
      </c>
      <c r="W611" s="38">
        <v>187.14</v>
      </c>
      <c r="X611" s="38">
        <v>186.59</v>
      </c>
      <c r="Y611" s="38">
        <v>184.89</v>
      </c>
      <c r="Z611" s="38">
        <v>180.84</v>
      </c>
      <c r="AA611" s="38">
        <v>157.82</v>
      </c>
      <c r="AB611" s="38">
        <v>146.1</v>
      </c>
      <c r="AC611" s="38">
        <v>145.08000000000001</v>
      </c>
      <c r="AD611" s="38">
        <v>142.57</v>
      </c>
      <c r="AE611" s="38">
        <v>141.55000000000001</v>
      </c>
      <c r="AF611" s="38">
        <v>145.55000000000001</v>
      </c>
      <c r="AG611" s="38">
        <v>147.05000000000001</v>
      </c>
      <c r="AH611" s="38">
        <v>153.26</v>
      </c>
      <c r="AI611" s="38">
        <v>156.93</v>
      </c>
      <c r="AJ611" s="38">
        <v>149.65</v>
      </c>
      <c r="AK611" s="38">
        <v>149.41</v>
      </c>
      <c r="AL611" s="38">
        <v>143.66</v>
      </c>
      <c r="AM611" s="38">
        <v>127.12</v>
      </c>
      <c r="AN611" s="38">
        <v>122.12</v>
      </c>
      <c r="AO611" s="38">
        <v>115.87</v>
      </c>
      <c r="AP611" s="38">
        <v>108.6</v>
      </c>
      <c r="AQ611" s="38">
        <v>107.01</v>
      </c>
      <c r="AR611" s="38">
        <v>111.93</v>
      </c>
      <c r="AS611" s="38">
        <v>126.68</v>
      </c>
      <c r="AT611" s="38">
        <v>126.96</v>
      </c>
      <c r="AU611" s="38">
        <v>126.02</v>
      </c>
      <c r="AV611" s="38">
        <v>118.93</v>
      </c>
      <c r="AW611" s="38">
        <v>119.26</v>
      </c>
      <c r="AX611" s="38">
        <v>115.31</v>
      </c>
      <c r="AY611" s="38">
        <v>102.11</v>
      </c>
      <c r="BA611" s="37">
        <v>102.89</v>
      </c>
      <c r="BB611" s="38">
        <v>1.2621</v>
      </c>
    </row>
    <row r="612" spans="1:54" x14ac:dyDescent="0.35">
      <c r="A612" s="2">
        <f t="shared" si="9"/>
        <v>44678</v>
      </c>
      <c r="B612" t="s">
        <v>654</v>
      </c>
      <c r="C612" s="32">
        <v>44678</v>
      </c>
      <c r="D612" s="38">
        <v>149.63999999999999</v>
      </c>
      <c r="E612" s="38">
        <v>204.14</v>
      </c>
      <c r="F612" s="38">
        <v>218.07</v>
      </c>
      <c r="G612" s="38">
        <v>231</v>
      </c>
      <c r="H612" s="38">
        <v>250</v>
      </c>
      <c r="I612" s="38">
        <v>251.27</v>
      </c>
      <c r="J612" s="38">
        <v>262.32</v>
      </c>
      <c r="K612" s="38">
        <v>266.82</v>
      </c>
      <c r="L612" s="38">
        <v>266.66000000000003</v>
      </c>
      <c r="M612" s="38">
        <v>261.87</v>
      </c>
      <c r="N612" s="38">
        <v>242.51</v>
      </c>
      <c r="O612" s="38">
        <v>201.2</v>
      </c>
      <c r="P612" s="38">
        <v>179.18</v>
      </c>
      <c r="Q612" s="38">
        <v>169.68</v>
      </c>
      <c r="R612" s="38">
        <v>168.99</v>
      </c>
      <c r="S612" s="38">
        <v>172.34</v>
      </c>
      <c r="T612" s="38">
        <v>179.34</v>
      </c>
      <c r="U612" s="38">
        <v>186.4</v>
      </c>
      <c r="V612" s="38">
        <v>189.73</v>
      </c>
      <c r="W612" s="38">
        <v>185.73</v>
      </c>
      <c r="X612" s="38">
        <v>185.27</v>
      </c>
      <c r="Y612" s="38">
        <v>183.27</v>
      </c>
      <c r="Z612" s="38">
        <v>179.12</v>
      </c>
      <c r="AA612" s="38">
        <v>155.85</v>
      </c>
      <c r="AB612" s="38">
        <v>143.84</v>
      </c>
      <c r="AC612" s="38">
        <v>142.75</v>
      </c>
      <c r="AD612" s="38">
        <v>140.01</v>
      </c>
      <c r="AE612" s="38">
        <v>139.01</v>
      </c>
      <c r="AF612" s="38">
        <v>143.01</v>
      </c>
      <c r="AG612" s="38">
        <v>144.81</v>
      </c>
      <c r="AH612" s="38">
        <v>150.9</v>
      </c>
      <c r="AI612" s="38">
        <v>154.9</v>
      </c>
      <c r="AJ612" s="38">
        <v>147.78</v>
      </c>
      <c r="AK612" s="38">
        <v>147.54</v>
      </c>
      <c r="AL612" s="38">
        <v>141.80000000000001</v>
      </c>
      <c r="AM612" s="38">
        <v>126.16</v>
      </c>
      <c r="AN612" s="38">
        <v>120.93</v>
      </c>
      <c r="AO612" s="38">
        <v>114.68</v>
      </c>
      <c r="AP612" s="38">
        <v>107.41</v>
      </c>
      <c r="AQ612" s="38">
        <v>105.82</v>
      </c>
      <c r="AR612" s="38">
        <v>110.74</v>
      </c>
      <c r="AS612" s="38">
        <v>125.49</v>
      </c>
      <c r="AT612" s="38">
        <v>125.77</v>
      </c>
      <c r="AU612" s="38">
        <v>124.83</v>
      </c>
      <c r="AV612" s="38">
        <v>117.74</v>
      </c>
      <c r="AW612" s="38">
        <v>118.07</v>
      </c>
      <c r="AX612" s="38">
        <v>114.12</v>
      </c>
      <c r="AY612" s="38">
        <v>100.92</v>
      </c>
      <c r="BA612" s="37">
        <v>103.3</v>
      </c>
      <c r="BB612" s="38">
        <v>1.2503</v>
      </c>
    </row>
    <row r="613" spans="1:54" x14ac:dyDescent="0.35">
      <c r="A613" s="2">
        <f t="shared" si="9"/>
        <v>44679</v>
      </c>
      <c r="B613" t="s">
        <v>655</v>
      </c>
      <c r="C613" s="32">
        <v>44679</v>
      </c>
      <c r="D613" s="38">
        <v>128.66</v>
      </c>
      <c r="E613" s="38">
        <v>159.91</v>
      </c>
      <c r="F613" s="38">
        <v>179.76</v>
      </c>
      <c r="G613" s="38">
        <v>197.93</v>
      </c>
      <c r="H613" s="38">
        <v>221.68</v>
      </c>
      <c r="I613" s="38">
        <v>228.68</v>
      </c>
      <c r="J613" s="38">
        <v>243.68</v>
      </c>
      <c r="K613" s="38">
        <v>247.66</v>
      </c>
      <c r="L613" s="38">
        <v>249.87</v>
      </c>
      <c r="M613" s="38">
        <v>246.87</v>
      </c>
      <c r="N613" s="38">
        <v>226.41</v>
      </c>
      <c r="O613" s="38">
        <v>196.1</v>
      </c>
      <c r="P613" s="38">
        <v>174.06</v>
      </c>
      <c r="Q613" s="38">
        <v>164.55</v>
      </c>
      <c r="R613" s="38">
        <v>165.24</v>
      </c>
      <c r="S613" s="38">
        <v>170.24</v>
      </c>
      <c r="T613" s="38">
        <v>177.24</v>
      </c>
      <c r="U613" s="38">
        <v>186.24</v>
      </c>
      <c r="V613" s="38">
        <v>189.57</v>
      </c>
      <c r="W613" s="38">
        <v>185.57</v>
      </c>
      <c r="X613" s="38">
        <v>186.76</v>
      </c>
      <c r="Y613" s="38">
        <v>183.42</v>
      </c>
      <c r="Z613" s="38">
        <v>177.22</v>
      </c>
      <c r="AA613" s="38">
        <v>153.27000000000001</v>
      </c>
      <c r="AB613" s="38">
        <v>141.24</v>
      </c>
      <c r="AC613" s="38">
        <v>140.19</v>
      </c>
      <c r="AD613" s="38">
        <v>137.07</v>
      </c>
      <c r="AE613" s="38">
        <v>136.08000000000001</v>
      </c>
      <c r="AF613" s="38">
        <v>139.75</v>
      </c>
      <c r="AG613" s="38">
        <v>144.13999999999999</v>
      </c>
      <c r="AH613" s="38">
        <v>150.24</v>
      </c>
      <c r="AI613" s="38">
        <v>154.25</v>
      </c>
      <c r="AJ613" s="38">
        <v>147.13999999999999</v>
      </c>
      <c r="AK613" s="38">
        <v>146.9</v>
      </c>
      <c r="AL613" s="38">
        <v>141.16999999999999</v>
      </c>
      <c r="AM613" s="38">
        <v>126.99</v>
      </c>
      <c r="AN613" s="38">
        <v>121.75</v>
      </c>
      <c r="AO613" s="38">
        <v>115.51</v>
      </c>
      <c r="AP613" s="38">
        <v>108.24</v>
      </c>
      <c r="AQ613" s="38">
        <v>106.66</v>
      </c>
      <c r="AR613" s="38">
        <v>111.59</v>
      </c>
      <c r="AS613" s="38">
        <v>125.13</v>
      </c>
      <c r="AT613" s="38">
        <v>125.42</v>
      </c>
      <c r="AU613" s="38">
        <v>124.49</v>
      </c>
      <c r="AV613" s="38">
        <v>117.41</v>
      </c>
      <c r="AW613" s="38">
        <v>117.76</v>
      </c>
      <c r="AX613" s="38">
        <v>113.84</v>
      </c>
      <c r="AY613" s="38">
        <v>100.56</v>
      </c>
      <c r="BA613" s="37">
        <v>105.78</v>
      </c>
      <c r="BB613" s="38">
        <v>1.2439</v>
      </c>
    </row>
    <row r="614" spans="1:54" x14ac:dyDescent="0.35">
      <c r="A614" s="2">
        <f t="shared" si="9"/>
        <v>44680</v>
      </c>
      <c r="B614" t="s">
        <v>656</v>
      </c>
      <c r="C614" s="32">
        <v>44680</v>
      </c>
      <c r="D614" s="38">
        <v>163.68</v>
      </c>
      <c r="E614" s="38">
        <v>183.12</v>
      </c>
      <c r="F614" s="38">
        <v>196.32</v>
      </c>
      <c r="G614" s="38">
        <v>218.18</v>
      </c>
      <c r="H614" s="38">
        <v>222.14</v>
      </c>
      <c r="I614" s="38">
        <v>237.35</v>
      </c>
      <c r="J614" s="38">
        <v>240.48</v>
      </c>
      <c r="K614" s="38">
        <v>243</v>
      </c>
      <c r="L614" s="38">
        <v>240.08</v>
      </c>
      <c r="M614" s="38">
        <v>220.33</v>
      </c>
      <c r="N614" s="38">
        <v>189.66</v>
      </c>
      <c r="O614" s="38">
        <v>169.16</v>
      </c>
      <c r="P614" s="38">
        <v>161.41</v>
      </c>
      <c r="Q614" s="38">
        <v>162.01</v>
      </c>
      <c r="R614" s="38">
        <v>166.32</v>
      </c>
      <c r="S614" s="38">
        <v>173.31</v>
      </c>
      <c r="T614" s="38">
        <v>181.72</v>
      </c>
      <c r="U614" s="38">
        <v>184.81</v>
      </c>
      <c r="V614" s="38">
        <v>179.81</v>
      </c>
      <c r="W614" s="38">
        <v>181</v>
      </c>
      <c r="X614" s="38">
        <v>177.66</v>
      </c>
      <c r="Y614" s="38">
        <v>171.46</v>
      </c>
      <c r="Z614" s="38">
        <v>148.57</v>
      </c>
      <c r="AA614" s="38">
        <v>138.62</v>
      </c>
      <c r="AB614" s="38">
        <v>137.62</v>
      </c>
      <c r="AC614" s="38">
        <v>134.62</v>
      </c>
      <c r="AD614" s="38">
        <v>133.63999999999999</v>
      </c>
      <c r="AE614" s="38">
        <v>136.63999999999999</v>
      </c>
      <c r="AF614" s="38">
        <v>140.6</v>
      </c>
      <c r="AG614" s="38">
        <v>146.69999999999999</v>
      </c>
      <c r="AH614" s="38">
        <v>150.71</v>
      </c>
      <c r="AI614" s="38">
        <v>143.61000000000001</v>
      </c>
      <c r="AJ614" s="38">
        <v>143.37</v>
      </c>
      <c r="AK614" s="38">
        <v>137.63999999999999</v>
      </c>
      <c r="AL614" s="38">
        <v>124.19</v>
      </c>
      <c r="AM614" s="38">
        <v>118.95</v>
      </c>
      <c r="AN614" s="38">
        <v>112.71</v>
      </c>
      <c r="AO614" s="38">
        <v>105.44</v>
      </c>
      <c r="AP614" s="38">
        <v>103.85</v>
      </c>
      <c r="AQ614" s="38">
        <v>108.79</v>
      </c>
      <c r="AR614" s="38">
        <v>122.32</v>
      </c>
      <c r="AS614" s="38">
        <v>122.61</v>
      </c>
      <c r="AT614" s="38">
        <v>121.68</v>
      </c>
      <c r="AU614" s="38">
        <v>114.6</v>
      </c>
      <c r="AV614" s="38">
        <v>114.95</v>
      </c>
      <c r="AW614" s="38">
        <v>111.03</v>
      </c>
      <c r="AX614" s="38">
        <v>97.53</v>
      </c>
      <c r="AY614" s="38">
        <v>94.22</v>
      </c>
      <c r="BA614" s="37">
        <v>108.36</v>
      </c>
      <c r="BB614" s="38">
        <v>1.2556</v>
      </c>
    </row>
    <row r="615" spans="1:54" x14ac:dyDescent="0.35">
      <c r="A615" s="2">
        <f t="shared" si="9"/>
        <v>44683</v>
      </c>
      <c r="B615" t="s">
        <v>657</v>
      </c>
      <c r="C615" s="32">
        <v>44683</v>
      </c>
      <c r="D615" s="38">
        <v>163.68</v>
      </c>
      <c r="E615" s="38">
        <v>183.12</v>
      </c>
      <c r="F615" s="38">
        <v>196.32</v>
      </c>
      <c r="G615" s="38">
        <v>218.18</v>
      </c>
      <c r="H615" s="38">
        <v>222.14</v>
      </c>
      <c r="I615" s="38">
        <v>237.35</v>
      </c>
      <c r="J615" s="38">
        <v>240.48</v>
      </c>
      <c r="K615" s="38">
        <v>243</v>
      </c>
      <c r="L615" s="38">
        <v>240.08</v>
      </c>
      <c r="M615" s="38">
        <v>220.33</v>
      </c>
      <c r="N615" s="38">
        <v>189.66</v>
      </c>
      <c r="O615" s="38">
        <v>169.16</v>
      </c>
      <c r="P615" s="38">
        <v>161.41</v>
      </c>
      <c r="Q615" s="38">
        <v>162.01</v>
      </c>
      <c r="R615" s="38">
        <v>166.32</v>
      </c>
      <c r="S615" s="38">
        <v>173.31</v>
      </c>
      <c r="T615" s="38">
        <v>181.72</v>
      </c>
      <c r="U615" s="38">
        <v>184.81</v>
      </c>
      <c r="V615" s="38">
        <v>179.81</v>
      </c>
      <c r="W615" s="38">
        <v>181</v>
      </c>
      <c r="X615" s="38">
        <v>177.66</v>
      </c>
      <c r="Y615" s="38">
        <v>171.46</v>
      </c>
      <c r="Z615" s="38">
        <v>148.57</v>
      </c>
      <c r="AA615" s="38">
        <v>138.62</v>
      </c>
      <c r="AB615" s="38">
        <v>137.62</v>
      </c>
      <c r="AC615" s="38">
        <v>134.62</v>
      </c>
      <c r="AD615" s="38">
        <v>133.63999999999999</v>
      </c>
      <c r="AE615" s="38">
        <v>136.63999999999999</v>
      </c>
      <c r="AF615" s="38">
        <v>140.6</v>
      </c>
      <c r="AG615" s="38">
        <v>146.69999999999999</v>
      </c>
      <c r="AH615" s="38">
        <v>150.71</v>
      </c>
      <c r="AI615" s="38">
        <v>143.61000000000001</v>
      </c>
      <c r="AJ615" s="38">
        <v>143.37</v>
      </c>
      <c r="AK615" s="38">
        <v>137.63999999999999</v>
      </c>
      <c r="AL615" s="38">
        <v>124.19</v>
      </c>
      <c r="AM615" s="38">
        <v>118.95</v>
      </c>
      <c r="AN615" s="38">
        <v>112.71</v>
      </c>
      <c r="AO615" s="38">
        <v>105.44</v>
      </c>
      <c r="AP615" s="38">
        <v>103.85</v>
      </c>
      <c r="AQ615" s="38">
        <v>108.79</v>
      </c>
      <c r="AR615" s="38">
        <v>122.32</v>
      </c>
      <c r="AS615" s="38">
        <v>122.61</v>
      </c>
      <c r="AT615" s="38">
        <v>121.68</v>
      </c>
      <c r="AU615" s="38">
        <v>114.6</v>
      </c>
      <c r="AV615" s="38">
        <v>114.95</v>
      </c>
      <c r="AW615" s="38">
        <v>111.03</v>
      </c>
      <c r="AX615" s="38">
        <v>97.53</v>
      </c>
      <c r="AY615" s="38">
        <v>94.22</v>
      </c>
      <c r="BA615" s="37" t="e">
        <v>#N/A</v>
      </c>
      <c r="BB615" s="38" t="e">
        <v>#N/A</v>
      </c>
    </row>
    <row r="616" spans="1:54" x14ac:dyDescent="0.35">
      <c r="A616" s="2">
        <f t="shared" si="9"/>
        <v>44684</v>
      </c>
      <c r="B616" t="s">
        <v>658</v>
      </c>
      <c r="C616" s="32">
        <v>44684</v>
      </c>
      <c r="D616" s="38">
        <v>156.16999999999999</v>
      </c>
      <c r="E616" s="38">
        <v>179.59</v>
      </c>
      <c r="F616" s="38">
        <v>194.51</v>
      </c>
      <c r="G616" s="38">
        <v>216.19</v>
      </c>
      <c r="H616" s="38">
        <v>220.61</v>
      </c>
      <c r="I616" s="38">
        <v>235.25</v>
      </c>
      <c r="J616" s="38">
        <v>238.45</v>
      </c>
      <c r="K616" s="38">
        <v>240.59</v>
      </c>
      <c r="L616" s="38">
        <v>237.19</v>
      </c>
      <c r="M616" s="38">
        <v>216.88</v>
      </c>
      <c r="N616" s="38">
        <v>185.63</v>
      </c>
      <c r="O616" s="38">
        <v>164.78</v>
      </c>
      <c r="P616" s="38">
        <v>156.76</v>
      </c>
      <c r="Q616" s="38">
        <v>157.36000000000001</v>
      </c>
      <c r="R616" s="38">
        <v>161.71</v>
      </c>
      <c r="S616" s="38">
        <v>168.7</v>
      </c>
      <c r="T616" s="38">
        <v>178.66</v>
      </c>
      <c r="U616" s="38">
        <v>183.36</v>
      </c>
      <c r="V616" s="38">
        <v>179.9</v>
      </c>
      <c r="W616" s="38">
        <v>180.08</v>
      </c>
      <c r="X616" s="38">
        <v>176.74</v>
      </c>
      <c r="Y616" s="38">
        <v>170.54</v>
      </c>
      <c r="Z616" s="38">
        <v>148.87</v>
      </c>
      <c r="AA616" s="38">
        <v>139.71</v>
      </c>
      <c r="AB616" s="38">
        <v>138.71</v>
      </c>
      <c r="AC616" s="38">
        <v>135.71</v>
      </c>
      <c r="AD616" s="38">
        <v>134.72999999999999</v>
      </c>
      <c r="AE616" s="38">
        <v>137.84</v>
      </c>
      <c r="AF616" s="38">
        <v>140.29</v>
      </c>
      <c r="AG616" s="38">
        <v>146.41</v>
      </c>
      <c r="AH616" s="38">
        <v>150.44</v>
      </c>
      <c r="AI616" s="38">
        <v>144.57</v>
      </c>
      <c r="AJ616" s="38">
        <v>144.35</v>
      </c>
      <c r="AK616" s="38">
        <v>138.63999999999999</v>
      </c>
      <c r="AL616" s="38">
        <v>123.25</v>
      </c>
      <c r="AM616" s="38">
        <v>118.01</v>
      </c>
      <c r="AN616" s="38">
        <v>111.77</v>
      </c>
      <c r="AO616" s="38">
        <v>106.92</v>
      </c>
      <c r="AP616" s="38">
        <v>105.33</v>
      </c>
      <c r="AQ616" s="38">
        <v>110.27</v>
      </c>
      <c r="AR616" s="38">
        <v>123.8</v>
      </c>
      <c r="AS616" s="38">
        <v>124.09</v>
      </c>
      <c r="AT616" s="38">
        <v>123.16</v>
      </c>
      <c r="AU616" s="38">
        <v>113.27</v>
      </c>
      <c r="AV616" s="38">
        <v>113.62</v>
      </c>
      <c r="AW616" s="38">
        <v>109.7</v>
      </c>
      <c r="AX616" s="38">
        <v>94.99</v>
      </c>
      <c r="AY616" s="38">
        <v>91.68</v>
      </c>
      <c r="BA616" s="37">
        <v>104.94</v>
      </c>
      <c r="BB616" s="38">
        <v>1.2514000000000001</v>
      </c>
    </row>
    <row r="617" spans="1:54" x14ac:dyDescent="0.35">
      <c r="A617" s="2">
        <f t="shared" si="9"/>
        <v>44685</v>
      </c>
      <c r="B617" t="s">
        <v>659</v>
      </c>
      <c r="C617" s="32">
        <v>44685</v>
      </c>
      <c r="D617" s="38">
        <v>159.19999999999999</v>
      </c>
      <c r="E617" s="38">
        <v>190.11</v>
      </c>
      <c r="F617" s="38">
        <v>206.74</v>
      </c>
      <c r="G617" s="38">
        <v>228.78</v>
      </c>
      <c r="H617" s="38">
        <v>231.6</v>
      </c>
      <c r="I617" s="38">
        <v>246.87</v>
      </c>
      <c r="J617" s="38">
        <v>248.48</v>
      </c>
      <c r="K617" s="38">
        <v>251.82</v>
      </c>
      <c r="L617" s="38">
        <v>251.06</v>
      </c>
      <c r="M617" s="38">
        <v>229.85</v>
      </c>
      <c r="N617" s="38">
        <v>198.87</v>
      </c>
      <c r="O617" s="38">
        <v>178.42</v>
      </c>
      <c r="P617" s="38">
        <v>170.27</v>
      </c>
      <c r="Q617" s="38">
        <v>170.98</v>
      </c>
      <c r="R617" s="38">
        <v>175.46</v>
      </c>
      <c r="S617" s="38">
        <v>182.89</v>
      </c>
      <c r="T617" s="38">
        <v>193.44</v>
      </c>
      <c r="U617" s="38">
        <v>198.33</v>
      </c>
      <c r="V617" s="38">
        <v>194.93</v>
      </c>
      <c r="W617" s="38">
        <v>195</v>
      </c>
      <c r="X617" s="38">
        <v>192.04</v>
      </c>
      <c r="Y617" s="38">
        <v>184.04</v>
      </c>
      <c r="Z617" s="38">
        <v>158.6</v>
      </c>
      <c r="AA617" s="38">
        <v>147.41999999999999</v>
      </c>
      <c r="AB617" s="38">
        <v>145.32</v>
      </c>
      <c r="AC617" s="38">
        <v>141.81</v>
      </c>
      <c r="AD617" s="38">
        <v>140.83000000000001</v>
      </c>
      <c r="AE617" s="38">
        <v>144.83000000000001</v>
      </c>
      <c r="AF617" s="38">
        <v>149.24</v>
      </c>
      <c r="AG617" s="38">
        <v>156.49</v>
      </c>
      <c r="AH617" s="38">
        <v>160.68</v>
      </c>
      <c r="AI617" s="38">
        <v>154.81</v>
      </c>
      <c r="AJ617" s="38">
        <v>154.59</v>
      </c>
      <c r="AK617" s="38">
        <v>148.88</v>
      </c>
      <c r="AL617" s="38">
        <v>132.72</v>
      </c>
      <c r="AM617" s="38">
        <v>127.26</v>
      </c>
      <c r="AN617" s="38">
        <v>120.87</v>
      </c>
      <c r="AO617" s="38">
        <v>116.02</v>
      </c>
      <c r="AP617" s="38">
        <v>114.43</v>
      </c>
      <c r="AQ617" s="38">
        <v>119.78</v>
      </c>
      <c r="AR617" s="38">
        <v>133.69</v>
      </c>
      <c r="AS617" s="38">
        <v>134.12</v>
      </c>
      <c r="AT617" s="38">
        <v>133.19</v>
      </c>
      <c r="AU617" s="38">
        <v>123.19</v>
      </c>
      <c r="AV617" s="38">
        <v>123.54</v>
      </c>
      <c r="AW617" s="38">
        <v>119.54</v>
      </c>
      <c r="AX617" s="38">
        <v>104.54</v>
      </c>
      <c r="AY617" s="38">
        <v>100.54</v>
      </c>
      <c r="BA617" s="37">
        <v>110.53</v>
      </c>
      <c r="BB617" s="38">
        <v>1.2499</v>
      </c>
    </row>
    <row r="618" spans="1:54" x14ac:dyDescent="0.35">
      <c r="A618" s="2">
        <f t="shared" si="9"/>
        <v>44686</v>
      </c>
      <c r="B618" t="s">
        <v>660</v>
      </c>
      <c r="C618" s="32">
        <v>44686</v>
      </c>
      <c r="D618" s="38">
        <v>166.23</v>
      </c>
      <c r="E618" s="38">
        <v>199.21</v>
      </c>
      <c r="F618" s="38">
        <v>219.49</v>
      </c>
      <c r="G618" s="38">
        <v>242.48</v>
      </c>
      <c r="H618" s="38">
        <v>242.48</v>
      </c>
      <c r="I618" s="38">
        <v>252.93</v>
      </c>
      <c r="J618" s="38">
        <v>256.88</v>
      </c>
      <c r="K618" s="38">
        <v>258.26</v>
      </c>
      <c r="L618" s="38">
        <v>259.27</v>
      </c>
      <c r="M618" s="38">
        <v>237.77</v>
      </c>
      <c r="N618" s="38">
        <v>207.38</v>
      </c>
      <c r="O618" s="38">
        <v>185.89</v>
      </c>
      <c r="P618" s="38">
        <v>177.81</v>
      </c>
      <c r="Q618" s="38">
        <v>178.58</v>
      </c>
      <c r="R618" s="38">
        <v>183.4</v>
      </c>
      <c r="S618" s="38">
        <v>190.47</v>
      </c>
      <c r="T618" s="38">
        <v>201.95</v>
      </c>
      <c r="U618" s="38">
        <v>206.96</v>
      </c>
      <c r="V618" s="38">
        <v>200.99</v>
      </c>
      <c r="W618" s="38">
        <v>202.39</v>
      </c>
      <c r="X618" s="38">
        <v>199.04</v>
      </c>
      <c r="Y618" s="38">
        <v>191.23</v>
      </c>
      <c r="Z618" s="38">
        <v>164.23</v>
      </c>
      <c r="AA618" s="38">
        <v>152.29</v>
      </c>
      <c r="AB618" s="38">
        <v>148.99</v>
      </c>
      <c r="AC618" s="38">
        <v>144.24</v>
      </c>
      <c r="AD618" s="38">
        <v>141.82</v>
      </c>
      <c r="AE618" s="38">
        <v>146.82</v>
      </c>
      <c r="AF618" s="38">
        <v>151.82</v>
      </c>
      <c r="AG618" s="38">
        <v>159.82</v>
      </c>
      <c r="AH618" s="38">
        <v>164.01</v>
      </c>
      <c r="AI618" s="38">
        <v>158.13999999999999</v>
      </c>
      <c r="AJ618" s="38">
        <v>157.91999999999999</v>
      </c>
      <c r="AK618" s="38">
        <v>152.21</v>
      </c>
      <c r="AL618" s="38">
        <v>133.32</v>
      </c>
      <c r="AM618" s="38">
        <v>127.86</v>
      </c>
      <c r="AN618" s="38">
        <v>121.47</v>
      </c>
      <c r="AO618" s="38">
        <v>116.62</v>
      </c>
      <c r="AP618" s="38">
        <v>115.03</v>
      </c>
      <c r="AQ618" s="38">
        <v>120.38</v>
      </c>
      <c r="AR618" s="38">
        <v>134.29</v>
      </c>
      <c r="AS618" s="38">
        <v>134.72</v>
      </c>
      <c r="AT618" s="38">
        <v>133.79</v>
      </c>
      <c r="AU618" s="38">
        <v>123.79</v>
      </c>
      <c r="AV618" s="38">
        <v>124.14</v>
      </c>
      <c r="AW618" s="38">
        <v>120.14</v>
      </c>
      <c r="AX618" s="38">
        <v>105.14</v>
      </c>
      <c r="AY618" s="38">
        <v>101.14</v>
      </c>
      <c r="BA618" s="37">
        <v>112.11</v>
      </c>
      <c r="BB618" s="38">
        <v>1.2374000000000001</v>
      </c>
    </row>
    <row r="619" spans="1:54" x14ac:dyDescent="0.35">
      <c r="A619" s="2">
        <f t="shared" si="9"/>
        <v>44687</v>
      </c>
      <c r="B619" t="s">
        <v>661</v>
      </c>
      <c r="C619" s="32">
        <v>44687</v>
      </c>
      <c r="D619" s="38">
        <v>137.5</v>
      </c>
      <c r="E619" s="38">
        <v>175.7</v>
      </c>
      <c r="F619" s="38">
        <v>205.12</v>
      </c>
      <c r="G619" s="38">
        <v>231.12</v>
      </c>
      <c r="H619" s="38">
        <v>231.92</v>
      </c>
      <c r="I619" s="38">
        <v>244.42</v>
      </c>
      <c r="J619" s="38">
        <v>249.3</v>
      </c>
      <c r="K619" s="38">
        <v>250.52</v>
      </c>
      <c r="L619" s="38">
        <v>250.52</v>
      </c>
      <c r="M619" s="38">
        <v>229.22</v>
      </c>
      <c r="N619" s="38">
        <v>204.84</v>
      </c>
      <c r="O619" s="38">
        <v>182.84</v>
      </c>
      <c r="P619" s="38">
        <v>175.41</v>
      </c>
      <c r="Q619" s="38">
        <v>176.51</v>
      </c>
      <c r="R619" s="38">
        <v>181.33</v>
      </c>
      <c r="S619" s="38">
        <v>188.59</v>
      </c>
      <c r="T619" s="38">
        <v>197.85</v>
      </c>
      <c r="U619" s="38">
        <v>202.86</v>
      </c>
      <c r="V619" s="38">
        <v>196.89</v>
      </c>
      <c r="W619" s="38">
        <v>199.1</v>
      </c>
      <c r="X619" s="38">
        <v>195.62</v>
      </c>
      <c r="Y619" s="38">
        <v>188.75</v>
      </c>
      <c r="Z619" s="38">
        <v>164.25</v>
      </c>
      <c r="AA619" s="38">
        <v>152.31</v>
      </c>
      <c r="AB619" s="38">
        <v>149.01</v>
      </c>
      <c r="AC619" s="38">
        <v>144.26</v>
      </c>
      <c r="AD619" s="38">
        <v>141.84</v>
      </c>
      <c r="AE619" s="38">
        <v>146.97</v>
      </c>
      <c r="AF619" s="38">
        <v>152.4</v>
      </c>
      <c r="AG619" s="38">
        <v>160.4</v>
      </c>
      <c r="AH619" s="38">
        <v>164.39</v>
      </c>
      <c r="AI619" s="38">
        <v>157.59</v>
      </c>
      <c r="AJ619" s="38">
        <v>157.16</v>
      </c>
      <c r="AK619" s="38">
        <v>151.44999999999999</v>
      </c>
      <c r="AL619" s="38">
        <v>130.47999999999999</v>
      </c>
      <c r="AM619" s="38">
        <v>125.02</v>
      </c>
      <c r="AN619" s="38">
        <v>118.63</v>
      </c>
      <c r="AO619" s="38">
        <v>113.78</v>
      </c>
      <c r="AP619" s="38">
        <v>112.19</v>
      </c>
      <c r="AQ619" s="38">
        <v>117.54</v>
      </c>
      <c r="AR619" s="38">
        <v>135.97</v>
      </c>
      <c r="AS619" s="38">
        <v>136.4</v>
      </c>
      <c r="AT619" s="38">
        <v>135.15</v>
      </c>
      <c r="AU619" s="38">
        <v>124.89</v>
      </c>
      <c r="AV619" s="38">
        <v>124.34</v>
      </c>
      <c r="AW619" s="38">
        <v>120.34</v>
      </c>
      <c r="AX619" s="38">
        <v>104.89</v>
      </c>
      <c r="AY619" s="38">
        <v>100.89</v>
      </c>
      <c r="BA619" s="37">
        <v>113.86</v>
      </c>
      <c r="BB619" s="38">
        <v>1.2350000000000001</v>
      </c>
    </row>
    <row r="620" spans="1:54" x14ac:dyDescent="0.35">
      <c r="A620" s="2">
        <f t="shared" si="9"/>
        <v>44690</v>
      </c>
      <c r="B620" t="s">
        <v>662</v>
      </c>
      <c r="C620" s="32">
        <v>44690</v>
      </c>
      <c r="D620" s="38">
        <v>128.71</v>
      </c>
      <c r="E620" s="38">
        <v>159.27000000000001</v>
      </c>
      <c r="F620" s="38">
        <v>185.78</v>
      </c>
      <c r="G620" s="38">
        <v>213.92</v>
      </c>
      <c r="H620" s="38">
        <v>215.37</v>
      </c>
      <c r="I620" s="38">
        <v>230.32</v>
      </c>
      <c r="J620" s="38">
        <v>235.82</v>
      </c>
      <c r="K620" s="38">
        <v>237.92</v>
      </c>
      <c r="L620" s="38">
        <v>236.23</v>
      </c>
      <c r="M620" s="38">
        <v>215.01</v>
      </c>
      <c r="N620" s="38">
        <v>194.21</v>
      </c>
      <c r="O620" s="38">
        <v>173.45</v>
      </c>
      <c r="P620" s="38">
        <v>163.79</v>
      </c>
      <c r="Q620" s="38">
        <v>165.32</v>
      </c>
      <c r="R620" s="38">
        <v>170.72</v>
      </c>
      <c r="S620" s="38">
        <v>177.79</v>
      </c>
      <c r="T620" s="38">
        <v>186.87</v>
      </c>
      <c r="U620" s="38">
        <v>191.71</v>
      </c>
      <c r="V620" s="38">
        <v>185.74</v>
      </c>
      <c r="W620" s="38">
        <v>188.33</v>
      </c>
      <c r="X620" s="38">
        <v>185.3</v>
      </c>
      <c r="Y620" s="38">
        <v>179.03</v>
      </c>
      <c r="Z620" s="38">
        <v>155.27000000000001</v>
      </c>
      <c r="AA620" s="38">
        <v>143.33000000000001</v>
      </c>
      <c r="AB620" s="38">
        <v>140.03</v>
      </c>
      <c r="AC620" s="38">
        <v>135.28</v>
      </c>
      <c r="AD620" s="38">
        <v>132.86000000000001</v>
      </c>
      <c r="AE620" s="38">
        <v>137.99</v>
      </c>
      <c r="AF620" s="38">
        <v>144.13999999999999</v>
      </c>
      <c r="AG620" s="38">
        <v>151.80000000000001</v>
      </c>
      <c r="AH620" s="38">
        <v>154.91</v>
      </c>
      <c r="AI620" s="38">
        <v>146.80000000000001</v>
      </c>
      <c r="AJ620" s="38">
        <v>145.53</v>
      </c>
      <c r="AK620" s="38">
        <v>139.38</v>
      </c>
      <c r="AL620" s="38">
        <v>119.36</v>
      </c>
      <c r="AM620" s="38">
        <v>113.9</v>
      </c>
      <c r="AN620" s="38">
        <v>107.51</v>
      </c>
      <c r="AO620" s="38">
        <v>105.74</v>
      </c>
      <c r="AP620" s="38">
        <v>104.15</v>
      </c>
      <c r="AQ620" s="38">
        <v>109.5</v>
      </c>
      <c r="AR620" s="38">
        <v>125.96</v>
      </c>
      <c r="AS620" s="38">
        <v>128.24</v>
      </c>
      <c r="AT620" s="38">
        <v>127.25</v>
      </c>
      <c r="AU620" s="38">
        <v>117.81</v>
      </c>
      <c r="AV620" s="38">
        <v>117.26</v>
      </c>
      <c r="AW620" s="38">
        <v>113.26</v>
      </c>
      <c r="AX620" s="38">
        <v>98.05</v>
      </c>
      <c r="AY620" s="38">
        <v>94.05</v>
      </c>
      <c r="BA620" s="37">
        <v>106.67</v>
      </c>
      <c r="BB620" s="38">
        <v>1.2305999999999999</v>
      </c>
    </row>
    <row r="621" spans="1:54" x14ac:dyDescent="0.35">
      <c r="A621" s="2">
        <f t="shared" si="9"/>
        <v>44691</v>
      </c>
      <c r="B621" t="s">
        <v>663</v>
      </c>
      <c r="C621" s="32">
        <v>44691</v>
      </c>
      <c r="D621" s="38">
        <v>145.77000000000001</v>
      </c>
      <c r="E621" s="38">
        <v>173.3</v>
      </c>
      <c r="F621" s="38">
        <v>198.57</v>
      </c>
      <c r="G621" s="38">
        <v>224.84</v>
      </c>
      <c r="H621" s="38">
        <v>224.34</v>
      </c>
      <c r="I621" s="38">
        <v>240.72</v>
      </c>
      <c r="J621" s="38">
        <v>245.33</v>
      </c>
      <c r="K621" s="38">
        <v>248.33</v>
      </c>
      <c r="L621" s="38">
        <v>247.88</v>
      </c>
      <c r="M621" s="38">
        <v>223.09</v>
      </c>
      <c r="N621" s="38">
        <v>195.39</v>
      </c>
      <c r="O621" s="38">
        <v>173.22</v>
      </c>
      <c r="P621" s="38">
        <v>163.54</v>
      </c>
      <c r="Q621" s="38">
        <v>165.58</v>
      </c>
      <c r="R621" s="38">
        <v>172.08</v>
      </c>
      <c r="S621" s="38">
        <v>177.51</v>
      </c>
      <c r="T621" s="38">
        <v>187.9</v>
      </c>
      <c r="U621" s="38">
        <v>192.74</v>
      </c>
      <c r="V621" s="38">
        <v>186.77</v>
      </c>
      <c r="W621" s="38">
        <v>189.36</v>
      </c>
      <c r="X621" s="38">
        <v>186.33</v>
      </c>
      <c r="Y621" s="38">
        <v>178.33</v>
      </c>
      <c r="Z621" s="38">
        <v>154.24</v>
      </c>
      <c r="AA621" s="38">
        <v>142.22</v>
      </c>
      <c r="AB621" s="38">
        <v>138.91</v>
      </c>
      <c r="AC621" s="38">
        <v>134.13</v>
      </c>
      <c r="AD621" s="38">
        <v>131.69</v>
      </c>
      <c r="AE621" s="38">
        <v>137.66999999999999</v>
      </c>
      <c r="AF621" s="38">
        <v>144.65</v>
      </c>
      <c r="AG621" s="38">
        <v>152.28</v>
      </c>
      <c r="AH621" s="38">
        <v>155.35</v>
      </c>
      <c r="AI621" s="38">
        <v>148.05000000000001</v>
      </c>
      <c r="AJ621" s="38">
        <v>146.66999999999999</v>
      </c>
      <c r="AK621" s="38">
        <v>140.36000000000001</v>
      </c>
      <c r="AL621" s="38">
        <v>117.85</v>
      </c>
      <c r="AM621" s="38">
        <v>111.66</v>
      </c>
      <c r="AN621" s="38">
        <v>105.13</v>
      </c>
      <c r="AO621" s="38">
        <v>103.26</v>
      </c>
      <c r="AP621" s="38">
        <v>101.59</v>
      </c>
      <c r="AQ621" s="38">
        <v>107.52</v>
      </c>
      <c r="AR621" s="38">
        <v>124.46</v>
      </c>
      <c r="AS621" s="38">
        <v>126.69</v>
      </c>
      <c r="AT621" s="38">
        <v>125.62</v>
      </c>
      <c r="AU621" s="38">
        <v>116.79</v>
      </c>
      <c r="AV621" s="38">
        <v>116.11</v>
      </c>
      <c r="AW621" s="38">
        <v>111.91</v>
      </c>
      <c r="AX621" s="38">
        <v>97.85</v>
      </c>
      <c r="AY621" s="38">
        <v>93.66</v>
      </c>
      <c r="BA621" s="37">
        <v>102.61</v>
      </c>
      <c r="BB621" s="38">
        <v>1.2313000000000001</v>
      </c>
    </row>
    <row r="622" spans="1:54" x14ac:dyDescent="0.35">
      <c r="A622" s="2">
        <f t="shared" si="9"/>
        <v>44692</v>
      </c>
      <c r="B622" t="s">
        <v>664</v>
      </c>
      <c r="C622" s="32">
        <v>44692</v>
      </c>
      <c r="D622" s="38">
        <v>139.74</v>
      </c>
      <c r="E622" s="38">
        <v>168.42</v>
      </c>
      <c r="F622" s="38">
        <v>192.69</v>
      </c>
      <c r="G622" s="38">
        <v>217.19</v>
      </c>
      <c r="H622" s="38">
        <v>219.41</v>
      </c>
      <c r="I622" s="38">
        <v>235.02</v>
      </c>
      <c r="J622" s="38">
        <v>240.66</v>
      </c>
      <c r="K622" s="38">
        <v>243</v>
      </c>
      <c r="L622" s="38">
        <v>244.27</v>
      </c>
      <c r="M622" s="38">
        <v>221.62</v>
      </c>
      <c r="N622" s="38">
        <v>197.96</v>
      </c>
      <c r="O622" s="38">
        <v>174.71</v>
      </c>
      <c r="P622" s="38">
        <v>164.96</v>
      </c>
      <c r="Q622" s="38">
        <v>167</v>
      </c>
      <c r="R622" s="38">
        <v>173.5</v>
      </c>
      <c r="S622" s="38">
        <v>179.06</v>
      </c>
      <c r="T622" s="38">
        <v>189.01</v>
      </c>
      <c r="U622" s="38">
        <v>193.85</v>
      </c>
      <c r="V622" s="38">
        <v>187.88</v>
      </c>
      <c r="W622" s="38">
        <v>190.5</v>
      </c>
      <c r="X622" s="38">
        <v>187.47</v>
      </c>
      <c r="Y622" s="38">
        <v>179.42</v>
      </c>
      <c r="Z622" s="38">
        <v>154.19</v>
      </c>
      <c r="AA622" s="38">
        <v>142.15</v>
      </c>
      <c r="AB622" s="38">
        <v>138.83000000000001</v>
      </c>
      <c r="AC622" s="38">
        <v>133.94</v>
      </c>
      <c r="AD622" s="38">
        <v>131.44</v>
      </c>
      <c r="AE622" s="38">
        <v>136.55000000000001</v>
      </c>
      <c r="AF622" s="38">
        <v>142.58000000000001</v>
      </c>
      <c r="AG622" s="38">
        <v>150.03</v>
      </c>
      <c r="AH622" s="38">
        <v>153.1</v>
      </c>
      <c r="AI622" s="38">
        <v>143.97</v>
      </c>
      <c r="AJ622" s="38">
        <v>142.59</v>
      </c>
      <c r="AK622" s="38">
        <v>136.28</v>
      </c>
      <c r="AL622" s="38">
        <v>114.21</v>
      </c>
      <c r="AM622" s="38">
        <v>107.57</v>
      </c>
      <c r="AN622" s="38">
        <v>101.04</v>
      </c>
      <c r="AO622" s="38">
        <v>100.72</v>
      </c>
      <c r="AP622" s="38">
        <v>99.05</v>
      </c>
      <c r="AQ622" s="38">
        <v>104.99</v>
      </c>
      <c r="AR622" s="38">
        <v>121.93</v>
      </c>
      <c r="AS622" s="38">
        <v>124.16</v>
      </c>
      <c r="AT622" s="38">
        <v>123.09</v>
      </c>
      <c r="AU622" s="38">
        <v>114.26</v>
      </c>
      <c r="AV622" s="38">
        <v>113.58</v>
      </c>
      <c r="AW622" s="38">
        <v>109.38</v>
      </c>
      <c r="AX622" s="38">
        <v>96.8</v>
      </c>
      <c r="AY622" s="38">
        <v>92.61</v>
      </c>
      <c r="BA622" s="37">
        <v>107.7</v>
      </c>
      <c r="BB622" s="38">
        <v>1.234</v>
      </c>
    </row>
    <row r="623" spans="1:54" x14ac:dyDescent="0.35">
      <c r="A623" s="2">
        <f t="shared" si="9"/>
        <v>44693</v>
      </c>
      <c r="B623" t="s">
        <v>665</v>
      </c>
      <c r="C623" s="32">
        <v>44693</v>
      </c>
      <c r="D623" s="38">
        <v>175.55</v>
      </c>
      <c r="E623" s="38">
        <v>202.05</v>
      </c>
      <c r="F623" s="38">
        <v>225.66</v>
      </c>
      <c r="G623" s="38">
        <v>253.11</v>
      </c>
      <c r="H623" s="38">
        <v>250.19</v>
      </c>
      <c r="I623" s="38">
        <v>264.27999999999997</v>
      </c>
      <c r="J623" s="38">
        <v>270.22000000000003</v>
      </c>
      <c r="K623" s="38">
        <v>272.62</v>
      </c>
      <c r="L623" s="38">
        <v>270.95</v>
      </c>
      <c r="M623" s="38">
        <v>248.41</v>
      </c>
      <c r="N623" s="38">
        <v>208.56</v>
      </c>
      <c r="O623" s="38">
        <v>180.07</v>
      </c>
      <c r="P623" s="38">
        <v>171.68</v>
      </c>
      <c r="Q623" s="38">
        <v>174.49</v>
      </c>
      <c r="R623" s="38">
        <v>180.98</v>
      </c>
      <c r="S623" s="38">
        <v>186.55</v>
      </c>
      <c r="T623" s="38">
        <v>194.7</v>
      </c>
      <c r="U623" s="38">
        <v>200.49</v>
      </c>
      <c r="V623" s="38">
        <v>194.51</v>
      </c>
      <c r="W623" s="38">
        <v>196.7</v>
      </c>
      <c r="X623" s="38">
        <v>193.56</v>
      </c>
      <c r="Y623" s="38">
        <v>185.17</v>
      </c>
      <c r="Z623" s="38">
        <v>157.97999999999999</v>
      </c>
      <c r="AA623" s="38">
        <v>145.32</v>
      </c>
      <c r="AB623" s="38">
        <v>142.80000000000001</v>
      </c>
      <c r="AC623" s="38">
        <v>137.79</v>
      </c>
      <c r="AD623" s="38">
        <v>134.79</v>
      </c>
      <c r="AE623" s="38">
        <v>138.79</v>
      </c>
      <c r="AF623" s="38">
        <v>143.71</v>
      </c>
      <c r="AG623" s="38">
        <v>151.16</v>
      </c>
      <c r="AH623" s="38">
        <v>154.22999999999999</v>
      </c>
      <c r="AI623" s="38">
        <v>145.1</v>
      </c>
      <c r="AJ623" s="38">
        <v>143.72</v>
      </c>
      <c r="AK623" s="38">
        <v>137.4</v>
      </c>
      <c r="AL623" s="38">
        <v>113.49</v>
      </c>
      <c r="AM623" s="38">
        <v>106.85</v>
      </c>
      <c r="AN623" s="38">
        <v>101.68</v>
      </c>
      <c r="AO623" s="38">
        <v>101.36</v>
      </c>
      <c r="AP623" s="38">
        <v>99.69</v>
      </c>
      <c r="AQ623" s="38">
        <v>105.65</v>
      </c>
      <c r="AR623" s="38">
        <v>123.02</v>
      </c>
      <c r="AS623" s="38">
        <v>125.25</v>
      </c>
      <c r="AT623" s="38">
        <v>124.18</v>
      </c>
      <c r="AU623" s="38">
        <v>115.36</v>
      </c>
      <c r="AV623" s="38">
        <v>114.68</v>
      </c>
      <c r="AW623" s="38">
        <v>110.48</v>
      </c>
      <c r="AX623" s="38">
        <v>97.19</v>
      </c>
      <c r="AY623" s="38">
        <v>93</v>
      </c>
      <c r="BA623" s="37">
        <v>108.06</v>
      </c>
      <c r="BB623" s="38">
        <v>1.2228000000000001</v>
      </c>
    </row>
    <row r="624" spans="1:54" x14ac:dyDescent="0.35">
      <c r="A624" s="2">
        <f t="shared" si="9"/>
        <v>44694</v>
      </c>
      <c r="B624" t="s">
        <v>666</v>
      </c>
      <c r="C624" s="32">
        <v>44694</v>
      </c>
      <c r="D624" s="38">
        <v>148.44999999999999</v>
      </c>
      <c r="E624" s="38">
        <v>175</v>
      </c>
      <c r="F624" s="38">
        <v>197.49</v>
      </c>
      <c r="G624" s="38">
        <v>230.98</v>
      </c>
      <c r="H624" s="38">
        <v>233.6</v>
      </c>
      <c r="I624" s="38">
        <v>249.88</v>
      </c>
      <c r="J624" s="38">
        <v>255.22</v>
      </c>
      <c r="K624" s="38">
        <v>257.42</v>
      </c>
      <c r="L624" s="38">
        <v>256.76</v>
      </c>
      <c r="M624" s="38">
        <v>236.03</v>
      </c>
      <c r="N624" s="38">
        <v>198.3</v>
      </c>
      <c r="O624" s="38">
        <v>170.21</v>
      </c>
      <c r="P624" s="38">
        <v>160.63999999999999</v>
      </c>
      <c r="Q624" s="38">
        <v>163.99</v>
      </c>
      <c r="R624" s="38">
        <v>170.48</v>
      </c>
      <c r="S624" s="38">
        <v>175.87</v>
      </c>
      <c r="T624" s="38">
        <v>185.03</v>
      </c>
      <c r="U624" s="38">
        <v>190.8</v>
      </c>
      <c r="V624" s="38">
        <v>184.91</v>
      </c>
      <c r="W624" s="38">
        <v>187.51</v>
      </c>
      <c r="X624" s="38">
        <v>184.54</v>
      </c>
      <c r="Y624" s="38">
        <v>176.41</v>
      </c>
      <c r="Z624" s="38">
        <v>150.18</v>
      </c>
      <c r="AA624" s="38">
        <v>137.47</v>
      </c>
      <c r="AB624" s="38">
        <v>134.94999999999999</v>
      </c>
      <c r="AC624" s="38">
        <v>130.38999999999999</v>
      </c>
      <c r="AD624" s="38">
        <v>126.87</v>
      </c>
      <c r="AE624" s="38">
        <v>130.49</v>
      </c>
      <c r="AF624" s="38">
        <v>137.91</v>
      </c>
      <c r="AG624" s="38">
        <v>145.87</v>
      </c>
      <c r="AH624" s="38">
        <v>148.94</v>
      </c>
      <c r="AI624" s="38">
        <v>139.81</v>
      </c>
      <c r="AJ624" s="38">
        <v>138.29</v>
      </c>
      <c r="AK624" s="38">
        <v>131.86000000000001</v>
      </c>
      <c r="AL624" s="38">
        <v>105.99</v>
      </c>
      <c r="AM624" s="38">
        <v>98.84</v>
      </c>
      <c r="AN624" s="38">
        <v>93.67</v>
      </c>
      <c r="AO624" s="38">
        <v>93.35</v>
      </c>
      <c r="AP624" s="38">
        <v>91.68</v>
      </c>
      <c r="AQ624" s="38">
        <v>97.64</v>
      </c>
      <c r="AR624" s="38">
        <v>118.94</v>
      </c>
      <c r="AS624" s="38">
        <v>121.17</v>
      </c>
      <c r="AT624" s="38">
        <v>120.1</v>
      </c>
      <c r="AU624" s="38">
        <v>111.29</v>
      </c>
      <c r="AV624" s="38">
        <v>110.61</v>
      </c>
      <c r="AW624" s="38">
        <v>106.41</v>
      </c>
      <c r="AX624" s="38">
        <v>94.56</v>
      </c>
      <c r="AY624" s="38">
        <v>90.37</v>
      </c>
      <c r="BA624" s="37">
        <v>112.12</v>
      </c>
      <c r="BB624" s="38">
        <v>1.222</v>
      </c>
    </row>
    <row r="625" spans="1:54" x14ac:dyDescent="0.35">
      <c r="A625" s="2">
        <f t="shared" si="9"/>
        <v>44697</v>
      </c>
      <c r="B625" t="s">
        <v>667</v>
      </c>
      <c r="C625" s="32">
        <v>44697</v>
      </c>
      <c r="D625" s="38">
        <v>172.26</v>
      </c>
      <c r="E625" s="38">
        <v>184.54</v>
      </c>
      <c r="F625" s="38">
        <v>202.6</v>
      </c>
      <c r="G625" s="38">
        <v>224.51</v>
      </c>
      <c r="H625" s="38">
        <v>223.56</v>
      </c>
      <c r="I625" s="38">
        <v>238.56</v>
      </c>
      <c r="J625" s="38">
        <v>241.85</v>
      </c>
      <c r="K625" s="38">
        <v>243.93</v>
      </c>
      <c r="L625" s="38">
        <v>243.05</v>
      </c>
      <c r="M625" s="38">
        <v>223.18</v>
      </c>
      <c r="N625" s="38">
        <v>195.62</v>
      </c>
      <c r="O625" s="38">
        <v>170.62</v>
      </c>
      <c r="P625" s="38">
        <v>161.6</v>
      </c>
      <c r="Q625" s="38">
        <v>164.18</v>
      </c>
      <c r="R625" s="38">
        <v>170.55</v>
      </c>
      <c r="S625" s="38">
        <v>175.85</v>
      </c>
      <c r="T625" s="38">
        <v>183.69</v>
      </c>
      <c r="U625" s="38">
        <v>189.67</v>
      </c>
      <c r="V625" s="38">
        <v>183.34</v>
      </c>
      <c r="W625" s="38">
        <v>185.64</v>
      </c>
      <c r="X625" s="38">
        <v>182.65</v>
      </c>
      <c r="Y625" s="38">
        <v>174.65</v>
      </c>
      <c r="Z625" s="38">
        <v>150.15</v>
      </c>
      <c r="AA625" s="38">
        <v>136.72999999999999</v>
      </c>
      <c r="AB625" s="38">
        <v>134.21</v>
      </c>
      <c r="AC625" s="38">
        <v>129.65</v>
      </c>
      <c r="AD625" s="38">
        <v>126.13</v>
      </c>
      <c r="AE625" s="38">
        <v>129.75</v>
      </c>
      <c r="AF625" s="38">
        <v>134.34</v>
      </c>
      <c r="AG625" s="38">
        <v>142.30000000000001</v>
      </c>
      <c r="AH625" s="38">
        <v>146.19999999999999</v>
      </c>
      <c r="AI625" s="38">
        <v>138.91999999999999</v>
      </c>
      <c r="AJ625" s="38">
        <v>137.36000000000001</v>
      </c>
      <c r="AK625" s="38">
        <v>130.82</v>
      </c>
      <c r="AL625" s="38">
        <v>108.91</v>
      </c>
      <c r="AM625" s="38">
        <v>101.76</v>
      </c>
      <c r="AN625" s="38">
        <v>96.59</v>
      </c>
      <c r="AO625" s="38">
        <v>96.27</v>
      </c>
      <c r="AP625" s="38">
        <v>94.6</v>
      </c>
      <c r="AQ625" s="38">
        <v>99.6</v>
      </c>
      <c r="AR625" s="38">
        <v>116.6</v>
      </c>
      <c r="AS625" s="38">
        <v>117.6</v>
      </c>
      <c r="AT625" s="38">
        <v>116.53</v>
      </c>
      <c r="AU625" s="38">
        <v>107.72</v>
      </c>
      <c r="AV625" s="38">
        <v>107.04</v>
      </c>
      <c r="AW625" s="38">
        <v>102.84</v>
      </c>
      <c r="AX625" s="38">
        <v>90.99</v>
      </c>
      <c r="AY625" s="38">
        <v>86.8</v>
      </c>
      <c r="BA625" s="37">
        <v>114.86</v>
      </c>
      <c r="BB625" s="38">
        <v>1.2250000000000001</v>
      </c>
    </row>
    <row r="626" spans="1:54" x14ac:dyDescent="0.35">
      <c r="A626" s="2">
        <f t="shared" si="9"/>
        <v>44698</v>
      </c>
      <c r="B626" t="s">
        <v>668</v>
      </c>
      <c r="C626" s="32">
        <v>44698</v>
      </c>
      <c r="D626" s="38">
        <v>185.23</v>
      </c>
      <c r="E626" s="38">
        <v>200.28</v>
      </c>
      <c r="F626" s="38">
        <v>214.98</v>
      </c>
      <c r="G626" s="38">
        <v>232.98</v>
      </c>
      <c r="H626" s="38">
        <v>232.03</v>
      </c>
      <c r="I626" s="38">
        <v>245.63</v>
      </c>
      <c r="J626" s="38">
        <v>252.53</v>
      </c>
      <c r="K626" s="38">
        <v>256.06</v>
      </c>
      <c r="L626" s="38">
        <v>257.02999999999997</v>
      </c>
      <c r="M626" s="38">
        <v>235.56</v>
      </c>
      <c r="N626" s="38">
        <v>198.54</v>
      </c>
      <c r="O626" s="38">
        <v>170.53</v>
      </c>
      <c r="P626" s="38">
        <v>161.53</v>
      </c>
      <c r="Q626" s="38">
        <v>164.53</v>
      </c>
      <c r="R626" s="38">
        <v>170.53</v>
      </c>
      <c r="S626" s="38">
        <v>175.83</v>
      </c>
      <c r="T626" s="38">
        <v>182.71</v>
      </c>
      <c r="U626" s="38">
        <v>188.69</v>
      </c>
      <c r="V626" s="38">
        <v>182.69</v>
      </c>
      <c r="W626" s="38">
        <v>185.5</v>
      </c>
      <c r="X626" s="38">
        <v>183</v>
      </c>
      <c r="Y626" s="38">
        <v>175</v>
      </c>
      <c r="Z626" s="38">
        <v>150.5</v>
      </c>
      <c r="AA626" s="38">
        <v>137.5</v>
      </c>
      <c r="AB626" s="38">
        <v>134.97999999999999</v>
      </c>
      <c r="AC626" s="38">
        <v>131.41999999999999</v>
      </c>
      <c r="AD626" s="38">
        <v>127.9</v>
      </c>
      <c r="AE626" s="38">
        <v>131.9</v>
      </c>
      <c r="AF626" s="38">
        <v>137.26</v>
      </c>
      <c r="AG626" s="38">
        <v>145.26</v>
      </c>
      <c r="AH626" s="38">
        <v>149.16</v>
      </c>
      <c r="AI626" s="38">
        <v>142.16999999999999</v>
      </c>
      <c r="AJ626" s="38">
        <v>140.16999999999999</v>
      </c>
      <c r="AK626" s="38">
        <v>133.16999999999999</v>
      </c>
      <c r="AL626" s="38">
        <v>111.29</v>
      </c>
      <c r="AM626" s="38">
        <v>103.29</v>
      </c>
      <c r="AN626" s="38">
        <v>98.12</v>
      </c>
      <c r="AO626" s="38">
        <v>97.8</v>
      </c>
      <c r="AP626" s="38">
        <v>96.13</v>
      </c>
      <c r="AQ626" s="38">
        <v>101.13</v>
      </c>
      <c r="AR626" s="38">
        <v>118.13</v>
      </c>
      <c r="AS626" s="38">
        <v>119.13</v>
      </c>
      <c r="AT626" s="38">
        <v>118.06</v>
      </c>
      <c r="AU626" s="38">
        <v>107.67</v>
      </c>
      <c r="AV626" s="38">
        <v>106.99</v>
      </c>
      <c r="AW626" s="38">
        <v>102.79</v>
      </c>
      <c r="AX626" s="38">
        <v>90.94</v>
      </c>
      <c r="AY626" s="38">
        <v>86.75</v>
      </c>
      <c r="BA626" s="37">
        <v>112.89</v>
      </c>
      <c r="BB626" s="38">
        <v>1.2470000000000001</v>
      </c>
    </row>
    <row r="627" spans="1:54" x14ac:dyDescent="0.35">
      <c r="A627" s="2">
        <f t="shared" si="9"/>
        <v>44699</v>
      </c>
      <c r="B627" t="s">
        <v>669</v>
      </c>
      <c r="C627" s="32">
        <v>44699</v>
      </c>
      <c r="D627" s="38">
        <v>181.98</v>
      </c>
      <c r="E627" s="38">
        <v>199.37</v>
      </c>
      <c r="F627" s="38">
        <v>216.07</v>
      </c>
      <c r="G627" s="38">
        <v>236.15</v>
      </c>
      <c r="H627" s="38">
        <v>234.2</v>
      </c>
      <c r="I627" s="38">
        <v>248.16</v>
      </c>
      <c r="J627" s="38">
        <v>254.72</v>
      </c>
      <c r="K627" s="38">
        <v>256.27</v>
      </c>
      <c r="L627" s="38">
        <v>257.49</v>
      </c>
      <c r="M627" s="38">
        <v>235.11</v>
      </c>
      <c r="N627" s="38">
        <v>192.53</v>
      </c>
      <c r="O627" s="38">
        <v>162.79</v>
      </c>
      <c r="P627" s="38">
        <v>154.51</v>
      </c>
      <c r="Q627" s="38">
        <v>157.66</v>
      </c>
      <c r="R627" s="38">
        <v>163.63</v>
      </c>
      <c r="S627" s="38">
        <v>168.89</v>
      </c>
      <c r="T627" s="38">
        <v>176.29</v>
      </c>
      <c r="U627" s="38">
        <v>183.12</v>
      </c>
      <c r="V627" s="38">
        <v>177.12</v>
      </c>
      <c r="W627" s="38">
        <v>179.33</v>
      </c>
      <c r="X627" s="38">
        <v>176.83</v>
      </c>
      <c r="Y627" s="38">
        <v>168.83</v>
      </c>
      <c r="Z627" s="38">
        <v>148.86000000000001</v>
      </c>
      <c r="AA627" s="38">
        <v>135.86000000000001</v>
      </c>
      <c r="AB627" s="38">
        <v>133.34</v>
      </c>
      <c r="AC627" s="38">
        <v>130.25</v>
      </c>
      <c r="AD627" s="38">
        <v>126.73</v>
      </c>
      <c r="AE627" s="38">
        <v>130.72999999999999</v>
      </c>
      <c r="AF627" s="38">
        <v>135.59</v>
      </c>
      <c r="AG627" s="38">
        <v>143.59</v>
      </c>
      <c r="AH627" s="38">
        <v>147.49</v>
      </c>
      <c r="AI627" s="38">
        <v>140.33000000000001</v>
      </c>
      <c r="AJ627" s="38">
        <v>138.33000000000001</v>
      </c>
      <c r="AK627" s="38">
        <v>131.33000000000001</v>
      </c>
      <c r="AL627" s="38">
        <v>108.45</v>
      </c>
      <c r="AM627" s="38">
        <v>100.45</v>
      </c>
      <c r="AN627" s="38">
        <v>95.28</v>
      </c>
      <c r="AO627" s="38">
        <v>94.96</v>
      </c>
      <c r="AP627" s="38">
        <v>93.29</v>
      </c>
      <c r="AQ627" s="38">
        <v>98.29</v>
      </c>
      <c r="AR627" s="38">
        <v>116.9</v>
      </c>
      <c r="AS627" s="38">
        <v>117.9</v>
      </c>
      <c r="AT627" s="38">
        <v>116.47</v>
      </c>
      <c r="AU627" s="38">
        <v>105.46</v>
      </c>
      <c r="AV627" s="38">
        <v>104.62</v>
      </c>
      <c r="AW627" s="38">
        <v>100.42</v>
      </c>
      <c r="AX627" s="38">
        <v>89.57</v>
      </c>
      <c r="AY627" s="38">
        <v>85.38</v>
      </c>
      <c r="BA627" s="37">
        <v>110.04</v>
      </c>
      <c r="BB627" s="38">
        <v>1.2413000000000001</v>
      </c>
    </row>
    <row r="628" spans="1:54" x14ac:dyDescent="0.35">
      <c r="A628" s="2">
        <f t="shared" si="9"/>
        <v>44700</v>
      </c>
      <c r="B628" t="s">
        <v>670</v>
      </c>
      <c r="C628" s="32">
        <v>44700</v>
      </c>
      <c r="D628" s="38">
        <v>168.74</v>
      </c>
      <c r="E628" s="38">
        <v>185.36</v>
      </c>
      <c r="F628" s="38">
        <v>201.18</v>
      </c>
      <c r="G628" s="38">
        <v>221.89</v>
      </c>
      <c r="H628" s="38">
        <v>223.06</v>
      </c>
      <c r="I628" s="38">
        <v>237.53</v>
      </c>
      <c r="J628" s="38">
        <v>244.37</v>
      </c>
      <c r="K628" s="38">
        <v>245.78</v>
      </c>
      <c r="L628" s="38">
        <v>246.67</v>
      </c>
      <c r="M628" s="38">
        <v>225.17</v>
      </c>
      <c r="N628" s="38">
        <v>191.73</v>
      </c>
      <c r="O628" s="38">
        <v>164.73</v>
      </c>
      <c r="P628" s="38">
        <v>156.32</v>
      </c>
      <c r="Q628" s="38">
        <v>159.71</v>
      </c>
      <c r="R628" s="38">
        <v>166.16</v>
      </c>
      <c r="S628" s="38">
        <v>171.41</v>
      </c>
      <c r="T628" s="38">
        <v>178.7</v>
      </c>
      <c r="U628" s="38">
        <v>185.42</v>
      </c>
      <c r="V628" s="38">
        <v>179.31</v>
      </c>
      <c r="W628" s="38">
        <v>181.85</v>
      </c>
      <c r="X628" s="38">
        <v>179.45</v>
      </c>
      <c r="Y628" s="38">
        <v>170.84</v>
      </c>
      <c r="Z628" s="38">
        <v>146.31</v>
      </c>
      <c r="AA628" s="38">
        <v>133.32</v>
      </c>
      <c r="AB628" s="38">
        <v>130.88999999999999</v>
      </c>
      <c r="AC628" s="38">
        <v>127.8</v>
      </c>
      <c r="AD628" s="38">
        <v>123.5</v>
      </c>
      <c r="AE628" s="38">
        <v>127.49</v>
      </c>
      <c r="AF628" s="38">
        <v>132.75</v>
      </c>
      <c r="AG628" s="38">
        <v>140.75</v>
      </c>
      <c r="AH628" s="38">
        <v>144.65</v>
      </c>
      <c r="AI628" s="38">
        <v>137.38</v>
      </c>
      <c r="AJ628" s="38">
        <v>135.38</v>
      </c>
      <c r="AK628" s="38">
        <v>128.38</v>
      </c>
      <c r="AL628" s="38">
        <v>106.68</v>
      </c>
      <c r="AM628" s="38">
        <v>98.68</v>
      </c>
      <c r="AN628" s="38">
        <v>93.51</v>
      </c>
      <c r="AO628" s="38">
        <v>93.19</v>
      </c>
      <c r="AP628" s="38">
        <v>91.51</v>
      </c>
      <c r="AQ628" s="38">
        <v>96.51</v>
      </c>
      <c r="AR628" s="38">
        <v>114.94</v>
      </c>
      <c r="AS628" s="38">
        <v>115.94</v>
      </c>
      <c r="AT628" s="38">
        <v>114.51</v>
      </c>
      <c r="AU628" s="38">
        <v>104.1</v>
      </c>
      <c r="AV628" s="38">
        <v>103.26</v>
      </c>
      <c r="AW628" s="38">
        <v>99.06</v>
      </c>
      <c r="AX628" s="38">
        <v>87.82</v>
      </c>
      <c r="AY628" s="38">
        <v>83.63</v>
      </c>
      <c r="BA628" s="37">
        <v>113.22</v>
      </c>
      <c r="BB628" s="38">
        <v>1.2488999999999999</v>
      </c>
    </row>
    <row r="629" spans="1:54" x14ac:dyDescent="0.35">
      <c r="A629" s="2">
        <f t="shared" si="9"/>
        <v>44701</v>
      </c>
      <c r="B629" t="s">
        <v>671</v>
      </c>
      <c r="C629" s="32">
        <v>44701</v>
      </c>
      <c r="D629" s="38">
        <v>147.96</v>
      </c>
      <c r="E629" s="38">
        <v>167.52</v>
      </c>
      <c r="F629" s="38">
        <v>187.3</v>
      </c>
      <c r="G629" s="38">
        <v>214.1</v>
      </c>
      <c r="H629" s="38">
        <v>213.92</v>
      </c>
      <c r="I629" s="38">
        <v>229.8</v>
      </c>
      <c r="J629" s="38">
        <v>236.84</v>
      </c>
      <c r="K629" s="38">
        <v>238.92</v>
      </c>
      <c r="L629" s="38">
        <v>238.73</v>
      </c>
      <c r="M629" s="38">
        <v>216.83</v>
      </c>
      <c r="N629" s="38">
        <v>191.53</v>
      </c>
      <c r="O629" s="38">
        <v>166.28</v>
      </c>
      <c r="P629" s="38">
        <v>156.4</v>
      </c>
      <c r="Q629" s="38">
        <v>159.31</v>
      </c>
      <c r="R629" s="38">
        <v>165.66</v>
      </c>
      <c r="S629" s="38">
        <v>170.85</v>
      </c>
      <c r="T629" s="38">
        <v>179.24</v>
      </c>
      <c r="U629" s="38">
        <v>186.25</v>
      </c>
      <c r="V629" s="38">
        <v>179.89</v>
      </c>
      <c r="W629" s="38">
        <v>182.1</v>
      </c>
      <c r="X629" s="38">
        <v>180.31</v>
      </c>
      <c r="Y629" s="38">
        <v>171.67</v>
      </c>
      <c r="Z629" s="38">
        <v>148.27000000000001</v>
      </c>
      <c r="AA629" s="38">
        <v>133.88</v>
      </c>
      <c r="AB629" s="38">
        <v>131.71</v>
      </c>
      <c r="AC629" s="38">
        <v>129.41</v>
      </c>
      <c r="AD629" s="38">
        <v>125.11</v>
      </c>
      <c r="AE629" s="38">
        <v>129.19999999999999</v>
      </c>
      <c r="AF629" s="38">
        <v>133.99</v>
      </c>
      <c r="AG629" s="38">
        <v>141.85</v>
      </c>
      <c r="AH629" s="38">
        <v>145.9</v>
      </c>
      <c r="AI629" s="38">
        <v>138.80000000000001</v>
      </c>
      <c r="AJ629" s="38">
        <v>136.96</v>
      </c>
      <c r="AK629" s="38">
        <v>130</v>
      </c>
      <c r="AL629" s="38">
        <v>108.3</v>
      </c>
      <c r="AM629" s="38">
        <v>100.3</v>
      </c>
      <c r="AN629" s="38">
        <v>95.13</v>
      </c>
      <c r="AO629" s="38">
        <v>94.81</v>
      </c>
      <c r="AP629" s="38">
        <v>93.13</v>
      </c>
      <c r="AQ629" s="38">
        <v>97.88</v>
      </c>
      <c r="AR629" s="38">
        <v>116.31</v>
      </c>
      <c r="AS629" s="38">
        <v>117.31</v>
      </c>
      <c r="AT629" s="38">
        <v>115.88</v>
      </c>
      <c r="AU629" s="38">
        <v>105.47</v>
      </c>
      <c r="AV629" s="38">
        <v>104.63</v>
      </c>
      <c r="AW629" s="38">
        <v>100.43</v>
      </c>
      <c r="AX629" s="38">
        <v>89.19</v>
      </c>
      <c r="AY629" s="38">
        <v>85</v>
      </c>
      <c r="BA629" s="37">
        <v>113.63</v>
      </c>
      <c r="BB629" s="38">
        <v>1.2465999999999999</v>
      </c>
    </row>
    <row r="630" spans="1:54" x14ac:dyDescent="0.35">
      <c r="A630" s="2">
        <f t="shared" si="9"/>
        <v>44704</v>
      </c>
      <c r="B630" t="s">
        <v>672</v>
      </c>
      <c r="C630" s="32">
        <v>44704</v>
      </c>
      <c r="D630" s="38">
        <v>135.03</v>
      </c>
      <c r="E630" s="38">
        <v>155.96</v>
      </c>
      <c r="F630" s="38">
        <v>176.96</v>
      </c>
      <c r="G630" s="38">
        <v>201.46</v>
      </c>
      <c r="H630" s="38">
        <v>204.67</v>
      </c>
      <c r="I630" s="38">
        <v>222.02</v>
      </c>
      <c r="J630" s="38">
        <v>229.94</v>
      </c>
      <c r="K630" s="38">
        <v>231.41</v>
      </c>
      <c r="L630" s="38">
        <v>230.26</v>
      </c>
      <c r="M630" s="38">
        <v>208.97</v>
      </c>
      <c r="N630" s="38">
        <v>184.97</v>
      </c>
      <c r="O630" s="38">
        <v>160.9</v>
      </c>
      <c r="P630" s="38">
        <v>150.78</v>
      </c>
      <c r="Q630" s="38">
        <v>153.47999999999999</v>
      </c>
      <c r="R630" s="38">
        <v>159.82</v>
      </c>
      <c r="S630" s="38">
        <v>165.15</v>
      </c>
      <c r="T630" s="38">
        <v>174.15</v>
      </c>
      <c r="U630" s="38">
        <v>181.28</v>
      </c>
      <c r="V630" s="38">
        <v>175.3</v>
      </c>
      <c r="W630" s="38">
        <v>177.04</v>
      </c>
      <c r="X630" s="38">
        <v>175.91</v>
      </c>
      <c r="Y630" s="38">
        <v>167.5</v>
      </c>
      <c r="Z630" s="38">
        <v>145.26</v>
      </c>
      <c r="AA630" s="38">
        <v>130.47</v>
      </c>
      <c r="AB630" s="38">
        <v>128.22999999999999</v>
      </c>
      <c r="AC630" s="38">
        <v>125.91</v>
      </c>
      <c r="AD630" s="38">
        <v>121.59</v>
      </c>
      <c r="AE630" s="38">
        <v>126.32</v>
      </c>
      <c r="AF630" s="38">
        <v>131.18</v>
      </c>
      <c r="AG630" s="38">
        <v>139.04</v>
      </c>
      <c r="AH630" s="38">
        <v>143.06</v>
      </c>
      <c r="AI630" s="38">
        <v>136.04</v>
      </c>
      <c r="AJ630" s="38">
        <v>134.16999999999999</v>
      </c>
      <c r="AK630" s="38">
        <v>127.19</v>
      </c>
      <c r="AL630" s="38">
        <v>108.68</v>
      </c>
      <c r="AM630" s="38">
        <v>102.66</v>
      </c>
      <c r="AN630" s="38">
        <v>97.47</v>
      </c>
      <c r="AO630" s="38">
        <v>97.13</v>
      </c>
      <c r="AP630" s="38">
        <v>95.44</v>
      </c>
      <c r="AQ630" s="38">
        <v>100.17</v>
      </c>
      <c r="AR630" s="38">
        <v>117.16</v>
      </c>
      <c r="AS630" s="38">
        <v>118.05</v>
      </c>
      <c r="AT630" s="38">
        <v>116.61</v>
      </c>
      <c r="AU630" s="38">
        <v>106.19</v>
      </c>
      <c r="AV630" s="38">
        <v>105.34</v>
      </c>
      <c r="AW630" s="38">
        <v>101.22</v>
      </c>
      <c r="AX630" s="38">
        <v>90.45</v>
      </c>
      <c r="AY630" s="38">
        <v>86.34</v>
      </c>
      <c r="BA630" s="37">
        <v>115.13</v>
      </c>
      <c r="BB630" s="38">
        <v>1.2571000000000001</v>
      </c>
    </row>
    <row r="631" spans="1:54" x14ac:dyDescent="0.35">
      <c r="A631" s="2">
        <f t="shared" si="9"/>
        <v>44705</v>
      </c>
      <c r="B631" t="s">
        <v>673</v>
      </c>
      <c r="C631" s="32">
        <v>44705</v>
      </c>
      <c r="D631" s="38">
        <v>136.66999999999999</v>
      </c>
      <c r="E631" s="38">
        <v>161.76</v>
      </c>
      <c r="F631" s="38">
        <v>182.46</v>
      </c>
      <c r="G631" s="38">
        <v>205.12</v>
      </c>
      <c r="H631" s="38">
        <v>208.99</v>
      </c>
      <c r="I631" s="38">
        <v>230.66</v>
      </c>
      <c r="J631" s="38">
        <v>238.69</v>
      </c>
      <c r="K631" s="38">
        <v>239.44</v>
      </c>
      <c r="L631" s="38">
        <v>238.34</v>
      </c>
      <c r="M631" s="38">
        <v>216.84</v>
      </c>
      <c r="N631" s="38">
        <v>189.11</v>
      </c>
      <c r="O631" s="38">
        <v>163.97</v>
      </c>
      <c r="P631" s="38">
        <v>154.97</v>
      </c>
      <c r="Q631" s="38">
        <v>156.15</v>
      </c>
      <c r="R631" s="38">
        <v>162.47999999999999</v>
      </c>
      <c r="S631" s="38">
        <v>167.81</v>
      </c>
      <c r="T631" s="38">
        <v>177.85</v>
      </c>
      <c r="U631" s="38">
        <v>185.04</v>
      </c>
      <c r="V631" s="38">
        <v>179.06</v>
      </c>
      <c r="W631" s="38">
        <v>180.75</v>
      </c>
      <c r="X631" s="38">
        <v>179.6</v>
      </c>
      <c r="Y631" s="38">
        <v>171.1</v>
      </c>
      <c r="Z631" s="38">
        <v>149.77000000000001</v>
      </c>
      <c r="AA631" s="38">
        <v>134.75</v>
      </c>
      <c r="AB631" s="38">
        <v>132.41999999999999</v>
      </c>
      <c r="AC631" s="38">
        <v>130.33000000000001</v>
      </c>
      <c r="AD631" s="38">
        <v>125.9</v>
      </c>
      <c r="AE631" s="38">
        <v>130.78</v>
      </c>
      <c r="AF631" s="38">
        <v>135.03</v>
      </c>
      <c r="AG631" s="38">
        <v>142.97999999999999</v>
      </c>
      <c r="AH631" s="38">
        <v>146.63</v>
      </c>
      <c r="AI631" s="38">
        <v>140.04</v>
      </c>
      <c r="AJ631" s="38">
        <v>138.66999999999999</v>
      </c>
      <c r="AK631" s="38">
        <v>132.26</v>
      </c>
      <c r="AL631" s="38">
        <v>115.34</v>
      </c>
      <c r="AM631" s="38">
        <v>109.48</v>
      </c>
      <c r="AN631" s="38">
        <v>103.48</v>
      </c>
      <c r="AO631" s="38">
        <v>102.48</v>
      </c>
      <c r="AP631" s="38">
        <v>100.48</v>
      </c>
      <c r="AQ631" s="38">
        <v>104.48</v>
      </c>
      <c r="AR631" s="38">
        <v>119.48</v>
      </c>
      <c r="AS631" s="38">
        <v>120.37</v>
      </c>
      <c r="AT631" s="38">
        <v>118.93</v>
      </c>
      <c r="AU631" s="38">
        <v>108.51</v>
      </c>
      <c r="AV631" s="38">
        <v>107.66</v>
      </c>
      <c r="AW631" s="38">
        <v>102.76</v>
      </c>
      <c r="AX631" s="38">
        <v>89.44</v>
      </c>
      <c r="AY631" s="38">
        <v>84.73</v>
      </c>
      <c r="BA631" s="37">
        <v>115.77</v>
      </c>
      <c r="BB631" s="38">
        <v>1.2524999999999999</v>
      </c>
    </row>
    <row r="632" spans="1:54" x14ac:dyDescent="0.35">
      <c r="A632" s="2">
        <f t="shared" si="9"/>
        <v>44706</v>
      </c>
      <c r="B632" t="s">
        <v>674</v>
      </c>
      <c r="C632" s="32">
        <v>44706</v>
      </c>
      <c r="D632" s="38">
        <v>148.88</v>
      </c>
      <c r="E632" s="38">
        <v>172.88</v>
      </c>
      <c r="F632" s="38">
        <v>192.91</v>
      </c>
      <c r="G632" s="38">
        <v>216.93</v>
      </c>
      <c r="H632" s="38">
        <v>221.4</v>
      </c>
      <c r="I632" s="38">
        <v>241.42</v>
      </c>
      <c r="J632" s="38">
        <v>248.57</v>
      </c>
      <c r="K632" s="38">
        <v>248.96</v>
      </c>
      <c r="L632" s="38">
        <v>247.96</v>
      </c>
      <c r="M632" s="38">
        <v>227.22</v>
      </c>
      <c r="N632" s="38">
        <v>195.28</v>
      </c>
      <c r="O632" s="38">
        <v>168.5</v>
      </c>
      <c r="P632" s="38">
        <v>159.36000000000001</v>
      </c>
      <c r="Q632" s="38">
        <v>160.79</v>
      </c>
      <c r="R632" s="38">
        <v>166.68</v>
      </c>
      <c r="S632" s="38">
        <v>171.85</v>
      </c>
      <c r="T632" s="38">
        <v>182.13</v>
      </c>
      <c r="U632" s="38">
        <v>189.39</v>
      </c>
      <c r="V632" s="38">
        <v>183.47</v>
      </c>
      <c r="W632" s="38">
        <v>184.92</v>
      </c>
      <c r="X632" s="38">
        <v>183.62</v>
      </c>
      <c r="Y632" s="38">
        <v>174.69</v>
      </c>
      <c r="Z632" s="38">
        <v>153.02000000000001</v>
      </c>
      <c r="AA632" s="38">
        <v>137.91999999999999</v>
      </c>
      <c r="AB632" s="38">
        <v>135.41</v>
      </c>
      <c r="AC632" s="38">
        <v>133.34</v>
      </c>
      <c r="AD632" s="38">
        <v>128.91</v>
      </c>
      <c r="AE632" s="38">
        <v>133.79</v>
      </c>
      <c r="AF632" s="38">
        <v>137.29</v>
      </c>
      <c r="AG632" s="38">
        <v>145.29</v>
      </c>
      <c r="AH632" s="38">
        <v>148.91</v>
      </c>
      <c r="AI632" s="38">
        <v>142.34</v>
      </c>
      <c r="AJ632" s="38">
        <v>141.27000000000001</v>
      </c>
      <c r="AK632" s="38">
        <v>134.86000000000001</v>
      </c>
      <c r="AL632" s="38">
        <v>117</v>
      </c>
      <c r="AM632" s="38">
        <v>111.01</v>
      </c>
      <c r="AN632" s="38">
        <v>105.01</v>
      </c>
      <c r="AO632" s="38">
        <v>104.01</v>
      </c>
      <c r="AP632" s="38">
        <v>102.01</v>
      </c>
      <c r="AQ632" s="38">
        <v>106.36</v>
      </c>
      <c r="AR632" s="38">
        <v>120.76</v>
      </c>
      <c r="AS632" s="38">
        <v>122.24</v>
      </c>
      <c r="AT632" s="38">
        <v>120.87</v>
      </c>
      <c r="AU632" s="38">
        <v>111.18</v>
      </c>
      <c r="AV632" s="38">
        <v>110.33</v>
      </c>
      <c r="AW632" s="38">
        <v>105.43</v>
      </c>
      <c r="AX632" s="38">
        <v>91.22</v>
      </c>
      <c r="AY632" s="38">
        <v>86.51</v>
      </c>
      <c r="BA632" s="37">
        <v>116.41</v>
      </c>
      <c r="BB632" s="38">
        <v>1.2544999999999999</v>
      </c>
    </row>
    <row r="633" spans="1:54" x14ac:dyDescent="0.35">
      <c r="A633" s="2">
        <f t="shared" si="9"/>
        <v>44707</v>
      </c>
      <c r="B633" t="s">
        <v>675</v>
      </c>
      <c r="C633" s="32">
        <v>44707</v>
      </c>
      <c r="D633" s="38">
        <v>144.44999999999999</v>
      </c>
      <c r="E633" s="38">
        <v>167.45</v>
      </c>
      <c r="F633" s="38">
        <v>187.25</v>
      </c>
      <c r="G633" s="38">
        <v>213.5</v>
      </c>
      <c r="H633" s="38">
        <v>218.08</v>
      </c>
      <c r="I633" s="38">
        <v>239.18</v>
      </c>
      <c r="J633" s="38">
        <v>247.18</v>
      </c>
      <c r="K633" s="38">
        <v>247.4</v>
      </c>
      <c r="L633" s="38">
        <v>245.97</v>
      </c>
      <c r="M633" s="38">
        <v>225.07</v>
      </c>
      <c r="N633" s="38">
        <v>196.34</v>
      </c>
      <c r="O633" s="38">
        <v>169.63</v>
      </c>
      <c r="P633" s="38">
        <v>161.62</v>
      </c>
      <c r="Q633" s="38">
        <v>163.16999999999999</v>
      </c>
      <c r="R633" s="38">
        <v>169.02</v>
      </c>
      <c r="S633" s="38">
        <v>174.03</v>
      </c>
      <c r="T633" s="38">
        <v>182.07</v>
      </c>
      <c r="U633" s="38">
        <v>188.72</v>
      </c>
      <c r="V633" s="38">
        <v>183.8</v>
      </c>
      <c r="W633" s="38">
        <v>185.37</v>
      </c>
      <c r="X633" s="38">
        <v>184.07</v>
      </c>
      <c r="Y633" s="38">
        <v>175.12</v>
      </c>
      <c r="Z633" s="38">
        <v>152.66</v>
      </c>
      <c r="AA633" s="38">
        <v>137.5</v>
      </c>
      <c r="AB633" s="38">
        <v>134.99</v>
      </c>
      <c r="AC633" s="38">
        <v>131.99</v>
      </c>
      <c r="AD633" s="38">
        <v>126.99</v>
      </c>
      <c r="AE633" s="38">
        <v>130.99</v>
      </c>
      <c r="AF633" s="38">
        <v>133.80000000000001</v>
      </c>
      <c r="AG633" s="38">
        <v>141.80000000000001</v>
      </c>
      <c r="AH633" s="38">
        <v>145.41999999999999</v>
      </c>
      <c r="AI633" s="38">
        <v>138.85</v>
      </c>
      <c r="AJ633" s="38">
        <v>137.78</v>
      </c>
      <c r="AK633" s="38">
        <v>131.37</v>
      </c>
      <c r="AL633" s="38">
        <v>113.82</v>
      </c>
      <c r="AM633" s="38">
        <v>107.83</v>
      </c>
      <c r="AN633" s="38">
        <v>101.83</v>
      </c>
      <c r="AO633" s="38">
        <v>100.83</v>
      </c>
      <c r="AP633" s="38">
        <v>98.83</v>
      </c>
      <c r="AQ633" s="38">
        <v>103.18</v>
      </c>
      <c r="AR633" s="38">
        <v>117.44</v>
      </c>
      <c r="AS633" s="38">
        <v>118.92</v>
      </c>
      <c r="AT633" s="38">
        <v>117.55</v>
      </c>
      <c r="AU633" s="38">
        <v>108.53</v>
      </c>
      <c r="AV633" s="38">
        <v>107.68</v>
      </c>
      <c r="AW633" s="38">
        <v>102.78</v>
      </c>
      <c r="AX633" s="38">
        <v>88.58</v>
      </c>
      <c r="AY633" s="38">
        <v>83.52</v>
      </c>
      <c r="BA633" s="37">
        <v>119.81</v>
      </c>
      <c r="BB633" s="38">
        <v>1.2573000000000001</v>
      </c>
    </row>
    <row r="634" spans="1:54" x14ac:dyDescent="0.35">
      <c r="A634" s="2">
        <f t="shared" si="9"/>
        <v>44708</v>
      </c>
      <c r="B634" t="s">
        <v>676</v>
      </c>
      <c r="C634" s="32">
        <v>44708</v>
      </c>
      <c r="D634" s="38">
        <v>153.36000000000001</v>
      </c>
      <c r="E634" s="38">
        <v>171.61</v>
      </c>
      <c r="F634" s="38">
        <v>191.51</v>
      </c>
      <c r="G634" s="38">
        <v>216.34</v>
      </c>
      <c r="H634" s="38">
        <v>221.29</v>
      </c>
      <c r="I634" s="38">
        <v>248.23</v>
      </c>
      <c r="J634" s="38">
        <v>257.17</v>
      </c>
      <c r="K634" s="38">
        <v>256.79000000000002</v>
      </c>
      <c r="L634" s="38">
        <v>255.61</v>
      </c>
      <c r="M634" s="38">
        <v>235.11</v>
      </c>
      <c r="N634" s="38">
        <v>199.1</v>
      </c>
      <c r="O634" s="38">
        <v>171.98</v>
      </c>
      <c r="P634" s="38">
        <v>163.34</v>
      </c>
      <c r="Q634" s="38">
        <v>164.69</v>
      </c>
      <c r="R634" s="38">
        <v>170.35</v>
      </c>
      <c r="S634" s="38">
        <v>175.93</v>
      </c>
      <c r="T634" s="38">
        <v>184.53</v>
      </c>
      <c r="U634" s="38">
        <v>191.39</v>
      </c>
      <c r="V634" s="38">
        <v>186.86</v>
      </c>
      <c r="W634" s="38">
        <v>186.82</v>
      </c>
      <c r="X634" s="38">
        <v>185.32</v>
      </c>
      <c r="Y634" s="38">
        <v>176.13</v>
      </c>
      <c r="Z634" s="38">
        <v>153.68</v>
      </c>
      <c r="AA634" s="38">
        <v>138.52000000000001</v>
      </c>
      <c r="AB634" s="38">
        <v>136.01</v>
      </c>
      <c r="AC634" s="38">
        <v>132.94</v>
      </c>
      <c r="AD634" s="38">
        <v>127.84</v>
      </c>
      <c r="AE634" s="38">
        <v>131.84</v>
      </c>
      <c r="AF634" s="38">
        <v>133.53</v>
      </c>
      <c r="AG634" s="38">
        <v>140.38999999999999</v>
      </c>
      <c r="AH634" s="38">
        <v>144.01</v>
      </c>
      <c r="AI634" s="38">
        <v>138.11000000000001</v>
      </c>
      <c r="AJ634" s="38">
        <v>137.04</v>
      </c>
      <c r="AK634" s="38">
        <v>130.63</v>
      </c>
      <c r="AL634" s="38">
        <v>113.46</v>
      </c>
      <c r="AM634" s="38">
        <v>107.47</v>
      </c>
      <c r="AN634" s="38">
        <v>101.47</v>
      </c>
      <c r="AO634" s="38">
        <v>100.47</v>
      </c>
      <c r="AP634" s="38">
        <v>98.47</v>
      </c>
      <c r="AQ634" s="38">
        <v>102.82</v>
      </c>
      <c r="AR634" s="38">
        <v>117.45</v>
      </c>
      <c r="AS634" s="38">
        <v>118.93</v>
      </c>
      <c r="AT634" s="38">
        <v>117.56</v>
      </c>
      <c r="AU634" s="38">
        <v>108.54</v>
      </c>
      <c r="AV634" s="38">
        <v>107.69</v>
      </c>
      <c r="AW634" s="38">
        <v>102.79</v>
      </c>
      <c r="AX634" s="38">
        <v>88.59</v>
      </c>
      <c r="AY634" s="38">
        <v>83.53</v>
      </c>
      <c r="BA634" s="37">
        <v>121.19</v>
      </c>
      <c r="BB634" s="38">
        <v>1.2615000000000001</v>
      </c>
    </row>
    <row r="635" spans="1:54" x14ac:dyDescent="0.35">
      <c r="A635" s="2">
        <f t="shared" si="9"/>
        <v>44711</v>
      </c>
      <c r="B635" t="s">
        <v>677</v>
      </c>
      <c r="C635" s="32">
        <v>44711</v>
      </c>
      <c r="D635" s="38">
        <v>165.91</v>
      </c>
      <c r="E635" s="38">
        <v>181.13</v>
      </c>
      <c r="F635" s="38">
        <v>198.74</v>
      </c>
      <c r="G635" s="38">
        <v>223.18</v>
      </c>
      <c r="H635" s="38">
        <v>223.68</v>
      </c>
      <c r="I635" s="38">
        <v>249.18</v>
      </c>
      <c r="J635" s="38">
        <v>258.43</v>
      </c>
      <c r="K635" s="38">
        <v>258.23</v>
      </c>
      <c r="L635" s="38">
        <v>257.61</v>
      </c>
      <c r="M635" s="38">
        <v>236.31</v>
      </c>
      <c r="N635" s="38">
        <v>201.81</v>
      </c>
      <c r="O635" s="38">
        <v>176.31</v>
      </c>
      <c r="P635" s="38">
        <v>167.31</v>
      </c>
      <c r="Q635" s="38">
        <v>167.54</v>
      </c>
      <c r="R635" s="38">
        <v>172.27</v>
      </c>
      <c r="S635" s="38">
        <v>177.27</v>
      </c>
      <c r="T635" s="38">
        <v>185.9</v>
      </c>
      <c r="U635" s="38">
        <v>192.7</v>
      </c>
      <c r="V635" s="38">
        <v>188.14</v>
      </c>
      <c r="W635" s="38">
        <v>187.33</v>
      </c>
      <c r="X635" s="38">
        <v>185.81</v>
      </c>
      <c r="Y635" s="38">
        <v>176.61</v>
      </c>
      <c r="Z635" s="38">
        <v>154.03</v>
      </c>
      <c r="AA635" s="38">
        <v>138.85</v>
      </c>
      <c r="AB635" s="38">
        <v>136.32</v>
      </c>
      <c r="AC635" s="38">
        <v>133.32</v>
      </c>
      <c r="AD635" s="38">
        <v>128.21</v>
      </c>
      <c r="AE635" s="38">
        <v>132.19</v>
      </c>
      <c r="AF635" s="38">
        <v>134.09</v>
      </c>
      <c r="AG635" s="38">
        <v>140.91999999999999</v>
      </c>
      <c r="AH635" s="38">
        <v>144.5</v>
      </c>
      <c r="AI635" s="38">
        <v>138.52000000000001</v>
      </c>
      <c r="AJ635" s="38">
        <v>137.36000000000001</v>
      </c>
      <c r="AK635" s="38">
        <v>130.86000000000001</v>
      </c>
      <c r="AL635" s="38">
        <v>113.93</v>
      </c>
      <c r="AM635" s="38">
        <v>107.94</v>
      </c>
      <c r="AN635" s="38">
        <v>101.94</v>
      </c>
      <c r="AO635" s="38">
        <v>100.94</v>
      </c>
      <c r="AP635" s="38">
        <v>98.94</v>
      </c>
      <c r="AQ635" s="38">
        <v>103.29</v>
      </c>
      <c r="AR635" s="38">
        <v>117.92</v>
      </c>
      <c r="AS635" s="38">
        <v>119.4</v>
      </c>
      <c r="AT635" s="38">
        <v>118.03</v>
      </c>
      <c r="AU635" s="38">
        <v>109.01</v>
      </c>
      <c r="AV635" s="38">
        <v>108.16</v>
      </c>
      <c r="AW635" s="38">
        <v>103.26</v>
      </c>
      <c r="AX635" s="38">
        <v>89.06</v>
      </c>
      <c r="AY635" s="38">
        <v>84</v>
      </c>
      <c r="BA635" s="37">
        <v>123.01</v>
      </c>
      <c r="BB635" s="38">
        <v>1.2647999999999999</v>
      </c>
    </row>
    <row r="636" spans="1:54" x14ac:dyDescent="0.35">
      <c r="A636" s="2">
        <f t="shared" si="9"/>
        <v>44712</v>
      </c>
      <c r="B636" t="s">
        <v>678</v>
      </c>
      <c r="C636" s="32">
        <v>44712</v>
      </c>
      <c r="D636" s="38">
        <v>183.71</v>
      </c>
      <c r="E636" s="38">
        <v>203.04</v>
      </c>
      <c r="F636" s="38">
        <v>228.25</v>
      </c>
      <c r="G636" s="38">
        <v>228.65</v>
      </c>
      <c r="H636" s="38">
        <v>253.66</v>
      </c>
      <c r="I636" s="38">
        <v>262.60000000000002</v>
      </c>
      <c r="J636" s="38">
        <v>262.19</v>
      </c>
      <c r="K636" s="38">
        <v>260.19</v>
      </c>
      <c r="L636" s="38">
        <v>239.69</v>
      </c>
      <c r="M636" s="38">
        <v>205.36</v>
      </c>
      <c r="N636" s="38">
        <v>182.3</v>
      </c>
      <c r="O636" s="38">
        <v>174.18</v>
      </c>
      <c r="P636" s="38">
        <v>174.42</v>
      </c>
      <c r="Q636" s="38">
        <v>179.06</v>
      </c>
      <c r="R636" s="38">
        <v>183.65</v>
      </c>
      <c r="S636" s="38">
        <v>192.2</v>
      </c>
      <c r="T636" s="38">
        <v>199.01</v>
      </c>
      <c r="U636" s="38">
        <v>194.45</v>
      </c>
      <c r="V636" s="38">
        <v>193.62</v>
      </c>
      <c r="W636" s="38">
        <v>192.42</v>
      </c>
      <c r="X636" s="38">
        <v>183.82</v>
      </c>
      <c r="Y636" s="38">
        <v>159.44</v>
      </c>
      <c r="Z636" s="38">
        <v>146.01</v>
      </c>
      <c r="AA636" s="38">
        <v>142.1</v>
      </c>
      <c r="AB636" s="38">
        <v>139.38</v>
      </c>
      <c r="AC636" s="38">
        <v>134.27000000000001</v>
      </c>
      <c r="AD636" s="38">
        <v>138.25</v>
      </c>
      <c r="AE636" s="38">
        <v>139.32</v>
      </c>
      <c r="AF636" s="38">
        <v>146.18</v>
      </c>
      <c r="AG636" s="38">
        <v>149.78</v>
      </c>
      <c r="AH636" s="38">
        <v>143.82</v>
      </c>
      <c r="AI636" s="38">
        <v>142.68</v>
      </c>
      <c r="AJ636" s="38">
        <v>136.22</v>
      </c>
      <c r="AK636" s="38">
        <v>119.94</v>
      </c>
      <c r="AL636" s="38">
        <v>113.95</v>
      </c>
      <c r="AM636" s="38">
        <v>107.95</v>
      </c>
      <c r="AN636" s="38">
        <v>106.95</v>
      </c>
      <c r="AO636" s="38">
        <v>104.95</v>
      </c>
      <c r="AP636" s="38">
        <v>109.3</v>
      </c>
      <c r="AQ636" s="38">
        <v>121.94</v>
      </c>
      <c r="AR636" s="38">
        <v>123.42</v>
      </c>
      <c r="AS636" s="38">
        <v>122.05</v>
      </c>
      <c r="AT636" s="38">
        <v>113.03</v>
      </c>
      <c r="AU636" s="38">
        <v>112.17</v>
      </c>
      <c r="AV636" s="38">
        <v>107.28</v>
      </c>
      <c r="AW636" s="38">
        <v>92.67</v>
      </c>
      <c r="AX636" s="38">
        <v>87.61</v>
      </c>
      <c r="AY636" s="38">
        <v>85.96</v>
      </c>
      <c r="BA636" s="37">
        <v>125.53</v>
      </c>
      <c r="BB636" s="38">
        <v>1.2601</v>
      </c>
    </row>
    <row r="637" spans="1:54" x14ac:dyDescent="0.35">
      <c r="A637" s="2">
        <f t="shared" si="9"/>
        <v>44713</v>
      </c>
      <c r="B637" t="s">
        <v>679</v>
      </c>
      <c r="C637" s="32">
        <v>44713</v>
      </c>
      <c r="D637" s="38">
        <v>159.84</v>
      </c>
      <c r="E637" s="38">
        <v>180.61</v>
      </c>
      <c r="F637" s="38">
        <v>209.61</v>
      </c>
      <c r="G637" s="38">
        <v>213.91</v>
      </c>
      <c r="H637" s="38">
        <v>241.91</v>
      </c>
      <c r="I637" s="38">
        <v>251.09</v>
      </c>
      <c r="J637" s="38">
        <v>252.5</v>
      </c>
      <c r="K637" s="38">
        <v>253.51</v>
      </c>
      <c r="L637" s="38">
        <v>237.26</v>
      </c>
      <c r="M637" s="38">
        <v>205.03</v>
      </c>
      <c r="N637" s="38">
        <v>181.03</v>
      </c>
      <c r="O637" s="38">
        <v>173.03</v>
      </c>
      <c r="P637" s="38">
        <v>173.25</v>
      </c>
      <c r="Q637" s="38">
        <v>177.84</v>
      </c>
      <c r="R637" s="38">
        <v>182.27</v>
      </c>
      <c r="S637" s="38">
        <v>192.92</v>
      </c>
      <c r="T637" s="38">
        <v>200.17</v>
      </c>
      <c r="U637" s="38">
        <v>195.65</v>
      </c>
      <c r="V637" s="38">
        <v>194.88</v>
      </c>
      <c r="W637" s="38">
        <v>191.79</v>
      </c>
      <c r="X637" s="38">
        <v>181.57</v>
      </c>
      <c r="Y637" s="38">
        <v>158.88999999999999</v>
      </c>
      <c r="Z637" s="38">
        <v>145.24</v>
      </c>
      <c r="AA637" s="38">
        <v>141.27000000000001</v>
      </c>
      <c r="AB637" s="38">
        <v>138.69</v>
      </c>
      <c r="AC637" s="38">
        <v>133.49</v>
      </c>
      <c r="AD637" s="38">
        <v>137.35</v>
      </c>
      <c r="AE637" s="38">
        <v>139.12</v>
      </c>
      <c r="AF637" s="38">
        <v>145.97</v>
      </c>
      <c r="AG637" s="38">
        <v>149.59</v>
      </c>
      <c r="AH637" s="38">
        <v>144.05000000000001</v>
      </c>
      <c r="AI637" s="38">
        <v>142.91</v>
      </c>
      <c r="AJ637" s="38">
        <v>136.44999999999999</v>
      </c>
      <c r="AK637" s="38">
        <v>119.75</v>
      </c>
      <c r="AL637" s="38">
        <v>113.76</v>
      </c>
      <c r="AM637" s="38">
        <v>107.76</v>
      </c>
      <c r="AN637" s="38">
        <v>106.76</v>
      </c>
      <c r="AO637" s="38">
        <v>104.76</v>
      </c>
      <c r="AP637" s="38">
        <v>109.1</v>
      </c>
      <c r="AQ637" s="38">
        <v>121.55</v>
      </c>
      <c r="AR637" s="38">
        <v>122.85</v>
      </c>
      <c r="AS637" s="38">
        <v>121.34</v>
      </c>
      <c r="AT637" s="38">
        <v>112.2</v>
      </c>
      <c r="AU637" s="38">
        <v>111.22</v>
      </c>
      <c r="AV637" s="38">
        <v>106.22</v>
      </c>
      <c r="AW637" s="38">
        <v>92.57</v>
      </c>
      <c r="AX637" s="38">
        <v>87.51</v>
      </c>
      <c r="AY637" s="38">
        <v>85.86</v>
      </c>
      <c r="BA637" s="37">
        <v>122.2</v>
      </c>
      <c r="BB637" s="38">
        <v>1.2496</v>
      </c>
    </row>
    <row r="638" spans="1:54" x14ac:dyDescent="0.35">
      <c r="A638" s="2">
        <f t="shared" si="9"/>
        <v>44714</v>
      </c>
      <c r="B638" t="s">
        <v>680</v>
      </c>
      <c r="C638" s="32">
        <v>44714</v>
      </c>
      <c r="D638" s="38">
        <v>159.84</v>
      </c>
      <c r="E638" s="38">
        <v>180.61</v>
      </c>
      <c r="F638" s="38">
        <v>209.61</v>
      </c>
      <c r="G638" s="38">
        <v>213.91</v>
      </c>
      <c r="H638" s="38">
        <v>241.91</v>
      </c>
      <c r="I638" s="38">
        <v>251.09</v>
      </c>
      <c r="J638" s="38">
        <v>252.5</v>
      </c>
      <c r="K638" s="38">
        <v>253.51</v>
      </c>
      <c r="L638" s="38">
        <v>237.26</v>
      </c>
      <c r="M638" s="38">
        <v>205.03</v>
      </c>
      <c r="N638" s="38">
        <v>181.03</v>
      </c>
      <c r="O638" s="38">
        <v>173.03</v>
      </c>
      <c r="P638" s="38">
        <v>173.25</v>
      </c>
      <c r="Q638" s="38">
        <v>177.84</v>
      </c>
      <c r="R638" s="38">
        <v>182.27</v>
      </c>
      <c r="S638" s="38">
        <v>192.92</v>
      </c>
      <c r="T638" s="38">
        <v>200.17</v>
      </c>
      <c r="U638" s="38">
        <v>195.65</v>
      </c>
      <c r="V638" s="38">
        <v>194.88</v>
      </c>
      <c r="W638" s="38">
        <v>191.79</v>
      </c>
      <c r="X638" s="38">
        <v>181.57</v>
      </c>
      <c r="Y638" s="38">
        <v>158.88999999999999</v>
      </c>
      <c r="Z638" s="38">
        <v>145.24</v>
      </c>
      <c r="AA638" s="38">
        <v>141.27000000000001</v>
      </c>
      <c r="AB638" s="38">
        <v>138.69</v>
      </c>
      <c r="AC638" s="38">
        <v>133.49</v>
      </c>
      <c r="AD638" s="38">
        <v>137.35</v>
      </c>
      <c r="AE638" s="38">
        <v>139.12</v>
      </c>
      <c r="AF638" s="38">
        <v>145.97</v>
      </c>
      <c r="AG638" s="38">
        <v>149.59</v>
      </c>
      <c r="AH638" s="38">
        <v>144.05000000000001</v>
      </c>
      <c r="AI638" s="38">
        <v>142.91</v>
      </c>
      <c r="AJ638" s="38">
        <v>136.44999999999999</v>
      </c>
      <c r="AK638" s="38">
        <v>119.75</v>
      </c>
      <c r="AL638" s="38">
        <v>113.76</v>
      </c>
      <c r="AM638" s="38">
        <v>107.76</v>
      </c>
      <c r="AN638" s="38">
        <v>106.76</v>
      </c>
      <c r="AO638" s="38">
        <v>104.76</v>
      </c>
      <c r="AP638" s="38">
        <v>109.1</v>
      </c>
      <c r="AQ638" s="38">
        <v>121.55</v>
      </c>
      <c r="AR638" s="38">
        <v>122.85</v>
      </c>
      <c r="AS638" s="38">
        <v>121.34</v>
      </c>
      <c r="AT638" s="38">
        <v>112.2</v>
      </c>
      <c r="AU638" s="38">
        <v>111.22</v>
      </c>
      <c r="AV638" s="38">
        <v>106.22</v>
      </c>
      <c r="AW638" s="38">
        <v>92.57</v>
      </c>
      <c r="AX638" s="38">
        <v>87.51</v>
      </c>
      <c r="AY638" s="38">
        <v>85.86</v>
      </c>
      <c r="BA638" s="37" t="e">
        <v>#N/A</v>
      </c>
      <c r="BB638" s="38" t="e">
        <v>#N/A</v>
      </c>
    </row>
    <row r="639" spans="1:54" x14ac:dyDescent="0.35">
      <c r="A639" s="2">
        <f t="shared" si="9"/>
        <v>44715</v>
      </c>
      <c r="B639" t="s">
        <v>681</v>
      </c>
      <c r="C639" s="32">
        <v>44715</v>
      </c>
      <c r="D639" s="38">
        <v>159.84</v>
      </c>
      <c r="E639" s="38">
        <v>180.61</v>
      </c>
      <c r="F639" s="38">
        <v>209.61</v>
      </c>
      <c r="G639" s="38">
        <v>213.91</v>
      </c>
      <c r="H639" s="38">
        <v>241.91</v>
      </c>
      <c r="I639" s="38">
        <v>251.09</v>
      </c>
      <c r="J639" s="38">
        <v>252.5</v>
      </c>
      <c r="K639" s="38">
        <v>253.51</v>
      </c>
      <c r="L639" s="38">
        <v>237.26</v>
      </c>
      <c r="M639" s="38">
        <v>205.03</v>
      </c>
      <c r="N639" s="38">
        <v>181.03</v>
      </c>
      <c r="O639" s="38">
        <v>173.03</v>
      </c>
      <c r="P639" s="38">
        <v>173.25</v>
      </c>
      <c r="Q639" s="38">
        <v>177.84</v>
      </c>
      <c r="R639" s="38">
        <v>182.27</v>
      </c>
      <c r="S639" s="38">
        <v>192.92</v>
      </c>
      <c r="T639" s="38">
        <v>200.17</v>
      </c>
      <c r="U639" s="38">
        <v>195.65</v>
      </c>
      <c r="V639" s="38">
        <v>194.88</v>
      </c>
      <c r="W639" s="38">
        <v>191.79</v>
      </c>
      <c r="X639" s="38">
        <v>181.57</v>
      </c>
      <c r="Y639" s="38">
        <v>158.88999999999999</v>
      </c>
      <c r="Z639" s="38">
        <v>145.24</v>
      </c>
      <c r="AA639" s="38">
        <v>141.27000000000001</v>
      </c>
      <c r="AB639" s="38">
        <v>138.69</v>
      </c>
      <c r="AC639" s="38">
        <v>133.49</v>
      </c>
      <c r="AD639" s="38">
        <v>137.35</v>
      </c>
      <c r="AE639" s="38">
        <v>139.12</v>
      </c>
      <c r="AF639" s="38">
        <v>145.97</v>
      </c>
      <c r="AG639" s="38">
        <v>149.59</v>
      </c>
      <c r="AH639" s="38">
        <v>144.05000000000001</v>
      </c>
      <c r="AI639" s="38">
        <v>142.91</v>
      </c>
      <c r="AJ639" s="38">
        <v>136.44999999999999</v>
      </c>
      <c r="AK639" s="38">
        <v>119.75</v>
      </c>
      <c r="AL639" s="38">
        <v>113.76</v>
      </c>
      <c r="AM639" s="38">
        <v>107.76</v>
      </c>
      <c r="AN639" s="38">
        <v>106.76</v>
      </c>
      <c r="AO639" s="38">
        <v>104.76</v>
      </c>
      <c r="AP639" s="38">
        <v>109.1</v>
      </c>
      <c r="AQ639" s="38">
        <v>121.55</v>
      </c>
      <c r="AR639" s="38">
        <v>122.85</v>
      </c>
      <c r="AS639" s="38">
        <v>121.34</v>
      </c>
      <c r="AT639" s="38">
        <v>112.2</v>
      </c>
      <c r="AU639" s="38">
        <v>111.22</v>
      </c>
      <c r="AV639" s="38">
        <v>106.22</v>
      </c>
      <c r="AW639" s="38">
        <v>92.57</v>
      </c>
      <c r="AX639" s="38">
        <v>87.51</v>
      </c>
      <c r="AY639" s="38">
        <v>85.86</v>
      </c>
      <c r="BA639" s="37">
        <v>125.68</v>
      </c>
      <c r="BB639" s="38" t="e">
        <v>#N/A</v>
      </c>
    </row>
    <row r="640" spans="1:54" x14ac:dyDescent="0.35">
      <c r="A640" s="2">
        <f t="shared" si="9"/>
        <v>44718</v>
      </c>
      <c r="B640" t="s">
        <v>682</v>
      </c>
      <c r="C640" s="32">
        <v>44718</v>
      </c>
      <c r="D640" s="38">
        <v>150.66999999999999</v>
      </c>
      <c r="E640" s="38">
        <v>174.21</v>
      </c>
      <c r="F640" s="38">
        <v>206.35</v>
      </c>
      <c r="G640" s="38">
        <v>211.36</v>
      </c>
      <c r="H640" s="38">
        <v>239.36</v>
      </c>
      <c r="I640" s="38">
        <v>249.86</v>
      </c>
      <c r="J640" s="38">
        <v>251.91</v>
      </c>
      <c r="K640" s="38">
        <v>252.54</v>
      </c>
      <c r="L640" s="38">
        <v>232.6</v>
      </c>
      <c r="M640" s="38">
        <v>206.93</v>
      </c>
      <c r="N640" s="38">
        <v>188</v>
      </c>
      <c r="O640" s="38">
        <v>180.01</v>
      </c>
      <c r="P640" s="38">
        <v>179.94</v>
      </c>
      <c r="Q640" s="38">
        <v>184.53</v>
      </c>
      <c r="R640" s="38">
        <v>188.96</v>
      </c>
      <c r="S640" s="38">
        <v>199.08</v>
      </c>
      <c r="T640" s="38">
        <v>206.3</v>
      </c>
      <c r="U640" s="38">
        <v>202.04</v>
      </c>
      <c r="V640" s="38">
        <v>202.05</v>
      </c>
      <c r="W640" s="38">
        <v>199.6</v>
      </c>
      <c r="X640" s="38">
        <v>189.38</v>
      </c>
      <c r="Y640" s="38">
        <v>166.39</v>
      </c>
      <c r="Z640" s="38">
        <v>152.25</v>
      </c>
      <c r="AA640" s="38">
        <v>148.28</v>
      </c>
      <c r="AB640" s="38">
        <v>145.69999999999999</v>
      </c>
      <c r="AC640" s="38">
        <v>140.5</v>
      </c>
      <c r="AD640" s="38">
        <v>144.36000000000001</v>
      </c>
      <c r="AE640" s="38">
        <v>146.13</v>
      </c>
      <c r="AF640" s="38">
        <v>152.97999999999999</v>
      </c>
      <c r="AG640" s="38">
        <v>156.6</v>
      </c>
      <c r="AH640" s="38">
        <v>151.06</v>
      </c>
      <c r="AI640" s="38">
        <v>149.91999999999999</v>
      </c>
      <c r="AJ640" s="38">
        <v>143.46</v>
      </c>
      <c r="AK640" s="38">
        <v>125.81</v>
      </c>
      <c r="AL640" s="38">
        <v>119.82</v>
      </c>
      <c r="AM640" s="38">
        <v>113.82</v>
      </c>
      <c r="AN640" s="38">
        <v>112.82</v>
      </c>
      <c r="AO640" s="38">
        <v>110.82</v>
      </c>
      <c r="AP640" s="38">
        <v>115.16</v>
      </c>
      <c r="AQ640" s="38">
        <v>127.61</v>
      </c>
      <c r="AR640" s="38">
        <v>128.91</v>
      </c>
      <c r="AS640" s="38">
        <v>127.4</v>
      </c>
      <c r="AT640" s="38">
        <v>118.26</v>
      </c>
      <c r="AU640" s="38">
        <v>117.28</v>
      </c>
      <c r="AV640" s="38">
        <v>111.24</v>
      </c>
      <c r="AW640" s="38">
        <v>97.59</v>
      </c>
      <c r="AX640" s="38">
        <v>92.53</v>
      </c>
      <c r="AY640" s="38">
        <v>90.88</v>
      </c>
      <c r="BA640" s="37">
        <v>124.99</v>
      </c>
      <c r="BB640" s="38">
        <v>1.2557</v>
      </c>
    </row>
    <row r="641" spans="1:54" x14ac:dyDescent="0.35">
      <c r="A641" s="2">
        <f t="shared" si="9"/>
        <v>44719</v>
      </c>
      <c r="B641" t="s">
        <v>683</v>
      </c>
      <c r="C641" s="32">
        <v>44719</v>
      </c>
      <c r="D641" s="38">
        <v>136.29</v>
      </c>
      <c r="E641" s="38">
        <v>165.85</v>
      </c>
      <c r="F641" s="38">
        <v>198.85</v>
      </c>
      <c r="G641" s="38">
        <v>206.33</v>
      </c>
      <c r="H641" s="38">
        <v>234.37</v>
      </c>
      <c r="I641" s="38">
        <v>247.22</v>
      </c>
      <c r="J641" s="38">
        <v>248.28</v>
      </c>
      <c r="K641" s="38">
        <v>248.43</v>
      </c>
      <c r="L641" s="38">
        <v>228.03</v>
      </c>
      <c r="M641" s="38">
        <v>204</v>
      </c>
      <c r="N641" s="38">
        <v>184.57</v>
      </c>
      <c r="O641" s="38">
        <v>175.99</v>
      </c>
      <c r="P641" s="38">
        <v>176.4</v>
      </c>
      <c r="Q641" s="38">
        <v>180.14</v>
      </c>
      <c r="R641" s="38">
        <v>184.23</v>
      </c>
      <c r="S641" s="38">
        <v>194.05</v>
      </c>
      <c r="T641" s="38">
        <v>200.12</v>
      </c>
      <c r="U641" s="38">
        <v>196.7</v>
      </c>
      <c r="V641" s="38">
        <v>197.15</v>
      </c>
      <c r="W641" s="38">
        <v>195.27</v>
      </c>
      <c r="X641" s="38">
        <v>185.1</v>
      </c>
      <c r="Y641" s="38">
        <v>163.61000000000001</v>
      </c>
      <c r="Z641" s="38">
        <v>149.72999999999999</v>
      </c>
      <c r="AA641" s="38">
        <v>145.26</v>
      </c>
      <c r="AB641" s="38">
        <v>141.94</v>
      </c>
      <c r="AC641" s="38">
        <v>136.74</v>
      </c>
      <c r="AD641" s="38">
        <v>140.99</v>
      </c>
      <c r="AE641" s="38">
        <v>143.59</v>
      </c>
      <c r="AF641" s="38">
        <v>149.94999999999999</v>
      </c>
      <c r="AG641" s="38">
        <v>153.57</v>
      </c>
      <c r="AH641" s="38">
        <v>149.03</v>
      </c>
      <c r="AI641" s="38">
        <v>147.88999999999999</v>
      </c>
      <c r="AJ641" s="38">
        <v>141.43</v>
      </c>
      <c r="AK641" s="38">
        <v>124.01</v>
      </c>
      <c r="AL641" s="38">
        <v>118.02</v>
      </c>
      <c r="AM641" s="38">
        <v>112.02</v>
      </c>
      <c r="AN641" s="38">
        <v>111.02</v>
      </c>
      <c r="AO641" s="38">
        <v>109.02</v>
      </c>
      <c r="AP641" s="38">
        <v>113.36</v>
      </c>
      <c r="AQ641" s="38">
        <v>125.81</v>
      </c>
      <c r="AR641" s="38">
        <v>127.11</v>
      </c>
      <c r="AS641" s="38">
        <v>125.6</v>
      </c>
      <c r="AT641" s="38">
        <v>116.63</v>
      </c>
      <c r="AU641" s="38">
        <v>115.65</v>
      </c>
      <c r="AV641" s="38">
        <v>109.61</v>
      </c>
      <c r="AW641" s="38">
        <v>96.93</v>
      </c>
      <c r="AX641" s="38">
        <v>91.87</v>
      </c>
      <c r="AY641" s="38">
        <v>90.22</v>
      </c>
      <c r="BA641" s="37">
        <v>126.89</v>
      </c>
      <c r="BB641" s="38">
        <v>1.258</v>
      </c>
    </row>
    <row r="642" spans="1:54" x14ac:dyDescent="0.35">
      <c r="A642" s="2">
        <f t="shared" si="9"/>
        <v>44720</v>
      </c>
      <c r="B642" t="s">
        <v>684</v>
      </c>
      <c r="C642" s="32">
        <v>44720</v>
      </c>
      <c r="D642" s="38">
        <v>129.88999999999999</v>
      </c>
      <c r="E642" s="38">
        <v>160.88999999999999</v>
      </c>
      <c r="F642" s="38">
        <v>191.63</v>
      </c>
      <c r="G642" s="38">
        <v>205.17</v>
      </c>
      <c r="H642" s="38">
        <v>233.07</v>
      </c>
      <c r="I642" s="38">
        <v>246.34</v>
      </c>
      <c r="J642" s="38">
        <v>248.38</v>
      </c>
      <c r="K642" s="38">
        <v>249.17</v>
      </c>
      <c r="L642" s="38">
        <v>229.14</v>
      </c>
      <c r="M642" s="38">
        <v>203.05</v>
      </c>
      <c r="N642" s="38">
        <v>182.9</v>
      </c>
      <c r="O642" s="38">
        <v>173.87</v>
      </c>
      <c r="P642" s="38">
        <v>174.2</v>
      </c>
      <c r="Q642" s="38">
        <v>178.39</v>
      </c>
      <c r="R642" s="38">
        <v>182.61</v>
      </c>
      <c r="S642" s="38">
        <v>192.63</v>
      </c>
      <c r="T642" s="38">
        <v>198.83</v>
      </c>
      <c r="U642" s="38">
        <v>196.09</v>
      </c>
      <c r="V642" s="38">
        <v>197.27</v>
      </c>
      <c r="W642" s="38">
        <v>195.41</v>
      </c>
      <c r="X642" s="38">
        <v>185.26</v>
      </c>
      <c r="Y642" s="38">
        <v>165.36</v>
      </c>
      <c r="Z642" s="38">
        <v>151.47999999999999</v>
      </c>
      <c r="AA642" s="38">
        <v>147.01</v>
      </c>
      <c r="AB642" s="38">
        <v>143.69</v>
      </c>
      <c r="AC642" s="38">
        <v>138.49</v>
      </c>
      <c r="AD642" s="38">
        <v>142.93</v>
      </c>
      <c r="AE642" s="38">
        <v>145.72</v>
      </c>
      <c r="AF642" s="38">
        <v>152.19</v>
      </c>
      <c r="AG642" s="38">
        <v>155.81</v>
      </c>
      <c r="AH642" s="38">
        <v>151.27000000000001</v>
      </c>
      <c r="AI642" s="38">
        <v>150.13</v>
      </c>
      <c r="AJ642" s="38">
        <v>143.66999999999999</v>
      </c>
      <c r="AK642" s="38">
        <v>125.72</v>
      </c>
      <c r="AL642" s="38">
        <v>118.67</v>
      </c>
      <c r="AM642" s="38">
        <v>112.67</v>
      </c>
      <c r="AN642" s="38">
        <v>111.67</v>
      </c>
      <c r="AO642" s="38">
        <v>109.67</v>
      </c>
      <c r="AP642" s="38">
        <v>114.01</v>
      </c>
      <c r="AQ642" s="38">
        <v>126.46</v>
      </c>
      <c r="AR642" s="38">
        <v>127.76</v>
      </c>
      <c r="AS642" s="38">
        <v>126.25</v>
      </c>
      <c r="AT642" s="38">
        <v>117.28</v>
      </c>
      <c r="AU642" s="38">
        <v>116.3</v>
      </c>
      <c r="AV642" s="38">
        <v>110.26</v>
      </c>
      <c r="AW642" s="38">
        <v>97.58</v>
      </c>
      <c r="AX642" s="38">
        <v>92.52</v>
      </c>
      <c r="AY642" s="38">
        <v>90.87</v>
      </c>
      <c r="BA642" s="37">
        <v>129.19999999999999</v>
      </c>
      <c r="BB642" s="38">
        <v>1.2548999999999999</v>
      </c>
    </row>
    <row r="643" spans="1:54" x14ac:dyDescent="0.35">
      <c r="A643" s="2">
        <f t="shared" si="9"/>
        <v>44721</v>
      </c>
      <c r="B643" t="s">
        <v>685</v>
      </c>
      <c r="C643" s="32">
        <v>44721</v>
      </c>
      <c r="D643" s="38">
        <v>150.61000000000001</v>
      </c>
      <c r="E643" s="38">
        <v>177.93</v>
      </c>
      <c r="F643" s="38">
        <v>204.47</v>
      </c>
      <c r="G643" s="38">
        <v>213</v>
      </c>
      <c r="H643" s="38">
        <v>240.5</v>
      </c>
      <c r="I643" s="38">
        <v>253.56</v>
      </c>
      <c r="J643" s="38">
        <v>253.86</v>
      </c>
      <c r="K643" s="38">
        <v>255.01</v>
      </c>
      <c r="L643" s="38">
        <v>235.83</v>
      </c>
      <c r="M643" s="38">
        <v>204.73</v>
      </c>
      <c r="N643" s="38">
        <v>182.1</v>
      </c>
      <c r="O643" s="38">
        <v>172.99</v>
      </c>
      <c r="P643" s="38">
        <v>173.74</v>
      </c>
      <c r="Q643" s="38">
        <v>177.74</v>
      </c>
      <c r="R643" s="38">
        <v>181.74</v>
      </c>
      <c r="S643" s="38">
        <v>192.42</v>
      </c>
      <c r="T643" s="38">
        <v>198.75</v>
      </c>
      <c r="U643" s="38">
        <v>196.32</v>
      </c>
      <c r="V643" s="38">
        <v>197.81</v>
      </c>
      <c r="W643" s="38">
        <v>195.94</v>
      </c>
      <c r="X643" s="38">
        <v>185.79</v>
      </c>
      <c r="Y643" s="38">
        <v>166.46</v>
      </c>
      <c r="Z643" s="38">
        <v>152.58000000000001</v>
      </c>
      <c r="AA643" s="38">
        <v>148.11000000000001</v>
      </c>
      <c r="AB643" s="38">
        <v>144.79</v>
      </c>
      <c r="AC643" s="38">
        <v>139.59</v>
      </c>
      <c r="AD643" s="38">
        <v>144.03</v>
      </c>
      <c r="AE643" s="38">
        <v>147.19</v>
      </c>
      <c r="AF643" s="38">
        <v>153.66</v>
      </c>
      <c r="AG643" s="38">
        <v>157.28</v>
      </c>
      <c r="AH643" s="38">
        <v>151.29</v>
      </c>
      <c r="AI643" s="38">
        <v>150.15</v>
      </c>
      <c r="AJ643" s="38">
        <v>143.69</v>
      </c>
      <c r="AK643" s="38">
        <v>125.9</v>
      </c>
      <c r="AL643" s="38">
        <v>118.85</v>
      </c>
      <c r="AM643" s="38">
        <v>112.85</v>
      </c>
      <c r="AN643" s="38">
        <v>111.85</v>
      </c>
      <c r="AO643" s="38">
        <v>109.85</v>
      </c>
      <c r="AP643" s="38">
        <v>114.19</v>
      </c>
      <c r="AQ643" s="38">
        <v>126.72</v>
      </c>
      <c r="AR643" s="38">
        <v>128.02000000000001</v>
      </c>
      <c r="AS643" s="38">
        <v>126.51</v>
      </c>
      <c r="AT643" s="38">
        <v>117.54</v>
      </c>
      <c r="AU643" s="38">
        <v>116.15</v>
      </c>
      <c r="AV643" s="38">
        <v>109.85</v>
      </c>
      <c r="AW643" s="38">
        <v>96.85</v>
      </c>
      <c r="AX643" s="38">
        <v>89.85</v>
      </c>
      <c r="AY643" s="38">
        <v>87.85</v>
      </c>
      <c r="BA643" s="37">
        <v>128.47</v>
      </c>
      <c r="BB643" s="38">
        <v>1.254</v>
      </c>
    </row>
    <row r="644" spans="1:54" x14ac:dyDescent="0.35">
      <c r="A644" s="2">
        <f t="shared" si="9"/>
        <v>44722</v>
      </c>
      <c r="B644" t="s">
        <v>686</v>
      </c>
      <c r="C644" s="32">
        <v>44722</v>
      </c>
      <c r="D644" s="38">
        <v>146.24</v>
      </c>
      <c r="E644" s="38">
        <v>179.51</v>
      </c>
      <c r="F644" s="38">
        <v>206</v>
      </c>
      <c r="G644" s="38">
        <v>214.23</v>
      </c>
      <c r="H644" s="38">
        <v>240.02</v>
      </c>
      <c r="I644" s="38">
        <v>253.42</v>
      </c>
      <c r="J644" s="38">
        <v>252.2</v>
      </c>
      <c r="K644" s="38">
        <v>253.23</v>
      </c>
      <c r="L644" s="38">
        <v>234.44</v>
      </c>
      <c r="M644" s="38">
        <v>205.14</v>
      </c>
      <c r="N644" s="38">
        <v>183.41</v>
      </c>
      <c r="O644" s="38">
        <v>174.53</v>
      </c>
      <c r="P644" s="38">
        <v>174.89</v>
      </c>
      <c r="Q644" s="38">
        <v>178.76</v>
      </c>
      <c r="R644" s="38">
        <v>182.61</v>
      </c>
      <c r="S644" s="38">
        <v>192.36</v>
      </c>
      <c r="T644" s="38">
        <v>198.69</v>
      </c>
      <c r="U644" s="38">
        <v>196.69</v>
      </c>
      <c r="V644" s="38">
        <v>198.08</v>
      </c>
      <c r="W644" s="38">
        <v>196.01</v>
      </c>
      <c r="X644" s="38">
        <v>185.5</v>
      </c>
      <c r="Y644" s="38">
        <v>165.86</v>
      </c>
      <c r="Z644" s="38">
        <v>152.03</v>
      </c>
      <c r="AA644" s="38">
        <v>147.61000000000001</v>
      </c>
      <c r="AB644" s="38">
        <v>144.35</v>
      </c>
      <c r="AC644" s="38">
        <v>139.22999999999999</v>
      </c>
      <c r="AD644" s="38">
        <v>144.05000000000001</v>
      </c>
      <c r="AE644" s="38">
        <v>147.53</v>
      </c>
      <c r="AF644" s="38">
        <v>154</v>
      </c>
      <c r="AG644" s="38">
        <v>157.62</v>
      </c>
      <c r="AH644" s="38">
        <v>151.63999999999999</v>
      </c>
      <c r="AI644" s="38">
        <v>150.5</v>
      </c>
      <c r="AJ644" s="38">
        <v>144.04</v>
      </c>
      <c r="AK644" s="38">
        <v>126.23</v>
      </c>
      <c r="AL644" s="38">
        <v>119.18</v>
      </c>
      <c r="AM644" s="38">
        <v>113.18</v>
      </c>
      <c r="AN644" s="38">
        <v>112.18</v>
      </c>
      <c r="AO644" s="38">
        <v>110.18</v>
      </c>
      <c r="AP644" s="38">
        <v>114.52</v>
      </c>
      <c r="AQ644" s="38">
        <v>127.37</v>
      </c>
      <c r="AR644" s="38">
        <v>128.66</v>
      </c>
      <c r="AS644" s="38">
        <v>127.16</v>
      </c>
      <c r="AT644" s="38">
        <v>118.19</v>
      </c>
      <c r="AU644" s="38">
        <v>116.8</v>
      </c>
      <c r="AV644" s="38">
        <v>110.5</v>
      </c>
      <c r="AW644" s="38">
        <v>97.5</v>
      </c>
      <c r="AX644" s="38">
        <v>90.5</v>
      </c>
      <c r="AY644" s="38">
        <v>88.5</v>
      </c>
      <c r="BA644" s="37">
        <v>127.44</v>
      </c>
      <c r="BB644" s="38">
        <v>1.2342</v>
      </c>
    </row>
    <row r="645" spans="1:54" x14ac:dyDescent="0.35">
      <c r="A645" s="2">
        <f t="shared" si="9"/>
        <v>44725</v>
      </c>
      <c r="B645" t="s">
        <v>687</v>
      </c>
      <c r="C645" s="32">
        <v>44725</v>
      </c>
      <c r="D645" s="38">
        <v>153.71</v>
      </c>
      <c r="E645" s="38">
        <v>181.71</v>
      </c>
      <c r="F645" s="38">
        <v>207.51</v>
      </c>
      <c r="G645" s="38">
        <v>215.21</v>
      </c>
      <c r="H645" s="38">
        <v>242.19</v>
      </c>
      <c r="I645" s="38">
        <v>253.21</v>
      </c>
      <c r="J645" s="38">
        <v>253.93</v>
      </c>
      <c r="K645" s="38">
        <v>255.03</v>
      </c>
      <c r="L645" s="38">
        <v>235.16</v>
      </c>
      <c r="M645" s="38">
        <v>206.78</v>
      </c>
      <c r="N645" s="38">
        <v>185.42</v>
      </c>
      <c r="O645" s="38">
        <v>176.2</v>
      </c>
      <c r="P645" s="38">
        <v>177.05</v>
      </c>
      <c r="Q645" s="38">
        <v>180.67</v>
      </c>
      <c r="R645" s="38">
        <v>184.26</v>
      </c>
      <c r="S645" s="38">
        <v>194.51</v>
      </c>
      <c r="T645" s="38">
        <v>200.88</v>
      </c>
      <c r="U645" s="38">
        <v>198.92</v>
      </c>
      <c r="V645" s="38">
        <v>200.32</v>
      </c>
      <c r="W645" s="38">
        <v>198.28</v>
      </c>
      <c r="X645" s="38">
        <v>187.82</v>
      </c>
      <c r="Y645" s="38">
        <v>168.36</v>
      </c>
      <c r="Z645" s="38">
        <v>154.53</v>
      </c>
      <c r="AA645" s="38">
        <v>150.15</v>
      </c>
      <c r="AB645" s="38">
        <v>146.01</v>
      </c>
      <c r="AC645" s="38">
        <v>140.91999999999999</v>
      </c>
      <c r="AD645" s="38">
        <v>145.77000000000001</v>
      </c>
      <c r="AE645" s="38">
        <v>149.88999999999999</v>
      </c>
      <c r="AF645" s="38">
        <v>155.94</v>
      </c>
      <c r="AG645" s="38">
        <v>159.69</v>
      </c>
      <c r="AH645" s="38">
        <v>154.11000000000001</v>
      </c>
      <c r="AI645" s="38">
        <v>152.97</v>
      </c>
      <c r="AJ645" s="38">
        <v>146.52000000000001</v>
      </c>
      <c r="AK645" s="38">
        <v>124.88</v>
      </c>
      <c r="AL645" s="38">
        <v>117.83</v>
      </c>
      <c r="AM645" s="38">
        <v>111.83</v>
      </c>
      <c r="AN645" s="38">
        <v>112.67</v>
      </c>
      <c r="AO645" s="38">
        <v>110.68</v>
      </c>
      <c r="AP645" s="38">
        <v>115.03</v>
      </c>
      <c r="AQ645" s="38">
        <v>128.76</v>
      </c>
      <c r="AR645" s="38">
        <v>130.05000000000001</v>
      </c>
      <c r="AS645" s="38">
        <v>128.55000000000001</v>
      </c>
      <c r="AT645" s="38">
        <v>117.5</v>
      </c>
      <c r="AU645" s="38">
        <v>116.11</v>
      </c>
      <c r="AV645" s="38">
        <v>109.82</v>
      </c>
      <c r="AW645" s="38">
        <v>96.99</v>
      </c>
      <c r="AX645" s="38">
        <v>89.99</v>
      </c>
      <c r="AY645" s="38">
        <v>88.02</v>
      </c>
      <c r="BA645" s="37">
        <v>128.44</v>
      </c>
      <c r="BB645" s="38">
        <v>1.2131000000000001</v>
      </c>
    </row>
    <row r="646" spans="1:54" x14ac:dyDescent="0.35">
      <c r="A646" s="2">
        <f t="shared" si="9"/>
        <v>44726</v>
      </c>
      <c r="B646" t="s">
        <v>688</v>
      </c>
      <c r="C646" s="32">
        <v>44726</v>
      </c>
      <c r="D646" s="38">
        <v>196.55</v>
      </c>
      <c r="E646" s="38">
        <v>221.35</v>
      </c>
      <c r="F646" s="38">
        <v>243.6</v>
      </c>
      <c r="G646" s="38">
        <v>247.66</v>
      </c>
      <c r="H646" s="38">
        <v>271.56</v>
      </c>
      <c r="I646" s="38">
        <v>282.29000000000002</v>
      </c>
      <c r="J646" s="38">
        <v>281.52</v>
      </c>
      <c r="K646" s="38">
        <v>281.11</v>
      </c>
      <c r="L646" s="38">
        <v>262.20999999999998</v>
      </c>
      <c r="M646" s="38">
        <v>217.66</v>
      </c>
      <c r="N646" s="38">
        <v>191.86</v>
      </c>
      <c r="O646" s="38">
        <v>182.67</v>
      </c>
      <c r="P646" s="38">
        <v>180.28</v>
      </c>
      <c r="Q646" s="38">
        <v>183.8</v>
      </c>
      <c r="R646" s="38">
        <v>186.88</v>
      </c>
      <c r="S646" s="38">
        <v>198.59</v>
      </c>
      <c r="T646" s="38">
        <v>204.4</v>
      </c>
      <c r="U646" s="38">
        <v>202.43</v>
      </c>
      <c r="V646" s="38">
        <v>203.43</v>
      </c>
      <c r="W646" s="38">
        <v>201.37</v>
      </c>
      <c r="X646" s="38">
        <v>190.86</v>
      </c>
      <c r="Y646" s="38">
        <v>171.39</v>
      </c>
      <c r="Z646" s="38">
        <v>157.56</v>
      </c>
      <c r="AA646" s="38">
        <v>153.13999999999999</v>
      </c>
      <c r="AB646" s="38">
        <v>148.56</v>
      </c>
      <c r="AC646" s="38">
        <v>143.44</v>
      </c>
      <c r="AD646" s="38">
        <v>148.26</v>
      </c>
      <c r="AE646" s="38">
        <v>152.85</v>
      </c>
      <c r="AF646" s="38">
        <v>159.05000000000001</v>
      </c>
      <c r="AG646" s="38">
        <v>162.83000000000001</v>
      </c>
      <c r="AH646" s="38">
        <v>155.97</v>
      </c>
      <c r="AI646" s="38">
        <v>154.83000000000001</v>
      </c>
      <c r="AJ646" s="38">
        <v>148.37</v>
      </c>
      <c r="AK646" s="38">
        <v>126.22</v>
      </c>
      <c r="AL646" s="38">
        <v>119.17</v>
      </c>
      <c r="AM646" s="38">
        <v>113.17</v>
      </c>
      <c r="AN646" s="38">
        <v>114.01</v>
      </c>
      <c r="AO646" s="38">
        <v>112.01</v>
      </c>
      <c r="AP646" s="38">
        <v>116.36</v>
      </c>
      <c r="AQ646" s="38">
        <v>129.80000000000001</v>
      </c>
      <c r="AR646" s="38">
        <v>131.09</v>
      </c>
      <c r="AS646" s="38">
        <v>129.59</v>
      </c>
      <c r="AT646" s="38">
        <v>118.54</v>
      </c>
      <c r="AU646" s="38">
        <v>117.15</v>
      </c>
      <c r="AV646" s="38">
        <v>110.85</v>
      </c>
      <c r="AW646" s="38">
        <v>96.91</v>
      </c>
      <c r="AX646" s="38">
        <v>89.91</v>
      </c>
      <c r="AY646" s="38">
        <v>87.92</v>
      </c>
      <c r="BA646" s="37">
        <v>127.02</v>
      </c>
      <c r="BB646" s="38">
        <v>1.2000999999999999</v>
      </c>
    </row>
    <row r="647" spans="1:54" x14ac:dyDescent="0.35">
      <c r="A647" s="2">
        <f t="shared" si="9"/>
        <v>44727</v>
      </c>
      <c r="B647" t="s">
        <v>689</v>
      </c>
      <c r="C647" s="32">
        <v>44727</v>
      </c>
      <c r="D647" s="38">
        <v>257.77999999999997</v>
      </c>
      <c r="E647" s="38">
        <v>272.7</v>
      </c>
      <c r="F647" s="38">
        <v>290.62</v>
      </c>
      <c r="G647" s="38">
        <v>291.93</v>
      </c>
      <c r="H647" s="38">
        <v>315.32</v>
      </c>
      <c r="I647" s="38">
        <v>324.77</v>
      </c>
      <c r="J647" s="38">
        <v>323.02</v>
      </c>
      <c r="K647" s="38">
        <v>321.61</v>
      </c>
      <c r="L647" s="38">
        <v>298.19</v>
      </c>
      <c r="M647" s="38">
        <v>231.31</v>
      </c>
      <c r="N647" s="38">
        <v>205.68</v>
      </c>
      <c r="O647" s="38">
        <v>195.91</v>
      </c>
      <c r="P647" s="38">
        <v>189.69</v>
      </c>
      <c r="Q647" s="38">
        <v>191.66</v>
      </c>
      <c r="R647" s="38">
        <v>194.69</v>
      </c>
      <c r="S647" s="38">
        <v>206.2</v>
      </c>
      <c r="T647" s="38">
        <v>212.06</v>
      </c>
      <c r="U647" s="38">
        <v>210.09</v>
      </c>
      <c r="V647" s="38">
        <v>210.59</v>
      </c>
      <c r="W647" s="38">
        <v>207.86</v>
      </c>
      <c r="X647" s="38">
        <v>196.53</v>
      </c>
      <c r="Y647" s="38">
        <v>175.95</v>
      </c>
      <c r="Z647" s="38">
        <v>161.94</v>
      </c>
      <c r="AA647" s="38">
        <v>156.99</v>
      </c>
      <c r="AB647" s="38">
        <v>152.76</v>
      </c>
      <c r="AC647" s="38">
        <v>146.79</v>
      </c>
      <c r="AD647" s="38">
        <v>150.83000000000001</v>
      </c>
      <c r="AE647" s="38">
        <v>154.68</v>
      </c>
      <c r="AF647" s="38">
        <v>160.91</v>
      </c>
      <c r="AG647" s="38">
        <v>164.72</v>
      </c>
      <c r="AH647" s="38">
        <v>158.61000000000001</v>
      </c>
      <c r="AI647" s="38">
        <v>157.62</v>
      </c>
      <c r="AJ647" s="38">
        <v>151.30000000000001</v>
      </c>
      <c r="AK647" s="38">
        <v>126.38</v>
      </c>
      <c r="AL647" s="38">
        <v>119.37</v>
      </c>
      <c r="AM647" s="38">
        <v>113.41</v>
      </c>
      <c r="AN647" s="38">
        <v>114.28</v>
      </c>
      <c r="AO647" s="38">
        <v>112.31</v>
      </c>
      <c r="AP647" s="38">
        <v>116.68</v>
      </c>
      <c r="AQ647" s="38">
        <v>133.54</v>
      </c>
      <c r="AR647" s="38">
        <v>134.84</v>
      </c>
      <c r="AS647" s="38">
        <v>133.34</v>
      </c>
      <c r="AT647" s="38">
        <v>123.42</v>
      </c>
      <c r="AU647" s="38">
        <v>122.03</v>
      </c>
      <c r="AV647" s="38">
        <v>115.73</v>
      </c>
      <c r="AW647" s="38">
        <v>101.79</v>
      </c>
      <c r="AX647" s="38">
        <v>94.79</v>
      </c>
      <c r="AY647" s="38">
        <v>92.81</v>
      </c>
      <c r="BA647" s="37">
        <v>124.96</v>
      </c>
      <c r="BB647" s="38">
        <v>1.2065999999999999</v>
      </c>
    </row>
    <row r="648" spans="1:54" x14ac:dyDescent="0.35">
      <c r="A648" s="2">
        <f t="shared" si="9"/>
        <v>44728</v>
      </c>
      <c r="B648" t="s">
        <v>690</v>
      </c>
      <c r="C648" s="32">
        <v>44728</v>
      </c>
      <c r="D648" s="38">
        <v>233.62</v>
      </c>
      <c r="E648" s="38">
        <v>268.52999999999997</v>
      </c>
      <c r="F648" s="38">
        <v>296.39</v>
      </c>
      <c r="G648" s="38">
        <v>300.95999999999998</v>
      </c>
      <c r="H648" s="38">
        <v>317.64</v>
      </c>
      <c r="I648" s="38">
        <v>325.89999999999998</v>
      </c>
      <c r="J648" s="38">
        <v>324.37</v>
      </c>
      <c r="K648" s="38">
        <v>318.18</v>
      </c>
      <c r="L648" s="38">
        <v>298.89999999999998</v>
      </c>
      <c r="M648" s="38">
        <v>241.19</v>
      </c>
      <c r="N648" s="38">
        <v>210.35</v>
      </c>
      <c r="O648" s="38">
        <v>197.72</v>
      </c>
      <c r="P648" s="38">
        <v>189.81</v>
      </c>
      <c r="Q648" s="38">
        <v>191.95</v>
      </c>
      <c r="R648" s="38">
        <v>197.68</v>
      </c>
      <c r="S648" s="38">
        <v>204.34</v>
      </c>
      <c r="T648" s="38">
        <v>211.92</v>
      </c>
      <c r="U648" s="38">
        <v>212.61</v>
      </c>
      <c r="V648" s="38">
        <v>213.8</v>
      </c>
      <c r="W648" s="38">
        <v>211.21</v>
      </c>
      <c r="X648" s="38">
        <v>199.1</v>
      </c>
      <c r="Y648" s="38">
        <v>173.98</v>
      </c>
      <c r="Z648" s="38">
        <v>159.12</v>
      </c>
      <c r="AA648" s="38">
        <v>154.29</v>
      </c>
      <c r="AB648" s="38">
        <v>150.16</v>
      </c>
      <c r="AC648" s="38">
        <v>144.32</v>
      </c>
      <c r="AD648" s="38">
        <v>148.52000000000001</v>
      </c>
      <c r="AE648" s="38">
        <v>152.1</v>
      </c>
      <c r="AF648" s="38">
        <v>157.93</v>
      </c>
      <c r="AG648" s="38">
        <v>161.41999999999999</v>
      </c>
      <c r="AH648" s="38">
        <v>154.91</v>
      </c>
      <c r="AI648" s="38">
        <v>153.63</v>
      </c>
      <c r="AJ648" s="38">
        <v>147.02000000000001</v>
      </c>
      <c r="AK648" s="38">
        <v>124.7</v>
      </c>
      <c r="AL648" s="38">
        <v>117.65</v>
      </c>
      <c r="AM648" s="38">
        <v>111.65</v>
      </c>
      <c r="AN648" s="38">
        <v>113.22</v>
      </c>
      <c r="AO648" s="38">
        <v>111.32</v>
      </c>
      <c r="AP648" s="38">
        <v>115.73</v>
      </c>
      <c r="AQ648" s="38">
        <v>132.59</v>
      </c>
      <c r="AR648" s="38">
        <v>133.88</v>
      </c>
      <c r="AS648" s="38">
        <v>132.38</v>
      </c>
      <c r="AT648" s="38">
        <v>122.48</v>
      </c>
      <c r="AU648" s="38">
        <v>121.09</v>
      </c>
      <c r="AV648" s="38">
        <v>114.79</v>
      </c>
      <c r="AW648" s="38">
        <v>100.85</v>
      </c>
      <c r="AX648" s="38">
        <v>93.96</v>
      </c>
      <c r="AY648" s="38">
        <v>92.05</v>
      </c>
      <c r="BA648" s="37">
        <v>125.78</v>
      </c>
      <c r="BB648" s="38">
        <v>1.2274</v>
      </c>
    </row>
    <row r="649" spans="1:54" x14ac:dyDescent="0.35">
      <c r="A649" s="2">
        <f t="shared" si="9"/>
        <v>44729</v>
      </c>
      <c r="B649" t="s">
        <v>691</v>
      </c>
      <c r="C649" s="32">
        <v>44729</v>
      </c>
      <c r="D649" s="38">
        <v>201.8</v>
      </c>
      <c r="E649" s="38">
        <v>241.5</v>
      </c>
      <c r="F649" s="38">
        <v>275.22000000000003</v>
      </c>
      <c r="G649" s="38">
        <v>278.07</v>
      </c>
      <c r="H649" s="38">
        <v>294.07</v>
      </c>
      <c r="I649" s="38">
        <v>303.07</v>
      </c>
      <c r="J649" s="38">
        <v>301.49</v>
      </c>
      <c r="K649" s="38">
        <v>296.49</v>
      </c>
      <c r="L649" s="38">
        <v>267.39999999999998</v>
      </c>
      <c r="M649" s="38">
        <v>228.9</v>
      </c>
      <c r="N649" s="38">
        <v>197.9</v>
      </c>
      <c r="O649" s="38">
        <v>187.82</v>
      </c>
      <c r="P649" s="38">
        <v>183.63</v>
      </c>
      <c r="Q649" s="38">
        <v>185.77</v>
      </c>
      <c r="R649" s="38">
        <v>190.87</v>
      </c>
      <c r="S649" s="38">
        <v>196.9</v>
      </c>
      <c r="T649" s="38">
        <v>204.53</v>
      </c>
      <c r="U649" s="38">
        <v>205.92</v>
      </c>
      <c r="V649" s="38">
        <v>206.7</v>
      </c>
      <c r="W649" s="38">
        <v>203.98</v>
      </c>
      <c r="X649" s="38">
        <v>192.03</v>
      </c>
      <c r="Y649" s="38">
        <v>167.03</v>
      </c>
      <c r="Z649" s="38">
        <v>152.06</v>
      </c>
      <c r="AA649" s="38">
        <v>147.08000000000001</v>
      </c>
      <c r="AB649" s="38">
        <v>142.83000000000001</v>
      </c>
      <c r="AC649" s="38">
        <v>136.82</v>
      </c>
      <c r="AD649" s="38">
        <v>141.07</v>
      </c>
      <c r="AE649" s="38">
        <v>145.46</v>
      </c>
      <c r="AF649" s="38">
        <v>151.29</v>
      </c>
      <c r="AG649" s="38">
        <v>154.78</v>
      </c>
      <c r="AH649" s="38">
        <v>148.05000000000001</v>
      </c>
      <c r="AI649" s="38">
        <v>146.77000000000001</v>
      </c>
      <c r="AJ649" s="38">
        <v>140.16</v>
      </c>
      <c r="AK649" s="38">
        <v>122.88</v>
      </c>
      <c r="AL649" s="38">
        <v>115.84</v>
      </c>
      <c r="AM649" s="38">
        <v>109.85</v>
      </c>
      <c r="AN649" s="38">
        <v>109.97</v>
      </c>
      <c r="AO649" s="38">
        <v>108.07</v>
      </c>
      <c r="AP649" s="38">
        <v>112.48</v>
      </c>
      <c r="AQ649" s="38">
        <v>141.08000000000001</v>
      </c>
      <c r="AR649" s="38">
        <v>142.37</v>
      </c>
      <c r="AS649" s="38">
        <v>140.87</v>
      </c>
      <c r="AT649" s="38">
        <v>127.04</v>
      </c>
      <c r="AU649" s="38">
        <v>125.65</v>
      </c>
      <c r="AV649" s="38">
        <v>119.35</v>
      </c>
      <c r="AW649" s="38">
        <v>105.54</v>
      </c>
      <c r="AX649" s="38">
        <v>98.65</v>
      </c>
      <c r="AY649" s="38">
        <v>96.74</v>
      </c>
      <c r="BA649" s="37">
        <v>119.22</v>
      </c>
      <c r="BB649" s="38">
        <v>1.2181999999999999</v>
      </c>
    </row>
    <row r="650" spans="1:54" x14ac:dyDescent="0.35">
      <c r="A650" s="2">
        <f t="shared" si="9"/>
        <v>44732</v>
      </c>
      <c r="B650" t="s">
        <v>692</v>
      </c>
      <c r="C650" s="32">
        <v>44732</v>
      </c>
      <c r="D650" s="38">
        <v>200.84</v>
      </c>
      <c r="E650" s="38">
        <v>238.69</v>
      </c>
      <c r="F650" s="38">
        <v>281.56</v>
      </c>
      <c r="G650" s="38">
        <v>289.70999999999998</v>
      </c>
      <c r="H650" s="38">
        <v>305.3</v>
      </c>
      <c r="I650" s="38">
        <v>311.20999999999998</v>
      </c>
      <c r="J650" s="38">
        <v>308.29000000000002</v>
      </c>
      <c r="K650" s="38">
        <v>302.89999999999998</v>
      </c>
      <c r="L650" s="38">
        <v>274.69</v>
      </c>
      <c r="M650" s="38">
        <v>231.71</v>
      </c>
      <c r="N650" s="38">
        <v>201.44</v>
      </c>
      <c r="O650" s="38">
        <v>190.12</v>
      </c>
      <c r="P650" s="38">
        <v>182.07</v>
      </c>
      <c r="Q650" s="38">
        <v>184.16</v>
      </c>
      <c r="R650" s="38">
        <v>189.4</v>
      </c>
      <c r="S650" s="38">
        <v>197.2</v>
      </c>
      <c r="T650" s="38">
        <v>205.79</v>
      </c>
      <c r="U650" s="38">
        <v>207.18</v>
      </c>
      <c r="V650" s="38">
        <v>207.84</v>
      </c>
      <c r="W650" s="38">
        <v>205.1</v>
      </c>
      <c r="X650" s="38">
        <v>189.93</v>
      </c>
      <c r="Y650" s="38">
        <v>162.85</v>
      </c>
      <c r="Z650" s="38">
        <v>147.97</v>
      </c>
      <c r="AA650" s="38">
        <v>143.1</v>
      </c>
      <c r="AB650" s="38">
        <v>138.91</v>
      </c>
      <c r="AC650" s="38">
        <v>132.97</v>
      </c>
      <c r="AD650" s="38">
        <v>137.28</v>
      </c>
      <c r="AE650" s="38">
        <v>144.5</v>
      </c>
      <c r="AF650" s="38">
        <v>150.34</v>
      </c>
      <c r="AG650" s="38">
        <v>153.83000000000001</v>
      </c>
      <c r="AH650" s="38">
        <v>147.24</v>
      </c>
      <c r="AI650" s="38">
        <v>146.38999999999999</v>
      </c>
      <c r="AJ650" s="38">
        <v>139.66999999999999</v>
      </c>
      <c r="AK650" s="38">
        <v>123.25</v>
      </c>
      <c r="AL650" s="38">
        <v>115.85</v>
      </c>
      <c r="AM650" s="38">
        <v>109.53</v>
      </c>
      <c r="AN650" s="38">
        <v>109.38</v>
      </c>
      <c r="AO650" s="38">
        <v>107.44</v>
      </c>
      <c r="AP650" s="38">
        <v>111.83</v>
      </c>
      <c r="AQ650" s="38">
        <v>131.49</v>
      </c>
      <c r="AR650" s="38">
        <v>130.49</v>
      </c>
      <c r="AS650" s="38">
        <v>129.36000000000001</v>
      </c>
      <c r="AT650" s="38">
        <v>115.93</v>
      </c>
      <c r="AU650" s="38">
        <v>114.54</v>
      </c>
      <c r="AV650" s="38">
        <v>108.24</v>
      </c>
      <c r="AW650" s="38">
        <v>96.25</v>
      </c>
      <c r="AX650" s="38">
        <v>89.36</v>
      </c>
      <c r="AY650" s="38">
        <v>87.45</v>
      </c>
      <c r="BA650" s="37">
        <v>118.25</v>
      </c>
      <c r="BB650" s="38">
        <v>1.2255</v>
      </c>
    </row>
    <row r="651" spans="1:54" x14ac:dyDescent="0.35">
      <c r="A651" s="2">
        <f t="shared" si="9"/>
        <v>44733</v>
      </c>
      <c r="B651" t="s">
        <v>693</v>
      </c>
      <c r="C651" s="32">
        <v>44733</v>
      </c>
      <c r="D651" s="38">
        <v>205.86</v>
      </c>
      <c r="E651" s="38">
        <v>250.54</v>
      </c>
      <c r="F651" s="38">
        <v>294.04000000000002</v>
      </c>
      <c r="G651" s="38">
        <v>302.19</v>
      </c>
      <c r="H651" s="38">
        <v>319.66000000000003</v>
      </c>
      <c r="I651" s="38">
        <v>324.68</v>
      </c>
      <c r="J651" s="38">
        <v>321.68</v>
      </c>
      <c r="K651" s="38">
        <v>316.33999999999997</v>
      </c>
      <c r="L651" s="38">
        <v>288.12</v>
      </c>
      <c r="M651" s="38">
        <v>240.42</v>
      </c>
      <c r="N651" s="38">
        <v>209.81</v>
      </c>
      <c r="O651" s="38">
        <v>198.56</v>
      </c>
      <c r="P651" s="38">
        <v>190.9</v>
      </c>
      <c r="Q651" s="38">
        <v>192.95</v>
      </c>
      <c r="R651" s="38">
        <v>198.08</v>
      </c>
      <c r="S651" s="38">
        <v>203.39</v>
      </c>
      <c r="T651" s="38">
        <v>210.36</v>
      </c>
      <c r="U651" s="38">
        <v>211.18</v>
      </c>
      <c r="V651" s="38">
        <v>213.29</v>
      </c>
      <c r="W651" s="38">
        <v>211.4</v>
      </c>
      <c r="X651" s="38">
        <v>196.22</v>
      </c>
      <c r="Y651" s="38">
        <v>168.46</v>
      </c>
      <c r="Z651" s="38">
        <v>153.79</v>
      </c>
      <c r="AA651" s="38">
        <v>149.09</v>
      </c>
      <c r="AB651" s="38">
        <v>145.1</v>
      </c>
      <c r="AC651" s="38">
        <v>139.25</v>
      </c>
      <c r="AD651" s="38">
        <v>143.62</v>
      </c>
      <c r="AE651" s="38">
        <v>149.78</v>
      </c>
      <c r="AF651" s="38">
        <v>155.61000000000001</v>
      </c>
      <c r="AG651" s="38">
        <v>159.1</v>
      </c>
      <c r="AH651" s="38">
        <v>152.16</v>
      </c>
      <c r="AI651" s="38">
        <v>151.31</v>
      </c>
      <c r="AJ651" s="38">
        <v>144.59</v>
      </c>
      <c r="AK651" s="38">
        <v>125.73</v>
      </c>
      <c r="AL651" s="38">
        <v>118.44</v>
      </c>
      <c r="AM651" s="38">
        <v>112.24</v>
      </c>
      <c r="AN651" s="38">
        <v>112.24</v>
      </c>
      <c r="AO651" s="38">
        <v>110.3</v>
      </c>
      <c r="AP651" s="38">
        <v>114.69</v>
      </c>
      <c r="AQ651" s="38">
        <v>134.16</v>
      </c>
      <c r="AR651" s="38">
        <v>133.16</v>
      </c>
      <c r="AS651" s="38">
        <v>132.03</v>
      </c>
      <c r="AT651" s="38">
        <v>118.6</v>
      </c>
      <c r="AU651" s="38">
        <v>117.22</v>
      </c>
      <c r="AV651" s="38">
        <v>110.91</v>
      </c>
      <c r="AW651" s="38">
        <v>103.17</v>
      </c>
      <c r="AX651" s="38">
        <v>96.29</v>
      </c>
      <c r="AY651" s="38">
        <v>94.39</v>
      </c>
      <c r="BA651" s="37">
        <v>118.51</v>
      </c>
      <c r="BB651" s="38">
        <v>1.2282</v>
      </c>
    </row>
    <row r="652" spans="1:54" x14ac:dyDescent="0.35">
      <c r="A652" s="2">
        <f t="shared" si="9"/>
        <v>44734</v>
      </c>
      <c r="B652" t="s">
        <v>694</v>
      </c>
      <c r="C652" s="32">
        <v>44734</v>
      </c>
      <c r="D652" s="38">
        <v>183.62</v>
      </c>
      <c r="E652" s="38">
        <v>236.84</v>
      </c>
      <c r="F652" s="38">
        <v>289.42</v>
      </c>
      <c r="G652" s="38">
        <v>306.66000000000003</v>
      </c>
      <c r="H652" s="38">
        <v>332</v>
      </c>
      <c r="I652" s="38">
        <v>338</v>
      </c>
      <c r="J652" s="38">
        <v>335</v>
      </c>
      <c r="K652" s="38">
        <v>331.86</v>
      </c>
      <c r="L652" s="38">
        <v>303.93</v>
      </c>
      <c r="M652" s="38">
        <v>241.28</v>
      </c>
      <c r="N652" s="38">
        <v>207.18</v>
      </c>
      <c r="O652" s="38">
        <v>196.08</v>
      </c>
      <c r="P652" s="38">
        <v>189.81</v>
      </c>
      <c r="Q652" s="38">
        <v>192.29</v>
      </c>
      <c r="R652" s="38">
        <v>197.84</v>
      </c>
      <c r="S652" s="38">
        <v>204.02</v>
      </c>
      <c r="T652" s="38">
        <v>210.99</v>
      </c>
      <c r="U652" s="38">
        <v>211.39</v>
      </c>
      <c r="V652" s="38">
        <v>211.64</v>
      </c>
      <c r="W652" s="38">
        <v>209.52</v>
      </c>
      <c r="X652" s="38">
        <v>194.44</v>
      </c>
      <c r="Y652" s="38">
        <v>166.98</v>
      </c>
      <c r="Z652" s="38">
        <v>152.88</v>
      </c>
      <c r="AA652" s="38">
        <v>148.13999999999999</v>
      </c>
      <c r="AB652" s="38">
        <v>144.12</v>
      </c>
      <c r="AC652" s="38">
        <v>138.25</v>
      </c>
      <c r="AD652" s="38">
        <v>144.22999999999999</v>
      </c>
      <c r="AE652" s="38">
        <v>149.79</v>
      </c>
      <c r="AF652" s="38">
        <v>154.61000000000001</v>
      </c>
      <c r="AG652" s="38">
        <v>158.09</v>
      </c>
      <c r="AH652" s="38">
        <v>151.15</v>
      </c>
      <c r="AI652" s="38">
        <v>150.29</v>
      </c>
      <c r="AJ652" s="38">
        <v>143.58000000000001</v>
      </c>
      <c r="AK652" s="38">
        <v>125.97</v>
      </c>
      <c r="AL652" s="38">
        <v>118.69</v>
      </c>
      <c r="AM652" s="38">
        <v>112.5</v>
      </c>
      <c r="AN652" s="38">
        <v>112.36</v>
      </c>
      <c r="AO652" s="38">
        <v>110.42</v>
      </c>
      <c r="AP652" s="38">
        <v>114.81</v>
      </c>
      <c r="AQ652" s="38">
        <v>131.81</v>
      </c>
      <c r="AR652" s="38">
        <v>130.81</v>
      </c>
      <c r="AS652" s="38">
        <v>129.66999999999999</v>
      </c>
      <c r="AT652" s="38">
        <v>116.24</v>
      </c>
      <c r="AU652" s="38">
        <v>114.86</v>
      </c>
      <c r="AV652" s="38">
        <v>108.55</v>
      </c>
      <c r="AW652" s="38">
        <v>101.63</v>
      </c>
      <c r="AX652" s="38">
        <v>94.75</v>
      </c>
      <c r="AY652" s="38">
        <v>92.85</v>
      </c>
      <c r="BA652" s="37">
        <v>115.54</v>
      </c>
      <c r="BB652" s="38">
        <v>1.2254</v>
      </c>
    </row>
    <row r="653" spans="1:54" x14ac:dyDescent="0.35">
      <c r="A653" s="2">
        <f t="shared" ref="A653:A716" si="10">+A648+7</f>
        <v>44735</v>
      </c>
      <c r="B653" t="s">
        <v>695</v>
      </c>
      <c r="C653" s="32">
        <v>44735</v>
      </c>
      <c r="D653" s="38">
        <v>186.84</v>
      </c>
      <c r="E653" s="38">
        <v>252.79</v>
      </c>
      <c r="F653" s="38">
        <v>306.75</v>
      </c>
      <c r="G653" s="38">
        <v>321.45999999999998</v>
      </c>
      <c r="H653" s="38">
        <v>349.93</v>
      </c>
      <c r="I653" s="38">
        <v>354.81</v>
      </c>
      <c r="J653" s="38">
        <v>352.34</v>
      </c>
      <c r="K653" s="38">
        <v>348.84</v>
      </c>
      <c r="L653" s="38">
        <v>320.33</v>
      </c>
      <c r="M653" s="38">
        <v>255.34</v>
      </c>
      <c r="N653" s="38">
        <v>219.12</v>
      </c>
      <c r="O653" s="38">
        <v>207.08</v>
      </c>
      <c r="P653" s="38">
        <v>198.97</v>
      </c>
      <c r="Q653" s="38">
        <v>201.44</v>
      </c>
      <c r="R653" s="38">
        <v>206.99</v>
      </c>
      <c r="S653" s="38">
        <v>212.88</v>
      </c>
      <c r="T653" s="38">
        <v>219.87</v>
      </c>
      <c r="U653" s="38">
        <v>220.26</v>
      </c>
      <c r="V653" s="38">
        <v>220.46</v>
      </c>
      <c r="W653" s="38">
        <v>218.97</v>
      </c>
      <c r="X653" s="38">
        <v>203.89</v>
      </c>
      <c r="Y653" s="38">
        <v>172.08</v>
      </c>
      <c r="Z653" s="38">
        <v>157.97999999999999</v>
      </c>
      <c r="AA653" s="38">
        <v>153.24</v>
      </c>
      <c r="AB653" s="38">
        <v>149.22</v>
      </c>
      <c r="AC653" s="38">
        <v>143.35</v>
      </c>
      <c r="AD653" s="38">
        <v>148.94</v>
      </c>
      <c r="AE653" s="38">
        <v>150.88</v>
      </c>
      <c r="AF653" s="38">
        <v>155.25</v>
      </c>
      <c r="AG653" s="38">
        <v>158.72999999999999</v>
      </c>
      <c r="AH653" s="38">
        <v>152.33000000000001</v>
      </c>
      <c r="AI653" s="38">
        <v>151.47</v>
      </c>
      <c r="AJ653" s="38">
        <v>144.76</v>
      </c>
      <c r="AK653" s="38">
        <v>128.43</v>
      </c>
      <c r="AL653" s="38">
        <v>121.16</v>
      </c>
      <c r="AM653" s="38">
        <v>114.97</v>
      </c>
      <c r="AN653" s="38">
        <v>113.63</v>
      </c>
      <c r="AO653" s="38">
        <v>111.68</v>
      </c>
      <c r="AP653" s="38">
        <v>116.08</v>
      </c>
      <c r="AQ653" s="38">
        <v>131.69</v>
      </c>
      <c r="AR653" s="38">
        <v>130.69</v>
      </c>
      <c r="AS653" s="38">
        <v>129.53</v>
      </c>
      <c r="AT653" s="38">
        <v>116.12</v>
      </c>
      <c r="AU653" s="38">
        <v>114.74</v>
      </c>
      <c r="AV653" s="38">
        <v>108.41</v>
      </c>
      <c r="AW653" s="38">
        <v>101.51</v>
      </c>
      <c r="AX653" s="38">
        <v>94.63</v>
      </c>
      <c r="AY653" s="38">
        <v>92.73</v>
      </c>
      <c r="BA653" s="37">
        <v>114.5</v>
      </c>
      <c r="BB653" s="38">
        <v>1.2242</v>
      </c>
    </row>
    <row r="654" spans="1:54" x14ac:dyDescent="0.35">
      <c r="A654" s="2">
        <f t="shared" si="10"/>
        <v>44736</v>
      </c>
      <c r="B654" t="s">
        <v>696</v>
      </c>
      <c r="C654" s="32">
        <v>44736</v>
      </c>
      <c r="D654" s="38">
        <v>169.74</v>
      </c>
      <c r="E654" s="38">
        <v>231.21</v>
      </c>
      <c r="F654" s="38">
        <v>297.27</v>
      </c>
      <c r="G654" s="38">
        <v>311.85000000000002</v>
      </c>
      <c r="H654" s="38">
        <v>339.29</v>
      </c>
      <c r="I654" s="38">
        <v>346.24</v>
      </c>
      <c r="J654" s="38">
        <v>345.03</v>
      </c>
      <c r="K654" s="38">
        <v>341.28</v>
      </c>
      <c r="L654" s="38">
        <v>314.02999999999997</v>
      </c>
      <c r="M654" s="38">
        <v>246.57</v>
      </c>
      <c r="N654" s="38">
        <v>210.79</v>
      </c>
      <c r="O654" s="38">
        <v>199.27</v>
      </c>
      <c r="P654" s="38">
        <v>192.1</v>
      </c>
      <c r="Q654" s="38">
        <v>194.95</v>
      </c>
      <c r="R654" s="38">
        <v>200.5</v>
      </c>
      <c r="S654" s="38">
        <v>207.68</v>
      </c>
      <c r="T654" s="38">
        <v>214.67</v>
      </c>
      <c r="U654" s="38">
        <v>215.06</v>
      </c>
      <c r="V654" s="38">
        <v>216.24</v>
      </c>
      <c r="W654" s="38">
        <v>214.75</v>
      </c>
      <c r="X654" s="38">
        <v>199.75</v>
      </c>
      <c r="Y654" s="38">
        <v>162.16999999999999</v>
      </c>
      <c r="Z654" s="38">
        <v>148.30000000000001</v>
      </c>
      <c r="AA654" s="38">
        <v>143.56</v>
      </c>
      <c r="AB654" s="38">
        <v>139.54</v>
      </c>
      <c r="AC654" s="38">
        <v>133.66999999999999</v>
      </c>
      <c r="AD654" s="38">
        <v>139.26</v>
      </c>
      <c r="AE654" s="38">
        <v>141.66</v>
      </c>
      <c r="AF654" s="38">
        <v>146.03</v>
      </c>
      <c r="AG654" s="38">
        <v>149.51</v>
      </c>
      <c r="AH654" s="38">
        <v>145.94</v>
      </c>
      <c r="AI654" s="38">
        <v>145.08000000000001</v>
      </c>
      <c r="AJ654" s="38">
        <v>138.37</v>
      </c>
      <c r="AK654" s="38">
        <v>122.22</v>
      </c>
      <c r="AL654" s="38">
        <v>114.95</v>
      </c>
      <c r="AM654" s="38">
        <v>108.76</v>
      </c>
      <c r="AN654" s="38">
        <v>107.42</v>
      </c>
      <c r="AO654" s="38">
        <v>105.47</v>
      </c>
      <c r="AP654" s="38">
        <v>109.87</v>
      </c>
      <c r="AQ654" s="38">
        <v>122.85</v>
      </c>
      <c r="AR654" s="38">
        <v>121.85</v>
      </c>
      <c r="AS654" s="38">
        <v>120.69</v>
      </c>
      <c r="AT654" s="38">
        <v>114.54</v>
      </c>
      <c r="AU654" s="38">
        <v>113.16</v>
      </c>
      <c r="AV654" s="38">
        <v>106.83</v>
      </c>
      <c r="AW654" s="38">
        <v>100.09</v>
      </c>
      <c r="AX654" s="38">
        <v>93.21</v>
      </c>
      <c r="AY654" s="38">
        <v>91.31</v>
      </c>
      <c r="BA654" s="37">
        <v>117.36</v>
      </c>
      <c r="BB654" s="38">
        <v>1.2287999999999999</v>
      </c>
    </row>
    <row r="655" spans="1:54" x14ac:dyDescent="0.35">
      <c r="A655" s="2">
        <f t="shared" si="10"/>
        <v>44739</v>
      </c>
      <c r="B655" t="s">
        <v>697</v>
      </c>
      <c r="C655" s="32">
        <v>44739</v>
      </c>
      <c r="D655" s="38">
        <v>171.91</v>
      </c>
      <c r="E655" s="38">
        <v>223.91</v>
      </c>
      <c r="F655" s="38">
        <v>292.41000000000003</v>
      </c>
      <c r="G655" s="38">
        <v>311.91000000000003</v>
      </c>
      <c r="H655" s="38">
        <v>344.59</v>
      </c>
      <c r="I655" s="38">
        <v>352.48</v>
      </c>
      <c r="J655" s="38">
        <v>348.88</v>
      </c>
      <c r="K655" s="38">
        <v>344.88</v>
      </c>
      <c r="L655" s="38">
        <v>315.75</v>
      </c>
      <c r="M655" s="38">
        <v>254.29</v>
      </c>
      <c r="N655" s="38">
        <v>210.79</v>
      </c>
      <c r="O655" s="38">
        <v>198.79</v>
      </c>
      <c r="P655" s="38">
        <v>189.41</v>
      </c>
      <c r="Q655" s="38">
        <v>192.26</v>
      </c>
      <c r="R655" s="38">
        <v>197.81</v>
      </c>
      <c r="S655" s="38">
        <v>205.07</v>
      </c>
      <c r="T655" s="38">
        <v>212.06</v>
      </c>
      <c r="U655" s="38">
        <v>212.45</v>
      </c>
      <c r="V655" s="38">
        <v>214.59</v>
      </c>
      <c r="W655" s="38">
        <v>212.5</v>
      </c>
      <c r="X655" s="38">
        <v>199.46</v>
      </c>
      <c r="Y655" s="38">
        <v>160.27000000000001</v>
      </c>
      <c r="Z655" s="38">
        <v>143.93</v>
      </c>
      <c r="AA655" s="38">
        <v>137.94999999999999</v>
      </c>
      <c r="AB655" s="38">
        <v>133.55000000000001</v>
      </c>
      <c r="AC655" s="38">
        <v>127.87</v>
      </c>
      <c r="AD655" s="38">
        <v>133.66999999999999</v>
      </c>
      <c r="AE655" s="38">
        <v>135.54</v>
      </c>
      <c r="AF655" s="38">
        <v>140.34</v>
      </c>
      <c r="AG655" s="38">
        <v>144.06</v>
      </c>
      <c r="AH655" s="38">
        <v>141.38</v>
      </c>
      <c r="AI655" s="38">
        <v>140.09</v>
      </c>
      <c r="AJ655" s="38">
        <v>133.43</v>
      </c>
      <c r="AK655" s="38">
        <v>117.61</v>
      </c>
      <c r="AL655" s="38">
        <v>110.46</v>
      </c>
      <c r="AM655" s="38">
        <v>104.27</v>
      </c>
      <c r="AN655" s="38">
        <v>102.93</v>
      </c>
      <c r="AO655" s="38">
        <v>100.98</v>
      </c>
      <c r="AP655" s="38">
        <v>105.48</v>
      </c>
      <c r="AQ655" s="38">
        <v>118.46</v>
      </c>
      <c r="AR655" s="38">
        <v>117.46</v>
      </c>
      <c r="AS655" s="38">
        <v>116.3</v>
      </c>
      <c r="AT655" s="38">
        <v>110.63</v>
      </c>
      <c r="AU655" s="38">
        <v>109.25</v>
      </c>
      <c r="AV655" s="38">
        <v>102.92</v>
      </c>
      <c r="AW655" s="38">
        <v>96.22</v>
      </c>
      <c r="AX655" s="38">
        <v>90.22</v>
      </c>
      <c r="AY655" s="38">
        <v>88.32</v>
      </c>
      <c r="BA655" s="37">
        <v>119.69</v>
      </c>
      <c r="BB655" s="38">
        <v>1.2302999999999999</v>
      </c>
    </row>
    <row r="656" spans="1:54" x14ac:dyDescent="0.35">
      <c r="A656" s="2">
        <f t="shared" si="10"/>
        <v>44740</v>
      </c>
      <c r="B656" t="s">
        <v>698</v>
      </c>
      <c r="C656" s="32">
        <v>44740</v>
      </c>
      <c r="D656" s="38">
        <v>166.75</v>
      </c>
      <c r="E656" s="38">
        <v>228.75</v>
      </c>
      <c r="F656" s="38">
        <v>296.33999999999997</v>
      </c>
      <c r="G656" s="38">
        <v>313.47000000000003</v>
      </c>
      <c r="H656" s="38">
        <v>346.25</v>
      </c>
      <c r="I656" s="38">
        <v>351.75</v>
      </c>
      <c r="J656" s="38">
        <v>349.74</v>
      </c>
      <c r="K656" s="38">
        <v>345.49</v>
      </c>
      <c r="L656" s="38">
        <v>316.74</v>
      </c>
      <c r="M656" s="38">
        <v>253.43</v>
      </c>
      <c r="N656" s="38">
        <v>210.28</v>
      </c>
      <c r="O656" s="38">
        <v>200.01</v>
      </c>
      <c r="P656" s="38">
        <v>190.8</v>
      </c>
      <c r="Q656" s="38">
        <v>193.65</v>
      </c>
      <c r="R656" s="38">
        <v>198.97</v>
      </c>
      <c r="S656" s="38">
        <v>207.52</v>
      </c>
      <c r="T656" s="38">
        <v>214.51</v>
      </c>
      <c r="U656" s="38">
        <v>214.9</v>
      </c>
      <c r="V656" s="38">
        <v>216.81</v>
      </c>
      <c r="W656" s="38">
        <v>214.72</v>
      </c>
      <c r="X656" s="38">
        <v>202.27</v>
      </c>
      <c r="Y656" s="38">
        <v>164.23</v>
      </c>
      <c r="Z656" s="38">
        <v>144.61000000000001</v>
      </c>
      <c r="AA656" s="38">
        <v>138.87</v>
      </c>
      <c r="AB656" s="38">
        <v>134.72999999999999</v>
      </c>
      <c r="AC656" s="38">
        <v>129.01</v>
      </c>
      <c r="AD656" s="38">
        <v>135.03</v>
      </c>
      <c r="AE656" s="38">
        <v>136.72999999999999</v>
      </c>
      <c r="AF656" s="38">
        <v>141.78</v>
      </c>
      <c r="AG656" s="38">
        <v>145.49</v>
      </c>
      <c r="AH656" s="38">
        <v>142.80000000000001</v>
      </c>
      <c r="AI656" s="38">
        <v>141.5</v>
      </c>
      <c r="AJ656" s="38">
        <v>134.83000000000001</v>
      </c>
      <c r="AK656" s="38">
        <v>118.66</v>
      </c>
      <c r="AL656" s="38">
        <v>111.51</v>
      </c>
      <c r="AM656" s="38">
        <v>105.31</v>
      </c>
      <c r="AN656" s="38">
        <v>103.96</v>
      </c>
      <c r="AO656" s="38">
        <v>101.99</v>
      </c>
      <c r="AP656" s="38">
        <v>106.48</v>
      </c>
      <c r="AQ656" s="38">
        <v>119.42</v>
      </c>
      <c r="AR656" s="38">
        <v>118.42</v>
      </c>
      <c r="AS656" s="38">
        <v>117.26</v>
      </c>
      <c r="AT656" s="38">
        <v>111.59</v>
      </c>
      <c r="AU656" s="38">
        <v>110.21</v>
      </c>
      <c r="AV656" s="38">
        <v>103.88</v>
      </c>
      <c r="AW656" s="38">
        <v>97.18</v>
      </c>
      <c r="AX656" s="38">
        <v>91.18</v>
      </c>
      <c r="AY656" s="38">
        <v>89.28</v>
      </c>
      <c r="BA656" s="37">
        <v>122.21</v>
      </c>
      <c r="BB656" s="38">
        <v>1.2201</v>
      </c>
    </row>
    <row r="657" spans="1:54" x14ac:dyDescent="0.35">
      <c r="A657" s="2">
        <f t="shared" si="10"/>
        <v>44741</v>
      </c>
      <c r="B657" t="s">
        <v>699</v>
      </c>
      <c r="C657" s="32">
        <v>44741</v>
      </c>
      <c r="D657" s="38">
        <v>174.12</v>
      </c>
      <c r="E657" s="38">
        <v>244.82</v>
      </c>
      <c r="F657" s="38">
        <v>313.32</v>
      </c>
      <c r="G657" s="38">
        <v>335.59</v>
      </c>
      <c r="H657" s="38">
        <v>368.32</v>
      </c>
      <c r="I657" s="38">
        <v>374.32</v>
      </c>
      <c r="J657" s="38">
        <v>373.48</v>
      </c>
      <c r="K657" s="38">
        <v>368.98</v>
      </c>
      <c r="L657" s="38">
        <v>334.23</v>
      </c>
      <c r="M657" s="38">
        <v>268.89</v>
      </c>
      <c r="N657" s="38">
        <v>222.37</v>
      </c>
      <c r="O657" s="38">
        <v>210.04</v>
      </c>
      <c r="P657" s="38">
        <v>196.97</v>
      </c>
      <c r="Q657" s="38">
        <v>203.14</v>
      </c>
      <c r="R657" s="38">
        <v>209.64</v>
      </c>
      <c r="S657" s="38">
        <v>219.63</v>
      </c>
      <c r="T657" s="38">
        <v>227.65</v>
      </c>
      <c r="U657" s="38">
        <v>228.06</v>
      </c>
      <c r="V657" s="38">
        <v>229.17</v>
      </c>
      <c r="W657" s="38">
        <v>226.95</v>
      </c>
      <c r="X657" s="38">
        <v>213.44</v>
      </c>
      <c r="Y657" s="38">
        <v>172.25</v>
      </c>
      <c r="Z657" s="38">
        <v>151.76</v>
      </c>
      <c r="AA657" s="38">
        <v>145.43</v>
      </c>
      <c r="AB657" s="38">
        <v>140.5</v>
      </c>
      <c r="AC657" s="38">
        <v>134.13999999999999</v>
      </c>
      <c r="AD657" s="38">
        <v>139.26</v>
      </c>
      <c r="AE657" s="38">
        <v>142.12</v>
      </c>
      <c r="AF657" s="38">
        <v>146.72999999999999</v>
      </c>
      <c r="AG657" s="38">
        <v>150.04</v>
      </c>
      <c r="AH657" s="38">
        <v>147.85</v>
      </c>
      <c r="AI657" s="38">
        <v>146.28</v>
      </c>
      <c r="AJ657" s="38">
        <v>138.61000000000001</v>
      </c>
      <c r="AK657" s="38">
        <v>119.9</v>
      </c>
      <c r="AL657" s="38">
        <v>112.02</v>
      </c>
      <c r="AM657" s="38">
        <v>105.63</v>
      </c>
      <c r="AN657" s="38">
        <v>104.08</v>
      </c>
      <c r="AO657" s="38">
        <v>102.12</v>
      </c>
      <c r="AP657" s="38">
        <v>106.62</v>
      </c>
      <c r="AQ657" s="38">
        <v>119.68</v>
      </c>
      <c r="AR657" s="38">
        <v>118.96</v>
      </c>
      <c r="AS657" s="38">
        <v>117.81</v>
      </c>
      <c r="AT657" s="38">
        <v>112.15</v>
      </c>
      <c r="AU657" s="38">
        <v>110.78</v>
      </c>
      <c r="AV657" s="38">
        <v>104.47</v>
      </c>
      <c r="AW657" s="38">
        <v>100.63</v>
      </c>
      <c r="AX657" s="38">
        <v>94.63</v>
      </c>
      <c r="AY657" s="38">
        <v>92.73</v>
      </c>
      <c r="BA657" s="37">
        <v>120.8</v>
      </c>
      <c r="BB657" s="38">
        <v>1.2121</v>
      </c>
    </row>
    <row r="658" spans="1:54" x14ac:dyDescent="0.35">
      <c r="A658" s="2">
        <f t="shared" si="10"/>
        <v>44742</v>
      </c>
      <c r="B658" t="s">
        <v>700</v>
      </c>
      <c r="C658" s="32">
        <v>44742</v>
      </c>
      <c r="D658" s="38">
        <v>248.3</v>
      </c>
      <c r="E658" s="38">
        <v>316.77999999999997</v>
      </c>
      <c r="F658" s="38">
        <v>348.54</v>
      </c>
      <c r="G658" s="38">
        <v>385.01</v>
      </c>
      <c r="H658" s="38">
        <v>391.53</v>
      </c>
      <c r="I658" s="38">
        <v>388.04</v>
      </c>
      <c r="J658" s="38">
        <v>381.73</v>
      </c>
      <c r="K658" s="38">
        <v>346.19</v>
      </c>
      <c r="L658" s="38">
        <v>284.19</v>
      </c>
      <c r="M658" s="38">
        <v>234.19</v>
      </c>
      <c r="N658" s="38">
        <v>223.32</v>
      </c>
      <c r="O658" s="38">
        <v>203.48</v>
      </c>
      <c r="P658" s="38">
        <v>208.57</v>
      </c>
      <c r="Q658" s="38">
        <v>215.28</v>
      </c>
      <c r="R658" s="38">
        <v>226.7</v>
      </c>
      <c r="S658" s="38">
        <v>235.92</v>
      </c>
      <c r="T658" s="38">
        <v>236.32</v>
      </c>
      <c r="U658" s="38">
        <v>236.68</v>
      </c>
      <c r="V658" s="38">
        <v>234.15</v>
      </c>
      <c r="W658" s="38">
        <v>219.11</v>
      </c>
      <c r="X658" s="38">
        <v>175.75</v>
      </c>
      <c r="Y658" s="38">
        <v>154.43</v>
      </c>
      <c r="Z658" s="38">
        <v>147.80000000000001</v>
      </c>
      <c r="AA658" s="38">
        <v>142.87</v>
      </c>
      <c r="AB658" s="38">
        <v>136.51</v>
      </c>
      <c r="AC658" s="38">
        <v>141.77000000000001</v>
      </c>
      <c r="AD658" s="38">
        <v>145.52000000000001</v>
      </c>
      <c r="AE658" s="38">
        <v>150.22999999999999</v>
      </c>
      <c r="AF658" s="38">
        <v>153.54</v>
      </c>
      <c r="AG658" s="38">
        <v>151.35</v>
      </c>
      <c r="AH658" s="38">
        <v>149.78</v>
      </c>
      <c r="AI658" s="38">
        <v>142.11000000000001</v>
      </c>
      <c r="AJ658" s="38">
        <v>120.99</v>
      </c>
      <c r="AK658" s="38">
        <v>113.11</v>
      </c>
      <c r="AL658" s="38">
        <v>106.72</v>
      </c>
      <c r="AM658" s="38">
        <v>107.1</v>
      </c>
      <c r="AN658" s="38">
        <v>105.13</v>
      </c>
      <c r="AO658" s="38">
        <v>109.63</v>
      </c>
      <c r="AP658" s="38">
        <v>122.7</v>
      </c>
      <c r="AQ658" s="38">
        <v>121.98</v>
      </c>
      <c r="AR658" s="38">
        <v>120.83</v>
      </c>
      <c r="AS658" s="38">
        <v>115.17</v>
      </c>
      <c r="AT658" s="38">
        <v>113.8</v>
      </c>
      <c r="AU658" s="38">
        <v>107.49</v>
      </c>
      <c r="AV658" s="38">
        <v>103.65</v>
      </c>
      <c r="AW658" s="38">
        <v>97.65</v>
      </c>
      <c r="AX658" s="38">
        <v>95.76</v>
      </c>
      <c r="AY658" s="38">
        <v>94.36</v>
      </c>
      <c r="BA658" s="37">
        <v>119.78</v>
      </c>
      <c r="BB658" s="38">
        <v>1.2142999999999999</v>
      </c>
    </row>
    <row r="659" spans="1:54" x14ac:dyDescent="0.35">
      <c r="A659" s="2">
        <f t="shared" si="10"/>
        <v>44743</v>
      </c>
      <c r="B659" t="s">
        <v>701</v>
      </c>
      <c r="C659" s="32">
        <v>44743</v>
      </c>
      <c r="D659" s="38">
        <v>240.94</v>
      </c>
      <c r="E659" s="38">
        <v>322</v>
      </c>
      <c r="F659" s="38">
        <v>352</v>
      </c>
      <c r="G659" s="38">
        <v>391.34</v>
      </c>
      <c r="H659" s="38">
        <v>397.36</v>
      </c>
      <c r="I659" s="38">
        <v>392.26</v>
      </c>
      <c r="J659" s="38">
        <v>389.76</v>
      </c>
      <c r="K659" s="38">
        <v>352.76</v>
      </c>
      <c r="L659" s="38">
        <v>290.76</v>
      </c>
      <c r="M659" s="38">
        <v>236.49</v>
      </c>
      <c r="N659" s="38">
        <v>224.31</v>
      </c>
      <c r="O659" s="38">
        <v>204.46</v>
      </c>
      <c r="P659" s="38">
        <v>210.18</v>
      </c>
      <c r="Q659" s="38">
        <v>217.64</v>
      </c>
      <c r="R659" s="38">
        <v>225.89</v>
      </c>
      <c r="S659" s="38">
        <v>234.02</v>
      </c>
      <c r="T659" s="38">
        <v>235.34</v>
      </c>
      <c r="U659" s="38">
        <v>236.53</v>
      </c>
      <c r="V659" s="38">
        <v>234.39</v>
      </c>
      <c r="W659" s="38">
        <v>219.33</v>
      </c>
      <c r="X659" s="38">
        <v>174.86</v>
      </c>
      <c r="Y659" s="38">
        <v>152.63</v>
      </c>
      <c r="Z659" s="38">
        <v>146</v>
      </c>
      <c r="AA659" s="38">
        <v>141.07</v>
      </c>
      <c r="AB659" s="38">
        <v>134.71</v>
      </c>
      <c r="AC659" s="38">
        <v>141.28</v>
      </c>
      <c r="AD659" s="38">
        <v>144.86000000000001</v>
      </c>
      <c r="AE659" s="38">
        <v>149.57</v>
      </c>
      <c r="AF659" s="38">
        <v>153.12</v>
      </c>
      <c r="AG659" s="38">
        <v>150.08000000000001</v>
      </c>
      <c r="AH659" s="38">
        <v>148.51</v>
      </c>
      <c r="AI659" s="38">
        <v>140.84</v>
      </c>
      <c r="AJ659" s="38">
        <v>117.05</v>
      </c>
      <c r="AK659" s="38">
        <v>108.3</v>
      </c>
      <c r="AL659" s="38">
        <v>101.91</v>
      </c>
      <c r="AM659" s="38">
        <v>102.29</v>
      </c>
      <c r="AN659" s="38">
        <v>100.32</v>
      </c>
      <c r="AO659" s="38">
        <v>104.82</v>
      </c>
      <c r="AP659" s="38">
        <v>118.38</v>
      </c>
      <c r="AQ659" s="38">
        <v>117.66</v>
      </c>
      <c r="AR659" s="38">
        <v>116.51</v>
      </c>
      <c r="AS659" s="38">
        <v>110.85</v>
      </c>
      <c r="AT659" s="38">
        <v>109.48</v>
      </c>
      <c r="AU659" s="38">
        <v>103.89</v>
      </c>
      <c r="AV659" s="38">
        <v>102.23</v>
      </c>
      <c r="AW659" s="38">
        <v>96.23</v>
      </c>
      <c r="AX659" s="38">
        <v>94.34</v>
      </c>
      <c r="AY659" s="38">
        <v>92.94</v>
      </c>
      <c r="BA659" s="37">
        <v>119.21</v>
      </c>
      <c r="BB659" s="38">
        <v>1.2004999999999999</v>
      </c>
    </row>
    <row r="660" spans="1:54" x14ac:dyDescent="0.35">
      <c r="A660" s="2">
        <f t="shared" si="10"/>
        <v>44746</v>
      </c>
      <c r="B660" t="s">
        <v>702</v>
      </c>
      <c r="C660" s="32">
        <v>44746</v>
      </c>
      <c r="D660" s="38">
        <v>282.24</v>
      </c>
      <c r="E660" s="38">
        <v>362.23</v>
      </c>
      <c r="F660" s="38">
        <v>381.73</v>
      </c>
      <c r="G660" s="38">
        <v>421.28</v>
      </c>
      <c r="H660" s="38">
        <v>427.23</v>
      </c>
      <c r="I660" s="38">
        <v>427.47</v>
      </c>
      <c r="J660" s="38">
        <v>424.98</v>
      </c>
      <c r="K660" s="38">
        <v>386.87</v>
      </c>
      <c r="L660" s="38">
        <v>320.39</v>
      </c>
      <c r="M660" s="38">
        <v>262.49</v>
      </c>
      <c r="N660" s="38">
        <v>246.79</v>
      </c>
      <c r="O660" s="38">
        <v>227.94</v>
      </c>
      <c r="P660" s="38">
        <v>233.73</v>
      </c>
      <c r="Q660" s="38">
        <v>241.13</v>
      </c>
      <c r="R660" s="38">
        <v>249.51</v>
      </c>
      <c r="S660" s="38">
        <v>257.76</v>
      </c>
      <c r="T660" s="38">
        <v>259.26</v>
      </c>
      <c r="U660" s="38">
        <v>260.7</v>
      </c>
      <c r="V660" s="38">
        <v>258.3</v>
      </c>
      <c r="W660" s="38">
        <v>245.93</v>
      </c>
      <c r="X660" s="38">
        <v>195.11</v>
      </c>
      <c r="Y660" s="38">
        <v>170.39</v>
      </c>
      <c r="Z660" s="38">
        <v>163.76</v>
      </c>
      <c r="AA660" s="38">
        <v>159.08000000000001</v>
      </c>
      <c r="AB660" s="38">
        <v>153.46</v>
      </c>
      <c r="AC660" s="38">
        <v>159.52000000000001</v>
      </c>
      <c r="AD660" s="38">
        <v>163.4</v>
      </c>
      <c r="AE660" s="38">
        <v>166.63</v>
      </c>
      <c r="AF660" s="38">
        <v>170.47</v>
      </c>
      <c r="AG660" s="38">
        <v>168.67</v>
      </c>
      <c r="AH660" s="38">
        <v>167.02</v>
      </c>
      <c r="AI660" s="38">
        <v>158.04</v>
      </c>
      <c r="AJ660" s="38">
        <v>126.96</v>
      </c>
      <c r="AK660" s="38">
        <v>118.21</v>
      </c>
      <c r="AL660" s="38">
        <v>111.62</v>
      </c>
      <c r="AM660" s="38">
        <v>111.71</v>
      </c>
      <c r="AN660" s="38">
        <v>109.39</v>
      </c>
      <c r="AO660" s="38">
        <v>113.55</v>
      </c>
      <c r="AP660" s="38">
        <v>126.29</v>
      </c>
      <c r="AQ660" s="38">
        <v>124.85</v>
      </c>
      <c r="AR660" s="38">
        <v>122.48</v>
      </c>
      <c r="AS660" s="38">
        <v>120.36</v>
      </c>
      <c r="AT660" s="38">
        <v>118.99</v>
      </c>
      <c r="AU660" s="38">
        <v>113.4</v>
      </c>
      <c r="AV660" s="38">
        <v>111.74</v>
      </c>
      <c r="AW660" s="38">
        <v>105.74</v>
      </c>
      <c r="AX660" s="38">
        <v>103.44</v>
      </c>
      <c r="AY660" s="38">
        <v>101.74</v>
      </c>
      <c r="BA660" s="37">
        <v>121.8</v>
      </c>
      <c r="BB660" s="38">
        <v>1.2117</v>
      </c>
    </row>
    <row r="661" spans="1:54" x14ac:dyDescent="0.35">
      <c r="A661" s="2">
        <f t="shared" si="10"/>
        <v>44747</v>
      </c>
      <c r="B661" t="s">
        <v>703</v>
      </c>
      <c r="C661" s="32">
        <v>44747</v>
      </c>
      <c r="D661" s="38">
        <v>290.43</v>
      </c>
      <c r="E661" s="38">
        <v>363.64</v>
      </c>
      <c r="F661" s="38">
        <v>383.5</v>
      </c>
      <c r="G661" s="38">
        <v>428.73</v>
      </c>
      <c r="H661" s="38">
        <v>436.72</v>
      </c>
      <c r="I661" s="38">
        <v>433.64</v>
      </c>
      <c r="J661" s="38">
        <v>425.55</v>
      </c>
      <c r="K661" s="38">
        <v>384.34</v>
      </c>
      <c r="L661" s="38">
        <v>324.33999999999997</v>
      </c>
      <c r="M661" s="38">
        <v>268.97000000000003</v>
      </c>
      <c r="N661" s="38">
        <v>253.4</v>
      </c>
      <c r="O661" s="38">
        <v>233.82</v>
      </c>
      <c r="P661" s="38">
        <v>238.88</v>
      </c>
      <c r="Q661" s="38">
        <v>243.81</v>
      </c>
      <c r="R661" s="38">
        <v>259.29000000000002</v>
      </c>
      <c r="S661" s="38">
        <v>267.54000000000002</v>
      </c>
      <c r="T661" s="38">
        <v>269.02999999999997</v>
      </c>
      <c r="U661" s="38">
        <v>270.12</v>
      </c>
      <c r="V661" s="38">
        <v>267.72000000000003</v>
      </c>
      <c r="W661" s="38">
        <v>254.93</v>
      </c>
      <c r="X661" s="38">
        <v>199.75</v>
      </c>
      <c r="Y661" s="38">
        <v>174.75</v>
      </c>
      <c r="Z661" s="38">
        <v>168.12</v>
      </c>
      <c r="AA661" s="38">
        <v>163.44</v>
      </c>
      <c r="AB661" s="38">
        <v>157.82</v>
      </c>
      <c r="AC661" s="38">
        <v>163.88</v>
      </c>
      <c r="AD661" s="38">
        <v>167.75</v>
      </c>
      <c r="AE661" s="38">
        <v>170.99</v>
      </c>
      <c r="AF661" s="38">
        <v>174.83</v>
      </c>
      <c r="AG661" s="38">
        <v>173.05</v>
      </c>
      <c r="AH661" s="38">
        <v>171.39</v>
      </c>
      <c r="AI661" s="38">
        <v>162.41</v>
      </c>
      <c r="AJ661" s="38">
        <v>125.41</v>
      </c>
      <c r="AK661" s="38">
        <v>116.66</v>
      </c>
      <c r="AL661" s="38">
        <v>110.07</v>
      </c>
      <c r="AM661" s="38">
        <v>110.16</v>
      </c>
      <c r="AN661" s="38">
        <v>107.84</v>
      </c>
      <c r="AO661" s="38">
        <v>112</v>
      </c>
      <c r="AP661" s="38">
        <v>125</v>
      </c>
      <c r="AQ661" s="38">
        <v>123.56</v>
      </c>
      <c r="AR661" s="38">
        <v>121.19</v>
      </c>
      <c r="AS661" s="38">
        <v>119.07</v>
      </c>
      <c r="AT661" s="38">
        <v>117.69</v>
      </c>
      <c r="AU661" s="38">
        <v>112.11</v>
      </c>
      <c r="AV661" s="38">
        <v>110.44</v>
      </c>
      <c r="AW661" s="38">
        <v>104.44</v>
      </c>
      <c r="AX661" s="38">
        <v>102.14</v>
      </c>
      <c r="AY661" s="38">
        <v>100.44</v>
      </c>
      <c r="BA661" s="37">
        <v>110.49</v>
      </c>
      <c r="BB661" s="38">
        <v>1.1916</v>
      </c>
    </row>
    <row r="662" spans="1:54" x14ac:dyDescent="0.35">
      <c r="A662" s="2">
        <f t="shared" si="10"/>
        <v>44748</v>
      </c>
      <c r="B662" t="s">
        <v>704</v>
      </c>
      <c r="C662" s="32">
        <v>44748</v>
      </c>
      <c r="D662" s="38">
        <v>276.37</v>
      </c>
      <c r="E662" s="38">
        <v>357.84</v>
      </c>
      <c r="F662" s="38">
        <v>387.88</v>
      </c>
      <c r="G662" s="38">
        <v>432.83</v>
      </c>
      <c r="H662" s="38">
        <v>442.08</v>
      </c>
      <c r="I662" s="38">
        <v>439.45</v>
      </c>
      <c r="J662" s="38">
        <v>429.6</v>
      </c>
      <c r="K662" s="38">
        <v>397.1</v>
      </c>
      <c r="L662" s="38">
        <v>349.1</v>
      </c>
      <c r="M662" s="38">
        <v>296.14999999999998</v>
      </c>
      <c r="N662" s="38">
        <v>283.64999999999998</v>
      </c>
      <c r="O662" s="38">
        <v>266.64999999999998</v>
      </c>
      <c r="P662" s="38">
        <v>266.29000000000002</v>
      </c>
      <c r="Q662" s="38">
        <v>248.29</v>
      </c>
      <c r="R662" s="38">
        <v>283.29000000000002</v>
      </c>
      <c r="S662" s="38">
        <v>291.7</v>
      </c>
      <c r="T662" s="38">
        <v>290.51</v>
      </c>
      <c r="U662" s="38">
        <v>291.58999999999997</v>
      </c>
      <c r="V662" s="38">
        <v>289.19</v>
      </c>
      <c r="W662" s="38">
        <v>275.14</v>
      </c>
      <c r="X662" s="38">
        <v>202.63</v>
      </c>
      <c r="Y662" s="38">
        <v>177</v>
      </c>
      <c r="Z662" s="38">
        <v>170.27</v>
      </c>
      <c r="AA662" s="38">
        <v>166.51</v>
      </c>
      <c r="AB662" s="38">
        <v>160.84</v>
      </c>
      <c r="AC662" s="38">
        <v>166.85</v>
      </c>
      <c r="AD662" s="38">
        <v>169.82</v>
      </c>
      <c r="AE662" s="38">
        <v>173.02</v>
      </c>
      <c r="AF662" s="38">
        <v>176.73</v>
      </c>
      <c r="AG662" s="38">
        <v>174.35</v>
      </c>
      <c r="AH662" s="38">
        <v>172.65</v>
      </c>
      <c r="AI662" s="38">
        <v>163.62</v>
      </c>
      <c r="AJ662" s="38">
        <v>128.36000000000001</v>
      </c>
      <c r="AK662" s="38">
        <v>119.61</v>
      </c>
      <c r="AL662" s="38">
        <v>113.01</v>
      </c>
      <c r="AM662" s="38">
        <v>109.01</v>
      </c>
      <c r="AN662" s="38">
        <v>106.69</v>
      </c>
      <c r="AO662" s="38">
        <v>110.85</v>
      </c>
      <c r="AP662" s="38">
        <v>119.97</v>
      </c>
      <c r="AQ662" s="38">
        <v>118.53</v>
      </c>
      <c r="AR662" s="38">
        <v>116.16</v>
      </c>
      <c r="AS662" s="38">
        <v>114.04</v>
      </c>
      <c r="AT662" s="38">
        <v>112.66</v>
      </c>
      <c r="AU662" s="38">
        <v>107.08</v>
      </c>
      <c r="AV662" s="38">
        <v>102.86</v>
      </c>
      <c r="AW662" s="38">
        <v>96.86</v>
      </c>
      <c r="AX662" s="38">
        <v>94.56</v>
      </c>
      <c r="AY662" s="38">
        <v>92.87</v>
      </c>
      <c r="BA662" s="37">
        <v>108.54</v>
      </c>
      <c r="BB662" s="38">
        <v>1.1912</v>
      </c>
    </row>
    <row r="663" spans="1:54" x14ac:dyDescent="0.35">
      <c r="A663" s="2">
        <f t="shared" si="10"/>
        <v>44749</v>
      </c>
      <c r="B663" t="s">
        <v>705</v>
      </c>
      <c r="C663" s="32">
        <v>44749</v>
      </c>
      <c r="D663" s="38">
        <v>298.32</v>
      </c>
      <c r="E663" s="38">
        <v>378.97</v>
      </c>
      <c r="F663" s="38">
        <v>417.97</v>
      </c>
      <c r="G663" s="38">
        <v>465.97</v>
      </c>
      <c r="H663" s="38">
        <v>475.47</v>
      </c>
      <c r="I663" s="38">
        <v>472.97</v>
      </c>
      <c r="J663" s="38">
        <v>463.47</v>
      </c>
      <c r="K663" s="38">
        <v>428.21</v>
      </c>
      <c r="L663" s="38">
        <v>377.95</v>
      </c>
      <c r="M663" s="38">
        <v>325.95</v>
      </c>
      <c r="N663" s="38">
        <v>306.63</v>
      </c>
      <c r="O663" s="38">
        <v>288.02999999999997</v>
      </c>
      <c r="P663" s="38">
        <v>283.7</v>
      </c>
      <c r="Q663" s="38">
        <v>281.16000000000003</v>
      </c>
      <c r="R663" s="38">
        <v>306.41000000000003</v>
      </c>
      <c r="S663" s="38">
        <v>316.11</v>
      </c>
      <c r="T663" s="38">
        <v>314.82</v>
      </c>
      <c r="U663" s="38">
        <v>314.25</v>
      </c>
      <c r="V663" s="38">
        <v>311.83999999999997</v>
      </c>
      <c r="W663" s="38">
        <v>296.85000000000002</v>
      </c>
      <c r="X663" s="38">
        <v>218.35</v>
      </c>
      <c r="Y663" s="38">
        <v>190.35</v>
      </c>
      <c r="Z663" s="38">
        <v>181.33</v>
      </c>
      <c r="AA663" s="38">
        <v>178.04</v>
      </c>
      <c r="AB663" s="38">
        <v>174.22</v>
      </c>
      <c r="AC663" s="38">
        <v>181.56</v>
      </c>
      <c r="AD663" s="38">
        <v>183.37</v>
      </c>
      <c r="AE663" s="38">
        <v>188.42</v>
      </c>
      <c r="AF663" s="38">
        <v>192.69</v>
      </c>
      <c r="AG663" s="38">
        <v>190.31</v>
      </c>
      <c r="AH663" s="38">
        <v>188.6</v>
      </c>
      <c r="AI663" s="38">
        <v>179.57</v>
      </c>
      <c r="AJ663" s="38">
        <v>135.15</v>
      </c>
      <c r="AK663" s="38">
        <v>121.49</v>
      </c>
      <c r="AL663" s="38">
        <v>114.9</v>
      </c>
      <c r="AM663" s="38">
        <v>109.75</v>
      </c>
      <c r="AN663" s="38">
        <v>107.43</v>
      </c>
      <c r="AO663" s="38">
        <v>111.59</v>
      </c>
      <c r="AP663" s="38">
        <v>122.45</v>
      </c>
      <c r="AQ663" s="38">
        <v>121.01</v>
      </c>
      <c r="AR663" s="38">
        <v>118.64</v>
      </c>
      <c r="AS663" s="38">
        <v>116.51</v>
      </c>
      <c r="AT663" s="38">
        <v>115.13</v>
      </c>
      <c r="AU663" s="38">
        <v>109.55</v>
      </c>
      <c r="AV663" s="38">
        <v>98.65</v>
      </c>
      <c r="AW663" s="38">
        <v>92.66</v>
      </c>
      <c r="AX663" s="38">
        <v>90.36</v>
      </c>
      <c r="AY663" s="38">
        <v>88.67</v>
      </c>
      <c r="BA663" s="37">
        <v>113.4</v>
      </c>
      <c r="BB663" s="38">
        <v>1.2000999999999999</v>
      </c>
    </row>
    <row r="664" spans="1:54" x14ac:dyDescent="0.35">
      <c r="A664" s="2">
        <f t="shared" si="10"/>
        <v>44750</v>
      </c>
      <c r="B664" t="s">
        <v>706</v>
      </c>
      <c r="C664" s="32">
        <v>44750</v>
      </c>
      <c r="D664" s="38">
        <v>255.52</v>
      </c>
      <c r="E664" s="38">
        <v>351.06</v>
      </c>
      <c r="F664" s="38">
        <v>395.93</v>
      </c>
      <c r="G664" s="38">
        <v>447.02</v>
      </c>
      <c r="H664" s="38">
        <v>455.94</v>
      </c>
      <c r="I664" s="38">
        <v>455.63</v>
      </c>
      <c r="J664" s="38">
        <v>448.75</v>
      </c>
      <c r="K664" s="38">
        <v>414.88</v>
      </c>
      <c r="L664" s="38">
        <v>371.06</v>
      </c>
      <c r="M664" s="38">
        <v>320.11</v>
      </c>
      <c r="N664" s="38">
        <v>301.89999999999998</v>
      </c>
      <c r="O664" s="38">
        <v>286.31</v>
      </c>
      <c r="P664" s="38">
        <v>285.12</v>
      </c>
      <c r="Q664" s="38">
        <v>270.86</v>
      </c>
      <c r="R664" s="38">
        <v>299.42</v>
      </c>
      <c r="S664" s="38">
        <v>309.91000000000003</v>
      </c>
      <c r="T664" s="38">
        <v>311.49</v>
      </c>
      <c r="U664" s="38">
        <v>311.2</v>
      </c>
      <c r="V664" s="38">
        <v>310.87</v>
      </c>
      <c r="W664" s="38">
        <v>279.61</v>
      </c>
      <c r="X664" s="38">
        <v>216.13</v>
      </c>
      <c r="Y664" s="38">
        <v>188.14</v>
      </c>
      <c r="Z664" s="38">
        <v>179.12</v>
      </c>
      <c r="AA664" s="38">
        <v>170.05</v>
      </c>
      <c r="AB664" s="38">
        <v>166.23</v>
      </c>
      <c r="AC664" s="38">
        <v>173.57</v>
      </c>
      <c r="AD664" s="38">
        <v>180.13</v>
      </c>
      <c r="AE664" s="38">
        <v>185.18</v>
      </c>
      <c r="AF664" s="38">
        <v>191.11</v>
      </c>
      <c r="AG664" s="38">
        <v>185.7</v>
      </c>
      <c r="AH664" s="38">
        <v>183.99</v>
      </c>
      <c r="AI664" s="38">
        <v>174.96</v>
      </c>
      <c r="AJ664" s="38">
        <v>133.34</v>
      </c>
      <c r="AK664" s="38">
        <v>119.68</v>
      </c>
      <c r="AL664" s="38">
        <v>113.09</v>
      </c>
      <c r="AM664" s="38">
        <v>107.94</v>
      </c>
      <c r="AN664" s="38">
        <v>105.62</v>
      </c>
      <c r="AO664" s="38">
        <v>109.78</v>
      </c>
      <c r="AP664" s="38">
        <v>119.83</v>
      </c>
      <c r="AQ664" s="38">
        <v>118.39</v>
      </c>
      <c r="AR664" s="38">
        <v>117.08</v>
      </c>
      <c r="AS664" s="38">
        <v>116.72</v>
      </c>
      <c r="AT664" s="38">
        <v>115.34</v>
      </c>
      <c r="AU664" s="38">
        <v>109.76</v>
      </c>
      <c r="AV664" s="38">
        <v>96.45</v>
      </c>
      <c r="AW664" s="38">
        <v>90.46</v>
      </c>
      <c r="AX664" s="38">
        <v>88.16</v>
      </c>
      <c r="AY664" s="38">
        <v>86.46</v>
      </c>
      <c r="BA664" s="37">
        <v>113.95</v>
      </c>
      <c r="BB664" s="38">
        <v>1.2024999999999999</v>
      </c>
    </row>
    <row r="665" spans="1:54" x14ac:dyDescent="0.35">
      <c r="A665" s="2">
        <f t="shared" si="10"/>
        <v>44753</v>
      </c>
      <c r="B665" t="s">
        <v>707</v>
      </c>
      <c r="C665" s="32">
        <v>44753</v>
      </c>
      <c r="D665" s="38">
        <v>222.24</v>
      </c>
      <c r="E665" s="38">
        <v>328.48</v>
      </c>
      <c r="F665" s="38">
        <v>370.93</v>
      </c>
      <c r="G665" s="38">
        <v>424.58</v>
      </c>
      <c r="H665" s="38">
        <v>434.48</v>
      </c>
      <c r="I665" s="38">
        <v>435.29</v>
      </c>
      <c r="J665" s="38">
        <v>427.32</v>
      </c>
      <c r="K665" s="38">
        <v>389.57</v>
      </c>
      <c r="L665" s="38">
        <v>361.97</v>
      </c>
      <c r="M665" s="38">
        <v>315.69</v>
      </c>
      <c r="N665" s="38">
        <v>297.77</v>
      </c>
      <c r="O665" s="38">
        <v>276.66000000000003</v>
      </c>
      <c r="P665" s="38">
        <v>269.82</v>
      </c>
      <c r="Q665" s="38">
        <v>275.95</v>
      </c>
      <c r="R665" s="38">
        <v>294.24</v>
      </c>
      <c r="S665" s="38">
        <v>304.48</v>
      </c>
      <c r="T665" s="38">
        <v>306.67</v>
      </c>
      <c r="U665" s="38">
        <v>306.02</v>
      </c>
      <c r="V665" s="38">
        <v>305.7</v>
      </c>
      <c r="W665" s="38">
        <v>274.2</v>
      </c>
      <c r="X665" s="38">
        <v>215.3</v>
      </c>
      <c r="Y665" s="38">
        <v>187.9</v>
      </c>
      <c r="Z665" s="38">
        <v>178.86</v>
      </c>
      <c r="AA665" s="38">
        <v>167.8</v>
      </c>
      <c r="AB665" s="38">
        <v>163.98</v>
      </c>
      <c r="AC665" s="38">
        <v>171.25</v>
      </c>
      <c r="AD665" s="38">
        <v>178.47</v>
      </c>
      <c r="AE665" s="38">
        <v>183.52</v>
      </c>
      <c r="AF665" s="38">
        <v>189.44</v>
      </c>
      <c r="AG665" s="38">
        <v>183.08</v>
      </c>
      <c r="AH665" s="38">
        <v>181.34</v>
      </c>
      <c r="AI665" s="38">
        <v>169.28</v>
      </c>
      <c r="AJ665" s="38">
        <v>129.29</v>
      </c>
      <c r="AK665" s="38">
        <v>115.49</v>
      </c>
      <c r="AL665" s="38">
        <v>108.76</v>
      </c>
      <c r="AM665" s="38">
        <v>103.1</v>
      </c>
      <c r="AN665" s="38">
        <v>100.76</v>
      </c>
      <c r="AO665" s="38">
        <v>104.87</v>
      </c>
      <c r="AP665" s="38">
        <v>117.21</v>
      </c>
      <c r="AQ665" s="38">
        <v>115.78</v>
      </c>
      <c r="AR665" s="38">
        <v>114.45</v>
      </c>
      <c r="AS665" s="38">
        <v>114.08</v>
      </c>
      <c r="AT665" s="38">
        <v>112.69</v>
      </c>
      <c r="AU665" s="38">
        <v>107.1</v>
      </c>
      <c r="AV665" s="38">
        <v>96.08</v>
      </c>
      <c r="AW665" s="38">
        <v>90.08</v>
      </c>
      <c r="AX665" s="38">
        <v>87.76</v>
      </c>
      <c r="AY665" s="38">
        <v>86.04</v>
      </c>
      <c r="BA665" s="37">
        <v>114.85</v>
      </c>
      <c r="BB665" s="38">
        <v>1.1884999999999999</v>
      </c>
    </row>
    <row r="666" spans="1:54" x14ac:dyDescent="0.35">
      <c r="A666" s="2">
        <f t="shared" si="10"/>
        <v>44754</v>
      </c>
      <c r="B666" t="s">
        <v>708</v>
      </c>
      <c r="C666" s="32">
        <v>44754</v>
      </c>
      <c r="D666" s="38">
        <v>244.02</v>
      </c>
      <c r="E666" s="38">
        <v>338.75</v>
      </c>
      <c r="F666" s="38">
        <v>388.09</v>
      </c>
      <c r="G666" s="38">
        <v>445.39</v>
      </c>
      <c r="H666" s="38">
        <v>455.67</v>
      </c>
      <c r="I666" s="38">
        <v>455.62</v>
      </c>
      <c r="J666" s="38">
        <v>449.12</v>
      </c>
      <c r="K666" s="38">
        <v>409.02</v>
      </c>
      <c r="L666" s="38">
        <v>369.03</v>
      </c>
      <c r="M666" s="38">
        <v>317.83999999999997</v>
      </c>
      <c r="N666" s="38">
        <v>303.87</v>
      </c>
      <c r="O666" s="38">
        <v>282.37</v>
      </c>
      <c r="P666" s="38">
        <v>275.58</v>
      </c>
      <c r="Q666" s="38">
        <v>282.61</v>
      </c>
      <c r="R666" s="38">
        <v>301.19</v>
      </c>
      <c r="S666" s="38">
        <v>311.69</v>
      </c>
      <c r="T666" s="38">
        <v>313.89999999999998</v>
      </c>
      <c r="U666" s="38">
        <v>314.39999999999998</v>
      </c>
      <c r="V666" s="38">
        <v>311.39999999999998</v>
      </c>
      <c r="W666" s="38">
        <v>280.02999999999997</v>
      </c>
      <c r="X666" s="38">
        <v>218.03</v>
      </c>
      <c r="Y666" s="38">
        <v>190.62</v>
      </c>
      <c r="Z666" s="38">
        <v>181.58</v>
      </c>
      <c r="AA666" s="38">
        <v>169.28</v>
      </c>
      <c r="AB666" s="38">
        <v>165.46</v>
      </c>
      <c r="AC666" s="38">
        <v>172.73</v>
      </c>
      <c r="AD666" s="38">
        <v>184.13</v>
      </c>
      <c r="AE666" s="38">
        <v>189.18</v>
      </c>
      <c r="AF666" s="38">
        <v>196.27</v>
      </c>
      <c r="AG666" s="38">
        <v>191.52</v>
      </c>
      <c r="AH666" s="38">
        <v>190.17</v>
      </c>
      <c r="AI666" s="38">
        <v>177.95</v>
      </c>
      <c r="AJ666" s="38">
        <v>137.79</v>
      </c>
      <c r="AK666" s="38">
        <v>123.99</v>
      </c>
      <c r="AL666" s="38">
        <v>117.26</v>
      </c>
      <c r="AM666" s="38">
        <v>107.35</v>
      </c>
      <c r="AN666" s="38">
        <v>105.01</v>
      </c>
      <c r="AO666" s="38">
        <v>109.12</v>
      </c>
      <c r="AP666" s="38">
        <v>118.59</v>
      </c>
      <c r="AQ666" s="38">
        <v>117.16</v>
      </c>
      <c r="AR666" s="38">
        <v>115.83</v>
      </c>
      <c r="AS666" s="38">
        <v>113.82</v>
      </c>
      <c r="AT666" s="38">
        <v>112.43</v>
      </c>
      <c r="AU666" s="38">
        <v>106.84</v>
      </c>
      <c r="AV666" s="38">
        <v>95.69</v>
      </c>
      <c r="AW666" s="38">
        <v>89.69</v>
      </c>
      <c r="AX666" s="38">
        <v>87.37</v>
      </c>
      <c r="AY666" s="38">
        <v>85.65</v>
      </c>
      <c r="BA666" s="37">
        <v>106.98</v>
      </c>
      <c r="BB666" s="38">
        <v>1.1888000000000001</v>
      </c>
    </row>
    <row r="667" spans="1:54" x14ac:dyDescent="0.35">
      <c r="A667" s="2">
        <f t="shared" si="10"/>
        <v>44755</v>
      </c>
      <c r="B667" t="s">
        <v>709</v>
      </c>
      <c r="C667" s="32">
        <v>44755</v>
      </c>
      <c r="D667" s="38">
        <v>269.73</v>
      </c>
      <c r="E667" s="38">
        <v>357.68</v>
      </c>
      <c r="F667" s="38">
        <v>405.68</v>
      </c>
      <c r="G667" s="38">
        <v>462.14</v>
      </c>
      <c r="H667" s="38">
        <v>473.14</v>
      </c>
      <c r="I667" s="38">
        <v>471.04</v>
      </c>
      <c r="J667" s="38">
        <v>463.98</v>
      </c>
      <c r="K667" s="38">
        <v>424.38</v>
      </c>
      <c r="L667" s="38">
        <v>374.52</v>
      </c>
      <c r="M667" s="38">
        <v>319.27</v>
      </c>
      <c r="N667" s="38">
        <v>304.27</v>
      </c>
      <c r="O667" s="38">
        <v>286.52</v>
      </c>
      <c r="P667" s="38">
        <v>272.47000000000003</v>
      </c>
      <c r="Q667" s="38">
        <v>279.33</v>
      </c>
      <c r="R667" s="38">
        <v>305.58</v>
      </c>
      <c r="S667" s="38">
        <v>316.39999999999998</v>
      </c>
      <c r="T667" s="38">
        <v>318.32</v>
      </c>
      <c r="U667" s="38">
        <v>323.22000000000003</v>
      </c>
      <c r="V667" s="38">
        <v>314.27</v>
      </c>
      <c r="W667" s="38">
        <v>282.56</v>
      </c>
      <c r="X667" s="38">
        <v>222.36</v>
      </c>
      <c r="Y667" s="38">
        <v>194.42</v>
      </c>
      <c r="Z667" s="38">
        <v>185.37</v>
      </c>
      <c r="AA667" s="38">
        <v>173.07</v>
      </c>
      <c r="AB667" s="38">
        <v>169.25</v>
      </c>
      <c r="AC667" s="38">
        <v>176.15</v>
      </c>
      <c r="AD667" s="38">
        <v>186.65</v>
      </c>
      <c r="AE667" s="38">
        <v>191.7</v>
      </c>
      <c r="AF667" s="38">
        <v>198.79</v>
      </c>
      <c r="AG667" s="38">
        <v>194.02</v>
      </c>
      <c r="AH667" s="38">
        <v>192.66</v>
      </c>
      <c r="AI667" s="38">
        <v>180.45</v>
      </c>
      <c r="AJ667" s="38">
        <v>137.75</v>
      </c>
      <c r="AK667" s="38">
        <v>122.29</v>
      </c>
      <c r="AL667" s="38">
        <v>115.81</v>
      </c>
      <c r="AM667" s="38">
        <v>106.06</v>
      </c>
      <c r="AN667" s="38">
        <v>103.72</v>
      </c>
      <c r="AO667" s="38">
        <v>107.83</v>
      </c>
      <c r="AP667" s="38">
        <v>117.37</v>
      </c>
      <c r="AQ667" s="38">
        <v>115.93</v>
      </c>
      <c r="AR667" s="38">
        <v>114.98</v>
      </c>
      <c r="AS667" s="38">
        <v>114.46</v>
      </c>
      <c r="AT667" s="38">
        <v>113.07</v>
      </c>
      <c r="AU667" s="38">
        <v>107.23</v>
      </c>
      <c r="AV667" s="38">
        <v>95.24</v>
      </c>
      <c r="AW667" s="38">
        <v>87.92</v>
      </c>
      <c r="AX667" s="38">
        <v>85.01</v>
      </c>
      <c r="AY667" s="38">
        <v>82.75</v>
      </c>
      <c r="BA667" s="37">
        <v>107.17</v>
      </c>
      <c r="BB667" s="38">
        <v>1.1954</v>
      </c>
    </row>
    <row r="668" spans="1:54" x14ac:dyDescent="0.35">
      <c r="A668" s="2">
        <f t="shared" si="10"/>
        <v>44756</v>
      </c>
      <c r="B668" t="s">
        <v>710</v>
      </c>
      <c r="C668" s="32">
        <v>44756</v>
      </c>
      <c r="D668" s="38">
        <v>236.82</v>
      </c>
      <c r="E668" s="38">
        <v>331.23</v>
      </c>
      <c r="F668" s="38">
        <v>388.5</v>
      </c>
      <c r="G668" s="38">
        <v>448.23</v>
      </c>
      <c r="H668" s="38">
        <v>463.5</v>
      </c>
      <c r="I668" s="38">
        <v>461.25</v>
      </c>
      <c r="J668" s="38">
        <v>452.49</v>
      </c>
      <c r="K668" s="38">
        <v>409.64</v>
      </c>
      <c r="L668" s="38">
        <v>365.21</v>
      </c>
      <c r="M668" s="38">
        <v>308.35000000000002</v>
      </c>
      <c r="N668" s="38">
        <v>293.85000000000002</v>
      </c>
      <c r="O668" s="38">
        <v>275.85000000000002</v>
      </c>
      <c r="P668" s="38">
        <v>261.32</v>
      </c>
      <c r="Q668" s="38">
        <v>268.18</v>
      </c>
      <c r="R668" s="38">
        <v>296.77</v>
      </c>
      <c r="S668" s="38">
        <v>307.99</v>
      </c>
      <c r="T668" s="38">
        <v>309.92</v>
      </c>
      <c r="U668" s="38">
        <v>315.60000000000002</v>
      </c>
      <c r="V668" s="38">
        <v>306.66000000000003</v>
      </c>
      <c r="W668" s="38">
        <v>275.58999999999997</v>
      </c>
      <c r="X668" s="38">
        <v>218.6</v>
      </c>
      <c r="Y668" s="38">
        <v>190.66</v>
      </c>
      <c r="Z668" s="38">
        <v>181.86</v>
      </c>
      <c r="AA668" s="38">
        <v>169.56</v>
      </c>
      <c r="AB668" s="38">
        <v>165.75</v>
      </c>
      <c r="AC668" s="38">
        <v>172.65</v>
      </c>
      <c r="AD668" s="38">
        <v>185</v>
      </c>
      <c r="AE668" s="38">
        <v>190.05</v>
      </c>
      <c r="AF668" s="38">
        <v>197.14</v>
      </c>
      <c r="AG668" s="38">
        <v>192.92</v>
      </c>
      <c r="AH668" s="38">
        <v>191.56</v>
      </c>
      <c r="AI668" s="38">
        <v>179.35</v>
      </c>
      <c r="AJ668" s="38">
        <v>139.47</v>
      </c>
      <c r="AK668" s="38">
        <v>124.01</v>
      </c>
      <c r="AL668" s="38">
        <v>117.53</v>
      </c>
      <c r="AM668" s="38">
        <v>107.78</v>
      </c>
      <c r="AN668" s="38">
        <v>105.44</v>
      </c>
      <c r="AO668" s="38">
        <v>109.55</v>
      </c>
      <c r="AP668" s="38">
        <v>120.16</v>
      </c>
      <c r="AQ668" s="38">
        <v>118.72</v>
      </c>
      <c r="AR668" s="38">
        <v>117.77</v>
      </c>
      <c r="AS668" s="38">
        <v>115.89</v>
      </c>
      <c r="AT668" s="38">
        <v>114.5</v>
      </c>
      <c r="AU668" s="38">
        <v>108.66</v>
      </c>
      <c r="AV668" s="38">
        <v>100.79</v>
      </c>
      <c r="AW668" s="38">
        <v>93.47</v>
      </c>
      <c r="AX668" s="38">
        <v>90.56</v>
      </c>
      <c r="AY668" s="38">
        <v>88.3</v>
      </c>
      <c r="BA668" s="37">
        <v>107.74</v>
      </c>
      <c r="BB668" s="38">
        <v>1.1785000000000001</v>
      </c>
    </row>
    <row r="669" spans="1:54" x14ac:dyDescent="0.35">
      <c r="A669" s="2">
        <f t="shared" si="10"/>
        <v>44757</v>
      </c>
      <c r="B669" t="s">
        <v>711</v>
      </c>
      <c r="C669" s="32">
        <v>44757</v>
      </c>
      <c r="D669" s="38">
        <v>200.29</v>
      </c>
      <c r="E669" s="38">
        <v>296.14</v>
      </c>
      <c r="F669" s="38">
        <v>351.84</v>
      </c>
      <c r="G669" s="38">
        <v>413.29</v>
      </c>
      <c r="H669" s="38">
        <v>428.67</v>
      </c>
      <c r="I669" s="38">
        <v>426.32</v>
      </c>
      <c r="J669" s="38">
        <v>417.6</v>
      </c>
      <c r="K669" s="38">
        <v>379.04</v>
      </c>
      <c r="L669" s="38">
        <v>331.44</v>
      </c>
      <c r="M669" s="38">
        <v>283.75</v>
      </c>
      <c r="N669" s="38">
        <v>271.52</v>
      </c>
      <c r="O669" s="38">
        <v>257.33</v>
      </c>
      <c r="P669" s="38">
        <v>242.06</v>
      </c>
      <c r="Q669" s="38">
        <v>248.83</v>
      </c>
      <c r="R669" s="38">
        <v>277.13</v>
      </c>
      <c r="S669" s="38">
        <v>287.69</v>
      </c>
      <c r="T669" s="38">
        <v>290.3</v>
      </c>
      <c r="U669" s="38">
        <v>294.22000000000003</v>
      </c>
      <c r="V669" s="38">
        <v>285.27999999999997</v>
      </c>
      <c r="W669" s="38">
        <v>254.21</v>
      </c>
      <c r="X669" s="38">
        <v>209.74</v>
      </c>
      <c r="Y669" s="38">
        <v>183.31</v>
      </c>
      <c r="Z669" s="38">
        <v>174.51</v>
      </c>
      <c r="AA669" s="38">
        <v>161.96</v>
      </c>
      <c r="AB669" s="38">
        <v>158.15</v>
      </c>
      <c r="AC669" s="38">
        <v>165.05</v>
      </c>
      <c r="AD669" s="38">
        <v>177.36</v>
      </c>
      <c r="AE669" s="38">
        <v>182.41</v>
      </c>
      <c r="AF669" s="38">
        <v>189.5</v>
      </c>
      <c r="AG669" s="38">
        <v>185.29</v>
      </c>
      <c r="AH669" s="38">
        <v>183.89</v>
      </c>
      <c r="AI669" s="38">
        <v>171.68</v>
      </c>
      <c r="AJ669" s="38">
        <v>136.02000000000001</v>
      </c>
      <c r="AK669" s="38">
        <v>122.66</v>
      </c>
      <c r="AL669" s="38">
        <v>116.18</v>
      </c>
      <c r="AM669" s="38">
        <v>106.43</v>
      </c>
      <c r="AN669" s="38">
        <v>104.09</v>
      </c>
      <c r="AO669" s="38">
        <v>108.2</v>
      </c>
      <c r="AP669" s="38">
        <v>121.75</v>
      </c>
      <c r="AQ669" s="38">
        <v>120.31</v>
      </c>
      <c r="AR669" s="38">
        <v>119.36</v>
      </c>
      <c r="AS669" s="38">
        <v>116.87</v>
      </c>
      <c r="AT669" s="38">
        <v>115.48</v>
      </c>
      <c r="AU669" s="38">
        <v>109.64</v>
      </c>
      <c r="AV669" s="38">
        <v>104.77</v>
      </c>
      <c r="AW669" s="38">
        <v>97.45</v>
      </c>
      <c r="AX669" s="38">
        <v>94.54</v>
      </c>
      <c r="AY669" s="38">
        <v>92.28</v>
      </c>
      <c r="BA669" s="37">
        <v>112.26</v>
      </c>
      <c r="BB669" s="38">
        <v>1.1855</v>
      </c>
    </row>
    <row r="670" spans="1:54" x14ac:dyDescent="0.35">
      <c r="A670" s="2">
        <f t="shared" si="10"/>
        <v>44760</v>
      </c>
      <c r="B670" t="s">
        <v>712</v>
      </c>
      <c r="C670" s="32">
        <v>44760</v>
      </c>
      <c r="D670" s="38">
        <v>193.68</v>
      </c>
      <c r="E670" s="38">
        <v>285.68</v>
      </c>
      <c r="F670" s="38">
        <v>342.68</v>
      </c>
      <c r="G670" s="38">
        <v>406.68</v>
      </c>
      <c r="H670" s="38">
        <v>422.62</v>
      </c>
      <c r="I670" s="38">
        <v>419.62</v>
      </c>
      <c r="J670" s="38">
        <v>409.62</v>
      </c>
      <c r="K670" s="38">
        <v>371.62</v>
      </c>
      <c r="L670" s="38">
        <v>327.52</v>
      </c>
      <c r="M670" s="38">
        <v>277.45999999999998</v>
      </c>
      <c r="N670" s="38">
        <v>263.20999999999998</v>
      </c>
      <c r="O670" s="38">
        <v>249.62</v>
      </c>
      <c r="P670" s="38">
        <v>236.32</v>
      </c>
      <c r="Q670" s="38">
        <v>243.11</v>
      </c>
      <c r="R670" s="38">
        <v>270.22000000000003</v>
      </c>
      <c r="S670" s="38">
        <v>282.08999999999997</v>
      </c>
      <c r="T670" s="38">
        <v>283.33</v>
      </c>
      <c r="U670" s="38">
        <v>287.87</v>
      </c>
      <c r="V670" s="38">
        <v>278.93</v>
      </c>
      <c r="W670" s="38">
        <v>251.09</v>
      </c>
      <c r="X670" s="38">
        <v>207.28</v>
      </c>
      <c r="Y670" s="38">
        <v>178.92</v>
      </c>
      <c r="Z670" s="38">
        <v>170.12</v>
      </c>
      <c r="AA670" s="38">
        <v>157.57</v>
      </c>
      <c r="AB670" s="38">
        <v>153.75</v>
      </c>
      <c r="AC670" s="38">
        <v>160.63999999999999</v>
      </c>
      <c r="AD670" s="38">
        <v>172.96</v>
      </c>
      <c r="AE670" s="38">
        <v>178.01</v>
      </c>
      <c r="AF670" s="38">
        <v>185.1</v>
      </c>
      <c r="AG670" s="38">
        <v>180.89</v>
      </c>
      <c r="AH670" s="38">
        <v>179.49</v>
      </c>
      <c r="AI670" s="38">
        <v>167.27</v>
      </c>
      <c r="AJ670" s="38">
        <v>132.51</v>
      </c>
      <c r="AK670" s="38">
        <v>119.15</v>
      </c>
      <c r="AL670" s="38">
        <v>112.67</v>
      </c>
      <c r="AM670" s="38">
        <v>102.92</v>
      </c>
      <c r="AN670" s="38">
        <v>100.58</v>
      </c>
      <c r="AO670" s="38">
        <v>104.69</v>
      </c>
      <c r="AP670" s="38">
        <v>121.52</v>
      </c>
      <c r="AQ670" s="38">
        <v>120.08</v>
      </c>
      <c r="AR670" s="38">
        <v>119.13</v>
      </c>
      <c r="AS670" s="38">
        <v>116.64</v>
      </c>
      <c r="AT670" s="38">
        <v>115.25</v>
      </c>
      <c r="AU670" s="38">
        <v>109.41</v>
      </c>
      <c r="AV670" s="38">
        <v>104.54</v>
      </c>
      <c r="AW670" s="38">
        <v>97.22</v>
      </c>
      <c r="AX670" s="38">
        <v>94.31</v>
      </c>
      <c r="AY670" s="38">
        <v>92.05</v>
      </c>
      <c r="BA670" s="37">
        <v>117.27</v>
      </c>
      <c r="BB670" s="38">
        <v>1.2025999999999999</v>
      </c>
    </row>
    <row r="671" spans="1:54" x14ac:dyDescent="0.35">
      <c r="A671" s="2">
        <f t="shared" si="10"/>
        <v>44761</v>
      </c>
      <c r="B671" t="s">
        <v>713</v>
      </c>
      <c r="C671" s="32">
        <v>44761</v>
      </c>
      <c r="D671" s="38">
        <v>216.53</v>
      </c>
      <c r="E671" s="38">
        <v>297.44</v>
      </c>
      <c r="F671" s="38">
        <v>343.46</v>
      </c>
      <c r="G671" s="38">
        <v>399.35</v>
      </c>
      <c r="H671" s="38">
        <v>419.17</v>
      </c>
      <c r="I671" s="38">
        <v>416.67</v>
      </c>
      <c r="J671" s="38">
        <v>408.44</v>
      </c>
      <c r="K671" s="38">
        <v>366.74</v>
      </c>
      <c r="L671" s="38">
        <v>326.87</v>
      </c>
      <c r="M671" s="38">
        <v>276.87</v>
      </c>
      <c r="N671" s="38">
        <v>263.18</v>
      </c>
      <c r="O671" s="38">
        <v>253.66</v>
      </c>
      <c r="P671" s="38">
        <v>241.36</v>
      </c>
      <c r="Q671" s="38">
        <v>248.17</v>
      </c>
      <c r="R671" s="38">
        <v>269.83</v>
      </c>
      <c r="S671" s="38">
        <v>280.52999999999997</v>
      </c>
      <c r="T671" s="38">
        <v>283.16000000000003</v>
      </c>
      <c r="U671" s="38">
        <v>288.93</v>
      </c>
      <c r="V671" s="38">
        <v>279.63</v>
      </c>
      <c r="W671" s="38">
        <v>249.4</v>
      </c>
      <c r="X671" s="38">
        <v>207.34</v>
      </c>
      <c r="Y671" s="38">
        <v>178.97</v>
      </c>
      <c r="Z671" s="38">
        <v>170.18</v>
      </c>
      <c r="AA671" s="38">
        <v>157.63</v>
      </c>
      <c r="AB671" s="38">
        <v>153.80000000000001</v>
      </c>
      <c r="AC671" s="38">
        <v>160.69</v>
      </c>
      <c r="AD671" s="38">
        <v>173.01</v>
      </c>
      <c r="AE671" s="38">
        <v>178.06</v>
      </c>
      <c r="AF671" s="38">
        <v>185.15</v>
      </c>
      <c r="AG671" s="38">
        <v>180.94</v>
      </c>
      <c r="AH671" s="38">
        <v>179.54</v>
      </c>
      <c r="AI671" s="38">
        <v>167.32</v>
      </c>
      <c r="AJ671" s="38">
        <v>133.32</v>
      </c>
      <c r="AK671" s="38">
        <v>119.36</v>
      </c>
      <c r="AL671" s="38">
        <v>112.72</v>
      </c>
      <c r="AM671" s="38">
        <v>102.82</v>
      </c>
      <c r="AN671" s="38">
        <v>100.4</v>
      </c>
      <c r="AO671" s="38">
        <v>104.45</v>
      </c>
      <c r="AP671" s="38">
        <v>122.27</v>
      </c>
      <c r="AQ671" s="38">
        <v>120.75</v>
      </c>
      <c r="AR671" s="38">
        <v>119.66</v>
      </c>
      <c r="AS671" s="38">
        <v>116.79</v>
      </c>
      <c r="AT671" s="38">
        <v>114.9</v>
      </c>
      <c r="AU671" s="38">
        <v>108.12</v>
      </c>
      <c r="AV671" s="38">
        <v>104.94</v>
      </c>
      <c r="AW671" s="38">
        <v>97.62</v>
      </c>
      <c r="AX671" s="38">
        <v>94.71</v>
      </c>
      <c r="AY671" s="38">
        <v>92.45</v>
      </c>
      <c r="BA671" s="37">
        <v>114.96</v>
      </c>
      <c r="BB671" s="38">
        <v>1.2027000000000001</v>
      </c>
    </row>
    <row r="672" spans="1:54" x14ac:dyDescent="0.35">
      <c r="A672" s="2">
        <f t="shared" si="10"/>
        <v>44762</v>
      </c>
      <c r="B672" t="s">
        <v>714</v>
      </c>
      <c r="C672" s="32">
        <v>44762</v>
      </c>
      <c r="D672" s="38">
        <v>268.32</v>
      </c>
      <c r="E672" s="38">
        <v>328.88</v>
      </c>
      <c r="F672" s="38">
        <v>354.29</v>
      </c>
      <c r="G672" s="38">
        <v>402.26</v>
      </c>
      <c r="H672" s="38">
        <v>418.45</v>
      </c>
      <c r="I672" s="38">
        <v>416</v>
      </c>
      <c r="J672" s="38">
        <v>409</v>
      </c>
      <c r="K672" s="38">
        <v>371</v>
      </c>
      <c r="L672" s="38">
        <v>334</v>
      </c>
      <c r="M672" s="38">
        <v>289.39999999999998</v>
      </c>
      <c r="N672" s="38">
        <v>276.92</v>
      </c>
      <c r="O672" s="38">
        <v>263.92</v>
      </c>
      <c r="P672" s="38">
        <v>251.62</v>
      </c>
      <c r="Q672" s="38">
        <v>257.62</v>
      </c>
      <c r="R672" s="38">
        <v>281.62</v>
      </c>
      <c r="S672" s="38">
        <v>291.75</v>
      </c>
      <c r="T672" s="38">
        <v>294.99</v>
      </c>
      <c r="U672" s="38">
        <v>300.88</v>
      </c>
      <c r="V672" s="38">
        <v>291.58</v>
      </c>
      <c r="W672" s="38">
        <v>261.35000000000002</v>
      </c>
      <c r="X672" s="38">
        <v>216.6</v>
      </c>
      <c r="Y672" s="38">
        <v>183.69</v>
      </c>
      <c r="Z672" s="38">
        <v>174.9</v>
      </c>
      <c r="AA672" s="38">
        <v>162.81</v>
      </c>
      <c r="AB672" s="38">
        <v>158.97999999999999</v>
      </c>
      <c r="AC672" s="38">
        <v>165.87</v>
      </c>
      <c r="AD672" s="38">
        <v>177.95</v>
      </c>
      <c r="AE672" s="38">
        <v>183</v>
      </c>
      <c r="AF672" s="38">
        <v>190.09</v>
      </c>
      <c r="AG672" s="38">
        <v>185.88</v>
      </c>
      <c r="AH672" s="38">
        <v>184.48</v>
      </c>
      <c r="AI672" s="38">
        <v>172.26</v>
      </c>
      <c r="AJ672" s="38">
        <v>136.32</v>
      </c>
      <c r="AK672" s="38">
        <v>122.33</v>
      </c>
      <c r="AL672" s="38">
        <v>115.65</v>
      </c>
      <c r="AM672" s="38">
        <v>105.71</v>
      </c>
      <c r="AN672" s="38">
        <v>103.22</v>
      </c>
      <c r="AO672" s="38">
        <v>107.13</v>
      </c>
      <c r="AP672" s="38">
        <v>123.3</v>
      </c>
      <c r="AQ672" s="38">
        <v>121.78</v>
      </c>
      <c r="AR672" s="38">
        <v>120.69</v>
      </c>
      <c r="AS672" s="38">
        <v>118.66</v>
      </c>
      <c r="AT672" s="38">
        <v>116.77</v>
      </c>
      <c r="AU672" s="38">
        <v>109.99</v>
      </c>
      <c r="AV672" s="38">
        <v>107.58</v>
      </c>
      <c r="AW672" s="38">
        <v>98.83</v>
      </c>
      <c r="AX672" s="38">
        <v>95.92</v>
      </c>
      <c r="AY672" s="38">
        <v>93.66</v>
      </c>
      <c r="BA672" s="37">
        <v>115.86</v>
      </c>
      <c r="BB672" s="38">
        <v>1.1998</v>
      </c>
    </row>
    <row r="673" spans="1:54" x14ac:dyDescent="0.35">
      <c r="A673" s="2">
        <f t="shared" si="10"/>
        <v>44763</v>
      </c>
      <c r="B673" t="s">
        <v>715</v>
      </c>
      <c r="C673" s="32">
        <v>44763</v>
      </c>
      <c r="D673" s="38">
        <v>296.13</v>
      </c>
      <c r="E673" s="38">
        <v>334.75</v>
      </c>
      <c r="F673" s="38">
        <v>357.59</v>
      </c>
      <c r="G673" s="38">
        <v>398.24</v>
      </c>
      <c r="H673" s="38">
        <v>413.24</v>
      </c>
      <c r="I673" s="38">
        <v>412.16</v>
      </c>
      <c r="J673" s="38">
        <v>403.18</v>
      </c>
      <c r="K673" s="38">
        <v>370.39</v>
      </c>
      <c r="L673" s="38">
        <v>335.83</v>
      </c>
      <c r="M673" s="38">
        <v>291.83</v>
      </c>
      <c r="N673" s="38">
        <v>278.52999999999997</v>
      </c>
      <c r="O673" s="38">
        <v>264.49</v>
      </c>
      <c r="P673" s="38">
        <v>252.19</v>
      </c>
      <c r="Q673" s="38">
        <v>258.2</v>
      </c>
      <c r="R673" s="38">
        <v>283.63</v>
      </c>
      <c r="S673" s="38">
        <v>294.5</v>
      </c>
      <c r="T673" s="38">
        <v>298.5</v>
      </c>
      <c r="U673" s="38">
        <v>303.5</v>
      </c>
      <c r="V673" s="38">
        <v>293.13</v>
      </c>
      <c r="W673" s="38">
        <v>262.44</v>
      </c>
      <c r="X673" s="38">
        <v>218.23</v>
      </c>
      <c r="Y673" s="38">
        <v>185.54</v>
      </c>
      <c r="Z673" s="38">
        <v>176.95</v>
      </c>
      <c r="AA673" s="38">
        <v>165.02</v>
      </c>
      <c r="AB673" s="38">
        <v>161.19</v>
      </c>
      <c r="AC673" s="38">
        <v>168.08</v>
      </c>
      <c r="AD673" s="38">
        <v>177.05</v>
      </c>
      <c r="AE673" s="38">
        <v>181.05</v>
      </c>
      <c r="AF673" s="38">
        <v>188.14</v>
      </c>
      <c r="AG673" s="38">
        <v>183.97</v>
      </c>
      <c r="AH673" s="38">
        <v>182.56</v>
      </c>
      <c r="AI673" s="38">
        <v>170.35</v>
      </c>
      <c r="AJ673" s="38">
        <v>134.35</v>
      </c>
      <c r="AK673" s="38">
        <v>120.37</v>
      </c>
      <c r="AL673" s="38">
        <v>113.69</v>
      </c>
      <c r="AM673" s="38">
        <v>103.75</v>
      </c>
      <c r="AN673" s="38">
        <v>101.26</v>
      </c>
      <c r="AO673" s="38">
        <v>105.17</v>
      </c>
      <c r="AP673" s="38">
        <v>121.06</v>
      </c>
      <c r="AQ673" s="38">
        <v>119.54</v>
      </c>
      <c r="AR673" s="38">
        <v>118.45</v>
      </c>
      <c r="AS673" s="38">
        <v>116.42</v>
      </c>
      <c r="AT673" s="38">
        <v>114.52</v>
      </c>
      <c r="AU673" s="38">
        <v>107.74</v>
      </c>
      <c r="AV673" s="38">
        <v>106.83</v>
      </c>
      <c r="AW673" s="38">
        <v>98.09</v>
      </c>
      <c r="AX673" s="38">
        <v>95.18</v>
      </c>
      <c r="AY673" s="38">
        <v>92.92</v>
      </c>
      <c r="BA673" s="37">
        <v>112.81</v>
      </c>
      <c r="BB673" s="38">
        <v>1.1947000000000001</v>
      </c>
    </row>
    <row r="674" spans="1:54" x14ac:dyDescent="0.35">
      <c r="A674" s="2">
        <f t="shared" si="10"/>
        <v>44764</v>
      </c>
      <c r="B674" t="s">
        <v>716</v>
      </c>
      <c r="C674" s="32">
        <v>44764</v>
      </c>
      <c r="D674" s="38">
        <v>312.18</v>
      </c>
      <c r="E674" s="38">
        <v>344.41</v>
      </c>
      <c r="F674" s="38">
        <v>369.6</v>
      </c>
      <c r="G674" s="38">
        <v>410.35</v>
      </c>
      <c r="H674" s="38">
        <v>421.85</v>
      </c>
      <c r="I674" s="38">
        <v>418.35</v>
      </c>
      <c r="J674" s="38">
        <v>408.85</v>
      </c>
      <c r="K674" s="38">
        <v>372.19</v>
      </c>
      <c r="L674" s="38">
        <v>337.37</v>
      </c>
      <c r="M674" s="38">
        <v>301.97000000000003</v>
      </c>
      <c r="N674" s="38">
        <v>289.01</v>
      </c>
      <c r="O674" s="38">
        <v>273.76</v>
      </c>
      <c r="P674" s="38">
        <v>266.41000000000003</v>
      </c>
      <c r="Q674" s="38">
        <v>272.39</v>
      </c>
      <c r="R674" s="38">
        <v>291</v>
      </c>
      <c r="S674" s="38">
        <v>301.56</v>
      </c>
      <c r="T674" s="38">
        <v>305.41000000000003</v>
      </c>
      <c r="U674" s="38">
        <v>310.45</v>
      </c>
      <c r="V674" s="38">
        <v>300.02999999999997</v>
      </c>
      <c r="W674" s="38">
        <v>267.99</v>
      </c>
      <c r="X674" s="38">
        <v>223.02</v>
      </c>
      <c r="Y674" s="38">
        <v>189.02</v>
      </c>
      <c r="Z674" s="38">
        <v>180.02</v>
      </c>
      <c r="AA674" s="38">
        <v>167.92</v>
      </c>
      <c r="AB674" s="38">
        <v>164.08</v>
      </c>
      <c r="AC674" s="38">
        <v>171.08</v>
      </c>
      <c r="AD674" s="38">
        <v>180.59</v>
      </c>
      <c r="AE674" s="38">
        <v>185.02</v>
      </c>
      <c r="AF674" s="38">
        <v>192.11</v>
      </c>
      <c r="AG674" s="38">
        <v>187.94</v>
      </c>
      <c r="AH674" s="38">
        <v>186.53</v>
      </c>
      <c r="AI674" s="38">
        <v>174.32</v>
      </c>
      <c r="AJ674" s="38">
        <v>137.11000000000001</v>
      </c>
      <c r="AK674" s="38">
        <v>123.13</v>
      </c>
      <c r="AL674" s="38">
        <v>116.45</v>
      </c>
      <c r="AM674" s="38">
        <v>106.53</v>
      </c>
      <c r="AN674" s="38">
        <v>104.05</v>
      </c>
      <c r="AO674" s="38">
        <v>107.96</v>
      </c>
      <c r="AP674" s="38">
        <v>123.85</v>
      </c>
      <c r="AQ674" s="38">
        <v>122.33</v>
      </c>
      <c r="AR674" s="38">
        <v>121.24</v>
      </c>
      <c r="AS674" s="38">
        <v>119.21</v>
      </c>
      <c r="AT674" s="38">
        <v>117.31</v>
      </c>
      <c r="AU674" s="38">
        <v>110.53</v>
      </c>
      <c r="AV674" s="38">
        <v>109.62</v>
      </c>
      <c r="AW674" s="38">
        <v>100.88</v>
      </c>
      <c r="AX674" s="38">
        <v>97.97</v>
      </c>
      <c r="AY674" s="38">
        <v>95.71</v>
      </c>
      <c r="BA674" s="37">
        <v>106.77</v>
      </c>
      <c r="BB674" s="38">
        <v>1.204</v>
      </c>
    </row>
    <row r="675" spans="1:54" x14ac:dyDescent="0.35">
      <c r="A675" s="2">
        <f t="shared" si="10"/>
        <v>44767</v>
      </c>
      <c r="B675" t="s">
        <v>717</v>
      </c>
      <c r="C675" s="32">
        <v>44767</v>
      </c>
      <c r="D675" s="38">
        <v>320.47000000000003</v>
      </c>
      <c r="E675" s="38">
        <v>370.44</v>
      </c>
      <c r="F675" s="38">
        <v>400.8</v>
      </c>
      <c r="G675" s="38">
        <v>439.99</v>
      </c>
      <c r="H675" s="38">
        <v>451.49</v>
      </c>
      <c r="I675" s="38">
        <v>447.99</v>
      </c>
      <c r="J675" s="38">
        <v>438.99</v>
      </c>
      <c r="K675" s="38">
        <v>400.04</v>
      </c>
      <c r="L675" s="38">
        <v>354.54</v>
      </c>
      <c r="M675" s="38">
        <v>313.7</v>
      </c>
      <c r="N675" s="38">
        <v>300.64999999999998</v>
      </c>
      <c r="O675" s="38">
        <v>283.64999999999998</v>
      </c>
      <c r="P675" s="38">
        <v>274.95</v>
      </c>
      <c r="Q675" s="38">
        <v>279.61</v>
      </c>
      <c r="R675" s="38">
        <v>296.61</v>
      </c>
      <c r="S675" s="38">
        <v>307.11</v>
      </c>
      <c r="T675" s="38">
        <v>306.72000000000003</v>
      </c>
      <c r="U675" s="38">
        <v>311.67</v>
      </c>
      <c r="V675" s="38">
        <v>300.81</v>
      </c>
      <c r="W675" s="38">
        <v>268.99</v>
      </c>
      <c r="X675" s="38">
        <v>224.49</v>
      </c>
      <c r="Y675" s="38">
        <v>190.74</v>
      </c>
      <c r="Z675" s="38">
        <v>181.74</v>
      </c>
      <c r="AA675" s="38">
        <v>169.64</v>
      </c>
      <c r="AB675" s="38">
        <v>165.8</v>
      </c>
      <c r="AC675" s="38">
        <v>172.8</v>
      </c>
      <c r="AD675" s="38">
        <v>181.22</v>
      </c>
      <c r="AE675" s="38">
        <v>185.66</v>
      </c>
      <c r="AF675" s="38">
        <v>192.75</v>
      </c>
      <c r="AG675" s="38">
        <v>188.66</v>
      </c>
      <c r="AH675" s="38">
        <v>187.25</v>
      </c>
      <c r="AI675" s="38">
        <v>175.04</v>
      </c>
      <c r="AJ675" s="38">
        <v>135.22999999999999</v>
      </c>
      <c r="AK675" s="38">
        <v>123.23</v>
      </c>
      <c r="AL675" s="38">
        <v>116.55</v>
      </c>
      <c r="AM675" s="38">
        <v>106.63</v>
      </c>
      <c r="AN675" s="38">
        <v>104.15</v>
      </c>
      <c r="AO675" s="38">
        <v>108.07</v>
      </c>
      <c r="AP675" s="38">
        <v>124.12</v>
      </c>
      <c r="AQ675" s="38">
        <v>122.61</v>
      </c>
      <c r="AR675" s="38">
        <v>121.52</v>
      </c>
      <c r="AS675" s="38">
        <v>121.07</v>
      </c>
      <c r="AT675" s="38">
        <v>119.17</v>
      </c>
      <c r="AU675" s="38">
        <v>112.37</v>
      </c>
      <c r="AV675" s="38">
        <v>111.15</v>
      </c>
      <c r="AW675" s="38">
        <v>102.41</v>
      </c>
      <c r="AX675" s="38">
        <v>99.5</v>
      </c>
      <c r="AY675" s="38">
        <v>97.24</v>
      </c>
      <c r="BA675" s="37">
        <v>108.23</v>
      </c>
      <c r="BB675" s="38">
        <v>1.2044999999999999</v>
      </c>
    </row>
    <row r="676" spans="1:54" x14ac:dyDescent="0.35">
      <c r="A676" s="2">
        <f t="shared" si="10"/>
        <v>44768</v>
      </c>
      <c r="B676" t="s">
        <v>718</v>
      </c>
      <c r="C676" s="32">
        <v>44768</v>
      </c>
      <c r="D676" s="38">
        <v>352.15</v>
      </c>
      <c r="E676" s="38">
        <v>404.15</v>
      </c>
      <c r="F676" s="38">
        <v>444.95</v>
      </c>
      <c r="G676" s="38">
        <v>494.55</v>
      </c>
      <c r="H676" s="38">
        <v>508.36</v>
      </c>
      <c r="I676" s="38">
        <v>503.51</v>
      </c>
      <c r="J676" s="38">
        <v>492.25</v>
      </c>
      <c r="K676" s="38">
        <v>449.75</v>
      </c>
      <c r="L676" s="38">
        <v>390.75</v>
      </c>
      <c r="M676" s="38">
        <v>337.75</v>
      </c>
      <c r="N676" s="38">
        <v>323.73</v>
      </c>
      <c r="O676" s="38">
        <v>307.19</v>
      </c>
      <c r="P676" s="38">
        <v>297.17</v>
      </c>
      <c r="Q676" s="38">
        <v>301.99</v>
      </c>
      <c r="R676" s="38">
        <v>317.91000000000003</v>
      </c>
      <c r="S676" s="38">
        <v>328.03</v>
      </c>
      <c r="T676" s="38">
        <v>328.11</v>
      </c>
      <c r="U676" s="38">
        <v>330.34</v>
      </c>
      <c r="V676" s="38">
        <v>318.64</v>
      </c>
      <c r="W676" s="38">
        <v>286.77999999999997</v>
      </c>
      <c r="X676" s="38">
        <v>241.6</v>
      </c>
      <c r="Y676" s="38">
        <v>207.56</v>
      </c>
      <c r="Z676" s="38">
        <v>198.57</v>
      </c>
      <c r="AA676" s="38">
        <v>184.91</v>
      </c>
      <c r="AB676" s="38">
        <v>181.08</v>
      </c>
      <c r="AC676" s="38">
        <v>188.26</v>
      </c>
      <c r="AD676" s="38">
        <v>198.39</v>
      </c>
      <c r="AE676" s="38">
        <v>203.41</v>
      </c>
      <c r="AF676" s="38">
        <v>211.57</v>
      </c>
      <c r="AG676" s="38">
        <v>204.79</v>
      </c>
      <c r="AH676" s="38">
        <v>202.53</v>
      </c>
      <c r="AI676" s="38">
        <v>187.98</v>
      </c>
      <c r="AJ676" s="38">
        <v>139.76</v>
      </c>
      <c r="AK676" s="38">
        <v>126.26</v>
      </c>
      <c r="AL676" s="38">
        <v>119.59</v>
      </c>
      <c r="AM676" s="38">
        <v>109.68</v>
      </c>
      <c r="AN676" s="38">
        <v>107.2</v>
      </c>
      <c r="AO676" s="38">
        <v>111.13</v>
      </c>
      <c r="AP676" s="38">
        <v>127.17</v>
      </c>
      <c r="AQ676" s="38">
        <v>125.65</v>
      </c>
      <c r="AR676" s="38">
        <v>124.56</v>
      </c>
      <c r="AS676" s="38">
        <v>124.12</v>
      </c>
      <c r="AT676" s="38">
        <v>122.22</v>
      </c>
      <c r="AU676" s="38">
        <v>115.43</v>
      </c>
      <c r="AV676" s="38">
        <v>111.96</v>
      </c>
      <c r="AW676" s="38">
        <v>103.22</v>
      </c>
      <c r="AX676" s="38">
        <v>100.31</v>
      </c>
      <c r="AY676" s="38">
        <v>98.05</v>
      </c>
      <c r="BA676" s="37">
        <v>107.32</v>
      </c>
      <c r="BB676" s="38">
        <v>1.2043999999999999</v>
      </c>
    </row>
    <row r="677" spans="1:54" x14ac:dyDescent="0.35">
      <c r="A677" s="2">
        <f t="shared" si="10"/>
        <v>44769</v>
      </c>
      <c r="B677" t="s">
        <v>719</v>
      </c>
      <c r="C677" s="32">
        <v>44769</v>
      </c>
      <c r="D677" s="38">
        <v>371.62</v>
      </c>
      <c r="E677" s="38">
        <v>422.93</v>
      </c>
      <c r="F677" s="38">
        <v>452.62</v>
      </c>
      <c r="G677" s="38">
        <v>506.62</v>
      </c>
      <c r="H677" s="38">
        <v>519.62</v>
      </c>
      <c r="I677" s="38">
        <v>513.62</v>
      </c>
      <c r="J677" s="38">
        <v>501.74</v>
      </c>
      <c r="K677" s="38">
        <v>455.74</v>
      </c>
      <c r="L677" s="38">
        <v>390.74</v>
      </c>
      <c r="M677" s="38">
        <v>331.74</v>
      </c>
      <c r="N677" s="38">
        <v>316.14999999999998</v>
      </c>
      <c r="O677" s="38">
        <v>299.14999999999998</v>
      </c>
      <c r="P677" s="38">
        <v>289.2</v>
      </c>
      <c r="Q677" s="38">
        <v>294.05</v>
      </c>
      <c r="R677" s="38">
        <v>310.5</v>
      </c>
      <c r="S677" s="38">
        <v>321.16000000000003</v>
      </c>
      <c r="T677" s="38">
        <v>320.83999999999997</v>
      </c>
      <c r="U677" s="38">
        <v>323.83999999999997</v>
      </c>
      <c r="V677" s="38">
        <v>310.44</v>
      </c>
      <c r="W677" s="38">
        <v>277.44</v>
      </c>
      <c r="X677" s="38">
        <v>236.27</v>
      </c>
      <c r="Y677" s="38">
        <v>207.18</v>
      </c>
      <c r="Z677" s="38">
        <v>198.4</v>
      </c>
      <c r="AA677" s="38">
        <v>184.98</v>
      </c>
      <c r="AB677" s="38">
        <v>181.19</v>
      </c>
      <c r="AC677" s="38">
        <v>188.33</v>
      </c>
      <c r="AD677" s="38">
        <v>199.34</v>
      </c>
      <c r="AE677" s="38">
        <v>204.7</v>
      </c>
      <c r="AF677" s="38">
        <v>212.95</v>
      </c>
      <c r="AG677" s="38">
        <v>206.34</v>
      </c>
      <c r="AH677" s="38">
        <v>204.08</v>
      </c>
      <c r="AI677" s="38">
        <v>190.17</v>
      </c>
      <c r="AJ677" s="38">
        <v>143.66999999999999</v>
      </c>
      <c r="AK677" s="38">
        <v>131.66999999999999</v>
      </c>
      <c r="AL677" s="38">
        <v>125</v>
      </c>
      <c r="AM677" s="38">
        <v>115.09</v>
      </c>
      <c r="AN677" s="38">
        <v>112.61</v>
      </c>
      <c r="AO677" s="38">
        <v>116.54</v>
      </c>
      <c r="AP677" s="38">
        <v>132.57</v>
      </c>
      <c r="AQ677" s="38">
        <v>130.99</v>
      </c>
      <c r="AR677" s="38">
        <v>130.03</v>
      </c>
      <c r="AS677" s="38">
        <v>129.71</v>
      </c>
      <c r="AT677" s="38">
        <v>127.81</v>
      </c>
      <c r="AU677" s="38">
        <v>121.02</v>
      </c>
      <c r="AV677" s="38">
        <v>116.41</v>
      </c>
      <c r="AW677" s="38">
        <v>107.67</v>
      </c>
      <c r="AX677" s="38">
        <v>104.76</v>
      </c>
      <c r="AY677" s="38">
        <v>102.5</v>
      </c>
      <c r="BA677" s="37">
        <v>109.64</v>
      </c>
      <c r="BB677" s="38">
        <v>1.2031000000000001</v>
      </c>
    </row>
    <row r="678" spans="1:54" x14ac:dyDescent="0.35">
      <c r="A678" s="2">
        <f t="shared" si="10"/>
        <v>44770</v>
      </c>
      <c r="B678" t="s">
        <v>720</v>
      </c>
      <c r="C678" s="32">
        <v>44770</v>
      </c>
      <c r="D678" s="38">
        <v>317.58999999999997</v>
      </c>
      <c r="E678" s="38">
        <v>373.85</v>
      </c>
      <c r="F678" s="38">
        <v>423.85</v>
      </c>
      <c r="G678" s="38">
        <v>484.04</v>
      </c>
      <c r="H678" s="38">
        <v>500.2</v>
      </c>
      <c r="I678" s="38">
        <v>494.3</v>
      </c>
      <c r="J678" s="38">
        <v>484.3</v>
      </c>
      <c r="K678" s="38">
        <v>436.29</v>
      </c>
      <c r="L678" s="38">
        <v>380.29</v>
      </c>
      <c r="M678" s="38">
        <v>327.23</v>
      </c>
      <c r="N678" s="38">
        <v>316.58</v>
      </c>
      <c r="O678" s="38">
        <v>300.56</v>
      </c>
      <c r="P678" s="38">
        <v>290.76</v>
      </c>
      <c r="Q678" s="38">
        <v>295.58999999999997</v>
      </c>
      <c r="R678" s="38">
        <v>304.58</v>
      </c>
      <c r="S678" s="38">
        <v>315.23</v>
      </c>
      <c r="T678" s="38">
        <v>318.22000000000003</v>
      </c>
      <c r="U678" s="38">
        <v>322.60000000000002</v>
      </c>
      <c r="V678" s="38">
        <v>314.58999999999997</v>
      </c>
      <c r="W678" s="38">
        <v>287.57</v>
      </c>
      <c r="X678" s="38">
        <v>238.53</v>
      </c>
      <c r="Y678" s="38">
        <v>205.39</v>
      </c>
      <c r="Z678" s="38">
        <v>196.6</v>
      </c>
      <c r="AA678" s="38">
        <v>183.17</v>
      </c>
      <c r="AB678" s="38">
        <v>179.36</v>
      </c>
      <c r="AC678" s="38">
        <v>186.49</v>
      </c>
      <c r="AD678" s="38">
        <v>195.47</v>
      </c>
      <c r="AE678" s="38">
        <v>200.83</v>
      </c>
      <c r="AF678" s="38">
        <v>209.07</v>
      </c>
      <c r="AG678" s="38">
        <v>206.07</v>
      </c>
      <c r="AH678" s="38">
        <v>203.81</v>
      </c>
      <c r="AI678" s="38">
        <v>189.9</v>
      </c>
      <c r="AJ678" s="38">
        <v>141.9</v>
      </c>
      <c r="AK678" s="38">
        <v>129.9</v>
      </c>
      <c r="AL678" s="38">
        <v>123.23</v>
      </c>
      <c r="AM678" s="38">
        <v>113.32</v>
      </c>
      <c r="AN678" s="38">
        <v>110.84</v>
      </c>
      <c r="AO678" s="38">
        <v>114.77</v>
      </c>
      <c r="AP678" s="38">
        <v>130.38999999999999</v>
      </c>
      <c r="AQ678" s="38">
        <v>128.81</v>
      </c>
      <c r="AR678" s="38">
        <v>127.83</v>
      </c>
      <c r="AS678" s="38">
        <v>127.51</v>
      </c>
      <c r="AT678" s="38">
        <v>125.61</v>
      </c>
      <c r="AU678" s="38">
        <v>118.82</v>
      </c>
      <c r="AV678" s="38">
        <v>114.23</v>
      </c>
      <c r="AW678" s="38">
        <v>105.47</v>
      </c>
      <c r="AX678" s="38">
        <v>102.58</v>
      </c>
      <c r="AY678" s="38">
        <v>100.32</v>
      </c>
      <c r="BA678" s="37">
        <v>109.68</v>
      </c>
      <c r="BB678" s="38">
        <v>1.2114</v>
      </c>
    </row>
    <row r="679" spans="1:54" x14ac:dyDescent="0.35">
      <c r="A679" s="2">
        <f t="shared" si="10"/>
        <v>44771</v>
      </c>
      <c r="B679" t="s">
        <v>721</v>
      </c>
      <c r="C679" s="32">
        <v>44771</v>
      </c>
      <c r="D679" s="38">
        <v>351.92</v>
      </c>
      <c r="E679" s="38">
        <v>399.83</v>
      </c>
      <c r="F679" s="38">
        <v>461.83</v>
      </c>
      <c r="G679" s="38">
        <v>483.07</v>
      </c>
      <c r="H679" s="38">
        <v>478.6</v>
      </c>
      <c r="I679" s="38">
        <v>468.6</v>
      </c>
      <c r="J679" s="38">
        <v>417.21</v>
      </c>
      <c r="K679" s="38">
        <v>376.21</v>
      </c>
      <c r="L679" s="38">
        <v>329.21</v>
      </c>
      <c r="M679" s="38">
        <v>320.38</v>
      </c>
      <c r="N679" s="38">
        <v>305.38</v>
      </c>
      <c r="O679" s="38">
        <v>295.58</v>
      </c>
      <c r="P679" s="38">
        <v>300.33</v>
      </c>
      <c r="Q679" s="38">
        <v>312.83</v>
      </c>
      <c r="R679" s="38">
        <v>323.66000000000003</v>
      </c>
      <c r="S679" s="38">
        <v>326.64</v>
      </c>
      <c r="T679" s="38">
        <v>329.64</v>
      </c>
      <c r="U679" s="38">
        <v>321.14</v>
      </c>
      <c r="V679" s="38">
        <v>294.68</v>
      </c>
      <c r="W679" s="38">
        <v>244.47</v>
      </c>
      <c r="X679" s="38">
        <v>211.47</v>
      </c>
      <c r="Y679" s="38">
        <v>201.97</v>
      </c>
      <c r="Z679" s="38">
        <v>188.67</v>
      </c>
      <c r="AA679" s="38">
        <v>184.41</v>
      </c>
      <c r="AB679" s="38">
        <v>190.56</v>
      </c>
      <c r="AC679" s="38">
        <v>199.89</v>
      </c>
      <c r="AD679" s="38">
        <v>205.25</v>
      </c>
      <c r="AE679" s="38">
        <v>213.5</v>
      </c>
      <c r="AF679" s="38">
        <v>209.54</v>
      </c>
      <c r="AG679" s="38">
        <v>207.28</v>
      </c>
      <c r="AH679" s="38">
        <v>193.37</v>
      </c>
      <c r="AI679" s="38">
        <v>144.87</v>
      </c>
      <c r="AJ679" s="38">
        <v>131.87</v>
      </c>
      <c r="AK679" s="38">
        <v>125.2</v>
      </c>
      <c r="AL679" s="38">
        <v>115.29</v>
      </c>
      <c r="AM679" s="38">
        <v>112.81</v>
      </c>
      <c r="AN679" s="38">
        <v>116.74</v>
      </c>
      <c r="AO679" s="38">
        <v>132.36000000000001</v>
      </c>
      <c r="AP679" s="38">
        <v>130.77000000000001</v>
      </c>
      <c r="AQ679" s="38">
        <v>129.79</v>
      </c>
      <c r="AR679" s="38">
        <v>129.47</v>
      </c>
      <c r="AS679" s="38">
        <v>127.57</v>
      </c>
      <c r="AT679" s="38">
        <v>120.78</v>
      </c>
      <c r="AU679" s="38">
        <v>116.19</v>
      </c>
      <c r="AV679" s="38">
        <v>107.43</v>
      </c>
      <c r="AW679" s="38">
        <v>104.54</v>
      </c>
      <c r="AX679" s="38">
        <v>102.28</v>
      </c>
      <c r="AY679" s="38">
        <v>98.93</v>
      </c>
      <c r="BA679" s="37">
        <v>111.51</v>
      </c>
      <c r="BB679" s="38">
        <v>1.2161999999999999</v>
      </c>
    </row>
    <row r="680" spans="1:54" x14ac:dyDescent="0.35">
      <c r="A680" s="2">
        <f t="shared" si="10"/>
        <v>44774</v>
      </c>
      <c r="B680" t="s">
        <v>722</v>
      </c>
      <c r="C680" s="32">
        <v>44774</v>
      </c>
      <c r="D680" s="38">
        <v>349.23</v>
      </c>
      <c r="E680" s="38">
        <v>411.54</v>
      </c>
      <c r="F680" s="38">
        <v>480.48</v>
      </c>
      <c r="G680" s="38">
        <v>503.89</v>
      </c>
      <c r="H680" s="38">
        <v>497.14</v>
      </c>
      <c r="I680" s="38">
        <v>487.14</v>
      </c>
      <c r="J680" s="38">
        <v>443.46</v>
      </c>
      <c r="K680" s="38">
        <v>386.79</v>
      </c>
      <c r="L680" s="38">
        <v>338.84</v>
      </c>
      <c r="M680" s="38">
        <v>328.19</v>
      </c>
      <c r="N680" s="38">
        <v>316.26</v>
      </c>
      <c r="O680" s="38">
        <v>306.45999999999998</v>
      </c>
      <c r="P680" s="38">
        <v>310.7</v>
      </c>
      <c r="Q680" s="38">
        <v>322.88</v>
      </c>
      <c r="R680" s="38">
        <v>333.98</v>
      </c>
      <c r="S680" s="38">
        <v>336.67</v>
      </c>
      <c r="T680" s="38">
        <v>339.79</v>
      </c>
      <c r="U680" s="38">
        <v>326.79000000000002</v>
      </c>
      <c r="V680" s="38">
        <v>299.29000000000002</v>
      </c>
      <c r="W680" s="38">
        <v>250.13</v>
      </c>
      <c r="X680" s="38">
        <v>217.13</v>
      </c>
      <c r="Y680" s="38">
        <v>207.63</v>
      </c>
      <c r="Z680" s="38">
        <v>195.72</v>
      </c>
      <c r="AA680" s="38">
        <v>191.46</v>
      </c>
      <c r="AB680" s="38">
        <v>201.29</v>
      </c>
      <c r="AC680" s="38">
        <v>210.5</v>
      </c>
      <c r="AD680" s="38">
        <v>215.86</v>
      </c>
      <c r="AE680" s="38">
        <v>224.11</v>
      </c>
      <c r="AF680" s="38">
        <v>218.53</v>
      </c>
      <c r="AG680" s="38">
        <v>216.27</v>
      </c>
      <c r="AH680" s="38">
        <v>201.73</v>
      </c>
      <c r="AI680" s="38">
        <v>153.61000000000001</v>
      </c>
      <c r="AJ680" s="38">
        <v>140.07</v>
      </c>
      <c r="AK680" s="38">
        <v>132.31</v>
      </c>
      <c r="AL680" s="38">
        <v>122.4</v>
      </c>
      <c r="AM680" s="38">
        <v>119.92</v>
      </c>
      <c r="AN680" s="38">
        <v>123.85</v>
      </c>
      <c r="AO680" s="38">
        <v>140.16999999999999</v>
      </c>
      <c r="AP680" s="38">
        <v>138.58000000000001</v>
      </c>
      <c r="AQ680" s="38">
        <v>137.6</v>
      </c>
      <c r="AR680" s="38">
        <v>134.86000000000001</v>
      </c>
      <c r="AS680" s="38">
        <v>132.80000000000001</v>
      </c>
      <c r="AT680" s="38">
        <v>126.01</v>
      </c>
      <c r="AU680" s="38">
        <v>120.16</v>
      </c>
      <c r="AV680" s="38">
        <v>111.4</v>
      </c>
      <c r="AW680" s="38">
        <v>108.51</v>
      </c>
      <c r="AX680" s="38">
        <v>106.25</v>
      </c>
      <c r="AY680" s="38">
        <v>102.9</v>
      </c>
      <c r="BA680" s="37">
        <v>106.09</v>
      </c>
      <c r="BB680" s="38">
        <v>1.2282999999999999</v>
      </c>
    </row>
    <row r="681" spans="1:54" x14ac:dyDescent="0.35">
      <c r="A681" s="2">
        <f t="shared" si="10"/>
        <v>44775</v>
      </c>
      <c r="B681" t="s">
        <v>723</v>
      </c>
      <c r="C681" s="32">
        <v>44775</v>
      </c>
      <c r="D681" s="38">
        <v>361.48</v>
      </c>
      <c r="E681" s="38">
        <v>418.49</v>
      </c>
      <c r="F681" s="38">
        <v>487.7</v>
      </c>
      <c r="G681" s="38">
        <v>511</v>
      </c>
      <c r="H681" s="38">
        <v>505.47</v>
      </c>
      <c r="I681" s="38">
        <v>495.97</v>
      </c>
      <c r="J681" s="38">
        <v>450.47</v>
      </c>
      <c r="K681" s="38">
        <v>398</v>
      </c>
      <c r="L681" s="38">
        <v>351.41</v>
      </c>
      <c r="M681" s="38">
        <v>341.4</v>
      </c>
      <c r="N681" s="38">
        <v>329.67</v>
      </c>
      <c r="O681" s="38">
        <v>320.17</v>
      </c>
      <c r="P681" s="38">
        <v>324.39999999999998</v>
      </c>
      <c r="Q681" s="38">
        <v>335.4</v>
      </c>
      <c r="R681" s="38">
        <v>346.4</v>
      </c>
      <c r="S681" s="38">
        <v>349.09</v>
      </c>
      <c r="T681" s="38">
        <v>352.01</v>
      </c>
      <c r="U681" s="38">
        <v>339.01</v>
      </c>
      <c r="V681" s="38">
        <v>310.54000000000002</v>
      </c>
      <c r="W681" s="38">
        <v>259.54000000000002</v>
      </c>
      <c r="X681" s="38">
        <v>225.54</v>
      </c>
      <c r="Y681" s="38">
        <v>214.44</v>
      </c>
      <c r="Z681" s="38">
        <v>208.17</v>
      </c>
      <c r="AA681" s="38">
        <v>202.17</v>
      </c>
      <c r="AB681" s="38">
        <v>207.67</v>
      </c>
      <c r="AC681" s="38">
        <v>213.21</v>
      </c>
      <c r="AD681" s="38">
        <v>218.57</v>
      </c>
      <c r="AE681" s="38">
        <v>226.82</v>
      </c>
      <c r="AF681" s="38">
        <v>220.76</v>
      </c>
      <c r="AG681" s="38">
        <v>218.5</v>
      </c>
      <c r="AH681" s="38">
        <v>203.96</v>
      </c>
      <c r="AI681" s="38">
        <v>159.96</v>
      </c>
      <c r="AJ681" s="38">
        <v>146.41999999999999</v>
      </c>
      <c r="AK681" s="38">
        <v>138.66</v>
      </c>
      <c r="AL681" s="38">
        <v>128.75</v>
      </c>
      <c r="AM681" s="38">
        <v>126.27</v>
      </c>
      <c r="AN681" s="38">
        <v>132.27000000000001</v>
      </c>
      <c r="AO681" s="38">
        <v>144.27000000000001</v>
      </c>
      <c r="AP681" s="38">
        <v>142.68</v>
      </c>
      <c r="AQ681" s="38">
        <v>141.57</v>
      </c>
      <c r="AR681" s="38">
        <v>137.58000000000001</v>
      </c>
      <c r="AS681" s="38">
        <v>135.52000000000001</v>
      </c>
      <c r="AT681" s="38">
        <v>128.72999999999999</v>
      </c>
      <c r="AU681" s="38">
        <v>126.73</v>
      </c>
      <c r="AV681" s="38">
        <v>117.97</v>
      </c>
      <c r="AW681" s="38">
        <v>115.08</v>
      </c>
      <c r="AX681" s="38">
        <v>112.82</v>
      </c>
      <c r="AY681" s="38">
        <v>109.47</v>
      </c>
      <c r="BA681" s="37">
        <v>106.51</v>
      </c>
      <c r="BB681" s="38">
        <v>1.2218</v>
      </c>
    </row>
    <row r="682" spans="1:54" x14ac:dyDescent="0.35">
      <c r="A682" s="2">
        <f t="shared" si="10"/>
        <v>44776</v>
      </c>
      <c r="B682" t="s">
        <v>724</v>
      </c>
      <c r="C682" s="32">
        <v>44776</v>
      </c>
      <c r="D682" s="38">
        <v>370.2</v>
      </c>
      <c r="E682" s="38">
        <v>416.43</v>
      </c>
      <c r="F682" s="38">
        <v>475.66</v>
      </c>
      <c r="G682" s="38">
        <v>500.41</v>
      </c>
      <c r="H682" s="38">
        <v>497.48</v>
      </c>
      <c r="I682" s="38">
        <v>488.63</v>
      </c>
      <c r="J682" s="38">
        <v>445.33</v>
      </c>
      <c r="K682" s="38">
        <v>401.16</v>
      </c>
      <c r="L682" s="38">
        <v>361.58</v>
      </c>
      <c r="M682" s="38">
        <v>354.63</v>
      </c>
      <c r="N682" s="38">
        <v>344.83</v>
      </c>
      <c r="O682" s="38">
        <v>336.58</v>
      </c>
      <c r="P682" s="38">
        <v>340.47</v>
      </c>
      <c r="Q682" s="38">
        <v>347.71</v>
      </c>
      <c r="R682" s="38">
        <v>357.54</v>
      </c>
      <c r="S682" s="38">
        <v>360.11</v>
      </c>
      <c r="T682" s="38">
        <v>363.63</v>
      </c>
      <c r="U682" s="38">
        <v>350.05</v>
      </c>
      <c r="V682" s="38">
        <v>321.14999999999998</v>
      </c>
      <c r="W682" s="38">
        <v>268.72000000000003</v>
      </c>
      <c r="X682" s="38">
        <v>233.72</v>
      </c>
      <c r="Y682" s="38">
        <v>222.37</v>
      </c>
      <c r="Z682" s="38">
        <v>212.51</v>
      </c>
      <c r="AA682" s="38">
        <v>206.51</v>
      </c>
      <c r="AB682" s="38">
        <v>212.01</v>
      </c>
      <c r="AC682" s="38">
        <v>218.27</v>
      </c>
      <c r="AD682" s="38">
        <v>224.34</v>
      </c>
      <c r="AE682" s="38">
        <v>232.6</v>
      </c>
      <c r="AF682" s="38">
        <v>224.93</v>
      </c>
      <c r="AG682" s="38">
        <v>222.54</v>
      </c>
      <c r="AH682" s="38">
        <v>207.84</v>
      </c>
      <c r="AI682" s="38">
        <v>162.32</v>
      </c>
      <c r="AJ682" s="38">
        <v>148.78</v>
      </c>
      <c r="AK682" s="38">
        <v>141.02000000000001</v>
      </c>
      <c r="AL682" s="38">
        <v>131.11000000000001</v>
      </c>
      <c r="AM682" s="38">
        <v>128.63</v>
      </c>
      <c r="AN682" s="38">
        <v>134.63</v>
      </c>
      <c r="AO682" s="38">
        <v>146.37</v>
      </c>
      <c r="AP682" s="38">
        <v>144.78</v>
      </c>
      <c r="AQ682" s="38">
        <v>143.66999999999999</v>
      </c>
      <c r="AR682" s="38">
        <v>139.68</v>
      </c>
      <c r="AS682" s="38">
        <v>137.62</v>
      </c>
      <c r="AT682" s="38">
        <v>130.83000000000001</v>
      </c>
      <c r="AU682" s="38">
        <v>128.83000000000001</v>
      </c>
      <c r="AV682" s="38">
        <v>120.07</v>
      </c>
      <c r="AW682" s="38">
        <v>117.18</v>
      </c>
      <c r="AX682" s="38">
        <v>114.92</v>
      </c>
      <c r="AY682" s="38">
        <v>111.57</v>
      </c>
      <c r="BA682" s="37">
        <v>101.82</v>
      </c>
      <c r="BB682" s="38">
        <v>1.2112000000000001</v>
      </c>
    </row>
    <row r="683" spans="1:54" x14ac:dyDescent="0.35">
      <c r="A683" s="2">
        <f t="shared" si="10"/>
        <v>44777</v>
      </c>
      <c r="B683" t="s">
        <v>725</v>
      </c>
      <c r="C683" s="32">
        <v>44777</v>
      </c>
      <c r="D683" s="38">
        <v>379.17</v>
      </c>
      <c r="E683" s="38">
        <v>424.82</v>
      </c>
      <c r="F683" s="38">
        <v>478.67</v>
      </c>
      <c r="G683" s="38">
        <v>502.96</v>
      </c>
      <c r="H683" s="38">
        <v>497.82</v>
      </c>
      <c r="I683" s="38">
        <v>489.61</v>
      </c>
      <c r="J683" s="38">
        <v>451.8</v>
      </c>
      <c r="K683" s="38">
        <v>409.67</v>
      </c>
      <c r="L683" s="38">
        <v>368.55</v>
      </c>
      <c r="M683" s="38">
        <v>360.8</v>
      </c>
      <c r="N683" s="38">
        <v>352.8</v>
      </c>
      <c r="O683" s="38">
        <v>341.71</v>
      </c>
      <c r="P683" s="38">
        <v>343.5</v>
      </c>
      <c r="Q683" s="38">
        <v>351.2</v>
      </c>
      <c r="R683" s="38">
        <v>366.7</v>
      </c>
      <c r="S683" s="38">
        <v>368.64</v>
      </c>
      <c r="T683" s="38">
        <v>371.02</v>
      </c>
      <c r="U683" s="38">
        <v>356.25</v>
      </c>
      <c r="V683" s="38">
        <v>325.8</v>
      </c>
      <c r="W683" s="38">
        <v>269.93</v>
      </c>
      <c r="X683" s="38">
        <v>234.77</v>
      </c>
      <c r="Y683" s="38">
        <v>223.42</v>
      </c>
      <c r="Z683" s="38">
        <v>213.56</v>
      </c>
      <c r="AA683" s="38">
        <v>207.56</v>
      </c>
      <c r="AB683" s="38">
        <v>213.06</v>
      </c>
      <c r="AC683" s="38">
        <v>221.5</v>
      </c>
      <c r="AD683" s="38">
        <v>227.57</v>
      </c>
      <c r="AE683" s="38">
        <v>235.83</v>
      </c>
      <c r="AF683" s="38">
        <v>227.19</v>
      </c>
      <c r="AG683" s="38">
        <v>224.8</v>
      </c>
      <c r="AH683" s="38">
        <v>210.1</v>
      </c>
      <c r="AI683" s="38">
        <v>160.26</v>
      </c>
      <c r="AJ683" s="38">
        <v>146.72999999999999</v>
      </c>
      <c r="AK683" s="38">
        <v>138.96</v>
      </c>
      <c r="AL683" s="38">
        <v>129.05000000000001</v>
      </c>
      <c r="AM683" s="38">
        <v>126.57</v>
      </c>
      <c r="AN683" s="38">
        <v>132.57</v>
      </c>
      <c r="AO683" s="38">
        <v>143.63</v>
      </c>
      <c r="AP683" s="38">
        <v>142.04</v>
      </c>
      <c r="AQ683" s="38">
        <v>140.93</v>
      </c>
      <c r="AR683" s="38">
        <v>136.94</v>
      </c>
      <c r="AS683" s="38">
        <v>134.88</v>
      </c>
      <c r="AT683" s="38">
        <v>128.61000000000001</v>
      </c>
      <c r="AU683" s="38">
        <v>127.67</v>
      </c>
      <c r="AV683" s="38">
        <v>121.05</v>
      </c>
      <c r="AW683" s="38">
        <v>118.16</v>
      </c>
      <c r="AX683" s="38">
        <v>115.9</v>
      </c>
      <c r="AY683" s="38">
        <v>112.55</v>
      </c>
      <c r="BA683" s="37">
        <v>97.99</v>
      </c>
      <c r="BB683" s="38">
        <v>1.2111000000000001</v>
      </c>
    </row>
    <row r="684" spans="1:54" x14ac:dyDescent="0.35">
      <c r="A684" s="2">
        <f t="shared" si="10"/>
        <v>44778</v>
      </c>
      <c r="B684" t="s">
        <v>726</v>
      </c>
      <c r="C684" s="32">
        <v>44778</v>
      </c>
      <c r="D684" s="38">
        <v>373.63</v>
      </c>
      <c r="E684" s="38">
        <v>421.6</v>
      </c>
      <c r="F684" s="38">
        <v>477.71</v>
      </c>
      <c r="G684" s="38">
        <v>502.73</v>
      </c>
      <c r="H684" s="38">
        <v>498.25</v>
      </c>
      <c r="I684" s="38">
        <v>489.85</v>
      </c>
      <c r="J684" s="38">
        <v>453.18</v>
      </c>
      <c r="K684" s="38">
        <v>409.89</v>
      </c>
      <c r="L684" s="38">
        <v>372.35</v>
      </c>
      <c r="M684" s="38">
        <v>367.13</v>
      </c>
      <c r="N684" s="38">
        <v>361.58</v>
      </c>
      <c r="O684" s="38">
        <v>348.15</v>
      </c>
      <c r="P684" s="38">
        <v>348.27</v>
      </c>
      <c r="Q684" s="38">
        <v>354.84</v>
      </c>
      <c r="R684" s="38">
        <v>370.04</v>
      </c>
      <c r="S684" s="38">
        <v>372.16</v>
      </c>
      <c r="T684" s="38">
        <v>376.17</v>
      </c>
      <c r="U684" s="38">
        <v>360.71</v>
      </c>
      <c r="V684" s="38">
        <v>330.53</v>
      </c>
      <c r="W684" s="38">
        <v>277.48</v>
      </c>
      <c r="X684" s="38">
        <v>241.96</v>
      </c>
      <c r="Y684" s="38">
        <v>230.33</v>
      </c>
      <c r="Z684" s="38">
        <v>220.7</v>
      </c>
      <c r="AA684" s="38">
        <v>214.46</v>
      </c>
      <c r="AB684" s="38">
        <v>222.61</v>
      </c>
      <c r="AC684" s="38">
        <v>225.46</v>
      </c>
      <c r="AD684" s="38">
        <v>230.08</v>
      </c>
      <c r="AE684" s="38">
        <v>238.11</v>
      </c>
      <c r="AF684" s="38">
        <v>230.71</v>
      </c>
      <c r="AG684" s="38">
        <v>228.33</v>
      </c>
      <c r="AH684" s="38">
        <v>213.41</v>
      </c>
      <c r="AI684" s="38">
        <v>162.9</v>
      </c>
      <c r="AJ684" s="38">
        <v>149.9</v>
      </c>
      <c r="AK684" s="38">
        <v>142.13</v>
      </c>
      <c r="AL684" s="38">
        <v>132.22</v>
      </c>
      <c r="AM684" s="38">
        <v>129.74</v>
      </c>
      <c r="AN684" s="38">
        <v>135.74</v>
      </c>
      <c r="AO684" s="38">
        <v>146.25</v>
      </c>
      <c r="AP684" s="38">
        <v>144.66</v>
      </c>
      <c r="AQ684" s="38">
        <v>143.55000000000001</v>
      </c>
      <c r="AR684" s="38">
        <v>138.13999999999999</v>
      </c>
      <c r="AS684" s="38">
        <v>136.08000000000001</v>
      </c>
      <c r="AT684" s="38">
        <v>129.81</v>
      </c>
      <c r="AU684" s="38">
        <v>128.87</v>
      </c>
      <c r="AV684" s="38">
        <v>122.25</v>
      </c>
      <c r="AW684" s="38">
        <v>119.36</v>
      </c>
      <c r="AX684" s="38">
        <v>117.1</v>
      </c>
      <c r="AY684" s="38">
        <v>113.75</v>
      </c>
      <c r="BA684" s="37">
        <v>100.31</v>
      </c>
      <c r="BB684" s="38">
        <v>1.206</v>
      </c>
    </row>
    <row r="685" spans="1:54" x14ac:dyDescent="0.35">
      <c r="A685" s="2">
        <f t="shared" si="10"/>
        <v>44781</v>
      </c>
      <c r="B685" t="s">
        <v>727</v>
      </c>
      <c r="C685" s="32">
        <v>44781</v>
      </c>
      <c r="D685" s="38">
        <v>355.14</v>
      </c>
      <c r="E685" s="38">
        <v>405.28</v>
      </c>
      <c r="F685" s="38">
        <v>464.29</v>
      </c>
      <c r="G685" s="38">
        <v>491.12</v>
      </c>
      <c r="H685" s="38">
        <v>487.93</v>
      </c>
      <c r="I685" s="38">
        <v>480.93</v>
      </c>
      <c r="J685" s="38">
        <v>446.38</v>
      </c>
      <c r="K685" s="38">
        <v>409.91</v>
      </c>
      <c r="L685" s="38">
        <v>377.31</v>
      </c>
      <c r="M685" s="38">
        <v>372.84</v>
      </c>
      <c r="N685" s="38">
        <v>365.73</v>
      </c>
      <c r="O685" s="38">
        <v>350.8</v>
      </c>
      <c r="P685" s="38">
        <v>351.83</v>
      </c>
      <c r="Q685" s="38">
        <v>357.74</v>
      </c>
      <c r="R685" s="38">
        <v>373.4</v>
      </c>
      <c r="S685" s="38">
        <v>375.47</v>
      </c>
      <c r="T685" s="38">
        <v>379.98</v>
      </c>
      <c r="U685" s="38">
        <v>364.87</v>
      </c>
      <c r="V685" s="38">
        <v>332.69</v>
      </c>
      <c r="W685" s="38">
        <v>276.74</v>
      </c>
      <c r="X685" s="38">
        <v>236.55</v>
      </c>
      <c r="Y685" s="38">
        <v>220.59</v>
      </c>
      <c r="Z685" s="38">
        <v>216.69</v>
      </c>
      <c r="AA685" s="38">
        <v>211.99</v>
      </c>
      <c r="AB685" s="38">
        <v>220.24</v>
      </c>
      <c r="AC685" s="38">
        <v>224.48</v>
      </c>
      <c r="AD685" s="38">
        <v>229.58</v>
      </c>
      <c r="AE685" s="38">
        <v>237.61</v>
      </c>
      <c r="AF685" s="38">
        <v>230.19</v>
      </c>
      <c r="AG685" s="38">
        <v>227.81</v>
      </c>
      <c r="AH685" s="38">
        <v>212.89</v>
      </c>
      <c r="AI685" s="38">
        <v>161.11000000000001</v>
      </c>
      <c r="AJ685" s="38">
        <v>147.6</v>
      </c>
      <c r="AK685" s="38">
        <v>139.37</v>
      </c>
      <c r="AL685" s="38">
        <v>129.46</v>
      </c>
      <c r="AM685" s="38">
        <v>126.98</v>
      </c>
      <c r="AN685" s="38">
        <v>132.97999999999999</v>
      </c>
      <c r="AO685" s="38">
        <v>143.5</v>
      </c>
      <c r="AP685" s="38">
        <v>141.91</v>
      </c>
      <c r="AQ685" s="38">
        <v>140.80000000000001</v>
      </c>
      <c r="AR685" s="38">
        <v>135.38999999999999</v>
      </c>
      <c r="AS685" s="38">
        <v>133.33000000000001</v>
      </c>
      <c r="AT685" s="38">
        <v>127.06</v>
      </c>
      <c r="AU685" s="38">
        <v>126.12</v>
      </c>
      <c r="AV685" s="38">
        <v>119.5</v>
      </c>
      <c r="AW685" s="38">
        <v>116.61</v>
      </c>
      <c r="AX685" s="38">
        <v>114.35</v>
      </c>
      <c r="AY685" s="38">
        <v>111</v>
      </c>
      <c r="BA685" s="37">
        <v>103.46</v>
      </c>
      <c r="BB685" s="38">
        <v>1.2119</v>
      </c>
    </row>
    <row r="686" spans="1:54" x14ac:dyDescent="0.35">
      <c r="A686" s="2">
        <f t="shared" si="10"/>
        <v>44782</v>
      </c>
      <c r="B686" t="s">
        <v>728</v>
      </c>
      <c r="C686" s="32">
        <v>44782</v>
      </c>
      <c r="D686" s="38">
        <v>357.24</v>
      </c>
      <c r="E686" s="38">
        <v>406.24</v>
      </c>
      <c r="F686" s="38">
        <v>463.61</v>
      </c>
      <c r="G686" s="38">
        <v>492.5</v>
      </c>
      <c r="H686" s="38">
        <v>491.71</v>
      </c>
      <c r="I686" s="38">
        <v>485.7</v>
      </c>
      <c r="J686" s="38">
        <v>455.38</v>
      </c>
      <c r="K686" s="38">
        <v>420</v>
      </c>
      <c r="L686" s="38">
        <v>391.24</v>
      </c>
      <c r="M686" s="38">
        <v>387.18</v>
      </c>
      <c r="N686" s="38">
        <v>380.24</v>
      </c>
      <c r="O686" s="38">
        <v>367.32</v>
      </c>
      <c r="P686" s="38">
        <v>368.97</v>
      </c>
      <c r="Q686" s="38">
        <v>374.84</v>
      </c>
      <c r="R686" s="38">
        <v>390.75</v>
      </c>
      <c r="S686" s="38">
        <v>393.68</v>
      </c>
      <c r="T686" s="38">
        <v>399.4</v>
      </c>
      <c r="U686" s="38">
        <v>384.28</v>
      </c>
      <c r="V686" s="38">
        <v>350.5</v>
      </c>
      <c r="W686" s="38">
        <v>294.54000000000002</v>
      </c>
      <c r="X686" s="38">
        <v>252.84</v>
      </c>
      <c r="Y686" s="38">
        <v>235.1</v>
      </c>
      <c r="Z686" s="38">
        <v>230.94</v>
      </c>
      <c r="AA686" s="38">
        <v>225.88</v>
      </c>
      <c r="AB686" s="38">
        <v>232</v>
      </c>
      <c r="AC686" s="38">
        <v>235.32</v>
      </c>
      <c r="AD686" s="38">
        <v>239.72</v>
      </c>
      <c r="AE686" s="38">
        <v>248.42</v>
      </c>
      <c r="AF686" s="38">
        <v>242.51</v>
      </c>
      <c r="AG686" s="38">
        <v>240.2</v>
      </c>
      <c r="AH686" s="38">
        <v>225.28</v>
      </c>
      <c r="AI686" s="38">
        <v>171.61</v>
      </c>
      <c r="AJ686" s="38">
        <v>156.06</v>
      </c>
      <c r="AK686" s="38">
        <v>147.83000000000001</v>
      </c>
      <c r="AL686" s="38">
        <v>138.18</v>
      </c>
      <c r="AM686" s="38">
        <v>136.13999999999999</v>
      </c>
      <c r="AN686" s="38">
        <v>142.34</v>
      </c>
      <c r="AO686" s="38">
        <v>155.30000000000001</v>
      </c>
      <c r="AP686" s="38">
        <v>155.03</v>
      </c>
      <c r="AQ686" s="38">
        <v>153.26</v>
      </c>
      <c r="AR686" s="38">
        <v>147.34</v>
      </c>
      <c r="AS686" s="38">
        <v>145.28</v>
      </c>
      <c r="AT686" s="38">
        <v>139.01</v>
      </c>
      <c r="AU686" s="38">
        <v>138.07</v>
      </c>
      <c r="AV686" s="38">
        <v>131.44999999999999</v>
      </c>
      <c r="AW686" s="38">
        <v>128.56</v>
      </c>
      <c r="AX686" s="38">
        <v>126.3</v>
      </c>
      <c r="AY686" s="38">
        <v>122.95</v>
      </c>
      <c r="BA686" s="37">
        <v>103.81</v>
      </c>
      <c r="BB686" s="38">
        <v>1.2088000000000001</v>
      </c>
    </row>
    <row r="687" spans="1:54" x14ac:dyDescent="0.35">
      <c r="A687" s="2">
        <f t="shared" si="10"/>
        <v>44783</v>
      </c>
      <c r="B687" t="s">
        <v>729</v>
      </c>
      <c r="C687" s="32">
        <v>44783</v>
      </c>
      <c r="D687" s="38">
        <v>389.82</v>
      </c>
      <c r="E687" s="38">
        <v>437.75</v>
      </c>
      <c r="F687" s="38">
        <v>497.17</v>
      </c>
      <c r="G687" s="38">
        <v>527.16</v>
      </c>
      <c r="H687" s="38">
        <v>527.84</v>
      </c>
      <c r="I687" s="38">
        <v>522.41</v>
      </c>
      <c r="J687" s="38">
        <v>491.91</v>
      </c>
      <c r="K687" s="38">
        <v>451.67</v>
      </c>
      <c r="L687" s="38">
        <v>421.27</v>
      </c>
      <c r="M687" s="38">
        <v>415.89</v>
      </c>
      <c r="N687" s="38">
        <v>410.86</v>
      </c>
      <c r="O687" s="38">
        <v>397.94</v>
      </c>
      <c r="P687" s="38">
        <v>399.62</v>
      </c>
      <c r="Q687" s="38">
        <v>404.14</v>
      </c>
      <c r="R687" s="38">
        <v>419.77</v>
      </c>
      <c r="S687" s="38">
        <v>422.7</v>
      </c>
      <c r="T687" s="38">
        <v>429.26</v>
      </c>
      <c r="U687" s="38">
        <v>412.69</v>
      </c>
      <c r="V687" s="38">
        <v>379.54</v>
      </c>
      <c r="W687" s="38">
        <v>321.17</v>
      </c>
      <c r="X687" s="38">
        <v>279.12</v>
      </c>
      <c r="Y687" s="38">
        <v>261.38</v>
      </c>
      <c r="Z687" s="38">
        <v>257.20999999999998</v>
      </c>
      <c r="AA687" s="38">
        <v>252.15</v>
      </c>
      <c r="AB687" s="38">
        <v>257.73</v>
      </c>
      <c r="AC687" s="38">
        <v>260.8</v>
      </c>
      <c r="AD687" s="38">
        <v>264.85000000000002</v>
      </c>
      <c r="AE687" s="38">
        <v>273.55</v>
      </c>
      <c r="AF687" s="38">
        <v>266.8</v>
      </c>
      <c r="AG687" s="38">
        <v>264.43</v>
      </c>
      <c r="AH687" s="38">
        <v>249.02</v>
      </c>
      <c r="AI687" s="38">
        <v>186.91</v>
      </c>
      <c r="AJ687" s="38">
        <v>167.06</v>
      </c>
      <c r="AK687" s="38">
        <v>157.78</v>
      </c>
      <c r="AL687" s="38">
        <v>148.13</v>
      </c>
      <c r="AM687" s="38">
        <v>146.09</v>
      </c>
      <c r="AN687" s="38">
        <v>152.75</v>
      </c>
      <c r="AO687" s="38">
        <v>165.91</v>
      </c>
      <c r="AP687" s="38">
        <v>166.95</v>
      </c>
      <c r="AQ687" s="38">
        <v>165.18</v>
      </c>
      <c r="AR687" s="38">
        <v>156.30000000000001</v>
      </c>
      <c r="AS687" s="38">
        <v>154.24</v>
      </c>
      <c r="AT687" s="38">
        <v>147.97</v>
      </c>
      <c r="AU687" s="38">
        <v>144.56</v>
      </c>
      <c r="AV687" s="38">
        <v>137.6</v>
      </c>
      <c r="AW687" s="38">
        <v>134.71</v>
      </c>
      <c r="AX687" s="38">
        <v>132.44999999999999</v>
      </c>
      <c r="AY687" s="38">
        <v>129.1</v>
      </c>
      <c r="BA687" s="37">
        <v>105.06</v>
      </c>
      <c r="BB687" s="38">
        <v>1.2259</v>
      </c>
    </row>
    <row r="688" spans="1:54" x14ac:dyDescent="0.35">
      <c r="A688" s="2">
        <f t="shared" si="10"/>
        <v>44784</v>
      </c>
      <c r="B688" t="s">
        <v>730</v>
      </c>
      <c r="C688" s="32">
        <v>44784</v>
      </c>
      <c r="D688" s="38">
        <v>401.65</v>
      </c>
      <c r="E688" s="38">
        <v>444.3</v>
      </c>
      <c r="F688" s="38">
        <v>507.6</v>
      </c>
      <c r="G688" s="38">
        <v>544.9</v>
      </c>
      <c r="H688" s="38">
        <v>544.15</v>
      </c>
      <c r="I688" s="38">
        <v>540</v>
      </c>
      <c r="J688" s="38">
        <v>514.98</v>
      </c>
      <c r="K688" s="38">
        <v>483.33</v>
      </c>
      <c r="L688" s="38">
        <v>461.04</v>
      </c>
      <c r="M688" s="38">
        <v>454.9</v>
      </c>
      <c r="N688" s="38">
        <v>449.87</v>
      </c>
      <c r="O688" s="38">
        <v>436.61</v>
      </c>
      <c r="P688" s="38">
        <v>437.89</v>
      </c>
      <c r="Q688" s="38">
        <v>441.51</v>
      </c>
      <c r="R688" s="38">
        <v>457.51</v>
      </c>
      <c r="S688" s="38">
        <v>460.44</v>
      </c>
      <c r="T688" s="38">
        <v>468.25</v>
      </c>
      <c r="U688" s="38">
        <v>451.68</v>
      </c>
      <c r="V688" s="38">
        <v>414.55</v>
      </c>
      <c r="W688" s="38">
        <v>342.55</v>
      </c>
      <c r="X688" s="38">
        <v>299.97000000000003</v>
      </c>
      <c r="Y688" s="38">
        <v>281.86</v>
      </c>
      <c r="Z688" s="38">
        <v>277.27999999999997</v>
      </c>
      <c r="AA688" s="38">
        <v>271.01</v>
      </c>
      <c r="AB688" s="38">
        <v>274.17</v>
      </c>
      <c r="AC688" s="38">
        <v>281.27</v>
      </c>
      <c r="AD688" s="38">
        <v>285.60000000000002</v>
      </c>
      <c r="AE688" s="38">
        <v>294.3</v>
      </c>
      <c r="AF688" s="38">
        <v>288.64</v>
      </c>
      <c r="AG688" s="38">
        <v>286.27</v>
      </c>
      <c r="AH688" s="38">
        <v>269.95</v>
      </c>
      <c r="AI688" s="38">
        <v>200.4</v>
      </c>
      <c r="AJ688" s="38">
        <v>176.9</v>
      </c>
      <c r="AK688" s="38">
        <v>167.62</v>
      </c>
      <c r="AL688" s="38">
        <v>157.97</v>
      </c>
      <c r="AM688" s="38">
        <v>155.93</v>
      </c>
      <c r="AN688" s="38">
        <v>162.59</v>
      </c>
      <c r="AO688" s="38">
        <v>176.34</v>
      </c>
      <c r="AP688" s="38">
        <v>177.38</v>
      </c>
      <c r="AQ688" s="38">
        <v>175.61</v>
      </c>
      <c r="AR688" s="38">
        <v>167.32</v>
      </c>
      <c r="AS688" s="38">
        <v>165.26</v>
      </c>
      <c r="AT688" s="38">
        <v>158.99</v>
      </c>
      <c r="AU688" s="38">
        <v>149.80000000000001</v>
      </c>
      <c r="AV688" s="38">
        <v>142.84</v>
      </c>
      <c r="AW688" s="38">
        <v>139.94999999999999</v>
      </c>
      <c r="AX688" s="38">
        <v>137.69</v>
      </c>
      <c r="AY688" s="38">
        <v>134.34</v>
      </c>
      <c r="BA688" s="37">
        <v>107.19</v>
      </c>
      <c r="BB688" s="38">
        <v>1.2225999999999999</v>
      </c>
    </row>
    <row r="689" spans="1:54" x14ac:dyDescent="0.35">
      <c r="A689" s="2">
        <f t="shared" si="10"/>
        <v>44785</v>
      </c>
      <c r="B689" t="s">
        <v>731</v>
      </c>
      <c r="C689" s="32">
        <v>44785</v>
      </c>
      <c r="D689" s="38">
        <v>395.8</v>
      </c>
      <c r="E689" s="38">
        <v>439.79</v>
      </c>
      <c r="F689" s="38">
        <v>500.17</v>
      </c>
      <c r="G689" s="38">
        <v>536.9</v>
      </c>
      <c r="H689" s="38">
        <v>538.17999999999995</v>
      </c>
      <c r="I689" s="38">
        <v>536.58000000000004</v>
      </c>
      <c r="J689" s="38">
        <v>518.83000000000004</v>
      </c>
      <c r="K689" s="38">
        <v>481.95</v>
      </c>
      <c r="L689" s="38">
        <v>459.23</v>
      </c>
      <c r="M689" s="38">
        <v>453.85</v>
      </c>
      <c r="N689" s="38">
        <v>447.96</v>
      </c>
      <c r="O689" s="38">
        <v>435.94</v>
      </c>
      <c r="P689" s="38">
        <v>437.55</v>
      </c>
      <c r="Q689" s="38">
        <v>439.75</v>
      </c>
      <c r="R689" s="38">
        <v>455.76</v>
      </c>
      <c r="S689" s="38">
        <v>458.69</v>
      </c>
      <c r="T689" s="38">
        <v>466.43</v>
      </c>
      <c r="U689" s="38">
        <v>449.87</v>
      </c>
      <c r="V689" s="38">
        <v>412.75</v>
      </c>
      <c r="W689" s="38">
        <v>346.74</v>
      </c>
      <c r="X689" s="38">
        <v>304.17</v>
      </c>
      <c r="Y689" s="38">
        <v>286.06</v>
      </c>
      <c r="Z689" s="38">
        <v>283.06</v>
      </c>
      <c r="AA689" s="38">
        <v>276.79000000000002</v>
      </c>
      <c r="AB689" s="38">
        <v>279.95</v>
      </c>
      <c r="AC689" s="38">
        <v>288.56</v>
      </c>
      <c r="AD689" s="38">
        <v>292.89</v>
      </c>
      <c r="AE689" s="38">
        <v>301.58999999999997</v>
      </c>
      <c r="AF689" s="38">
        <v>295.94</v>
      </c>
      <c r="AG689" s="38">
        <v>293.57</v>
      </c>
      <c r="AH689" s="38">
        <v>277.26</v>
      </c>
      <c r="AI689" s="38">
        <v>206.17</v>
      </c>
      <c r="AJ689" s="38">
        <v>182.67</v>
      </c>
      <c r="AK689" s="38">
        <v>173.39</v>
      </c>
      <c r="AL689" s="38">
        <v>163.74</v>
      </c>
      <c r="AM689" s="38">
        <v>161.69999999999999</v>
      </c>
      <c r="AN689" s="38">
        <v>168.36</v>
      </c>
      <c r="AO689" s="38">
        <v>182.11</v>
      </c>
      <c r="AP689" s="38">
        <v>183.15</v>
      </c>
      <c r="AQ689" s="38">
        <v>181.38</v>
      </c>
      <c r="AR689" s="38">
        <v>173.09</v>
      </c>
      <c r="AS689" s="38">
        <v>171.03</v>
      </c>
      <c r="AT689" s="38">
        <v>164.76</v>
      </c>
      <c r="AU689" s="38">
        <v>153.79</v>
      </c>
      <c r="AV689" s="38">
        <v>146.84</v>
      </c>
      <c r="AW689" s="38">
        <v>143.94999999999999</v>
      </c>
      <c r="AX689" s="38">
        <v>141.69</v>
      </c>
      <c r="AY689" s="38">
        <v>138.34</v>
      </c>
      <c r="BA689" s="37">
        <v>103.7</v>
      </c>
      <c r="BB689" s="38">
        <v>1.2118</v>
      </c>
    </row>
    <row r="690" spans="1:54" x14ac:dyDescent="0.35">
      <c r="A690" s="2">
        <f t="shared" si="10"/>
        <v>44788</v>
      </c>
      <c r="B690" t="s">
        <v>732</v>
      </c>
      <c r="C690" s="32">
        <v>44788</v>
      </c>
      <c r="D690" s="38">
        <v>422.75</v>
      </c>
      <c r="E690" s="38">
        <v>469.25</v>
      </c>
      <c r="F690" s="38">
        <v>529.21</v>
      </c>
      <c r="G690" s="38">
        <v>571.41</v>
      </c>
      <c r="H690" s="38">
        <v>571.41</v>
      </c>
      <c r="I690" s="38">
        <v>570.5</v>
      </c>
      <c r="J690" s="38">
        <v>548.91</v>
      </c>
      <c r="K690" s="38">
        <v>502.76</v>
      </c>
      <c r="L690" s="38">
        <v>479.31</v>
      </c>
      <c r="M690" s="38">
        <v>473.12</v>
      </c>
      <c r="N690" s="38">
        <v>463.76</v>
      </c>
      <c r="O690" s="38">
        <v>451.28</v>
      </c>
      <c r="P690" s="38">
        <v>452.71</v>
      </c>
      <c r="Q690" s="38">
        <v>459.66</v>
      </c>
      <c r="R690" s="38">
        <v>475.68</v>
      </c>
      <c r="S690" s="38">
        <v>477.68</v>
      </c>
      <c r="T690" s="38">
        <v>482.09</v>
      </c>
      <c r="U690" s="38">
        <v>465.53</v>
      </c>
      <c r="V690" s="38">
        <v>426.53</v>
      </c>
      <c r="W690" s="38">
        <v>356.37</v>
      </c>
      <c r="X690" s="38">
        <v>313.8</v>
      </c>
      <c r="Y690" s="38">
        <v>295.69</v>
      </c>
      <c r="Z690" s="38">
        <v>292.7</v>
      </c>
      <c r="AA690" s="38">
        <v>286.43</v>
      </c>
      <c r="AB690" s="38">
        <v>289.60000000000002</v>
      </c>
      <c r="AC690" s="38">
        <v>297.36</v>
      </c>
      <c r="AD690" s="38">
        <v>301.69</v>
      </c>
      <c r="AE690" s="38">
        <v>310.39</v>
      </c>
      <c r="AF690" s="38">
        <v>304.74</v>
      </c>
      <c r="AG690" s="38">
        <v>302.37</v>
      </c>
      <c r="AH690" s="38">
        <v>286.06</v>
      </c>
      <c r="AI690" s="38">
        <v>215.28</v>
      </c>
      <c r="AJ690" s="38">
        <v>191.78</v>
      </c>
      <c r="AK690" s="38">
        <v>182.5</v>
      </c>
      <c r="AL690" s="38">
        <v>172.93</v>
      </c>
      <c r="AM690" s="38">
        <v>170.89</v>
      </c>
      <c r="AN690" s="38">
        <v>177.55</v>
      </c>
      <c r="AO690" s="38">
        <v>193.58</v>
      </c>
      <c r="AP690" s="38">
        <v>194.62</v>
      </c>
      <c r="AQ690" s="38">
        <v>192.85</v>
      </c>
      <c r="AR690" s="38">
        <v>184.54</v>
      </c>
      <c r="AS690" s="38">
        <v>182.48</v>
      </c>
      <c r="AT690" s="38">
        <v>176.21</v>
      </c>
      <c r="AU690" s="38">
        <v>164.39</v>
      </c>
      <c r="AV690" s="38">
        <v>157.44</v>
      </c>
      <c r="AW690" s="38">
        <v>154.54</v>
      </c>
      <c r="AX690" s="38">
        <v>152.28</v>
      </c>
      <c r="AY690" s="38">
        <v>148.93</v>
      </c>
      <c r="BA690" s="37">
        <v>98.25</v>
      </c>
      <c r="BB690" s="38">
        <v>1.208</v>
      </c>
    </row>
    <row r="691" spans="1:54" x14ac:dyDescent="0.35">
      <c r="A691" s="2">
        <f t="shared" si="10"/>
        <v>44789</v>
      </c>
      <c r="B691" t="s">
        <v>733</v>
      </c>
      <c r="C691" s="32">
        <v>44789</v>
      </c>
      <c r="D691" s="38">
        <v>442.34</v>
      </c>
      <c r="E691" s="38">
        <v>489.04</v>
      </c>
      <c r="F691" s="38">
        <v>546.66</v>
      </c>
      <c r="G691" s="38">
        <v>587.91</v>
      </c>
      <c r="H691" s="38">
        <v>588.66999999999996</v>
      </c>
      <c r="I691" s="38">
        <v>586.38</v>
      </c>
      <c r="J691" s="38">
        <v>565.16999999999996</v>
      </c>
      <c r="K691" s="38">
        <v>519.66999999999996</v>
      </c>
      <c r="L691" s="38">
        <v>493.67</v>
      </c>
      <c r="M691" s="38">
        <v>483.73</v>
      </c>
      <c r="N691" s="38">
        <v>478.03</v>
      </c>
      <c r="O691" s="38">
        <v>464.82</v>
      </c>
      <c r="P691" s="38">
        <v>465.9</v>
      </c>
      <c r="Q691" s="38">
        <v>474.34</v>
      </c>
      <c r="R691" s="38">
        <v>490.13</v>
      </c>
      <c r="S691" s="38">
        <v>492.13</v>
      </c>
      <c r="T691" s="38">
        <v>501.44</v>
      </c>
      <c r="U691" s="38">
        <v>484.9</v>
      </c>
      <c r="V691" s="38">
        <v>445.88</v>
      </c>
      <c r="W691" s="38">
        <v>362.78</v>
      </c>
      <c r="X691" s="38">
        <v>317.70999999999998</v>
      </c>
      <c r="Y691" s="38">
        <v>299.60000000000002</v>
      </c>
      <c r="Z691" s="38">
        <v>297.8</v>
      </c>
      <c r="AA691" s="38">
        <v>291.52999999999997</v>
      </c>
      <c r="AB691" s="38">
        <v>294.7</v>
      </c>
      <c r="AC691" s="38">
        <v>304.54000000000002</v>
      </c>
      <c r="AD691" s="38">
        <v>308.87</v>
      </c>
      <c r="AE691" s="38">
        <v>317.57</v>
      </c>
      <c r="AF691" s="38">
        <v>311.92</v>
      </c>
      <c r="AG691" s="38">
        <v>309.54000000000002</v>
      </c>
      <c r="AH691" s="38">
        <v>293.23</v>
      </c>
      <c r="AI691" s="38">
        <v>216.54</v>
      </c>
      <c r="AJ691" s="38">
        <v>193.03</v>
      </c>
      <c r="AK691" s="38">
        <v>183.75</v>
      </c>
      <c r="AL691" s="38">
        <v>174.18</v>
      </c>
      <c r="AM691" s="38">
        <v>172.14</v>
      </c>
      <c r="AN691" s="38">
        <v>178.8</v>
      </c>
      <c r="AO691" s="38">
        <v>195.51</v>
      </c>
      <c r="AP691" s="38">
        <v>196.55</v>
      </c>
      <c r="AQ691" s="38">
        <v>194.78</v>
      </c>
      <c r="AR691" s="38">
        <v>186.45</v>
      </c>
      <c r="AS691" s="38">
        <v>184.39</v>
      </c>
      <c r="AT691" s="38">
        <v>178.11</v>
      </c>
      <c r="AU691" s="38">
        <v>166.29</v>
      </c>
      <c r="AV691" s="38">
        <v>159.33000000000001</v>
      </c>
      <c r="AW691" s="38">
        <v>156.43</v>
      </c>
      <c r="AX691" s="38">
        <v>154.16999999999999</v>
      </c>
      <c r="AY691" s="38">
        <v>150.81</v>
      </c>
      <c r="BA691" s="37">
        <v>95.36</v>
      </c>
      <c r="BB691" s="38">
        <v>1.2095</v>
      </c>
    </row>
    <row r="692" spans="1:54" x14ac:dyDescent="0.35">
      <c r="A692" s="2">
        <f t="shared" si="10"/>
        <v>44790</v>
      </c>
      <c r="B692" t="s">
        <v>734</v>
      </c>
      <c r="C692" s="32">
        <v>44790</v>
      </c>
      <c r="D692" s="38">
        <v>439.96</v>
      </c>
      <c r="E692" s="38">
        <v>488.96</v>
      </c>
      <c r="F692" s="38">
        <v>545.86</v>
      </c>
      <c r="G692" s="38">
        <v>587.67999999999995</v>
      </c>
      <c r="H692" s="38">
        <v>586.92999999999995</v>
      </c>
      <c r="I692" s="38">
        <v>585.24</v>
      </c>
      <c r="J692" s="38">
        <v>564.78</v>
      </c>
      <c r="K692" s="38">
        <v>523.28</v>
      </c>
      <c r="L692" s="38">
        <v>497.28</v>
      </c>
      <c r="M692" s="38">
        <v>487.34</v>
      </c>
      <c r="N692" s="38">
        <v>485.64</v>
      </c>
      <c r="O692" s="38">
        <v>472.43</v>
      </c>
      <c r="P692" s="38">
        <v>473.51</v>
      </c>
      <c r="Q692" s="38">
        <v>481.86</v>
      </c>
      <c r="R692" s="38">
        <v>497.65</v>
      </c>
      <c r="S692" s="38">
        <v>499.65</v>
      </c>
      <c r="T692" s="38">
        <v>510.18</v>
      </c>
      <c r="U692" s="38">
        <v>493.64</v>
      </c>
      <c r="V692" s="38">
        <v>454.62</v>
      </c>
      <c r="W692" s="38">
        <v>366.52</v>
      </c>
      <c r="X692" s="38">
        <v>321.45</v>
      </c>
      <c r="Y692" s="38">
        <v>303.33999999999997</v>
      </c>
      <c r="Z692" s="38">
        <v>302.54000000000002</v>
      </c>
      <c r="AA692" s="38">
        <v>296.27</v>
      </c>
      <c r="AB692" s="38">
        <v>299.44</v>
      </c>
      <c r="AC692" s="38">
        <v>311.27999999999997</v>
      </c>
      <c r="AD692" s="38">
        <v>315.11</v>
      </c>
      <c r="AE692" s="38">
        <v>323.81</v>
      </c>
      <c r="AF692" s="38">
        <v>318.16000000000003</v>
      </c>
      <c r="AG692" s="38">
        <v>315.77999999999997</v>
      </c>
      <c r="AH692" s="38">
        <v>299.47000000000003</v>
      </c>
      <c r="AI692" s="38">
        <v>222.78</v>
      </c>
      <c r="AJ692" s="38">
        <v>199.27</v>
      </c>
      <c r="AK692" s="38">
        <v>189.99</v>
      </c>
      <c r="AL692" s="38">
        <v>180.42</v>
      </c>
      <c r="AM692" s="38">
        <v>178.38</v>
      </c>
      <c r="AN692" s="38">
        <v>185.04</v>
      </c>
      <c r="AO692" s="38">
        <v>202.75</v>
      </c>
      <c r="AP692" s="38">
        <v>203.79</v>
      </c>
      <c r="AQ692" s="38">
        <v>202.02</v>
      </c>
      <c r="AR692" s="38">
        <v>193.69</v>
      </c>
      <c r="AS692" s="38">
        <v>191.63</v>
      </c>
      <c r="AT692" s="38">
        <v>185.35</v>
      </c>
      <c r="AU692" s="38">
        <v>172.53</v>
      </c>
      <c r="AV692" s="38">
        <v>165.57</v>
      </c>
      <c r="AW692" s="38">
        <v>162.66999999999999</v>
      </c>
      <c r="AX692" s="38">
        <v>160.41</v>
      </c>
      <c r="AY692" s="38">
        <v>157.05000000000001</v>
      </c>
      <c r="BA692" s="37">
        <v>97.22</v>
      </c>
      <c r="BB692" s="38">
        <v>1.2043999999999999</v>
      </c>
    </row>
    <row r="693" spans="1:54" x14ac:dyDescent="0.35">
      <c r="A693" s="2">
        <f t="shared" si="10"/>
        <v>44791</v>
      </c>
      <c r="B693" t="s">
        <v>735</v>
      </c>
      <c r="C693" s="32">
        <v>44791</v>
      </c>
      <c r="D693" s="38">
        <v>456</v>
      </c>
      <c r="E693" s="38">
        <v>519.29999999999995</v>
      </c>
      <c r="F693" s="38">
        <v>575.46</v>
      </c>
      <c r="G693" s="38">
        <v>619.85</v>
      </c>
      <c r="H693" s="38">
        <v>620.1</v>
      </c>
      <c r="I693" s="38">
        <v>620</v>
      </c>
      <c r="J693" s="38">
        <v>598.01</v>
      </c>
      <c r="K693" s="38">
        <v>554.92999999999995</v>
      </c>
      <c r="L693" s="38">
        <v>528.17999999999995</v>
      </c>
      <c r="M693" s="38">
        <v>518.24</v>
      </c>
      <c r="N693" s="38">
        <v>516.54</v>
      </c>
      <c r="O693" s="38">
        <v>503.33</v>
      </c>
      <c r="P693" s="38">
        <v>504.41</v>
      </c>
      <c r="Q693" s="38">
        <v>513.91</v>
      </c>
      <c r="R693" s="38">
        <v>530.1</v>
      </c>
      <c r="S693" s="38">
        <v>532.29999999999995</v>
      </c>
      <c r="T693" s="38">
        <v>542.98</v>
      </c>
      <c r="U693" s="38">
        <v>526.73</v>
      </c>
      <c r="V693" s="38">
        <v>487.92</v>
      </c>
      <c r="W693" s="38">
        <v>390.02</v>
      </c>
      <c r="X693" s="38">
        <v>345.13</v>
      </c>
      <c r="Y693" s="38">
        <v>327.17</v>
      </c>
      <c r="Z693" s="38">
        <v>326.51</v>
      </c>
      <c r="AA693" s="38">
        <v>320.41000000000003</v>
      </c>
      <c r="AB693" s="38">
        <v>323.76</v>
      </c>
      <c r="AC693" s="38">
        <v>332.78</v>
      </c>
      <c r="AD693" s="38">
        <v>336.77</v>
      </c>
      <c r="AE693" s="38">
        <v>345.63</v>
      </c>
      <c r="AF693" s="38">
        <v>340.13</v>
      </c>
      <c r="AG693" s="38">
        <v>337.89</v>
      </c>
      <c r="AH693" s="38">
        <v>320.52</v>
      </c>
      <c r="AI693" s="38">
        <v>238.97</v>
      </c>
      <c r="AJ693" s="38">
        <v>215.47</v>
      </c>
      <c r="AK693" s="38">
        <v>206.19</v>
      </c>
      <c r="AL693" s="38">
        <v>196.62</v>
      </c>
      <c r="AM693" s="38">
        <v>194.58</v>
      </c>
      <c r="AN693" s="38">
        <v>201.24</v>
      </c>
      <c r="AO693" s="38">
        <v>216.96</v>
      </c>
      <c r="AP693" s="38">
        <v>218</v>
      </c>
      <c r="AQ693" s="38">
        <v>216.23</v>
      </c>
      <c r="AR693" s="38">
        <v>207.9</v>
      </c>
      <c r="AS693" s="38">
        <v>205.84</v>
      </c>
      <c r="AT693" s="38">
        <v>199.56</v>
      </c>
      <c r="AU693" s="38">
        <v>166.23</v>
      </c>
      <c r="AV693" s="38">
        <v>159.27000000000001</v>
      </c>
      <c r="AW693" s="38">
        <v>156.37</v>
      </c>
      <c r="AX693" s="38">
        <v>154.12</v>
      </c>
      <c r="AY693" s="38">
        <v>150.76</v>
      </c>
      <c r="BA693" s="37">
        <v>96.35</v>
      </c>
      <c r="BB693" s="38">
        <v>1.2002999999999999</v>
      </c>
    </row>
    <row r="694" spans="1:54" x14ac:dyDescent="0.35">
      <c r="A694" s="2">
        <f t="shared" si="10"/>
        <v>44792</v>
      </c>
      <c r="B694" t="s">
        <v>736</v>
      </c>
      <c r="C694" s="32">
        <v>44792</v>
      </c>
      <c r="D694" s="38">
        <v>460.89</v>
      </c>
      <c r="E694" s="38">
        <v>528.79</v>
      </c>
      <c r="F694" s="38">
        <v>587.49</v>
      </c>
      <c r="G694" s="38">
        <v>638.24</v>
      </c>
      <c r="H694" s="38">
        <v>637.16999999999996</v>
      </c>
      <c r="I694" s="38">
        <v>634.35</v>
      </c>
      <c r="J694" s="38">
        <v>620.20000000000005</v>
      </c>
      <c r="K694" s="38">
        <v>581.28</v>
      </c>
      <c r="L694" s="38">
        <v>554.53</v>
      </c>
      <c r="M694" s="38">
        <v>545.59</v>
      </c>
      <c r="N694" s="38">
        <v>544.59</v>
      </c>
      <c r="O694" s="38">
        <v>531.38</v>
      </c>
      <c r="P694" s="38">
        <v>532.46</v>
      </c>
      <c r="Q694" s="38">
        <v>542.96</v>
      </c>
      <c r="R694" s="38">
        <v>559.15</v>
      </c>
      <c r="S694" s="38">
        <v>561.35</v>
      </c>
      <c r="T694" s="38">
        <v>572.03</v>
      </c>
      <c r="U694" s="38">
        <v>555.78</v>
      </c>
      <c r="V694" s="38">
        <v>516.97</v>
      </c>
      <c r="W694" s="38">
        <v>431.07</v>
      </c>
      <c r="X694" s="38">
        <v>386.18</v>
      </c>
      <c r="Y694" s="38">
        <v>368.22</v>
      </c>
      <c r="Z694" s="38">
        <v>368.06</v>
      </c>
      <c r="AA694" s="38">
        <v>361.96</v>
      </c>
      <c r="AB694" s="38">
        <v>365.31</v>
      </c>
      <c r="AC694" s="38">
        <v>374.31</v>
      </c>
      <c r="AD694" s="38">
        <v>378.3</v>
      </c>
      <c r="AE694" s="38">
        <v>387.16</v>
      </c>
      <c r="AF694" s="38">
        <v>381.66</v>
      </c>
      <c r="AG694" s="38">
        <v>379.42</v>
      </c>
      <c r="AH694" s="38">
        <v>357.05</v>
      </c>
      <c r="AI694" s="38">
        <v>255.5</v>
      </c>
      <c r="AJ694" s="38">
        <v>228</v>
      </c>
      <c r="AK694" s="38">
        <v>218.72</v>
      </c>
      <c r="AL694" s="38">
        <v>209.15</v>
      </c>
      <c r="AM694" s="38">
        <v>207.11</v>
      </c>
      <c r="AN694" s="38">
        <v>213.77</v>
      </c>
      <c r="AO694" s="38">
        <v>230.15</v>
      </c>
      <c r="AP694" s="38">
        <v>231.19</v>
      </c>
      <c r="AQ694" s="38">
        <v>229.42</v>
      </c>
      <c r="AR694" s="38">
        <v>221.09</v>
      </c>
      <c r="AS694" s="38">
        <v>219.03</v>
      </c>
      <c r="AT694" s="38">
        <v>212.75</v>
      </c>
      <c r="AU694" s="38">
        <v>176.42</v>
      </c>
      <c r="AV694" s="38">
        <v>169.46</v>
      </c>
      <c r="AW694" s="38">
        <v>166.56</v>
      </c>
      <c r="AX694" s="38">
        <v>164.31</v>
      </c>
      <c r="AY694" s="38">
        <v>160.94999999999999</v>
      </c>
      <c r="BA694" s="37">
        <v>96.45</v>
      </c>
      <c r="BB694" s="38">
        <v>1.1805000000000001</v>
      </c>
    </row>
    <row r="695" spans="1:54" x14ac:dyDescent="0.35">
      <c r="A695" s="2">
        <f t="shared" si="10"/>
        <v>44795</v>
      </c>
      <c r="B695" t="s">
        <v>737</v>
      </c>
      <c r="C695" s="32">
        <v>44795</v>
      </c>
      <c r="D695" s="38">
        <v>526.36</v>
      </c>
      <c r="E695" s="38">
        <v>593.72</v>
      </c>
      <c r="F695" s="38">
        <v>654.85</v>
      </c>
      <c r="G695" s="38">
        <v>711.72</v>
      </c>
      <c r="H695" s="38">
        <v>711.91</v>
      </c>
      <c r="I695" s="38">
        <v>705.89</v>
      </c>
      <c r="J695" s="38">
        <v>684.39</v>
      </c>
      <c r="K695" s="38">
        <v>629.89</v>
      </c>
      <c r="L695" s="38">
        <v>600.04</v>
      </c>
      <c r="M695" s="38">
        <v>590.28</v>
      </c>
      <c r="N695" s="38">
        <v>588.9</v>
      </c>
      <c r="O695" s="38">
        <v>577.79</v>
      </c>
      <c r="P695" s="38">
        <v>579.35</v>
      </c>
      <c r="Q695" s="38">
        <v>589.6</v>
      </c>
      <c r="R695" s="38">
        <v>605.22</v>
      </c>
      <c r="S695" s="38">
        <v>606.84</v>
      </c>
      <c r="T695" s="38">
        <v>621.76</v>
      </c>
      <c r="U695" s="38">
        <v>607.85</v>
      </c>
      <c r="V695" s="38">
        <v>552.69000000000005</v>
      </c>
      <c r="W695" s="38">
        <v>475.69</v>
      </c>
      <c r="X695" s="38">
        <v>416.38</v>
      </c>
      <c r="Y695" s="38">
        <v>412.93</v>
      </c>
      <c r="Z695" s="38">
        <v>403.07</v>
      </c>
      <c r="AA695" s="38">
        <v>404.07</v>
      </c>
      <c r="AB695" s="38">
        <v>407.2</v>
      </c>
      <c r="AC695" s="38">
        <v>414.2</v>
      </c>
      <c r="AD695" s="38">
        <v>418.19</v>
      </c>
      <c r="AE695" s="38">
        <v>427.05</v>
      </c>
      <c r="AF695" s="38">
        <v>422.46</v>
      </c>
      <c r="AG695" s="38">
        <v>418.81</v>
      </c>
      <c r="AH695" s="38">
        <v>395.04</v>
      </c>
      <c r="AI695" s="38">
        <v>292.87</v>
      </c>
      <c r="AJ695" s="38">
        <v>260.43</v>
      </c>
      <c r="AK695" s="38">
        <v>244.19</v>
      </c>
      <c r="AL695" s="38">
        <v>238.7</v>
      </c>
      <c r="AM695" s="38">
        <v>238.2</v>
      </c>
      <c r="AN695" s="38">
        <v>245.2</v>
      </c>
      <c r="AO695" s="38">
        <v>262.7</v>
      </c>
      <c r="AP695" s="38">
        <v>265.55</v>
      </c>
      <c r="AQ695" s="38">
        <v>260.37</v>
      </c>
      <c r="AR695" s="38">
        <v>249.62</v>
      </c>
      <c r="AS695" s="38">
        <v>247.56</v>
      </c>
      <c r="AT695" s="38">
        <v>241.28</v>
      </c>
      <c r="AU695" s="38">
        <v>201.09</v>
      </c>
      <c r="AV695" s="38">
        <v>194.13</v>
      </c>
      <c r="AW695" s="38">
        <v>191.23</v>
      </c>
      <c r="AX695" s="38">
        <v>188.98</v>
      </c>
      <c r="AY695" s="38">
        <v>185.62</v>
      </c>
      <c r="BA695" s="37">
        <v>95.06</v>
      </c>
      <c r="BB695" s="38">
        <v>1.179</v>
      </c>
    </row>
    <row r="696" spans="1:54" x14ac:dyDescent="0.35">
      <c r="A696" s="2">
        <f t="shared" si="10"/>
        <v>44796</v>
      </c>
      <c r="B696" t="s">
        <v>738</v>
      </c>
      <c r="C696" s="32">
        <v>44796</v>
      </c>
      <c r="D696" s="38">
        <v>494.36</v>
      </c>
      <c r="E696" s="38">
        <v>560.36</v>
      </c>
      <c r="F696" s="38">
        <v>628.16</v>
      </c>
      <c r="G696" s="38">
        <v>699.11</v>
      </c>
      <c r="H696" s="38">
        <v>699.11</v>
      </c>
      <c r="I696" s="38">
        <v>693.61</v>
      </c>
      <c r="J696" s="38">
        <v>673.07</v>
      </c>
      <c r="K696" s="38">
        <v>614.41999999999996</v>
      </c>
      <c r="L696" s="38">
        <v>584.74</v>
      </c>
      <c r="M696" s="38">
        <v>583.61</v>
      </c>
      <c r="N696" s="38">
        <v>576.07000000000005</v>
      </c>
      <c r="O696" s="38">
        <v>565.05999999999995</v>
      </c>
      <c r="P696" s="38">
        <v>566.25</v>
      </c>
      <c r="Q696" s="38">
        <v>573.27</v>
      </c>
      <c r="R696" s="38">
        <v>583.27</v>
      </c>
      <c r="S696" s="38">
        <v>584.71</v>
      </c>
      <c r="T696" s="38">
        <v>600.94000000000005</v>
      </c>
      <c r="U696" s="38">
        <v>586.88</v>
      </c>
      <c r="V696" s="38">
        <v>531.37</v>
      </c>
      <c r="W696" s="38">
        <v>457.87</v>
      </c>
      <c r="X696" s="38">
        <v>401.87</v>
      </c>
      <c r="Y696" s="38">
        <v>398.91</v>
      </c>
      <c r="Z696" s="38">
        <v>388.8</v>
      </c>
      <c r="AA696" s="38">
        <v>389.7</v>
      </c>
      <c r="AB696" s="38">
        <v>392.83</v>
      </c>
      <c r="AC696" s="38">
        <v>397.83</v>
      </c>
      <c r="AD696" s="38">
        <v>400.83</v>
      </c>
      <c r="AE696" s="38">
        <v>408.83</v>
      </c>
      <c r="AF696" s="38">
        <v>404.01</v>
      </c>
      <c r="AG696" s="38">
        <v>399.79</v>
      </c>
      <c r="AH696" s="38">
        <v>377.79</v>
      </c>
      <c r="AI696" s="38">
        <v>277.37</v>
      </c>
      <c r="AJ696" s="38">
        <v>249.35</v>
      </c>
      <c r="AK696" s="38">
        <v>233.12</v>
      </c>
      <c r="AL696" s="38">
        <v>227.04</v>
      </c>
      <c r="AM696" s="38">
        <v>226.43</v>
      </c>
      <c r="AN696" s="38">
        <v>233.14</v>
      </c>
      <c r="AO696" s="38">
        <v>250.14</v>
      </c>
      <c r="AP696" s="38">
        <v>252.99</v>
      </c>
      <c r="AQ696" s="38">
        <v>247.12</v>
      </c>
      <c r="AR696" s="38">
        <v>235.69</v>
      </c>
      <c r="AS696" s="38">
        <v>233.63</v>
      </c>
      <c r="AT696" s="38">
        <v>227.35</v>
      </c>
      <c r="AU696" s="38">
        <v>189.62</v>
      </c>
      <c r="AV696" s="38">
        <v>184.62</v>
      </c>
      <c r="AW696" s="38">
        <v>181.72</v>
      </c>
      <c r="AX696" s="38">
        <v>179.47</v>
      </c>
      <c r="AY696" s="38">
        <v>176.11</v>
      </c>
      <c r="BA696" s="37">
        <v>99.49</v>
      </c>
      <c r="BB696" s="38">
        <v>1.1852</v>
      </c>
    </row>
    <row r="697" spans="1:54" x14ac:dyDescent="0.35">
      <c r="A697" s="2">
        <f t="shared" si="10"/>
        <v>44797</v>
      </c>
      <c r="B697" t="s">
        <v>739</v>
      </c>
      <c r="C697" s="32">
        <v>44797</v>
      </c>
      <c r="D697" s="38">
        <v>546.78</v>
      </c>
      <c r="E697" s="38">
        <v>596.08000000000004</v>
      </c>
      <c r="F697" s="38">
        <v>677.58</v>
      </c>
      <c r="G697" s="38">
        <v>752.11</v>
      </c>
      <c r="H697" s="38">
        <v>753.11</v>
      </c>
      <c r="I697" s="38">
        <v>750.75</v>
      </c>
      <c r="J697" s="38">
        <v>726.53</v>
      </c>
      <c r="K697" s="38">
        <v>661.03</v>
      </c>
      <c r="L697" s="38">
        <v>632.99</v>
      </c>
      <c r="M697" s="38">
        <v>629.49</v>
      </c>
      <c r="N697" s="38">
        <v>621.95000000000005</v>
      </c>
      <c r="O697" s="38">
        <v>610.94000000000005</v>
      </c>
      <c r="P697" s="38">
        <v>612.13</v>
      </c>
      <c r="Q697" s="38">
        <v>615.15</v>
      </c>
      <c r="R697" s="38">
        <v>623.08000000000004</v>
      </c>
      <c r="S697" s="38">
        <v>624.74</v>
      </c>
      <c r="T697" s="38">
        <v>640.97</v>
      </c>
      <c r="U697" s="38">
        <v>629.15</v>
      </c>
      <c r="V697" s="38">
        <v>571.48</v>
      </c>
      <c r="W697" s="38">
        <v>481.65</v>
      </c>
      <c r="X697" s="38">
        <v>413.65</v>
      </c>
      <c r="Y697" s="38">
        <v>405.39</v>
      </c>
      <c r="Z697" s="38">
        <v>395.28</v>
      </c>
      <c r="AA697" s="38">
        <v>396.18</v>
      </c>
      <c r="AB697" s="38">
        <v>399.31</v>
      </c>
      <c r="AC697" s="38">
        <v>407.03</v>
      </c>
      <c r="AD697" s="38">
        <v>411.88</v>
      </c>
      <c r="AE697" s="38">
        <v>419.88</v>
      </c>
      <c r="AF697" s="38">
        <v>415.06</v>
      </c>
      <c r="AG697" s="38">
        <v>410.84</v>
      </c>
      <c r="AH697" s="38">
        <v>388.84</v>
      </c>
      <c r="AI697" s="38">
        <v>292.49</v>
      </c>
      <c r="AJ697" s="38">
        <v>265.49</v>
      </c>
      <c r="AK697" s="38">
        <v>249.26</v>
      </c>
      <c r="AL697" s="38">
        <v>243.18</v>
      </c>
      <c r="AM697" s="38">
        <v>242.57</v>
      </c>
      <c r="AN697" s="38">
        <v>249.28</v>
      </c>
      <c r="AO697" s="38">
        <v>263.27999999999997</v>
      </c>
      <c r="AP697" s="38">
        <v>264.27999999999997</v>
      </c>
      <c r="AQ697" s="38">
        <v>258.41000000000003</v>
      </c>
      <c r="AR697" s="38">
        <v>245.41</v>
      </c>
      <c r="AS697" s="38">
        <v>240.91</v>
      </c>
      <c r="AT697" s="38">
        <v>234.63</v>
      </c>
      <c r="AU697" s="38">
        <v>196.9</v>
      </c>
      <c r="AV697" s="38">
        <v>191.64</v>
      </c>
      <c r="AW697" s="38">
        <v>188.74</v>
      </c>
      <c r="AX697" s="38">
        <v>186.49</v>
      </c>
      <c r="AY697" s="38">
        <v>183.13</v>
      </c>
      <c r="BA697" s="37">
        <v>99.87</v>
      </c>
      <c r="BB697" s="38">
        <v>1.1818</v>
      </c>
    </row>
    <row r="698" spans="1:54" x14ac:dyDescent="0.35">
      <c r="A698" s="2">
        <f t="shared" si="10"/>
        <v>44798</v>
      </c>
      <c r="B698" t="s">
        <v>740</v>
      </c>
      <c r="C698" s="32">
        <v>44798</v>
      </c>
      <c r="D698" s="38">
        <v>590.71</v>
      </c>
      <c r="E698" s="38">
        <v>653.19000000000005</v>
      </c>
      <c r="F698" s="38">
        <v>743.19</v>
      </c>
      <c r="G698" s="38">
        <v>822.13</v>
      </c>
      <c r="H698" s="38">
        <v>822.24</v>
      </c>
      <c r="I698" s="38">
        <v>818.24</v>
      </c>
      <c r="J698" s="38">
        <v>794.02</v>
      </c>
      <c r="K698" s="38">
        <v>716.4</v>
      </c>
      <c r="L698" s="38">
        <v>688.37</v>
      </c>
      <c r="M698" s="38">
        <v>683.17</v>
      </c>
      <c r="N698" s="38">
        <v>676.67</v>
      </c>
      <c r="O698" s="38">
        <v>668.75</v>
      </c>
      <c r="P698" s="38">
        <v>675.42</v>
      </c>
      <c r="Q698" s="38">
        <v>683.42</v>
      </c>
      <c r="R698" s="38">
        <v>681.36</v>
      </c>
      <c r="S698" s="38">
        <v>682.92</v>
      </c>
      <c r="T698" s="38">
        <v>696.94</v>
      </c>
      <c r="U698" s="38">
        <v>685.01</v>
      </c>
      <c r="V698" s="38">
        <v>627.28</v>
      </c>
      <c r="W698" s="38">
        <v>501.4</v>
      </c>
      <c r="X698" s="38">
        <v>433.37</v>
      </c>
      <c r="Y698" s="38">
        <v>424.98</v>
      </c>
      <c r="Z698" s="38">
        <v>414.7</v>
      </c>
      <c r="AA698" s="38">
        <v>415.59</v>
      </c>
      <c r="AB698" s="38">
        <v>418.72</v>
      </c>
      <c r="AC698" s="38">
        <v>425.43</v>
      </c>
      <c r="AD698" s="38">
        <v>430.27</v>
      </c>
      <c r="AE698" s="38">
        <v>438.26</v>
      </c>
      <c r="AF698" s="38">
        <v>433.43</v>
      </c>
      <c r="AG698" s="38">
        <v>429.2</v>
      </c>
      <c r="AH698" s="38">
        <v>407.19</v>
      </c>
      <c r="AI698" s="38">
        <v>309.83</v>
      </c>
      <c r="AJ698" s="38">
        <v>282.82</v>
      </c>
      <c r="AK698" s="38">
        <v>266.58999999999997</v>
      </c>
      <c r="AL698" s="38">
        <v>260.5</v>
      </c>
      <c r="AM698" s="38">
        <v>259.89</v>
      </c>
      <c r="AN698" s="38">
        <v>266.58999999999997</v>
      </c>
      <c r="AO698" s="38">
        <v>280.58999999999997</v>
      </c>
      <c r="AP698" s="38">
        <v>281.58</v>
      </c>
      <c r="AQ698" s="38">
        <v>275.70999999999998</v>
      </c>
      <c r="AR698" s="38">
        <v>262.7</v>
      </c>
      <c r="AS698" s="38">
        <v>258.2</v>
      </c>
      <c r="AT698" s="38">
        <v>251.91</v>
      </c>
      <c r="AU698" s="38">
        <v>204.18</v>
      </c>
      <c r="AV698" s="38">
        <v>198.91</v>
      </c>
      <c r="AW698" s="38">
        <v>196</v>
      </c>
      <c r="AX698" s="38">
        <v>193.75</v>
      </c>
      <c r="AY698" s="38">
        <v>190.38</v>
      </c>
      <c r="BA698" s="37">
        <v>98.81</v>
      </c>
      <c r="BB698" s="38">
        <v>1.1826000000000001</v>
      </c>
    </row>
    <row r="699" spans="1:54" x14ac:dyDescent="0.35">
      <c r="A699" s="2">
        <f t="shared" si="10"/>
        <v>44799</v>
      </c>
      <c r="B699" t="s">
        <v>741</v>
      </c>
      <c r="C699" s="32">
        <v>44799</v>
      </c>
      <c r="D699" s="38">
        <v>640.36</v>
      </c>
      <c r="E699" s="38">
        <v>702.95</v>
      </c>
      <c r="F699" s="38">
        <v>788.03</v>
      </c>
      <c r="G699" s="38">
        <v>875.14</v>
      </c>
      <c r="H699" s="38">
        <v>876.19</v>
      </c>
      <c r="I699" s="38">
        <v>875.49</v>
      </c>
      <c r="J699" s="38">
        <v>848.1</v>
      </c>
      <c r="K699" s="38">
        <v>759.15</v>
      </c>
      <c r="L699" s="38">
        <v>730.4</v>
      </c>
      <c r="M699" s="38">
        <v>725.04</v>
      </c>
      <c r="N699" s="38">
        <v>717.93</v>
      </c>
      <c r="O699" s="38">
        <v>709.36</v>
      </c>
      <c r="P699" s="38">
        <v>716.36</v>
      </c>
      <c r="Q699" s="38">
        <v>746.1</v>
      </c>
      <c r="R699" s="38">
        <v>729.28</v>
      </c>
      <c r="S699" s="38">
        <v>726.99</v>
      </c>
      <c r="T699" s="38">
        <v>741.65</v>
      </c>
      <c r="U699" s="38">
        <v>728.4</v>
      </c>
      <c r="V699" s="38">
        <v>665.89</v>
      </c>
      <c r="W699" s="38">
        <v>530.1</v>
      </c>
      <c r="X699" s="38">
        <v>454.41</v>
      </c>
      <c r="Y699" s="38">
        <v>446.33</v>
      </c>
      <c r="Z699" s="38">
        <v>432.7</v>
      </c>
      <c r="AA699" s="38">
        <v>433.6</v>
      </c>
      <c r="AB699" s="38">
        <v>436.74</v>
      </c>
      <c r="AC699" s="38">
        <v>448.5</v>
      </c>
      <c r="AD699" s="38">
        <v>455.49</v>
      </c>
      <c r="AE699" s="38">
        <v>463.52</v>
      </c>
      <c r="AF699" s="38">
        <v>459.74</v>
      </c>
      <c r="AG699" s="38">
        <v>455.53</v>
      </c>
      <c r="AH699" s="38">
        <v>432.62</v>
      </c>
      <c r="AI699" s="38">
        <v>334.51</v>
      </c>
      <c r="AJ699" s="38">
        <v>308.31</v>
      </c>
      <c r="AK699" s="38">
        <v>292.27999999999997</v>
      </c>
      <c r="AL699" s="38">
        <v>287.45999999999998</v>
      </c>
      <c r="AM699" s="38">
        <v>286.88</v>
      </c>
      <c r="AN699" s="38">
        <v>293.61</v>
      </c>
      <c r="AO699" s="38">
        <v>308.14</v>
      </c>
      <c r="AP699" s="38">
        <v>309.16000000000003</v>
      </c>
      <c r="AQ699" s="38">
        <v>303.32</v>
      </c>
      <c r="AR699" s="38">
        <v>288.33999999999997</v>
      </c>
      <c r="AS699" s="38">
        <v>283.55</v>
      </c>
      <c r="AT699" s="38">
        <v>277.27999999999997</v>
      </c>
      <c r="AU699" s="38">
        <v>216.91</v>
      </c>
      <c r="AV699" s="38">
        <v>200.05</v>
      </c>
      <c r="AW699" s="38">
        <v>197.16</v>
      </c>
      <c r="AX699" s="38">
        <v>194.93</v>
      </c>
      <c r="AY699" s="38">
        <v>191.58</v>
      </c>
      <c r="BA699" s="37">
        <v>101.13</v>
      </c>
      <c r="BB699" s="38">
        <v>1.1792</v>
      </c>
    </row>
    <row r="700" spans="1:54" x14ac:dyDescent="0.35">
      <c r="A700" s="2">
        <f t="shared" si="10"/>
        <v>44802</v>
      </c>
      <c r="B700" t="s">
        <v>742</v>
      </c>
      <c r="C700" s="32">
        <v>44802</v>
      </c>
      <c r="D700" s="38">
        <v>640.36</v>
      </c>
      <c r="E700" s="38">
        <v>702.95</v>
      </c>
      <c r="F700" s="38">
        <v>788.03</v>
      </c>
      <c r="G700" s="38">
        <v>875.14</v>
      </c>
      <c r="H700" s="38">
        <v>876.19</v>
      </c>
      <c r="I700" s="38">
        <v>875.49</v>
      </c>
      <c r="J700" s="38">
        <v>848.1</v>
      </c>
      <c r="K700" s="38">
        <v>759.15</v>
      </c>
      <c r="L700" s="38">
        <v>730.4</v>
      </c>
      <c r="M700" s="38">
        <v>725.04</v>
      </c>
      <c r="N700" s="38">
        <v>717.93</v>
      </c>
      <c r="O700" s="38">
        <v>709.36</v>
      </c>
      <c r="P700" s="38">
        <v>716.36</v>
      </c>
      <c r="Q700" s="38">
        <v>746.1</v>
      </c>
      <c r="R700" s="38">
        <v>729.28</v>
      </c>
      <c r="S700" s="38">
        <v>726.99</v>
      </c>
      <c r="T700" s="38">
        <v>741.65</v>
      </c>
      <c r="U700" s="38">
        <v>728.4</v>
      </c>
      <c r="V700" s="38">
        <v>665.89</v>
      </c>
      <c r="W700" s="38">
        <v>530.1</v>
      </c>
      <c r="X700" s="38">
        <v>454.41</v>
      </c>
      <c r="Y700" s="38">
        <v>446.33</v>
      </c>
      <c r="Z700" s="38">
        <v>432.7</v>
      </c>
      <c r="AA700" s="38">
        <v>433.6</v>
      </c>
      <c r="AB700" s="38">
        <v>436.74</v>
      </c>
      <c r="AC700" s="38">
        <v>448.5</v>
      </c>
      <c r="AD700" s="38">
        <v>455.49</v>
      </c>
      <c r="AE700" s="38">
        <v>463.52</v>
      </c>
      <c r="AF700" s="38">
        <v>459.74</v>
      </c>
      <c r="AG700" s="38">
        <v>455.53</v>
      </c>
      <c r="AH700" s="38">
        <v>432.62</v>
      </c>
      <c r="AI700" s="38">
        <v>334.51</v>
      </c>
      <c r="AJ700" s="38">
        <v>308.31</v>
      </c>
      <c r="AK700" s="38">
        <v>292.27999999999997</v>
      </c>
      <c r="AL700" s="38">
        <v>287.45999999999998</v>
      </c>
      <c r="AM700" s="38">
        <v>286.88</v>
      </c>
      <c r="AN700" s="38">
        <v>293.61</v>
      </c>
      <c r="AO700" s="38">
        <v>308.14</v>
      </c>
      <c r="AP700" s="38">
        <v>309.16000000000003</v>
      </c>
      <c r="AQ700" s="38">
        <v>303.32</v>
      </c>
      <c r="AR700" s="38">
        <v>288.33999999999997</v>
      </c>
      <c r="AS700" s="38">
        <v>283.55</v>
      </c>
      <c r="AT700" s="38">
        <v>277.27999999999997</v>
      </c>
      <c r="AU700" s="38">
        <v>216.91</v>
      </c>
      <c r="AV700" s="38">
        <v>200.05</v>
      </c>
      <c r="AW700" s="38">
        <v>197.16</v>
      </c>
      <c r="AX700" s="38">
        <v>194.93</v>
      </c>
      <c r="AY700" s="38">
        <v>191.58</v>
      </c>
      <c r="BA700" s="37" t="e">
        <v>#N/A</v>
      </c>
      <c r="BB700" s="38" t="e">
        <v>#N/A</v>
      </c>
    </row>
    <row r="701" spans="1:54" x14ac:dyDescent="0.35">
      <c r="A701" s="2">
        <f t="shared" si="10"/>
        <v>44803</v>
      </c>
      <c r="B701" t="s">
        <v>743</v>
      </c>
      <c r="C701" s="32">
        <v>44803</v>
      </c>
      <c r="D701" s="38">
        <v>449.87</v>
      </c>
      <c r="E701" s="38">
        <v>524.52</v>
      </c>
      <c r="F701" s="38">
        <v>606.99</v>
      </c>
      <c r="G701" s="38">
        <v>690.25</v>
      </c>
      <c r="H701" s="38">
        <v>695</v>
      </c>
      <c r="I701" s="38">
        <v>692</v>
      </c>
      <c r="J701" s="38">
        <v>656</v>
      </c>
      <c r="K701" s="38">
        <v>578.82000000000005</v>
      </c>
      <c r="L701" s="38">
        <v>542.91</v>
      </c>
      <c r="M701" s="38">
        <v>537.96</v>
      </c>
      <c r="N701" s="38">
        <v>527.5</v>
      </c>
      <c r="O701" s="38">
        <v>519.38</v>
      </c>
      <c r="P701" s="38">
        <v>534.41999999999996</v>
      </c>
      <c r="Q701" s="38">
        <v>564.46</v>
      </c>
      <c r="R701" s="38">
        <v>532.46</v>
      </c>
      <c r="S701" s="38">
        <v>532.46</v>
      </c>
      <c r="T701" s="38">
        <v>553.46</v>
      </c>
      <c r="U701" s="38">
        <v>545.28</v>
      </c>
      <c r="V701" s="38">
        <v>495.28</v>
      </c>
      <c r="W701" s="38">
        <v>400.28</v>
      </c>
      <c r="X701" s="38">
        <v>343.28</v>
      </c>
      <c r="Y701" s="38">
        <v>335.28</v>
      </c>
      <c r="Z701" s="38">
        <v>325.27999999999997</v>
      </c>
      <c r="AA701" s="38">
        <v>326.52999999999997</v>
      </c>
      <c r="AB701" s="38">
        <v>330.75</v>
      </c>
      <c r="AC701" s="38">
        <v>329.9</v>
      </c>
      <c r="AD701" s="38">
        <v>337.4</v>
      </c>
      <c r="AE701" s="38">
        <v>345.65</v>
      </c>
      <c r="AF701" s="38">
        <v>355.65</v>
      </c>
      <c r="AG701" s="38">
        <v>352.96</v>
      </c>
      <c r="AH701" s="38">
        <v>337.96</v>
      </c>
      <c r="AI701" s="38">
        <v>237.96</v>
      </c>
      <c r="AJ701" s="38">
        <v>217.96</v>
      </c>
      <c r="AK701" s="38">
        <v>206.81</v>
      </c>
      <c r="AL701" s="38">
        <v>202.06</v>
      </c>
      <c r="AM701" s="38">
        <v>201.56</v>
      </c>
      <c r="AN701" s="38">
        <v>208.56</v>
      </c>
      <c r="AO701" s="38">
        <v>228.72</v>
      </c>
      <c r="AP701" s="38">
        <v>229.97</v>
      </c>
      <c r="AQ701" s="38">
        <v>224.47</v>
      </c>
      <c r="AR701" s="38">
        <v>209.94</v>
      </c>
      <c r="AS701" s="38">
        <v>205.2</v>
      </c>
      <c r="AT701" s="38">
        <v>198.94</v>
      </c>
      <c r="AU701" s="38">
        <v>158.94</v>
      </c>
      <c r="AV701" s="38">
        <v>138.94</v>
      </c>
      <c r="AW701" s="38">
        <v>136.19</v>
      </c>
      <c r="AX701" s="38">
        <v>133.99</v>
      </c>
      <c r="AY701" s="38">
        <v>130.63999999999999</v>
      </c>
      <c r="BA701" s="37">
        <v>99.34</v>
      </c>
      <c r="BB701" s="38">
        <v>1.1631</v>
      </c>
    </row>
    <row r="702" spans="1:54" x14ac:dyDescent="0.35">
      <c r="A702" s="2">
        <f t="shared" si="10"/>
        <v>44804</v>
      </c>
      <c r="B702" t="s">
        <v>744</v>
      </c>
      <c r="C702" s="32">
        <v>44804</v>
      </c>
      <c r="D702" s="38">
        <v>458.9</v>
      </c>
      <c r="E702" s="38">
        <v>547.82000000000005</v>
      </c>
      <c r="F702" s="38">
        <v>627.42999999999995</v>
      </c>
      <c r="G702" s="38">
        <v>627.92999999999995</v>
      </c>
      <c r="H702" s="38">
        <v>618.95000000000005</v>
      </c>
      <c r="I702" s="38">
        <v>583.57000000000005</v>
      </c>
      <c r="J702" s="38">
        <v>503.07</v>
      </c>
      <c r="K702" s="38">
        <v>452.98</v>
      </c>
      <c r="L702" s="38">
        <v>440.06</v>
      </c>
      <c r="M702" s="38">
        <v>430.09</v>
      </c>
      <c r="N702" s="38">
        <v>423.1</v>
      </c>
      <c r="O702" s="38">
        <v>440.16</v>
      </c>
      <c r="P702" s="38">
        <v>468.36</v>
      </c>
      <c r="Q702" s="38">
        <v>439.58</v>
      </c>
      <c r="R702" s="38">
        <v>439.05</v>
      </c>
      <c r="S702" s="38">
        <v>457.96</v>
      </c>
      <c r="T702" s="38">
        <v>453.36</v>
      </c>
      <c r="U702" s="38">
        <v>411.85</v>
      </c>
      <c r="V702" s="38">
        <v>324.58999999999997</v>
      </c>
      <c r="W702" s="38">
        <v>294.44</v>
      </c>
      <c r="X702" s="38">
        <v>287.04000000000002</v>
      </c>
      <c r="Y702" s="38">
        <v>277.33999999999997</v>
      </c>
      <c r="Z702" s="38">
        <v>271.73</v>
      </c>
      <c r="AA702" s="38">
        <v>274.24</v>
      </c>
      <c r="AB702" s="38">
        <v>271.93</v>
      </c>
      <c r="AC702" s="38">
        <v>276.76</v>
      </c>
      <c r="AD702" s="38">
        <v>285.01</v>
      </c>
      <c r="AE702" s="38">
        <v>295.38</v>
      </c>
      <c r="AF702" s="38">
        <v>292.69</v>
      </c>
      <c r="AG702" s="38">
        <v>279.93</v>
      </c>
      <c r="AH702" s="38">
        <v>219.27</v>
      </c>
      <c r="AI702" s="38">
        <v>201.55</v>
      </c>
      <c r="AJ702" s="38">
        <v>190.4</v>
      </c>
      <c r="AK702" s="38">
        <v>185.65</v>
      </c>
      <c r="AL702" s="38">
        <v>185.15</v>
      </c>
      <c r="AM702" s="38">
        <v>192.15</v>
      </c>
      <c r="AN702" s="38">
        <v>214.27</v>
      </c>
      <c r="AO702" s="38">
        <v>215.52</v>
      </c>
      <c r="AP702" s="38">
        <v>210.02</v>
      </c>
      <c r="AQ702" s="38">
        <v>196.23</v>
      </c>
      <c r="AR702" s="38">
        <v>191.49</v>
      </c>
      <c r="AS702" s="38">
        <v>185.23</v>
      </c>
      <c r="AT702" s="38">
        <v>163.1</v>
      </c>
      <c r="AU702" s="38">
        <v>143.1</v>
      </c>
      <c r="AV702" s="38">
        <v>140.35</v>
      </c>
      <c r="AW702" s="38">
        <v>138.15</v>
      </c>
      <c r="AX702" s="38">
        <v>134.80000000000001</v>
      </c>
      <c r="AY702" s="38">
        <v>136.55000000000001</v>
      </c>
      <c r="BA702" s="37">
        <v>96.55</v>
      </c>
      <c r="BB702" s="38">
        <v>1.1637999999999999</v>
      </c>
    </row>
    <row r="703" spans="1:54" x14ac:dyDescent="0.35">
      <c r="A703" s="2">
        <f t="shared" si="10"/>
        <v>44805</v>
      </c>
      <c r="B703" t="s">
        <v>745</v>
      </c>
      <c r="C703" s="32">
        <v>44805</v>
      </c>
      <c r="D703" s="38">
        <v>483.74</v>
      </c>
      <c r="E703" s="38">
        <v>576.29999999999995</v>
      </c>
      <c r="F703" s="38">
        <v>643.54999999999995</v>
      </c>
      <c r="G703" s="38">
        <v>643.75</v>
      </c>
      <c r="H703" s="38">
        <v>634.25</v>
      </c>
      <c r="I703" s="38">
        <v>595.94000000000005</v>
      </c>
      <c r="J703" s="38">
        <v>500.45</v>
      </c>
      <c r="K703" s="38">
        <v>452.2</v>
      </c>
      <c r="L703" s="38">
        <v>437.43</v>
      </c>
      <c r="M703" s="38">
        <v>427.55</v>
      </c>
      <c r="N703" s="38">
        <v>420.6</v>
      </c>
      <c r="O703" s="38">
        <v>437.89</v>
      </c>
      <c r="P703" s="38">
        <v>457.42</v>
      </c>
      <c r="Q703" s="38">
        <v>428.64</v>
      </c>
      <c r="R703" s="38">
        <v>428.11</v>
      </c>
      <c r="S703" s="38">
        <v>447.02</v>
      </c>
      <c r="T703" s="38">
        <v>442.42</v>
      </c>
      <c r="U703" s="38">
        <v>400.91</v>
      </c>
      <c r="V703" s="38">
        <v>313.68</v>
      </c>
      <c r="W703" s="38">
        <v>283.55</v>
      </c>
      <c r="X703" s="38">
        <v>276.18</v>
      </c>
      <c r="Y703" s="38">
        <v>266.5</v>
      </c>
      <c r="Z703" s="38">
        <v>260.92</v>
      </c>
      <c r="AA703" s="38">
        <v>263.44</v>
      </c>
      <c r="AB703" s="38">
        <v>263.14999999999998</v>
      </c>
      <c r="AC703" s="38">
        <v>267.99</v>
      </c>
      <c r="AD703" s="38">
        <v>276.26</v>
      </c>
      <c r="AE703" s="38">
        <v>286.64</v>
      </c>
      <c r="AF703" s="38">
        <v>283.95999999999998</v>
      </c>
      <c r="AG703" s="38">
        <v>271.20999999999998</v>
      </c>
      <c r="AH703" s="38">
        <v>219.55</v>
      </c>
      <c r="AI703" s="38">
        <v>201.84</v>
      </c>
      <c r="AJ703" s="38">
        <v>190.69</v>
      </c>
      <c r="AK703" s="38">
        <v>185.94</v>
      </c>
      <c r="AL703" s="38">
        <v>185.44</v>
      </c>
      <c r="AM703" s="38">
        <v>192.44</v>
      </c>
      <c r="AN703" s="38">
        <v>214.56</v>
      </c>
      <c r="AO703" s="38">
        <v>215.81</v>
      </c>
      <c r="AP703" s="38">
        <v>210.31</v>
      </c>
      <c r="AQ703" s="38">
        <v>196.52</v>
      </c>
      <c r="AR703" s="38">
        <v>191.78</v>
      </c>
      <c r="AS703" s="38">
        <v>185.52</v>
      </c>
      <c r="AT703" s="38">
        <v>163.38999999999999</v>
      </c>
      <c r="AU703" s="38">
        <v>143.38999999999999</v>
      </c>
      <c r="AV703" s="38">
        <v>140.63999999999999</v>
      </c>
      <c r="AW703" s="38">
        <v>138.44</v>
      </c>
      <c r="AX703" s="38">
        <v>135.09</v>
      </c>
      <c r="AY703" s="38">
        <v>136.84</v>
      </c>
      <c r="BA703" s="37">
        <v>92.24</v>
      </c>
      <c r="BB703" s="38">
        <v>1.1526000000000001</v>
      </c>
    </row>
    <row r="704" spans="1:54" x14ac:dyDescent="0.35">
      <c r="A704" s="2">
        <f t="shared" si="10"/>
        <v>44806</v>
      </c>
      <c r="B704" t="s">
        <v>746</v>
      </c>
      <c r="C704" s="32">
        <v>44806</v>
      </c>
      <c r="D704" s="38">
        <v>409.42</v>
      </c>
      <c r="E704" s="38">
        <v>502.95</v>
      </c>
      <c r="F704" s="38">
        <v>570.99</v>
      </c>
      <c r="G704" s="38">
        <v>576.41</v>
      </c>
      <c r="H704" s="38">
        <v>566.91</v>
      </c>
      <c r="I704" s="38">
        <v>528.6</v>
      </c>
      <c r="J704" s="38">
        <v>470.6</v>
      </c>
      <c r="K704" s="38">
        <v>434.85</v>
      </c>
      <c r="L704" s="38">
        <v>422.08</v>
      </c>
      <c r="M704" s="38">
        <v>412.2</v>
      </c>
      <c r="N704" s="38">
        <v>405.25</v>
      </c>
      <c r="O704" s="38">
        <v>422.54</v>
      </c>
      <c r="P704" s="38">
        <v>437.46</v>
      </c>
      <c r="Q704" s="38">
        <v>408.65</v>
      </c>
      <c r="R704" s="38">
        <v>407.62</v>
      </c>
      <c r="S704" s="38">
        <v>425.87</v>
      </c>
      <c r="T704" s="38">
        <v>421.06</v>
      </c>
      <c r="U704" s="38">
        <v>379.44</v>
      </c>
      <c r="V704" s="38">
        <v>280.14</v>
      </c>
      <c r="W704" s="38">
        <v>250.01</v>
      </c>
      <c r="X704" s="38">
        <v>242.64</v>
      </c>
      <c r="Y704" s="38">
        <v>232.96</v>
      </c>
      <c r="Z704" s="38">
        <v>227.38</v>
      </c>
      <c r="AA704" s="38">
        <v>229.9</v>
      </c>
      <c r="AB704" s="38">
        <v>232.4</v>
      </c>
      <c r="AC704" s="38">
        <v>237.24</v>
      </c>
      <c r="AD704" s="38">
        <v>245.51</v>
      </c>
      <c r="AE704" s="38">
        <v>255.89</v>
      </c>
      <c r="AF704" s="38">
        <v>253.21</v>
      </c>
      <c r="AG704" s="38">
        <v>240.46</v>
      </c>
      <c r="AH704" s="38">
        <v>199.3</v>
      </c>
      <c r="AI704" s="38">
        <v>181.59</v>
      </c>
      <c r="AJ704" s="38">
        <v>170.44</v>
      </c>
      <c r="AK704" s="38">
        <v>165.69</v>
      </c>
      <c r="AL704" s="38">
        <v>165.19</v>
      </c>
      <c r="AM704" s="38">
        <v>172.19</v>
      </c>
      <c r="AN704" s="38">
        <v>199.19</v>
      </c>
      <c r="AO704" s="38">
        <v>200.44</v>
      </c>
      <c r="AP704" s="38">
        <v>194.94</v>
      </c>
      <c r="AQ704" s="38">
        <v>181.15</v>
      </c>
      <c r="AR704" s="38">
        <v>176.41</v>
      </c>
      <c r="AS704" s="38">
        <v>170.15</v>
      </c>
      <c r="AT704" s="38">
        <v>148.02000000000001</v>
      </c>
      <c r="AU704" s="38">
        <v>128.02000000000001</v>
      </c>
      <c r="AV704" s="38">
        <v>125.27</v>
      </c>
      <c r="AW704" s="38">
        <v>123.07</v>
      </c>
      <c r="AX704" s="38">
        <v>119.72</v>
      </c>
      <c r="AY704" s="38">
        <v>121.47</v>
      </c>
      <c r="BA704" s="37">
        <v>93.09</v>
      </c>
      <c r="BB704" s="38">
        <v>1.1584000000000001</v>
      </c>
    </row>
    <row r="705" spans="1:54" x14ac:dyDescent="0.35">
      <c r="A705" s="2">
        <f t="shared" si="10"/>
        <v>44809</v>
      </c>
      <c r="B705" t="s">
        <v>747</v>
      </c>
      <c r="C705" s="32">
        <v>44809</v>
      </c>
      <c r="D705" s="38">
        <v>462.6</v>
      </c>
      <c r="E705" s="38">
        <v>583.53</v>
      </c>
      <c r="F705" s="38">
        <v>657.32</v>
      </c>
      <c r="G705" s="38">
        <v>661.65</v>
      </c>
      <c r="H705" s="38">
        <v>656.59</v>
      </c>
      <c r="I705" s="38">
        <v>613.6</v>
      </c>
      <c r="J705" s="38">
        <v>529.91999999999996</v>
      </c>
      <c r="K705" s="38">
        <v>485.92</v>
      </c>
      <c r="L705" s="38">
        <v>472.74</v>
      </c>
      <c r="M705" s="38">
        <v>462.83</v>
      </c>
      <c r="N705" s="38">
        <v>455.89</v>
      </c>
      <c r="O705" s="38">
        <v>473.89</v>
      </c>
      <c r="P705" s="38">
        <v>491.66</v>
      </c>
      <c r="Q705" s="38">
        <v>463.03</v>
      </c>
      <c r="R705" s="38">
        <v>463.08</v>
      </c>
      <c r="S705" s="38">
        <v>482.97</v>
      </c>
      <c r="T705" s="38">
        <v>478.11</v>
      </c>
      <c r="U705" s="38">
        <v>428.09</v>
      </c>
      <c r="V705" s="38">
        <v>316.08999999999997</v>
      </c>
      <c r="W705" s="38">
        <v>281.08999999999997</v>
      </c>
      <c r="X705" s="38">
        <v>273.72000000000003</v>
      </c>
      <c r="Y705" s="38">
        <v>263.35000000000002</v>
      </c>
      <c r="Z705" s="38">
        <v>257.77</v>
      </c>
      <c r="AA705" s="38">
        <v>261.92</v>
      </c>
      <c r="AB705" s="38">
        <v>269.92</v>
      </c>
      <c r="AC705" s="38">
        <v>275.61</v>
      </c>
      <c r="AD705" s="38">
        <v>282.58999999999997</v>
      </c>
      <c r="AE705" s="38">
        <v>291.64</v>
      </c>
      <c r="AF705" s="38">
        <v>289.89999999999998</v>
      </c>
      <c r="AG705" s="38">
        <v>279.51</v>
      </c>
      <c r="AH705" s="38">
        <v>224.51</v>
      </c>
      <c r="AI705" s="38">
        <v>199.51</v>
      </c>
      <c r="AJ705" s="38">
        <v>187.51</v>
      </c>
      <c r="AK705" s="38">
        <v>182.7</v>
      </c>
      <c r="AL705" s="38">
        <v>182.15</v>
      </c>
      <c r="AM705" s="38">
        <v>189.03</v>
      </c>
      <c r="AN705" s="38">
        <v>217.03</v>
      </c>
      <c r="AO705" s="38">
        <v>218.28</v>
      </c>
      <c r="AP705" s="38">
        <v>213.34</v>
      </c>
      <c r="AQ705" s="38">
        <v>204.96</v>
      </c>
      <c r="AR705" s="38">
        <v>200.17</v>
      </c>
      <c r="AS705" s="38">
        <v>191.03</v>
      </c>
      <c r="AT705" s="38">
        <v>156.03</v>
      </c>
      <c r="AU705" s="38">
        <v>128.03</v>
      </c>
      <c r="AV705" s="38">
        <v>125.28</v>
      </c>
      <c r="AW705" s="38">
        <v>123.08</v>
      </c>
      <c r="AX705" s="38">
        <v>119.73</v>
      </c>
      <c r="AY705" s="38">
        <v>121.48</v>
      </c>
      <c r="BA705" s="37">
        <v>94.22</v>
      </c>
      <c r="BB705" s="38">
        <v>1.1507000000000001</v>
      </c>
    </row>
    <row r="706" spans="1:54" x14ac:dyDescent="0.35">
      <c r="A706" s="2">
        <f t="shared" si="10"/>
        <v>44810</v>
      </c>
      <c r="B706" t="s">
        <v>748</v>
      </c>
      <c r="C706" s="32">
        <v>44810</v>
      </c>
      <c r="D706" s="38">
        <v>428.18</v>
      </c>
      <c r="E706" s="38">
        <v>558.64</v>
      </c>
      <c r="F706" s="38">
        <v>636.64</v>
      </c>
      <c r="G706" s="38">
        <v>639.64</v>
      </c>
      <c r="H706" s="38">
        <v>632.64</v>
      </c>
      <c r="I706" s="38">
        <v>595.14</v>
      </c>
      <c r="J706" s="38">
        <v>530.23</v>
      </c>
      <c r="K706" s="38">
        <v>497.73</v>
      </c>
      <c r="L706" s="38">
        <v>485.23</v>
      </c>
      <c r="M706" s="38">
        <v>476.73</v>
      </c>
      <c r="N706" s="38">
        <v>471.73</v>
      </c>
      <c r="O706" s="38">
        <v>490.73</v>
      </c>
      <c r="P706" s="38">
        <v>510.73</v>
      </c>
      <c r="Q706" s="38">
        <v>482.73</v>
      </c>
      <c r="R706" s="38">
        <v>483.26</v>
      </c>
      <c r="S706" s="38">
        <v>502.8</v>
      </c>
      <c r="T706" s="38">
        <v>497.8</v>
      </c>
      <c r="U706" s="38">
        <v>447.65</v>
      </c>
      <c r="V706" s="38">
        <v>335.15</v>
      </c>
      <c r="W706" s="38">
        <v>300.14999999999998</v>
      </c>
      <c r="X706" s="38">
        <v>292.77999999999997</v>
      </c>
      <c r="Y706" s="38">
        <v>282.41000000000003</v>
      </c>
      <c r="Z706" s="38">
        <v>276.83</v>
      </c>
      <c r="AA706" s="38">
        <v>280.98</v>
      </c>
      <c r="AB706" s="38">
        <v>285.48</v>
      </c>
      <c r="AC706" s="38">
        <v>288.73</v>
      </c>
      <c r="AD706" s="38">
        <v>295.68</v>
      </c>
      <c r="AE706" s="38">
        <v>304.67</v>
      </c>
      <c r="AF706" s="38">
        <v>301.83999999999997</v>
      </c>
      <c r="AG706" s="38">
        <v>291.07</v>
      </c>
      <c r="AH706" s="38">
        <v>231.07</v>
      </c>
      <c r="AI706" s="38">
        <v>202.57</v>
      </c>
      <c r="AJ706" s="38">
        <v>190.07</v>
      </c>
      <c r="AK706" s="38">
        <v>185.07</v>
      </c>
      <c r="AL706" s="38">
        <v>184.43</v>
      </c>
      <c r="AM706" s="38">
        <v>191.76</v>
      </c>
      <c r="AN706" s="38">
        <v>221.76</v>
      </c>
      <c r="AO706" s="38">
        <v>225.26</v>
      </c>
      <c r="AP706" s="38">
        <v>220.75</v>
      </c>
      <c r="AQ706" s="38">
        <v>212.66</v>
      </c>
      <c r="AR706" s="38">
        <v>207.87</v>
      </c>
      <c r="AS706" s="38">
        <v>200.1</v>
      </c>
      <c r="AT706" s="38">
        <v>166.6</v>
      </c>
      <c r="AU706" s="38">
        <v>140.1</v>
      </c>
      <c r="AV706" s="38">
        <v>138.1</v>
      </c>
      <c r="AW706" s="38">
        <v>135.96</v>
      </c>
      <c r="AX706" s="38">
        <v>132.61000000000001</v>
      </c>
      <c r="AY706" s="38">
        <v>134.36000000000001</v>
      </c>
      <c r="BA706" s="37">
        <v>91.43</v>
      </c>
      <c r="BB706" s="38">
        <v>1.1529</v>
      </c>
    </row>
    <row r="707" spans="1:54" x14ac:dyDescent="0.35">
      <c r="A707" s="2">
        <f t="shared" si="10"/>
        <v>44811</v>
      </c>
      <c r="B707" t="s">
        <v>749</v>
      </c>
      <c r="C707" s="32">
        <v>44811</v>
      </c>
      <c r="D707" s="38">
        <v>404.06</v>
      </c>
      <c r="E707" s="38">
        <v>499.78</v>
      </c>
      <c r="F707" s="38">
        <v>575.23</v>
      </c>
      <c r="G707" s="38">
        <v>582.73</v>
      </c>
      <c r="H707" s="38">
        <v>583.12</v>
      </c>
      <c r="I707" s="38">
        <v>552.52</v>
      </c>
      <c r="J707" s="38">
        <v>502.52</v>
      </c>
      <c r="K707" s="38">
        <v>479.52</v>
      </c>
      <c r="L707" s="38">
        <v>469.52</v>
      </c>
      <c r="M707" s="38">
        <v>466.52</v>
      </c>
      <c r="N707" s="38">
        <v>464.44</v>
      </c>
      <c r="O707" s="38">
        <v>483.44</v>
      </c>
      <c r="P707" s="38">
        <v>499.44</v>
      </c>
      <c r="Q707" s="38">
        <v>479.44</v>
      </c>
      <c r="R707" s="38">
        <v>479.97</v>
      </c>
      <c r="S707" s="38">
        <v>497.97</v>
      </c>
      <c r="T707" s="38">
        <v>492.97</v>
      </c>
      <c r="U707" s="38">
        <v>442.97</v>
      </c>
      <c r="V707" s="38">
        <v>330.45</v>
      </c>
      <c r="W707" s="38">
        <v>294.82</v>
      </c>
      <c r="X707" s="38">
        <v>288.27</v>
      </c>
      <c r="Y707" s="38">
        <v>277.95</v>
      </c>
      <c r="Z707" s="38">
        <v>272.54000000000002</v>
      </c>
      <c r="AA707" s="38">
        <v>276.77</v>
      </c>
      <c r="AB707" s="38">
        <v>283.77</v>
      </c>
      <c r="AC707" s="38">
        <v>288.79000000000002</v>
      </c>
      <c r="AD707" s="38">
        <v>295.76</v>
      </c>
      <c r="AE707" s="38">
        <v>304.88</v>
      </c>
      <c r="AF707" s="38">
        <v>302.08</v>
      </c>
      <c r="AG707" s="38">
        <v>291.37</v>
      </c>
      <c r="AH707" s="38">
        <v>233.51</v>
      </c>
      <c r="AI707" s="38">
        <v>205.13</v>
      </c>
      <c r="AJ707" s="38">
        <v>192.69</v>
      </c>
      <c r="AK707" s="38">
        <v>187.73</v>
      </c>
      <c r="AL707" s="38">
        <v>187.12</v>
      </c>
      <c r="AM707" s="38">
        <v>194.47</v>
      </c>
      <c r="AN707" s="38">
        <v>219.47</v>
      </c>
      <c r="AO707" s="38">
        <v>222.96</v>
      </c>
      <c r="AP707" s="38">
        <v>218.45</v>
      </c>
      <c r="AQ707" s="38">
        <v>209.33</v>
      </c>
      <c r="AR707" s="38">
        <v>204.54</v>
      </c>
      <c r="AS707" s="38">
        <v>196.77</v>
      </c>
      <c r="AT707" s="38">
        <v>163.26</v>
      </c>
      <c r="AU707" s="38">
        <v>136.76</v>
      </c>
      <c r="AV707" s="38">
        <v>134.76</v>
      </c>
      <c r="AW707" s="38">
        <v>132.63</v>
      </c>
      <c r="AX707" s="38">
        <v>129.28</v>
      </c>
      <c r="AY707" s="38">
        <v>131.03</v>
      </c>
      <c r="BA707" s="37">
        <v>86.83</v>
      </c>
      <c r="BB707" s="38">
        <v>1.1467000000000001</v>
      </c>
    </row>
    <row r="708" spans="1:54" x14ac:dyDescent="0.35">
      <c r="A708" s="2">
        <f t="shared" si="10"/>
        <v>44812</v>
      </c>
      <c r="B708" t="s">
        <v>750</v>
      </c>
      <c r="C708" s="32">
        <v>44812</v>
      </c>
      <c r="D708" s="38">
        <v>410.91</v>
      </c>
      <c r="E708" s="38">
        <v>523.91</v>
      </c>
      <c r="F708" s="38">
        <v>594.41</v>
      </c>
      <c r="G708" s="38">
        <v>598.91</v>
      </c>
      <c r="H708" s="38">
        <v>596.41</v>
      </c>
      <c r="I708" s="38">
        <v>562.41</v>
      </c>
      <c r="J708" s="38">
        <v>511.41</v>
      </c>
      <c r="K708" s="38">
        <v>487.41</v>
      </c>
      <c r="L708" s="38">
        <v>476.41</v>
      </c>
      <c r="M708" s="38">
        <v>472.8</v>
      </c>
      <c r="N708" s="38">
        <v>471.3</v>
      </c>
      <c r="O708" s="38">
        <v>490.91</v>
      </c>
      <c r="P708" s="38">
        <v>506.91</v>
      </c>
      <c r="Q708" s="38">
        <v>490.91</v>
      </c>
      <c r="R708" s="38">
        <v>491.44</v>
      </c>
      <c r="S708" s="38">
        <v>509.44</v>
      </c>
      <c r="T708" s="38">
        <v>506.44</v>
      </c>
      <c r="U708" s="38">
        <v>457.44</v>
      </c>
      <c r="V708" s="38">
        <v>345.44</v>
      </c>
      <c r="W708" s="38">
        <v>309.44</v>
      </c>
      <c r="X708" s="38">
        <v>302.44</v>
      </c>
      <c r="Y708" s="38">
        <v>291.94</v>
      </c>
      <c r="Z708" s="38">
        <v>286.52</v>
      </c>
      <c r="AA708" s="38">
        <v>290.75</v>
      </c>
      <c r="AB708" s="38">
        <v>297.75</v>
      </c>
      <c r="AC708" s="38">
        <v>302.75</v>
      </c>
      <c r="AD708" s="38">
        <v>309.72000000000003</v>
      </c>
      <c r="AE708" s="38">
        <v>319.22000000000003</v>
      </c>
      <c r="AF708" s="38">
        <v>316.42</v>
      </c>
      <c r="AG708" s="38">
        <v>305.70999999999998</v>
      </c>
      <c r="AH708" s="38">
        <v>244.97</v>
      </c>
      <c r="AI708" s="38">
        <v>217.07</v>
      </c>
      <c r="AJ708" s="38">
        <v>205.1</v>
      </c>
      <c r="AK708" s="38">
        <v>200.14</v>
      </c>
      <c r="AL708" s="38">
        <v>199.53</v>
      </c>
      <c r="AM708" s="38">
        <v>206.88</v>
      </c>
      <c r="AN708" s="38">
        <v>230.35</v>
      </c>
      <c r="AO708" s="38">
        <v>233.84</v>
      </c>
      <c r="AP708" s="38">
        <v>229.5</v>
      </c>
      <c r="AQ708" s="38">
        <v>220.38</v>
      </c>
      <c r="AR708" s="38">
        <v>215.81</v>
      </c>
      <c r="AS708" s="38">
        <v>208.04</v>
      </c>
      <c r="AT708" s="38">
        <v>172.71</v>
      </c>
      <c r="AU708" s="38">
        <v>146.21</v>
      </c>
      <c r="AV708" s="38">
        <v>144.21</v>
      </c>
      <c r="AW708" s="38">
        <v>142.08000000000001</v>
      </c>
      <c r="AX708" s="38">
        <v>138.72999999999999</v>
      </c>
      <c r="AY708" s="38">
        <v>140.47999999999999</v>
      </c>
      <c r="BA708" s="37">
        <v>87.99</v>
      </c>
      <c r="BB708" s="38">
        <v>1.1491</v>
      </c>
    </row>
    <row r="709" spans="1:54" x14ac:dyDescent="0.35">
      <c r="A709" s="2">
        <f t="shared" si="10"/>
        <v>44813</v>
      </c>
      <c r="B709" t="s">
        <v>751</v>
      </c>
      <c r="C709" s="32">
        <v>44813</v>
      </c>
      <c r="D709" s="38">
        <v>378.29</v>
      </c>
      <c r="E709" s="38">
        <v>495.48</v>
      </c>
      <c r="F709" s="38">
        <v>566.16999999999996</v>
      </c>
      <c r="G709" s="38">
        <v>573.91999999999996</v>
      </c>
      <c r="H709" s="38">
        <v>568.41999999999996</v>
      </c>
      <c r="I709" s="38">
        <v>534.14</v>
      </c>
      <c r="J709" s="38">
        <v>479.4</v>
      </c>
      <c r="K709" s="38">
        <v>453.68</v>
      </c>
      <c r="L709" s="38">
        <v>440.68</v>
      </c>
      <c r="M709" s="38">
        <v>436.98</v>
      </c>
      <c r="N709" s="38">
        <v>435.42</v>
      </c>
      <c r="O709" s="38">
        <v>454.63</v>
      </c>
      <c r="P709" s="38">
        <v>470.93</v>
      </c>
      <c r="Q709" s="38">
        <v>461.85</v>
      </c>
      <c r="R709" s="38">
        <v>461.92</v>
      </c>
      <c r="S709" s="38">
        <v>474.73</v>
      </c>
      <c r="T709" s="38">
        <v>471.72</v>
      </c>
      <c r="U709" s="38">
        <v>425.61</v>
      </c>
      <c r="V709" s="38">
        <v>320.02999999999997</v>
      </c>
      <c r="W709" s="38">
        <v>289.89999999999998</v>
      </c>
      <c r="X709" s="38">
        <v>282.89</v>
      </c>
      <c r="Y709" s="38">
        <v>272.07</v>
      </c>
      <c r="Z709" s="38">
        <v>266.81</v>
      </c>
      <c r="AA709" s="38">
        <v>271.77</v>
      </c>
      <c r="AB709" s="38">
        <v>279.41000000000003</v>
      </c>
      <c r="AC709" s="38">
        <v>284.70999999999998</v>
      </c>
      <c r="AD709" s="38">
        <v>291.76</v>
      </c>
      <c r="AE709" s="38">
        <v>301.76</v>
      </c>
      <c r="AF709" s="38">
        <v>298.95999999999998</v>
      </c>
      <c r="AG709" s="38">
        <v>289.95999999999998</v>
      </c>
      <c r="AH709" s="38">
        <v>231.96</v>
      </c>
      <c r="AI709" s="38">
        <v>205.96</v>
      </c>
      <c r="AJ709" s="38">
        <v>194.96</v>
      </c>
      <c r="AK709" s="38">
        <v>191.71</v>
      </c>
      <c r="AL709" s="38">
        <v>191.1</v>
      </c>
      <c r="AM709" s="38">
        <v>198.45</v>
      </c>
      <c r="AN709" s="38">
        <v>221.92</v>
      </c>
      <c r="AO709" s="38">
        <v>225.41</v>
      </c>
      <c r="AP709" s="38">
        <v>221.07</v>
      </c>
      <c r="AQ709" s="38">
        <v>212.41</v>
      </c>
      <c r="AR709" s="38">
        <v>207.84</v>
      </c>
      <c r="AS709" s="38">
        <v>200.07</v>
      </c>
      <c r="AT709" s="38">
        <v>164.63</v>
      </c>
      <c r="AU709" s="38">
        <v>138.13</v>
      </c>
      <c r="AV709" s="38">
        <v>136.13</v>
      </c>
      <c r="AW709" s="38">
        <v>134</v>
      </c>
      <c r="AX709" s="38">
        <v>130.65</v>
      </c>
      <c r="AY709" s="38">
        <v>132.4</v>
      </c>
      <c r="BA709" s="37">
        <v>91.68</v>
      </c>
      <c r="BB709" s="38">
        <v>1.1583000000000001</v>
      </c>
    </row>
    <row r="710" spans="1:54" x14ac:dyDescent="0.35">
      <c r="A710" s="2">
        <f t="shared" si="10"/>
        <v>44816</v>
      </c>
      <c r="B710" t="s">
        <v>752</v>
      </c>
      <c r="C710" s="32">
        <v>44816</v>
      </c>
      <c r="D710" s="38">
        <v>347.56</v>
      </c>
      <c r="E710" s="38">
        <v>459.06</v>
      </c>
      <c r="F710" s="38">
        <v>524.55999999999995</v>
      </c>
      <c r="G710" s="38">
        <v>532.05999999999995</v>
      </c>
      <c r="H710" s="38">
        <v>531.04</v>
      </c>
      <c r="I710" s="38">
        <v>501.04</v>
      </c>
      <c r="J710" s="38">
        <v>443.46</v>
      </c>
      <c r="K710" s="38">
        <v>417.94</v>
      </c>
      <c r="L710" s="38">
        <v>405.12</v>
      </c>
      <c r="M710" s="38">
        <v>402.12</v>
      </c>
      <c r="N710" s="38">
        <v>401.12</v>
      </c>
      <c r="O710" s="38">
        <v>421.03</v>
      </c>
      <c r="P710" s="38">
        <v>436.7</v>
      </c>
      <c r="Q710" s="38">
        <v>427.7</v>
      </c>
      <c r="R710" s="38">
        <v>427.7</v>
      </c>
      <c r="S710" s="38">
        <v>439.51</v>
      </c>
      <c r="T710" s="38">
        <v>435.76</v>
      </c>
      <c r="U710" s="38">
        <v>392.25</v>
      </c>
      <c r="V710" s="38">
        <v>296.86</v>
      </c>
      <c r="W710" s="38">
        <v>271.5</v>
      </c>
      <c r="X710" s="38">
        <v>267.5</v>
      </c>
      <c r="Y710" s="38">
        <v>257.45999999999998</v>
      </c>
      <c r="Z710" s="38">
        <v>252.2</v>
      </c>
      <c r="AA710" s="38">
        <v>257.16000000000003</v>
      </c>
      <c r="AB710" s="38">
        <v>263.58999999999997</v>
      </c>
      <c r="AC710" s="38">
        <v>268.83</v>
      </c>
      <c r="AD710" s="38">
        <v>277.14</v>
      </c>
      <c r="AE710" s="38">
        <v>288.38</v>
      </c>
      <c r="AF710" s="38">
        <v>285.58</v>
      </c>
      <c r="AG710" s="38">
        <v>276.57</v>
      </c>
      <c r="AH710" s="38">
        <v>229.57</v>
      </c>
      <c r="AI710" s="38">
        <v>207.21</v>
      </c>
      <c r="AJ710" s="38">
        <v>196.2</v>
      </c>
      <c r="AK710" s="38">
        <v>192.93</v>
      </c>
      <c r="AL710" s="38">
        <v>192.28</v>
      </c>
      <c r="AM710" s="38">
        <v>200.37</v>
      </c>
      <c r="AN710" s="38">
        <v>222.94</v>
      </c>
      <c r="AO710" s="38">
        <v>226.11</v>
      </c>
      <c r="AP710" s="38">
        <v>221.58</v>
      </c>
      <c r="AQ710" s="38">
        <v>212.78</v>
      </c>
      <c r="AR710" s="38">
        <v>208.02</v>
      </c>
      <c r="AS710" s="38">
        <v>200.01</v>
      </c>
      <c r="AT710" s="38">
        <v>165.02</v>
      </c>
      <c r="AU710" s="38">
        <v>138.43</v>
      </c>
      <c r="AV710" s="38">
        <v>136.38</v>
      </c>
      <c r="AW710" s="38">
        <v>134.22</v>
      </c>
      <c r="AX710" s="38">
        <v>130.85</v>
      </c>
      <c r="AY710" s="38">
        <v>132.59</v>
      </c>
      <c r="BA710" s="37">
        <v>93.45</v>
      </c>
      <c r="BB710" s="38">
        <v>1.1704000000000001</v>
      </c>
    </row>
    <row r="711" spans="1:54" x14ac:dyDescent="0.35">
      <c r="A711" s="2">
        <f t="shared" si="10"/>
        <v>44817</v>
      </c>
      <c r="B711" t="s">
        <v>753</v>
      </c>
      <c r="C711" s="32">
        <v>44817</v>
      </c>
      <c r="D711" s="38">
        <v>365.25</v>
      </c>
      <c r="E711" s="38">
        <v>471.6</v>
      </c>
      <c r="F711" s="38">
        <v>537.1</v>
      </c>
      <c r="G711" s="38">
        <v>545.1</v>
      </c>
      <c r="H711" s="38">
        <v>543.20000000000005</v>
      </c>
      <c r="I711" s="38">
        <v>518.95000000000005</v>
      </c>
      <c r="J711" s="38">
        <v>450.56</v>
      </c>
      <c r="K711" s="38">
        <v>423.14</v>
      </c>
      <c r="L711" s="38">
        <v>409.07</v>
      </c>
      <c r="M711" s="38">
        <v>406.73</v>
      </c>
      <c r="N711" s="38">
        <v>405.7</v>
      </c>
      <c r="O711" s="38">
        <v>425.62</v>
      </c>
      <c r="P711" s="38">
        <v>439.74</v>
      </c>
      <c r="Q711" s="38">
        <v>430.75</v>
      </c>
      <c r="R711" s="38">
        <v>430.76</v>
      </c>
      <c r="S711" s="38">
        <v>442.52</v>
      </c>
      <c r="T711" s="38">
        <v>437.18</v>
      </c>
      <c r="U711" s="38">
        <v>393.64</v>
      </c>
      <c r="V711" s="38">
        <v>287.87</v>
      </c>
      <c r="W711" s="38">
        <v>259</v>
      </c>
      <c r="X711" s="38">
        <v>253.48</v>
      </c>
      <c r="Y711" s="38">
        <v>248.28</v>
      </c>
      <c r="Z711" s="38">
        <v>243.02</v>
      </c>
      <c r="AA711" s="38">
        <v>247.99</v>
      </c>
      <c r="AB711" s="38">
        <v>249.98</v>
      </c>
      <c r="AC711" s="38">
        <v>257.16000000000003</v>
      </c>
      <c r="AD711" s="38">
        <v>265.83999999999997</v>
      </c>
      <c r="AE711" s="38">
        <v>277.95</v>
      </c>
      <c r="AF711" s="38">
        <v>275.41000000000003</v>
      </c>
      <c r="AG711" s="38">
        <v>266.76</v>
      </c>
      <c r="AH711" s="38">
        <v>226.79</v>
      </c>
      <c r="AI711" s="38">
        <v>204.65</v>
      </c>
      <c r="AJ711" s="38">
        <v>193.78</v>
      </c>
      <c r="AK711" s="38">
        <v>191.42</v>
      </c>
      <c r="AL711" s="38">
        <v>190.87</v>
      </c>
      <c r="AM711" s="38">
        <v>199.03</v>
      </c>
      <c r="AN711" s="38">
        <v>222.17</v>
      </c>
      <c r="AO711" s="38">
        <v>225.33</v>
      </c>
      <c r="AP711" s="38">
        <v>220.8</v>
      </c>
      <c r="AQ711" s="38">
        <v>210.03</v>
      </c>
      <c r="AR711" s="38">
        <v>204.2</v>
      </c>
      <c r="AS711" s="38">
        <v>196.2</v>
      </c>
      <c r="AT711" s="38">
        <v>163.1</v>
      </c>
      <c r="AU711" s="38">
        <v>136.49</v>
      </c>
      <c r="AV711" s="38">
        <v>134.43</v>
      </c>
      <c r="AW711" s="38">
        <v>132.27000000000001</v>
      </c>
      <c r="AX711" s="38">
        <v>128.88999999999999</v>
      </c>
      <c r="AY711" s="38">
        <v>130.63</v>
      </c>
      <c r="BA711" s="37">
        <v>92.04</v>
      </c>
      <c r="BB711" s="38">
        <v>1.1540999999999999</v>
      </c>
    </row>
    <row r="712" spans="1:54" x14ac:dyDescent="0.35">
      <c r="A712" s="2">
        <f t="shared" si="10"/>
        <v>44818</v>
      </c>
      <c r="B712" t="s">
        <v>754</v>
      </c>
      <c r="C712" s="32">
        <v>44818</v>
      </c>
      <c r="D712" s="38">
        <v>408.2</v>
      </c>
      <c r="E712" s="38">
        <v>513.20000000000005</v>
      </c>
      <c r="F712" s="38">
        <v>584</v>
      </c>
      <c r="G712" s="38">
        <v>590</v>
      </c>
      <c r="H712" s="38">
        <v>591.77</v>
      </c>
      <c r="I712" s="38">
        <v>568.6</v>
      </c>
      <c r="J712" s="38">
        <v>487.14</v>
      </c>
      <c r="K712" s="38">
        <v>457.14</v>
      </c>
      <c r="L712" s="38">
        <v>440.54</v>
      </c>
      <c r="M712" s="38">
        <v>436.54</v>
      </c>
      <c r="N712" s="38">
        <v>433.29</v>
      </c>
      <c r="O712" s="38">
        <v>450.02</v>
      </c>
      <c r="P712" s="38">
        <v>464.11</v>
      </c>
      <c r="Q712" s="38">
        <v>451.03</v>
      </c>
      <c r="R712" s="38">
        <v>451.45</v>
      </c>
      <c r="S712" s="38">
        <v>455.46</v>
      </c>
      <c r="T712" s="38">
        <v>450.18</v>
      </c>
      <c r="U712" s="38">
        <v>410.11</v>
      </c>
      <c r="V712" s="38">
        <v>286.2</v>
      </c>
      <c r="W712" s="38">
        <v>254.64</v>
      </c>
      <c r="X712" s="38">
        <v>249.4</v>
      </c>
      <c r="Y712" s="38">
        <v>240.49</v>
      </c>
      <c r="Z712" s="38">
        <v>235.43</v>
      </c>
      <c r="AA712" s="38">
        <v>240.58</v>
      </c>
      <c r="AB712" s="38">
        <v>240.84</v>
      </c>
      <c r="AC712" s="38">
        <v>248.62</v>
      </c>
      <c r="AD712" s="38">
        <v>257.37</v>
      </c>
      <c r="AE712" s="38">
        <v>268.49</v>
      </c>
      <c r="AF712" s="38">
        <v>266.95999999999998</v>
      </c>
      <c r="AG712" s="38">
        <v>258.31</v>
      </c>
      <c r="AH712" s="38">
        <v>218.11</v>
      </c>
      <c r="AI712" s="38">
        <v>196.1</v>
      </c>
      <c r="AJ712" s="38">
        <v>185.23</v>
      </c>
      <c r="AK712" s="38">
        <v>183.99</v>
      </c>
      <c r="AL712" s="38">
        <v>183.46</v>
      </c>
      <c r="AM712" s="38">
        <v>191.62</v>
      </c>
      <c r="AN712" s="38">
        <v>218.07</v>
      </c>
      <c r="AO712" s="38">
        <v>221.23</v>
      </c>
      <c r="AP712" s="38">
        <v>216.7</v>
      </c>
      <c r="AQ712" s="38">
        <v>206.74</v>
      </c>
      <c r="AR712" s="38">
        <v>200.91</v>
      </c>
      <c r="AS712" s="38">
        <v>192.91</v>
      </c>
      <c r="AT712" s="38">
        <v>162.57</v>
      </c>
      <c r="AU712" s="38">
        <v>134.77000000000001</v>
      </c>
      <c r="AV712" s="38">
        <v>132.71</v>
      </c>
      <c r="AW712" s="38">
        <v>128.91999999999999</v>
      </c>
      <c r="AX712" s="38">
        <v>123.03</v>
      </c>
      <c r="AY712" s="38">
        <v>123.43</v>
      </c>
      <c r="BA712" s="37">
        <v>92.83</v>
      </c>
      <c r="BB712" s="38">
        <v>1.1579999999999999</v>
      </c>
    </row>
    <row r="713" spans="1:54" x14ac:dyDescent="0.35">
      <c r="A713" s="2">
        <f t="shared" si="10"/>
        <v>44819</v>
      </c>
      <c r="B713" t="s">
        <v>755</v>
      </c>
      <c r="C713" s="32">
        <v>44819</v>
      </c>
      <c r="D713" s="38">
        <v>386.55</v>
      </c>
      <c r="E713" s="38">
        <v>504.54</v>
      </c>
      <c r="F713" s="38">
        <v>587.75</v>
      </c>
      <c r="G713" s="38">
        <v>597.95000000000005</v>
      </c>
      <c r="H713" s="38">
        <v>598.87</v>
      </c>
      <c r="I713" s="38">
        <v>573.87</v>
      </c>
      <c r="J713" s="38">
        <v>500.23</v>
      </c>
      <c r="K713" s="38">
        <v>476.86</v>
      </c>
      <c r="L713" s="38">
        <v>462.83</v>
      </c>
      <c r="M713" s="38">
        <v>460.44</v>
      </c>
      <c r="N713" s="38">
        <v>456.27</v>
      </c>
      <c r="O713" s="38">
        <v>473.07</v>
      </c>
      <c r="P713" s="38">
        <v>494.56</v>
      </c>
      <c r="Q713" s="38">
        <v>484.47</v>
      </c>
      <c r="R713" s="38">
        <v>486.93</v>
      </c>
      <c r="S713" s="38">
        <v>492.68</v>
      </c>
      <c r="T713" s="38">
        <v>486.39</v>
      </c>
      <c r="U713" s="38">
        <v>435.53</v>
      </c>
      <c r="V713" s="38">
        <v>289.81</v>
      </c>
      <c r="W713" s="38">
        <v>256.92</v>
      </c>
      <c r="X713" s="38">
        <v>251.68</v>
      </c>
      <c r="Y713" s="38">
        <v>242.78</v>
      </c>
      <c r="Z713" s="38">
        <v>237.72</v>
      </c>
      <c r="AA713" s="38">
        <v>242.87</v>
      </c>
      <c r="AB713" s="38">
        <v>243.79</v>
      </c>
      <c r="AC713" s="38">
        <v>251.57</v>
      </c>
      <c r="AD713" s="38">
        <v>260.93</v>
      </c>
      <c r="AE713" s="38">
        <v>272.05</v>
      </c>
      <c r="AF713" s="38">
        <v>270.52</v>
      </c>
      <c r="AG713" s="38">
        <v>261.87</v>
      </c>
      <c r="AH713" s="38">
        <v>219.42</v>
      </c>
      <c r="AI713" s="38">
        <v>197.42</v>
      </c>
      <c r="AJ713" s="38">
        <v>186.54</v>
      </c>
      <c r="AK713" s="38">
        <v>183.85</v>
      </c>
      <c r="AL713" s="38">
        <v>183.32</v>
      </c>
      <c r="AM713" s="38">
        <v>191.48</v>
      </c>
      <c r="AN713" s="38">
        <v>218</v>
      </c>
      <c r="AO713" s="38">
        <v>219</v>
      </c>
      <c r="AP713" s="38">
        <v>213</v>
      </c>
      <c r="AQ713" s="38">
        <v>202.47</v>
      </c>
      <c r="AR713" s="38">
        <v>195.47</v>
      </c>
      <c r="AS713" s="38">
        <v>187.47</v>
      </c>
      <c r="AT713" s="38">
        <v>156.49</v>
      </c>
      <c r="AU713" s="38">
        <v>128.69999999999999</v>
      </c>
      <c r="AV713" s="38">
        <v>126.64</v>
      </c>
      <c r="AW713" s="38">
        <v>122.85</v>
      </c>
      <c r="AX713" s="38">
        <v>116.96</v>
      </c>
      <c r="AY713" s="38">
        <v>117.36</v>
      </c>
      <c r="BA713" s="37">
        <v>89.28</v>
      </c>
      <c r="BB713" s="38">
        <v>1.149</v>
      </c>
    </row>
    <row r="714" spans="1:54" x14ac:dyDescent="0.35">
      <c r="A714" s="2">
        <f t="shared" si="10"/>
        <v>44820</v>
      </c>
      <c r="B714" t="s">
        <v>756</v>
      </c>
      <c r="C714" s="32">
        <v>44820</v>
      </c>
      <c r="D714" s="38">
        <v>290.81</v>
      </c>
      <c r="E714" s="38">
        <v>440.79</v>
      </c>
      <c r="F714" s="38">
        <v>532.78</v>
      </c>
      <c r="G714" s="38">
        <v>543.78</v>
      </c>
      <c r="H714" s="38">
        <v>542.78</v>
      </c>
      <c r="I714" s="38">
        <v>517.02</v>
      </c>
      <c r="J714" s="38">
        <v>449.02</v>
      </c>
      <c r="K714" s="38">
        <v>425.94</v>
      </c>
      <c r="L714" s="38">
        <v>411.04</v>
      </c>
      <c r="M714" s="38">
        <v>411.41</v>
      </c>
      <c r="N714" s="38">
        <v>408.89</v>
      </c>
      <c r="O714" s="38">
        <v>421.07</v>
      </c>
      <c r="P714" s="38">
        <v>441.32</v>
      </c>
      <c r="Q714" s="38">
        <v>431.41</v>
      </c>
      <c r="R714" s="38">
        <v>433.96</v>
      </c>
      <c r="S714" s="38">
        <v>446.37</v>
      </c>
      <c r="T714" s="38">
        <v>444.33</v>
      </c>
      <c r="U714" s="38">
        <v>395.4</v>
      </c>
      <c r="V714" s="38">
        <v>279.31</v>
      </c>
      <c r="W714" s="38">
        <v>246.9</v>
      </c>
      <c r="X714" s="38">
        <v>244.09</v>
      </c>
      <c r="Y714" s="38">
        <v>226.59</v>
      </c>
      <c r="Z714" s="38">
        <v>221.53</v>
      </c>
      <c r="AA714" s="38">
        <v>228.41</v>
      </c>
      <c r="AB714" s="38">
        <v>231.19</v>
      </c>
      <c r="AC714" s="38">
        <v>239.41</v>
      </c>
      <c r="AD714" s="38">
        <v>249.97</v>
      </c>
      <c r="AE714" s="38">
        <v>258.98</v>
      </c>
      <c r="AF714" s="38">
        <v>258.48</v>
      </c>
      <c r="AG714" s="38">
        <v>250.71</v>
      </c>
      <c r="AH714" s="38">
        <v>210.1</v>
      </c>
      <c r="AI714" s="38">
        <v>188.96</v>
      </c>
      <c r="AJ714" s="38">
        <v>178.74</v>
      </c>
      <c r="AK714" s="38">
        <v>177.05</v>
      </c>
      <c r="AL714" s="38">
        <v>177.6</v>
      </c>
      <c r="AM714" s="38">
        <v>187.06</v>
      </c>
      <c r="AN714" s="38">
        <v>214.21</v>
      </c>
      <c r="AO714" s="38">
        <v>214.97</v>
      </c>
      <c r="AP714" s="38">
        <v>208.57</v>
      </c>
      <c r="AQ714" s="38">
        <v>200.39</v>
      </c>
      <c r="AR714" s="38">
        <v>193.39</v>
      </c>
      <c r="AS714" s="38">
        <v>185.93</v>
      </c>
      <c r="AT714" s="38">
        <v>154.72</v>
      </c>
      <c r="AU714" s="38">
        <v>126.93</v>
      </c>
      <c r="AV714" s="38">
        <v>124.87</v>
      </c>
      <c r="AW714" s="38">
        <v>121.08</v>
      </c>
      <c r="AX714" s="38">
        <v>115.19</v>
      </c>
      <c r="AY714" s="38">
        <v>115.59</v>
      </c>
      <c r="BA714" s="37">
        <v>89.43</v>
      </c>
      <c r="BB714" s="38">
        <v>1.1431</v>
      </c>
    </row>
    <row r="715" spans="1:54" x14ac:dyDescent="0.35">
      <c r="A715" s="2">
        <f t="shared" si="10"/>
        <v>44823</v>
      </c>
      <c r="B715" t="s">
        <v>757</v>
      </c>
      <c r="C715" s="32">
        <v>44823</v>
      </c>
      <c r="D715" s="38">
        <v>282.41000000000003</v>
      </c>
      <c r="E715" s="38">
        <v>427.09</v>
      </c>
      <c r="F715" s="38">
        <v>521.04</v>
      </c>
      <c r="G715" s="38">
        <v>533.53</v>
      </c>
      <c r="H715" s="38">
        <v>534.38</v>
      </c>
      <c r="I715" s="38">
        <v>505.93</v>
      </c>
      <c r="J715" s="38">
        <v>442.96</v>
      </c>
      <c r="K715" s="38">
        <v>418.14</v>
      </c>
      <c r="L715" s="38">
        <v>403.29</v>
      </c>
      <c r="M715" s="38">
        <v>402.87</v>
      </c>
      <c r="N715" s="38">
        <v>400.11</v>
      </c>
      <c r="O715" s="38">
        <v>413.38</v>
      </c>
      <c r="P715" s="38">
        <v>433.7</v>
      </c>
      <c r="Q715" s="38">
        <v>425.7</v>
      </c>
      <c r="R715" s="38">
        <v>428.76</v>
      </c>
      <c r="S715" s="38">
        <v>438.71</v>
      </c>
      <c r="T715" s="38">
        <v>439.57</v>
      </c>
      <c r="U715" s="38">
        <v>381.41</v>
      </c>
      <c r="V715" s="38">
        <v>281.20999999999998</v>
      </c>
      <c r="W715" s="38">
        <v>245.17</v>
      </c>
      <c r="X715" s="38">
        <v>243.47</v>
      </c>
      <c r="Y715" s="38">
        <v>229.21</v>
      </c>
      <c r="Z715" s="38">
        <v>222.94</v>
      </c>
      <c r="AA715" s="38">
        <v>228.09</v>
      </c>
      <c r="AB715" s="38">
        <v>229.46</v>
      </c>
      <c r="AC715" s="38">
        <v>240.83</v>
      </c>
      <c r="AD715" s="38">
        <v>251.52</v>
      </c>
      <c r="AE715" s="38">
        <v>258.22000000000003</v>
      </c>
      <c r="AF715" s="38">
        <v>257.64</v>
      </c>
      <c r="AG715" s="38">
        <v>247.93</v>
      </c>
      <c r="AH715" s="38">
        <v>206.99</v>
      </c>
      <c r="AI715" s="38">
        <v>186.65</v>
      </c>
      <c r="AJ715" s="38">
        <v>176.43</v>
      </c>
      <c r="AK715" s="38">
        <v>174.65</v>
      </c>
      <c r="AL715" s="38">
        <v>175.2</v>
      </c>
      <c r="AM715" s="38">
        <v>184.66</v>
      </c>
      <c r="AN715" s="38">
        <v>212.13</v>
      </c>
      <c r="AO715" s="38">
        <v>212.89</v>
      </c>
      <c r="AP715" s="38">
        <v>206.49</v>
      </c>
      <c r="AQ715" s="38">
        <v>198.02</v>
      </c>
      <c r="AR715" s="38">
        <v>190.97</v>
      </c>
      <c r="AS715" s="38">
        <v>183.88</v>
      </c>
      <c r="AT715" s="38">
        <v>152.97</v>
      </c>
      <c r="AU715" s="38">
        <v>125.18</v>
      </c>
      <c r="AV715" s="38">
        <v>123.12</v>
      </c>
      <c r="AW715" s="38">
        <v>119.33</v>
      </c>
      <c r="AX715" s="38">
        <v>113.44</v>
      </c>
      <c r="AY715" s="38">
        <v>113.84</v>
      </c>
      <c r="BA715" s="37" t="e">
        <v>#N/A</v>
      </c>
      <c r="BB715" s="38" t="e">
        <v>#N/A</v>
      </c>
    </row>
    <row r="716" spans="1:54" x14ac:dyDescent="0.35">
      <c r="A716" s="2">
        <f t="shared" si="10"/>
        <v>44824</v>
      </c>
      <c r="B716" t="s">
        <v>758</v>
      </c>
      <c r="C716" s="32">
        <v>44824</v>
      </c>
      <c r="D716" s="38">
        <v>315.36</v>
      </c>
      <c r="E716" s="38">
        <v>444.54</v>
      </c>
      <c r="F716" s="38">
        <v>542.41999999999996</v>
      </c>
      <c r="G716" s="38">
        <v>556.29999999999995</v>
      </c>
      <c r="H716" s="38">
        <v>558.69000000000005</v>
      </c>
      <c r="I716" s="38">
        <v>538.04</v>
      </c>
      <c r="J716" s="38">
        <v>470.04</v>
      </c>
      <c r="K716" s="38">
        <v>439.33</v>
      </c>
      <c r="L716" s="38">
        <v>423.47</v>
      </c>
      <c r="M716" s="38">
        <v>422.76</v>
      </c>
      <c r="N716" s="38">
        <v>421.07</v>
      </c>
      <c r="O716" s="38">
        <v>434.32</v>
      </c>
      <c r="P716" s="38">
        <v>455.61</v>
      </c>
      <c r="Q716" s="38">
        <v>450.2</v>
      </c>
      <c r="R716" s="38">
        <v>452.88</v>
      </c>
      <c r="S716" s="38">
        <v>461.62</v>
      </c>
      <c r="T716" s="38">
        <v>460.76</v>
      </c>
      <c r="U716" s="38">
        <v>397.98</v>
      </c>
      <c r="V716" s="38">
        <v>281.98</v>
      </c>
      <c r="W716" s="38">
        <v>242.57</v>
      </c>
      <c r="X716" s="38">
        <v>236.97</v>
      </c>
      <c r="Y716" s="38">
        <v>223.28</v>
      </c>
      <c r="Z716" s="38">
        <v>217</v>
      </c>
      <c r="AA716" s="38">
        <v>222.16</v>
      </c>
      <c r="AB716" s="38">
        <v>227.83</v>
      </c>
      <c r="AC716" s="38">
        <v>239.2</v>
      </c>
      <c r="AD716" s="38">
        <v>249.89</v>
      </c>
      <c r="AE716" s="38">
        <v>256.60000000000002</v>
      </c>
      <c r="AF716" s="38">
        <v>256.01</v>
      </c>
      <c r="AG716" s="38">
        <v>244.32</v>
      </c>
      <c r="AH716" s="38">
        <v>204.51</v>
      </c>
      <c r="AI716" s="38">
        <v>184.17</v>
      </c>
      <c r="AJ716" s="38">
        <v>173.95</v>
      </c>
      <c r="AK716" s="38">
        <v>172.17</v>
      </c>
      <c r="AL716" s="38">
        <v>172.72</v>
      </c>
      <c r="AM716" s="38">
        <v>182.17</v>
      </c>
      <c r="AN716" s="38">
        <v>207.66</v>
      </c>
      <c r="AO716" s="38">
        <v>208.4</v>
      </c>
      <c r="AP716" s="38">
        <v>202</v>
      </c>
      <c r="AQ716" s="38">
        <v>193.53</v>
      </c>
      <c r="AR716" s="38">
        <v>186.48</v>
      </c>
      <c r="AS716" s="38">
        <v>179.38</v>
      </c>
      <c r="AT716" s="38">
        <v>148.47</v>
      </c>
      <c r="AU716" s="38">
        <v>120.68</v>
      </c>
      <c r="AV716" s="38">
        <v>118.62</v>
      </c>
      <c r="AW716" s="38">
        <v>114.82</v>
      </c>
      <c r="AX716" s="38">
        <v>108.93</v>
      </c>
      <c r="AY716" s="38">
        <v>109.33</v>
      </c>
      <c r="BA716" s="37">
        <v>89.62</v>
      </c>
      <c r="BB716" s="38">
        <v>1.1415</v>
      </c>
    </row>
    <row r="717" spans="1:54" x14ac:dyDescent="0.35">
      <c r="A717" s="2">
        <f t="shared" ref="A717:A780" si="11">+A712+7</f>
        <v>44825</v>
      </c>
      <c r="B717" t="s">
        <v>759</v>
      </c>
      <c r="C717" s="32">
        <v>44825</v>
      </c>
      <c r="D717" s="38">
        <v>295.62</v>
      </c>
      <c r="E717" s="38">
        <v>434.84</v>
      </c>
      <c r="F717" s="38">
        <v>541.32000000000005</v>
      </c>
      <c r="G717" s="38">
        <v>557.4</v>
      </c>
      <c r="H717" s="38">
        <v>561.91</v>
      </c>
      <c r="I717" s="38">
        <v>536.97</v>
      </c>
      <c r="J717" s="38">
        <v>467.97</v>
      </c>
      <c r="K717" s="38">
        <v>432.09</v>
      </c>
      <c r="L717" s="38">
        <v>417.44</v>
      </c>
      <c r="M717" s="38">
        <v>417.38</v>
      </c>
      <c r="N717" s="38">
        <v>417.29</v>
      </c>
      <c r="O717" s="38">
        <v>430.7</v>
      </c>
      <c r="P717" s="38">
        <v>452.2</v>
      </c>
      <c r="Q717" s="38">
        <v>447.39</v>
      </c>
      <c r="R717" s="38">
        <v>450.32</v>
      </c>
      <c r="S717" s="38">
        <v>460.27</v>
      </c>
      <c r="T717" s="38">
        <v>459.59</v>
      </c>
      <c r="U717" s="38">
        <v>393.17</v>
      </c>
      <c r="V717" s="38">
        <v>286.17</v>
      </c>
      <c r="W717" s="38">
        <v>245.17</v>
      </c>
      <c r="X717" s="38">
        <v>241.99</v>
      </c>
      <c r="Y717" s="38">
        <v>231.13</v>
      </c>
      <c r="Z717" s="38">
        <v>224.85</v>
      </c>
      <c r="AA717" s="38">
        <v>230.18</v>
      </c>
      <c r="AB717" s="38">
        <v>234.43</v>
      </c>
      <c r="AC717" s="38">
        <v>244.93</v>
      </c>
      <c r="AD717" s="38">
        <v>254.54</v>
      </c>
      <c r="AE717" s="38">
        <v>263</v>
      </c>
      <c r="AF717" s="38">
        <v>262.32</v>
      </c>
      <c r="AG717" s="38">
        <v>248.21</v>
      </c>
      <c r="AH717" s="38">
        <v>209.61</v>
      </c>
      <c r="AI717" s="38">
        <v>189.27</v>
      </c>
      <c r="AJ717" s="38">
        <v>179.05</v>
      </c>
      <c r="AK717" s="38">
        <v>177.27</v>
      </c>
      <c r="AL717" s="38">
        <v>177.82</v>
      </c>
      <c r="AM717" s="38">
        <v>189.69</v>
      </c>
      <c r="AN717" s="38">
        <v>210.94</v>
      </c>
      <c r="AO717" s="38">
        <v>211.68</v>
      </c>
      <c r="AP717" s="38">
        <v>207.13</v>
      </c>
      <c r="AQ717" s="38">
        <v>198.63</v>
      </c>
      <c r="AR717" s="38">
        <v>191.4</v>
      </c>
      <c r="AS717" s="38">
        <v>184.3</v>
      </c>
      <c r="AT717" s="38">
        <v>151.30000000000001</v>
      </c>
      <c r="AU717" s="38">
        <v>123.51</v>
      </c>
      <c r="AV717" s="38">
        <v>121.45</v>
      </c>
      <c r="AW717" s="38">
        <v>117.65</v>
      </c>
      <c r="AX717" s="38">
        <v>111.76</v>
      </c>
      <c r="AY717" s="38">
        <v>112.16</v>
      </c>
      <c r="BA717" s="37">
        <v>89.86</v>
      </c>
      <c r="BB717" s="38">
        <v>1.1333</v>
      </c>
    </row>
    <row r="718" spans="1:54" x14ac:dyDescent="0.35">
      <c r="A718" s="2">
        <f t="shared" si="11"/>
        <v>44826</v>
      </c>
      <c r="B718" t="s">
        <v>760</v>
      </c>
      <c r="C718" s="32">
        <v>44826</v>
      </c>
      <c r="D718" s="38">
        <v>287.61</v>
      </c>
      <c r="E718" s="38">
        <v>422.74</v>
      </c>
      <c r="F718" s="38">
        <v>534.89</v>
      </c>
      <c r="G718" s="38">
        <v>550.61</v>
      </c>
      <c r="H718" s="38">
        <v>553.61</v>
      </c>
      <c r="I718" s="38">
        <v>531.11</v>
      </c>
      <c r="J718" s="38">
        <v>469.41</v>
      </c>
      <c r="K718" s="38">
        <v>431.01</v>
      </c>
      <c r="L718" s="38">
        <v>418.43</v>
      </c>
      <c r="M718" s="38">
        <v>408.19</v>
      </c>
      <c r="N718" s="38">
        <v>407.75</v>
      </c>
      <c r="O718" s="38">
        <v>420.95</v>
      </c>
      <c r="P718" s="38">
        <v>442.81</v>
      </c>
      <c r="Q718" s="38">
        <v>438.18</v>
      </c>
      <c r="R718" s="38">
        <v>441.46</v>
      </c>
      <c r="S718" s="38">
        <v>458.02</v>
      </c>
      <c r="T718" s="38">
        <v>458.68</v>
      </c>
      <c r="U718" s="38">
        <v>393.48</v>
      </c>
      <c r="V718" s="38">
        <v>300.25</v>
      </c>
      <c r="W718" s="38">
        <v>251.24</v>
      </c>
      <c r="X718" s="38">
        <v>248.14</v>
      </c>
      <c r="Y718" s="38">
        <v>242.02</v>
      </c>
      <c r="Z718" s="38">
        <v>236.14</v>
      </c>
      <c r="AA718" s="38">
        <v>241.52</v>
      </c>
      <c r="AB718" s="38">
        <v>246.28</v>
      </c>
      <c r="AC718" s="38">
        <v>256.77999999999997</v>
      </c>
      <c r="AD718" s="38">
        <v>266.04000000000002</v>
      </c>
      <c r="AE718" s="38">
        <v>273.63</v>
      </c>
      <c r="AF718" s="38">
        <v>272.95</v>
      </c>
      <c r="AG718" s="38">
        <v>258.93</v>
      </c>
      <c r="AH718" s="38">
        <v>221.16</v>
      </c>
      <c r="AI718" s="38">
        <v>200.96</v>
      </c>
      <c r="AJ718" s="38">
        <v>190.74</v>
      </c>
      <c r="AK718" s="38">
        <v>188.96</v>
      </c>
      <c r="AL718" s="38">
        <v>189.51</v>
      </c>
      <c r="AM718" s="38">
        <v>201.38</v>
      </c>
      <c r="AN718" s="38">
        <v>222.63</v>
      </c>
      <c r="AO718" s="38">
        <v>223.37</v>
      </c>
      <c r="AP718" s="38">
        <v>218.82</v>
      </c>
      <c r="AQ718" s="38">
        <v>210.32</v>
      </c>
      <c r="AR718" s="38">
        <v>203.09</v>
      </c>
      <c r="AS718" s="38">
        <v>194.83</v>
      </c>
      <c r="AT718" s="38">
        <v>153.97999999999999</v>
      </c>
      <c r="AU718" s="38">
        <v>126.38</v>
      </c>
      <c r="AV718" s="38">
        <v>124.32</v>
      </c>
      <c r="AW718" s="38">
        <v>120.52</v>
      </c>
      <c r="AX718" s="38">
        <v>114.63</v>
      </c>
      <c r="AY718" s="38">
        <v>115.03</v>
      </c>
      <c r="BA718" s="37">
        <v>90.4</v>
      </c>
      <c r="BB718" s="38">
        <v>1.1265000000000001</v>
      </c>
    </row>
    <row r="719" spans="1:54" x14ac:dyDescent="0.35">
      <c r="A719" s="2">
        <f t="shared" si="11"/>
        <v>44827</v>
      </c>
      <c r="B719" t="s">
        <v>761</v>
      </c>
      <c r="C719" s="32">
        <v>44827</v>
      </c>
      <c r="D719" s="38">
        <v>286.58</v>
      </c>
      <c r="E719" s="38">
        <v>427.58</v>
      </c>
      <c r="F719" s="38">
        <v>546.26</v>
      </c>
      <c r="G719" s="38">
        <v>558.98</v>
      </c>
      <c r="H719" s="38">
        <v>563.24</v>
      </c>
      <c r="I719" s="38">
        <v>542.98</v>
      </c>
      <c r="J719" s="38">
        <v>473.85</v>
      </c>
      <c r="K719" s="38">
        <v>436.85</v>
      </c>
      <c r="L719" s="38">
        <v>424.25</v>
      </c>
      <c r="M719" s="38">
        <v>419.57</v>
      </c>
      <c r="N719" s="38">
        <v>421.89</v>
      </c>
      <c r="O719" s="38">
        <v>434.48</v>
      </c>
      <c r="P719" s="38">
        <v>452.26</v>
      </c>
      <c r="Q719" s="38">
        <v>448.35</v>
      </c>
      <c r="R719" s="38">
        <v>451.39</v>
      </c>
      <c r="S719" s="38">
        <v>468.76</v>
      </c>
      <c r="T719" s="38">
        <v>469.42</v>
      </c>
      <c r="U719" s="38">
        <v>404.22</v>
      </c>
      <c r="V719" s="38">
        <v>301.55</v>
      </c>
      <c r="W719" s="38">
        <v>252.54</v>
      </c>
      <c r="X719" s="38">
        <v>257.66000000000003</v>
      </c>
      <c r="Y719" s="38">
        <v>241.42</v>
      </c>
      <c r="Z719" s="38">
        <v>242.44</v>
      </c>
      <c r="AA719" s="38">
        <v>247.82</v>
      </c>
      <c r="AB719" s="38">
        <v>250.82</v>
      </c>
      <c r="AC719" s="38">
        <v>259.82</v>
      </c>
      <c r="AD719" s="38">
        <v>269.08</v>
      </c>
      <c r="AE719" s="38">
        <v>276.67</v>
      </c>
      <c r="AF719" s="38">
        <v>275.99</v>
      </c>
      <c r="AG719" s="38">
        <v>261.97000000000003</v>
      </c>
      <c r="AH719" s="38">
        <v>224.34</v>
      </c>
      <c r="AI719" s="38">
        <v>204.14</v>
      </c>
      <c r="AJ719" s="38">
        <v>193.92</v>
      </c>
      <c r="AK719" s="38">
        <v>192.14</v>
      </c>
      <c r="AL719" s="38">
        <v>192.69</v>
      </c>
      <c r="AM719" s="38">
        <v>204.56</v>
      </c>
      <c r="AN719" s="38">
        <v>225.81</v>
      </c>
      <c r="AO719" s="38">
        <v>226.55</v>
      </c>
      <c r="AP719" s="38">
        <v>222</v>
      </c>
      <c r="AQ719" s="38">
        <v>213.5</v>
      </c>
      <c r="AR719" s="38">
        <v>206.27</v>
      </c>
      <c r="AS719" s="38">
        <v>198.01</v>
      </c>
      <c r="AT719" s="38">
        <v>159.12</v>
      </c>
      <c r="AU719" s="38">
        <v>131.52000000000001</v>
      </c>
      <c r="AV719" s="38">
        <v>129.46</v>
      </c>
      <c r="AW719" s="38">
        <v>125.66</v>
      </c>
      <c r="AX719" s="38">
        <v>119.77</v>
      </c>
      <c r="AY719" s="38">
        <v>120.17</v>
      </c>
      <c r="BA719" s="37">
        <v>84.29</v>
      </c>
      <c r="BB719" s="38">
        <v>1.0896999999999999</v>
      </c>
    </row>
    <row r="720" spans="1:54" x14ac:dyDescent="0.35">
      <c r="A720" s="2">
        <f t="shared" si="11"/>
        <v>44830</v>
      </c>
      <c r="B720" t="s">
        <v>762</v>
      </c>
      <c r="C720" s="32">
        <v>44830</v>
      </c>
      <c r="D720" s="38">
        <v>240.78</v>
      </c>
      <c r="E720" s="38">
        <v>386.36</v>
      </c>
      <c r="F720" s="38">
        <v>513.86</v>
      </c>
      <c r="G720" s="38">
        <v>534.9</v>
      </c>
      <c r="H720" s="38">
        <v>539.9</v>
      </c>
      <c r="I720" s="38">
        <v>520.9</v>
      </c>
      <c r="J720" s="38">
        <v>470.75</v>
      </c>
      <c r="K720" s="38">
        <v>435.95</v>
      </c>
      <c r="L720" s="38">
        <v>422.99</v>
      </c>
      <c r="M720" s="38">
        <v>413.32</v>
      </c>
      <c r="N720" s="38">
        <v>415.64</v>
      </c>
      <c r="O720" s="38">
        <v>430.61</v>
      </c>
      <c r="P720" s="38">
        <v>447.61</v>
      </c>
      <c r="Q720" s="38">
        <v>443.71</v>
      </c>
      <c r="R720" s="38">
        <v>446.75</v>
      </c>
      <c r="S720" s="38">
        <v>463.39</v>
      </c>
      <c r="T720" s="38">
        <v>468.9</v>
      </c>
      <c r="U720" s="38">
        <v>404.73</v>
      </c>
      <c r="V720" s="38">
        <v>307.06</v>
      </c>
      <c r="W720" s="38">
        <v>259.24</v>
      </c>
      <c r="X720" s="38">
        <v>264.37</v>
      </c>
      <c r="Y720" s="38">
        <v>248.13</v>
      </c>
      <c r="Z720" s="38">
        <v>249.15</v>
      </c>
      <c r="AA720" s="38">
        <v>254.54</v>
      </c>
      <c r="AB720" s="38">
        <v>258.54000000000002</v>
      </c>
      <c r="AC720" s="38">
        <v>267.52999999999997</v>
      </c>
      <c r="AD720" s="38">
        <v>276.8</v>
      </c>
      <c r="AE720" s="38">
        <v>283.20999999999998</v>
      </c>
      <c r="AF720" s="38">
        <v>282.52999999999997</v>
      </c>
      <c r="AG720" s="38">
        <v>268.51</v>
      </c>
      <c r="AH720" s="38">
        <v>233.57</v>
      </c>
      <c r="AI720" s="38">
        <v>213.38</v>
      </c>
      <c r="AJ720" s="38">
        <v>203.16</v>
      </c>
      <c r="AK720" s="38">
        <v>201.38</v>
      </c>
      <c r="AL720" s="38">
        <v>201.94</v>
      </c>
      <c r="AM720" s="38">
        <v>213.8</v>
      </c>
      <c r="AN720" s="38">
        <v>235.05</v>
      </c>
      <c r="AO720" s="38">
        <v>235.79</v>
      </c>
      <c r="AP720" s="38">
        <v>231.24</v>
      </c>
      <c r="AQ720" s="38">
        <v>222.75</v>
      </c>
      <c r="AR720" s="38">
        <v>215.52</v>
      </c>
      <c r="AS720" s="38">
        <v>207.26</v>
      </c>
      <c r="AT720" s="38">
        <v>168.38</v>
      </c>
      <c r="AU720" s="38">
        <v>140.76</v>
      </c>
      <c r="AV720" s="38">
        <v>138.69999999999999</v>
      </c>
      <c r="AW720" s="38">
        <v>134.9</v>
      </c>
      <c r="AX720" s="38">
        <v>129.01</v>
      </c>
      <c r="AY720" s="38">
        <v>129.41999999999999</v>
      </c>
      <c r="BA720" s="37">
        <v>82.55</v>
      </c>
      <c r="BB720" s="38">
        <v>1.0787</v>
      </c>
    </row>
    <row r="721" spans="1:54" x14ac:dyDescent="0.35">
      <c r="A721" s="2">
        <f t="shared" si="11"/>
        <v>44831</v>
      </c>
      <c r="B721" t="s">
        <v>763</v>
      </c>
      <c r="C721" s="32">
        <v>44831</v>
      </c>
      <c r="D721" s="38">
        <v>255.65</v>
      </c>
      <c r="E721" s="38">
        <v>414.65</v>
      </c>
      <c r="F721" s="38">
        <v>543.53</v>
      </c>
      <c r="G721" s="38">
        <v>563.33000000000004</v>
      </c>
      <c r="H721" s="38">
        <v>569.99</v>
      </c>
      <c r="I721" s="38">
        <v>547.67999999999995</v>
      </c>
      <c r="J721" s="38">
        <v>494.38</v>
      </c>
      <c r="K721" s="38">
        <v>458.58</v>
      </c>
      <c r="L721" s="38">
        <v>445.62</v>
      </c>
      <c r="M721" s="38">
        <v>435.95</v>
      </c>
      <c r="N721" s="38">
        <v>438.27</v>
      </c>
      <c r="O721" s="38">
        <v>453.24</v>
      </c>
      <c r="P721" s="38">
        <v>462.55</v>
      </c>
      <c r="Q721" s="38">
        <v>457.98</v>
      </c>
      <c r="R721" s="38">
        <v>459.84</v>
      </c>
      <c r="S721" s="38">
        <v>477.7</v>
      </c>
      <c r="T721" s="38">
        <v>484.43</v>
      </c>
      <c r="U721" s="38">
        <v>420.26</v>
      </c>
      <c r="V721" s="38">
        <v>330.16</v>
      </c>
      <c r="W721" s="38">
        <v>282.33999999999997</v>
      </c>
      <c r="X721" s="38">
        <v>287.47000000000003</v>
      </c>
      <c r="Y721" s="38">
        <v>271.23</v>
      </c>
      <c r="Z721" s="38">
        <v>272.25</v>
      </c>
      <c r="AA721" s="38">
        <v>277.64</v>
      </c>
      <c r="AB721" s="38">
        <v>277.64999999999998</v>
      </c>
      <c r="AC721" s="38">
        <v>286.64</v>
      </c>
      <c r="AD721" s="38">
        <v>295.91000000000003</v>
      </c>
      <c r="AE721" s="38">
        <v>302.58</v>
      </c>
      <c r="AF721" s="38">
        <v>301.89999999999998</v>
      </c>
      <c r="AG721" s="38">
        <v>287.88</v>
      </c>
      <c r="AH721" s="38">
        <v>237.94</v>
      </c>
      <c r="AI721" s="38">
        <v>217.75</v>
      </c>
      <c r="AJ721" s="38">
        <v>207.53</v>
      </c>
      <c r="AK721" s="38">
        <v>205.75</v>
      </c>
      <c r="AL721" s="38">
        <v>206.31</v>
      </c>
      <c r="AM721" s="38">
        <v>218.17</v>
      </c>
      <c r="AN721" s="38">
        <v>238.42</v>
      </c>
      <c r="AO721" s="38">
        <v>239.16</v>
      </c>
      <c r="AP721" s="38">
        <v>234.61</v>
      </c>
      <c r="AQ721" s="38">
        <v>226.12</v>
      </c>
      <c r="AR721" s="38">
        <v>218.89</v>
      </c>
      <c r="AS721" s="38">
        <v>210.63</v>
      </c>
      <c r="AT721" s="38">
        <v>166.75</v>
      </c>
      <c r="AU721" s="38">
        <v>139.13999999999999</v>
      </c>
      <c r="AV721" s="38">
        <v>137.08000000000001</v>
      </c>
      <c r="AW721" s="38">
        <v>133.28</v>
      </c>
      <c r="AX721" s="38">
        <v>127.39</v>
      </c>
      <c r="AY721" s="38">
        <v>127.81</v>
      </c>
      <c r="BA721" s="37">
        <v>85.97</v>
      </c>
      <c r="BB721" s="38">
        <v>1.0773999999999999</v>
      </c>
    </row>
    <row r="722" spans="1:54" x14ac:dyDescent="0.35">
      <c r="A722" s="2">
        <f t="shared" si="11"/>
        <v>44832</v>
      </c>
      <c r="B722" t="s">
        <v>764</v>
      </c>
      <c r="C722" s="32">
        <v>44832</v>
      </c>
      <c r="D722" s="38">
        <v>321.67</v>
      </c>
      <c r="E722" s="38">
        <v>471.2</v>
      </c>
      <c r="F722" s="38">
        <v>600.08000000000004</v>
      </c>
      <c r="G722" s="38">
        <v>621.37</v>
      </c>
      <c r="H722" s="38">
        <v>631.33000000000004</v>
      </c>
      <c r="I722" s="38">
        <v>607.72</v>
      </c>
      <c r="J722" s="38">
        <v>537.72</v>
      </c>
      <c r="K722" s="38">
        <v>496.55</v>
      </c>
      <c r="L722" s="38">
        <v>485.05</v>
      </c>
      <c r="M722" s="38">
        <v>483.63</v>
      </c>
      <c r="N722" s="38">
        <v>485.95</v>
      </c>
      <c r="O722" s="38">
        <v>501.03</v>
      </c>
      <c r="P722" s="38">
        <v>503.34</v>
      </c>
      <c r="Q722" s="38">
        <v>498.77</v>
      </c>
      <c r="R722" s="38">
        <v>500.63</v>
      </c>
      <c r="S722" s="38">
        <v>518.49</v>
      </c>
      <c r="T722" s="38">
        <v>525.22</v>
      </c>
      <c r="U722" s="38">
        <v>461.05</v>
      </c>
      <c r="V722" s="38">
        <v>332.5</v>
      </c>
      <c r="W722" s="38">
        <v>284.68</v>
      </c>
      <c r="X722" s="38">
        <v>289.81</v>
      </c>
      <c r="Y722" s="38">
        <v>273.57</v>
      </c>
      <c r="Z722" s="38">
        <v>274.58999999999997</v>
      </c>
      <c r="AA722" s="38">
        <v>279.98</v>
      </c>
      <c r="AB722" s="38">
        <v>279.99</v>
      </c>
      <c r="AC722" s="38">
        <v>288.98</v>
      </c>
      <c r="AD722" s="38">
        <v>298.25</v>
      </c>
      <c r="AE722" s="38">
        <v>304.92</v>
      </c>
      <c r="AF722" s="38">
        <v>304.24</v>
      </c>
      <c r="AG722" s="38">
        <v>290.22000000000003</v>
      </c>
      <c r="AH722" s="38">
        <v>249.28</v>
      </c>
      <c r="AI722" s="38">
        <v>229.09</v>
      </c>
      <c r="AJ722" s="38">
        <v>218.87</v>
      </c>
      <c r="AK722" s="38">
        <v>217.09</v>
      </c>
      <c r="AL722" s="38">
        <v>217.65</v>
      </c>
      <c r="AM722" s="38">
        <v>229.51</v>
      </c>
      <c r="AN722" s="38">
        <v>249.76</v>
      </c>
      <c r="AO722" s="38">
        <v>250.5</v>
      </c>
      <c r="AP722" s="38">
        <v>245.95</v>
      </c>
      <c r="AQ722" s="38">
        <v>237.46</v>
      </c>
      <c r="AR722" s="38">
        <v>230.23</v>
      </c>
      <c r="AS722" s="38">
        <v>221.97</v>
      </c>
      <c r="AT722" s="38">
        <v>178.09</v>
      </c>
      <c r="AU722" s="38">
        <v>150.47999999999999</v>
      </c>
      <c r="AV722" s="38">
        <v>148.41999999999999</v>
      </c>
      <c r="AW722" s="38">
        <v>144.62</v>
      </c>
      <c r="AX722" s="38">
        <v>138.72999999999999</v>
      </c>
      <c r="AY722" s="38">
        <v>139.15</v>
      </c>
      <c r="BA722" s="37">
        <v>89.55</v>
      </c>
      <c r="BB722" s="38">
        <v>1.0745</v>
      </c>
    </row>
    <row r="723" spans="1:54" x14ac:dyDescent="0.35">
      <c r="A723" s="2">
        <f t="shared" si="11"/>
        <v>44833</v>
      </c>
      <c r="B723" t="s">
        <v>765</v>
      </c>
      <c r="C723" s="32">
        <v>44833</v>
      </c>
      <c r="D723" s="38">
        <v>255.91</v>
      </c>
      <c r="E723" s="38">
        <v>405.91</v>
      </c>
      <c r="F723" s="38">
        <v>538.91</v>
      </c>
      <c r="G723" s="38">
        <v>559.53</v>
      </c>
      <c r="H723" s="38">
        <v>565.53</v>
      </c>
      <c r="I723" s="38">
        <v>547.20000000000005</v>
      </c>
      <c r="J723" s="38">
        <v>487.42</v>
      </c>
      <c r="K723" s="38">
        <v>445.25</v>
      </c>
      <c r="L723" s="38">
        <v>435.75</v>
      </c>
      <c r="M723" s="38">
        <v>432.33</v>
      </c>
      <c r="N723" s="38">
        <v>434.65</v>
      </c>
      <c r="O723" s="38">
        <v>449.73</v>
      </c>
      <c r="P723" s="38">
        <v>468.04</v>
      </c>
      <c r="Q723" s="38">
        <v>464.04</v>
      </c>
      <c r="R723" s="38">
        <v>465.9</v>
      </c>
      <c r="S723" s="38">
        <v>481.76</v>
      </c>
      <c r="T723" s="38">
        <v>488.49</v>
      </c>
      <c r="U723" s="38">
        <v>424.32</v>
      </c>
      <c r="V723" s="38">
        <v>326.77</v>
      </c>
      <c r="W723" s="38">
        <v>278.95</v>
      </c>
      <c r="X723" s="38">
        <v>284.08</v>
      </c>
      <c r="Y723" s="38">
        <v>267.83999999999997</v>
      </c>
      <c r="Z723" s="38">
        <v>268.86</v>
      </c>
      <c r="AA723" s="38">
        <v>274.25</v>
      </c>
      <c r="AB723" s="38">
        <v>276.26</v>
      </c>
      <c r="AC723" s="38">
        <v>285.25</v>
      </c>
      <c r="AD723" s="38">
        <v>294.52</v>
      </c>
      <c r="AE723" s="38">
        <v>301.19</v>
      </c>
      <c r="AF723" s="38">
        <v>300.51</v>
      </c>
      <c r="AG723" s="38">
        <v>286.49</v>
      </c>
      <c r="AH723" s="38">
        <v>245.55</v>
      </c>
      <c r="AI723" s="38">
        <v>225.36</v>
      </c>
      <c r="AJ723" s="38">
        <v>215.14</v>
      </c>
      <c r="AK723" s="38">
        <v>213.36</v>
      </c>
      <c r="AL723" s="38">
        <v>213.92</v>
      </c>
      <c r="AM723" s="38">
        <v>225.78</v>
      </c>
      <c r="AN723" s="38">
        <v>246.03</v>
      </c>
      <c r="AO723" s="38">
        <v>246.77</v>
      </c>
      <c r="AP723" s="38">
        <v>242.22</v>
      </c>
      <c r="AQ723" s="38">
        <v>233.73</v>
      </c>
      <c r="AR723" s="38">
        <v>226.5</v>
      </c>
      <c r="AS723" s="38">
        <v>218.24</v>
      </c>
      <c r="AT723" s="38">
        <v>174.36</v>
      </c>
      <c r="AU723" s="38">
        <v>146.75</v>
      </c>
      <c r="AV723" s="38">
        <v>144.69</v>
      </c>
      <c r="AW723" s="38">
        <v>140.88999999999999</v>
      </c>
      <c r="AX723" s="38">
        <v>135</v>
      </c>
      <c r="AY723" s="38">
        <v>135.41999999999999</v>
      </c>
      <c r="BA723" s="37">
        <v>89.41</v>
      </c>
      <c r="BB723" s="38">
        <v>1.1033999999999999</v>
      </c>
    </row>
    <row r="724" spans="1:54" x14ac:dyDescent="0.35">
      <c r="A724" s="2">
        <f t="shared" si="11"/>
        <v>44834</v>
      </c>
      <c r="B724" t="s">
        <v>766</v>
      </c>
      <c r="C724" s="32">
        <v>44834</v>
      </c>
      <c r="D724" s="38">
        <v>352.89</v>
      </c>
      <c r="E724" s="38">
        <v>498.22</v>
      </c>
      <c r="F724" s="38">
        <v>522.62</v>
      </c>
      <c r="G724" s="38">
        <v>532.62</v>
      </c>
      <c r="H724" s="38">
        <v>514.29</v>
      </c>
      <c r="I724" s="38">
        <v>460.95</v>
      </c>
      <c r="J724" s="38">
        <v>427.2</v>
      </c>
      <c r="K724" s="38">
        <v>415.45</v>
      </c>
      <c r="L724" s="38">
        <v>412.03</v>
      </c>
      <c r="M724" s="38">
        <v>414.35</v>
      </c>
      <c r="N724" s="38">
        <v>429.43</v>
      </c>
      <c r="O724" s="38">
        <v>445.93</v>
      </c>
      <c r="P724" s="38">
        <v>442.93</v>
      </c>
      <c r="Q724" s="38">
        <v>444.79</v>
      </c>
      <c r="R724" s="38">
        <v>460.65</v>
      </c>
      <c r="S724" s="38">
        <v>467.38</v>
      </c>
      <c r="T724" s="38">
        <v>403.21</v>
      </c>
      <c r="U724" s="38">
        <v>312.66000000000003</v>
      </c>
      <c r="V724" s="38">
        <v>264.83999999999997</v>
      </c>
      <c r="W724" s="38">
        <v>269.97000000000003</v>
      </c>
      <c r="X724" s="38">
        <v>253.73</v>
      </c>
      <c r="Y724" s="38">
        <v>254.75</v>
      </c>
      <c r="Z724" s="38">
        <v>260.14</v>
      </c>
      <c r="AA724" s="38">
        <v>262.14999999999998</v>
      </c>
      <c r="AB724" s="38">
        <v>271.14</v>
      </c>
      <c r="AC724" s="38">
        <v>280.41000000000003</v>
      </c>
      <c r="AD724" s="38">
        <v>287.08</v>
      </c>
      <c r="AE724" s="38">
        <v>286.39999999999998</v>
      </c>
      <c r="AF724" s="38">
        <v>272.38</v>
      </c>
      <c r="AG724" s="38">
        <v>234.44</v>
      </c>
      <c r="AH724" s="38">
        <v>214.25</v>
      </c>
      <c r="AI724" s="38">
        <v>204.03</v>
      </c>
      <c r="AJ724" s="38">
        <v>202.25</v>
      </c>
      <c r="AK724" s="38">
        <v>202.81</v>
      </c>
      <c r="AL724" s="38">
        <v>214.67</v>
      </c>
      <c r="AM724" s="38">
        <v>234.92</v>
      </c>
      <c r="AN724" s="38">
        <v>235.66</v>
      </c>
      <c r="AO724" s="38">
        <v>231.11</v>
      </c>
      <c r="AP724" s="38">
        <v>222.62</v>
      </c>
      <c r="AQ724" s="38">
        <v>215.39</v>
      </c>
      <c r="AR724" s="38">
        <v>207.13</v>
      </c>
      <c r="AS724" s="38">
        <v>170.25</v>
      </c>
      <c r="AT724" s="38">
        <v>142.63999999999999</v>
      </c>
      <c r="AU724" s="38">
        <v>140.58000000000001</v>
      </c>
      <c r="AV724" s="38">
        <v>136.78</v>
      </c>
      <c r="AW724" s="38">
        <v>130.88999999999999</v>
      </c>
      <c r="AX724" s="38">
        <v>131.31</v>
      </c>
      <c r="AY724" s="38">
        <v>147.87</v>
      </c>
      <c r="BA724" s="37">
        <v>88.9</v>
      </c>
      <c r="BB724" s="38">
        <v>1.117</v>
      </c>
    </row>
    <row r="725" spans="1:54" x14ac:dyDescent="0.35">
      <c r="A725" s="2">
        <f t="shared" si="11"/>
        <v>44837</v>
      </c>
      <c r="B725" t="s">
        <v>767</v>
      </c>
      <c r="C725" s="32">
        <v>44837</v>
      </c>
      <c r="D725" s="38">
        <v>297.49</v>
      </c>
      <c r="E725" s="38">
        <v>448.19</v>
      </c>
      <c r="F725" s="38">
        <v>470.79</v>
      </c>
      <c r="G725" s="38">
        <v>480.89</v>
      </c>
      <c r="H725" s="38">
        <v>459.38</v>
      </c>
      <c r="I725" s="38">
        <v>412.71</v>
      </c>
      <c r="J725" s="38">
        <v>380.96</v>
      </c>
      <c r="K725" s="38">
        <v>370.46</v>
      </c>
      <c r="L725" s="38">
        <v>367.16</v>
      </c>
      <c r="M725" s="38">
        <v>369.48</v>
      </c>
      <c r="N725" s="38">
        <v>384.94</v>
      </c>
      <c r="O725" s="38">
        <v>392.74</v>
      </c>
      <c r="P725" s="38">
        <v>399.02</v>
      </c>
      <c r="Q725" s="38">
        <v>401.38</v>
      </c>
      <c r="R725" s="38">
        <v>417.44</v>
      </c>
      <c r="S725" s="38">
        <v>424.17</v>
      </c>
      <c r="T725" s="38">
        <v>362.66</v>
      </c>
      <c r="U725" s="38">
        <v>278.92</v>
      </c>
      <c r="V725" s="38">
        <v>240.79</v>
      </c>
      <c r="W725" s="38">
        <v>245.92</v>
      </c>
      <c r="X725" s="38">
        <v>229.68</v>
      </c>
      <c r="Y725" s="38">
        <v>230.7</v>
      </c>
      <c r="Z725" s="38">
        <v>236.09</v>
      </c>
      <c r="AA725" s="38">
        <v>237.93</v>
      </c>
      <c r="AB725" s="38">
        <v>246.56</v>
      </c>
      <c r="AC725" s="38">
        <v>255.83</v>
      </c>
      <c r="AD725" s="38">
        <v>263.35000000000002</v>
      </c>
      <c r="AE725" s="38">
        <v>262.67</v>
      </c>
      <c r="AF725" s="38">
        <v>248.65</v>
      </c>
      <c r="AG725" s="38">
        <v>220.7</v>
      </c>
      <c r="AH725" s="38">
        <v>200.51</v>
      </c>
      <c r="AI725" s="38">
        <v>190.29</v>
      </c>
      <c r="AJ725" s="38">
        <v>188.51</v>
      </c>
      <c r="AK725" s="38">
        <v>189.07</v>
      </c>
      <c r="AL725" s="38">
        <v>200.93</v>
      </c>
      <c r="AM725" s="38">
        <v>222.77</v>
      </c>
      <c r="AN725" s="38">
        <v>223.51</v>
      </c>
      <c r="AO725" s="38">
        <v>218.96</v>
      </c>
      <c r="AP725" s="38">
        <v>210.47</v>
      </c>
      <c r="AQ725" s="38">
        <v>203.24</v>
      </c>
      <c r="AR725" s="38">
        <v>194.98</v>
      </c>
      <c r="AS725" s="38">
        <v>160.83000000000001</v>
      </c>
      <c r="AT725" s="38">
        <v>134.16999999999999</v>
      </c>
      <c r="AU725" s="38">
        <v>132.11000000000001</v>
      </c>
      <c r="AV725" s="38">
        <v>128.31</v>
      </c>
      <c r="AW725" s="38">
        <v>122.42</v>
      </c>
      <c r="AX725" s="38">
        <v>122.84</v>
      </c>
      <c r="AY725" s="38">
        <v>139.4</v>
      </c>
      <c r="BA725" s="37">
        <v>90.68</v>
      </c>
      <c r="BB725" s="38">
        <v>1.1279999999999999</v>
      </c>
    </row>
    <row r="726" spans="1:54" x14ac:dyDescent="0.35">
      <c r="A726" s="2">
        <f t="shared" si="11"/>
        <v>44838</v>
      </c>
      <c r="B726" t="s">
        <v>768</v>
      </c>
      <c r="C726" s="32">
        <v>44838</v>
      </c>
      <c r="D726" s="38">
        <v>278.62</v>
      </c>
      <c r="E726" s="38">
        <v>428.06</v>
      </c>
      <c r="F726" s="38">
        <v>451.72</v>
      </c>
      <c r="G726" s="38">
        <v>460.73</v>
      </c>
      <c r="H726" s="38">
        <v>439.15</v>
      </c>
      <c r="I726" s="38">
        <v>395.57</v>
      </c>
      <c r="J726" s="38">
        <v>363.57</v>
      </c>
      <c r="K726" s="38">
        <v>354.57</v>
      </c>
      <c r="L726" s="38">
        <v>350.19</v>
      </c>
      <c r="M726" s="38">
        <v>351.68</v>
      </c>
      <c r="N726" s="38">
        <v>366.73</v>
      </c>
      <c r="O726" s="38">
        <v>373.79</v>
      </c>
      <c r="P726" s="38">
        <v>381.19</v>
      </c>
      <c r="Q726" s="38">
        <v>384.55</v>
      </c>
      <c r="R726" s="38">
        <v>398.55</v>
      </c>
      <c r="S726" s="38">
        <v>403.25</v>
      </c>
      <c r="T726" s="38">
        <v>342.11</v>
      </c>
      <c r="U726" s="38">
        <v>267.63</v>
      </c>
      <c r="V726" s="38">
        <v>232.87</v>
      </c>
      <c r="W726" s="38">
        <v>239.17</v>
      </c>
      <c r="X726" s="38">
        <v>222.93</v>
      </c>
      <c r="Y726" s="38">
        <v>223.95</v>
      </c>
      <c r="Z726" s="38">
        <v>229.61</v>
      </c>
      <c r="AA726" s="38">
        <v>231.63</v>
      </c>
      <c r="AB726" s="38">
        <v>240.25</v>
      </c>
      <c r="AC726" s="38">
        <v>249.15</v>
      </c>
      <c r="AD726" s="38">
        <v>256.41000000000003</v>
      </c>
      <c r="AE726" s="38">
        <v>254.72</v>
      </c>
      <c r="AF726" s="38">
        <v>240.24</v>
      </c>
      <c r="AG726" s="38">
        <v>212.02</v>
      </c>
      <c r="AH726" s="38">
        <v>191.23</v>
      </c>
      <c r="AI726" s="38">
        <v>181.01</v>
      </c>
      <c r="AJ726" s="38">
        <v>179.41</v>
      </c>
      <c r="AK726" s="38">
        <v>180.03</v>
      </c>
      <c r="AL726" s="38">
        <v>191.89</v>
      </c>
      <c r="AM726" s="38">
        <v>210.84</v>
      </c>
      <c r="AN726" s="38">
        <v>211.58</v>
      </c>
      <c r="AO726" s="38">
        <v>207.03</v>
      </c>
      <c r="AP726" s="38">
        <v>198.54</v>
      </c>
      <c r="AQ726" s="38">
        <v>191.31</v>
      </c>
      <c r="AR726" s="38">
        <v>183.05</v>
      </c>
      <c r="AS726" s="38">
        <v>149.24</v>
      </c>
      <c r="AT726" s="38">
        <v>122.58</v>
      </c>
      <c r="AU726" s="38">
        <v>120.52</v>
      </c>
      <c r="AV726" s="38">
        <v>116.72</v>
      </c>
      <c r="AW726" s="38">
        <v>111</v>
      </c>
      <c r="AX726" s="38">
        <v>111.76</v>
      </c>
      <c r="AY726" s="38">
        <v>128.38</v>
      </c>
      <c r="BA726" s="37">
        <v>93.74</v>
      </c>
      <c r="BB726" s="38">
        <v>1.1404000000000001</v>
      </c>
    </row>
    <row r="727" spans="1:54" x14ac:dyDescent="0.35">
      <c r="A727" s="2">
        <f t="shared" si="11"/>
        <v>44839</v>
      </c>
      <c r="B727" t="s">
        <v>769</v>
      </c>
      <c r="C727" s="32">
        <v>44839</v>
      </c>
      <c r="D727" s="38">
        <v>315.61</v>
      </c>
      <c r="E727" s="38">
        <v>465.41</v>
      </c>
      <c r="F727" s="38">
        <v>488.41</v>
      </c>
      <c r="G727" s="38">
        <v>500.66</v>
      </c>
      <c r="H727" s="38">
        <v>481.85</v>
      </c>
      <c r="I727" s="38">
        <v>433.06</v>
      </c>
      <c r="J727" s="38">
        <v>400.55</v>
      </c>
      <c r="K727" s="38">
        <v>391</v>
      </c>
      <c r="L727" s="38">
        <v>385.22</v>
      </c>
      <c r="M727" s="38">
        <v>384.44</v>
      </c>
      <c r="N727" s="38">
        <v>396.25</v>
      </c>
      <c r="O727" s="38">
        <v>400.97</v>
      </c>
      <c r="P727" s="38">
        <v>417.65</v>
      </c>
      <c r="Q727" s="38">
        <v>420.23</v>
      </c>
      <c r="R727" s="38">
        <v>439.98</v>
      </c>
      <c r="S727" s="38">
        <v>441.57</v>
      </c>
      <c r="T727" s="38">
        <v>370.42</v>
      </c>
      <c r="U727" s="38">
        <v>291.86</v>
      </c>
      <c r="V727" s="38">
        <v>257.17</v>
      </c>
      <c r="W727" s="38">
        <v>263.47000000000003</v>
      </c>
      <c r="X727" s="38">
        <v>247.23</v>
      </c>
      <c r="Y727" s="38">
        <v>248.25</v>
      </c>
      <c r="Z727" s="38">
        <v>253.91</v>
      </c>
      <c r="AA727" s="38">
        <v>252.06</v>
      </c>
      <c r="AB727" s="38">
        <v>260.06</v>
      </c>
      <c r="AC727" s="38">
        <v>268.95999999999998</v>
      </c>
      <c r="AD727" s="38">
        <v>276.38</v>
      </c>
      <c r="AE727" s="38">
        <v>272.47000000000003</v>
      </c>
      <c r="AF727" s="38">
        <v>257.99</v>
      </c>
      <c r="AG727" s="38">
        <v>227.39</v>
      </c>
      <c r="AH727" s="38">
        <v>205.38</v>
      </c>
      <c r="AI727" s="38">
        <v>195.16</v>
      </c>
      <c r="AJ727" s="38">
        <v>193.56</v>
      </c>
      <c r="AK727" s="38">
        <v>194.18</v>
      </c>
      <c r="AL727" s="38">
        <v>206.04</v>
      </c>
      <c r="AM727" s="38">
        <v>224.99</v>
      </c>
      <c r="AN727" s="38">
        <v>226.75</v>
      </c>
      <c r="AO727" s="38">
        <v>222.2</v>
      </c>
      <c r="AP727" s="38">
        <v>213.71</v>
      </c>
      <c r="AQ727" s="38">
        <v>206.48</v>
      </c>
      <c r="AR727" s="38">
        <v>198.22</v>
      </c>
      <c r="AS727" s="38">
        <v>164.41</v>
      </c>
      <c r="AT727" s="38">
        <v>137.75</v>
      </c>
      <c r="AU727" s="38">
        <v>135.69</v>
      </c>
      <c r="AV727" s="38">
        <v>131.88999999999999</v>
      </c>
      <c r="AW727" s="38">
        <v>126.17</v>
      </c>
      <c r="AX727" s="38">
        <v>126.93</v>
      </c>
      <c r="AY727" s="38">
        <v>143.55000000000001</v>
      </c>
      <c r="BA727" s="37">
        <v>94.35</v>
      </c>
      <c r="BB727" s="38">
        <v>1.1245000000000001</v>
      </c>
    </row>
    <row r="728" spans="1:54" x14ac:dyDescent="0.35">
      <c r="A728" s="2">
        <f t="shared" si="11"/>
        <v>44840</v>
      </c>
      <c r="B728" t="s">
        <v>770</v>
      </c>
      <c r="C728" s="32">
        <v>44840</v>
      </c>
      <c r="D728" s="38">
        <v>325.02</v>
      </c>
      <c r="E728" s="38">
        <v>473.07</v>
      </c>
      <c r="F728" s="38">
        <v>495.5</v>
      </c>
      <c r="G728" s="38">
        <v>506.71</v>
      </c>
      <c r="H728" s="38">
        <v>481.74</v>
      </c>
      <c r="I728" s="38">
        <v>442.34</v>
      </c>
      <c r="J728" s="38">
        <v>414.08</v>
      </c>
      <c r="K728" s="38">
        <v>405.12</v>
      </c>
      <c r="L728" s="38">
        <v>403.31</v>
      </c>
      <c r="M728" s="38">
        <v>399.4</v>
      </c>
      <c r="N728" s="38">
        <v>401.77</v>
      </c>
      <c r="O728" s="38">
        <v>402.1</v>
      </c>
      <c r="P728" s="38">
        <v>433.58</v>
      </c>
      <c r="Q728" s="38">
        <v>444.03</v>
      </c>
      <c r="R728" s="38">
        <v>454.96</v>
      </c>
      <c r="S728" s="38">
        <v>460.19</v>
      </c>
      <c r="T728" s="38">
        <v>387.2</v>
      </c>
      <c r="U728" s="38">
        <v>304.35000000000002</v>
      </c>
      <c r="V728" s="38">
        <v>263.77999999999997</v>
      </c>
      <c r="W728" s="38">
        <v>265.72000000000003</v>
      </c>
      <c r="X728" s="38">
        <v>249.89</v>
      </c>
      <c r="Y728" s="38">
        <v>251.32</v>
      </c>
      <c r="Z728" s="38">
        <v>257.37</v>
      </c>
      <c r="AA728" s="38">
        <v>266.11</v>
      </c>
      <c r="AB728" s="38">
        <v>275.16000000000003</v>
      </c>
      <c r="AC728" s="38">
        <v>284.06</v>
      </c>
      <c r="AD728" s="38">
        <v>289.14999999999998</v>
      </c>
      <c r="AE728" s="38">
        <v>285.24</v>
      </c>
      <c r="AF728" s="38">
        <v>270.76</v>
      </c>
      <c r="AG728" s="38">
        <v>240.73</v>
      </c>
      <c r="AH728" s="38">
        <v>218.72</v>
      </c>
      <c r="AI728" s="38">
        <v>208.5</v>
      </c>
      <c r="AJ728" s="38">
        <v>206.9</v>
      </c>
      <c r="AK728" s="38">
        <v>207.52</v>
      </c>
      <c r="AL728" s="38">
        <v>216.31</v>
      </c>
      <c r="AM728" s="38">
        <v>232.89</v>
      </c>
      <c r="AN728" s="38">
        <v>234.65</v>
      </c>
      <c r="AO728" s="38">
        <v>230.1</v>
      </c>
      <c r="AP728" s="38">
        <v>220.73</v>
      </c>
      <c r="AQ728" s="38">
        <v>213.51</v>
      </c>
      <c r="AR728" s="38">
        <v>205.25</v>
      </c>
      <c r="AS728" s="38">
        <v>166.22</v>
      </c>
      <c r="AT728" s="38">
        <v>137.97999999999999</v>
      </c>
      <c r="AU728" s="38">
        <v>135.91999999999999</v>
      </c>
      <c r="AV728" s="38">
        <v>132.12</v>
      </c>
      <c r="AW728" s="38">
        <v>126.4</v>
      </c>
      <c r="AX728" s="38">
        <v>127.16</v>
      </c>
      <c r="AY728" s="38">
        <v>143.78</v>
      </c>
      <c r="BA728" s="37">
        <v>95.65</v>
      </c>
      <c r="BB728" s="38">
        <v>1.1198999999999999</v>
      </c>
    </row>
    <row r="729" spans="1:54" x14ac:dyDescent="0.35">
      <c r="A729" s="2">
        <f t="shared" si="11"/>
        <v>44841</v>
      </c>
      <c r="B729" t="s">
        <v>771</v>
      </c>
      <c r="C729" s="32">
        <v>44841</v>
      </c>
      <c r="D729" s="38">
        <v>285.04000000000002</v>
      </c>
      <c r="E729" s="38">
        <v>426.91</v>
      </c>
      <c r="F729" s="38">
        <v>450.7</v>
      </c>
      <c r="G729" s="38">
        <v>465.93</v>
      </c>
      <c r="H729" s="38">
        <v>449.97</v>
      </c>
      <c r="I729" s="38">
        <v>410.21</v>
      </c>
      <c r="J729" s="38">
        <v>387.27</v>
      </c>
      <c r="K729" s="38">
        <v>379.82</v>
      </c>
      <c r="L729" s="38">
        <v>377.05</v>
      </c>
      <c r="M729" s="38">
        <v>375.74</v>
      </c>
      <c r="N729" s="38">
        <v>377.36</v>
      </c>
      <c r="O729" s="38">
        <v>377.5</v>
      </c>
      <c r="P729" s="38">
        <v>409.02</v>
      </c>
      <c r="Q729" s="38">
        <v>419.62</v>
      </c>
      <c r="R729" s="38">
        <v>428.37</v>
      </c>
      <c r="S729" s="38">
        <v>432.21</v>
      </c>
      <c r="T729" s="38">
        <v>362.25</v>
      </c>
      <c r="U729" s="38">
        <v>302.24</v>
      </c>
      <c r="V729" s="38">
        <v>260.12</v>
      </c>
      <c r="W729" s="38">
        <v>263.62</v>
      </c>
      <c r="X729" s="38">
        <v>247.79</v>
      </c>
      <c r="Y729" s="38">
        <v>249.22</v>
      </c>
      <c r="Z729" s="38">
        <v>254.05</v>
      </c>
      <c r="AA729" s="38">
        <v>256.39999999999998</v>
      </c>
      <c r="AB729" s="38">
        <v>265.45</v>
      </c>
      <c r="AC729" s="38">
        <v>274.35000000000002</v>
      </c>
      <c r="AD729" s="38">
        <v>283.58</v>
      </c>
      <c r="AE729" s="38">
        <v>279.67</v>
      </c>
      <c r="AF729" s="38">
        <v>265.29000000000002</v>
      </c>
      <c r="AG729" s="38">
        <v>236.51</v>
      </c>
      <c r="AH729" s="38">
        <v>214.33</v>
      </c>
      <c r="AI729" s="38">
        <v>204.12</v>
      </c>
      <c r="AJ729" s="38">
        <v>202.52</v>
      </c>
      <c r="AK729" s="38">
        <v>203.13</v>
      </c>
      <c r="AL729" s="38">
        <v>209.93</v>
      </c>
      <c r="AM729" s="38">
        <v>216.89</v>
      </c>
      <c r="AN729" s="38">
        <v>220.89</v>
      </c>
      <c r="AO729" s="38">
        <v>221.89</v>
      </c>
      <c r="AP729" s="38">
        <v>221.98</v>
      </c>
      <c r="AQ729" s="38">
        <v>218.75</v>
      </c>
      <c r="AR729" s="38">
        <v>210.3</v>
      </c>
      <c r="AS729" s="38">
        <v>168.02</v>
      </c>
      <c r="AT729" s="38">
        <v>138.78</v>
      </c>
      <c r="AU729" s="38">
        <v>136.71</v>
      </c>
      <c r="AV729" s="38">
        <v>132.91</v>
      </c>
      <c r="AW729" s="38">
        <v>127.19</v>
      </c>
      <c r="AX729" s="38">
        <v>127.95</v>
      </c>
      <c r="AY729" s="38">
        <v>140.91</v>
      </c>
      <c r="BA729" s="37">
        <v>98.88</v>
      </c>
      <c r="BB729" s="38">
        <v>1.1116999999999999</v>
      </c>
    </row>
    <row r="730" spans="1:54" x14ac:dyDescent="0.35">
      <c r="A730" s="2">
        <f t="shared" si="11"/>
        <v>44844</v>
      </c>
      <c r="B730" t="s">
        <v>772</v>
      </c>
      <c r="C730" s="32">
        <v>44844</v>
      </c>
      <c r="D730" s="38">
        <v>283.33999999999997</v>
      </c>
      <c r="E730" s="38">
        <v>436.92</v>
      </c>
      <c r="F730" s="38">
        <v>459.91</v>
      </c>
      <c r="G730" s="38">
        <v>477.11</v>
      </c>
      <c r="H730" s="38">
        <v>459.15</v>
      </c>
      <c r="I730" s="38">
        <v>419.14</v>
      </c>
      <c r="J730" s="38">
        <v>395.2</v>
      </c>
      <c r="K730" s="38">
        <v>386.48</v>
      </c>
      <c r="L730" s="38">
        <v>382.49</v>
      </c>
      <c r="M730" s="38">
        <v>383.49</v>
      </c>
      <c r="N730" s="38">
        <v>382.64</v>
      </c>
      <c r="O730" s="38">
        <v>378.84</v>
      </c>
      <c r="P730" s="38">
        <v>418.34</v>
      </c>
      <c r="Q730" s="38">
        <v>433.34</v>
      </c>
      <c r="R730" s="38">
        <v>433.28</v>
      </c>
      <c r="S730" s="38">
        <v>437.12</v>
      </c>
      <c r="T730" s="38">
        <v>367.16</v>
      </c>
      <c r="U730" s="38">
        <v>310.49</v>
      </c>
      <c r="V730" s="38">
        <v>268.36</v>
      </c>
      <c r="W730" s="38">
        <v>271.86</v>
      </c>
      <c r="X730" s="38">
        <v>255.92</v>
      </c>
      <c r="Y730" s="38">
        <v>257.35000000000002</v>
      </c>
      <c r="Z730" s="38">
        <v>262.18</v>
      </c>
      <c r="AA730" s="38">
        <v>265.51</v>
      </c>
      <c r="AB730" s="38">
        <v>274.54000000000002</v>
      </c>
      <c r="AC730" s="38">
        <v>283.45999999999998</v>
      </c>
      <c r="AD730" s="38">
        <v>294.91000000000003</v>
      </c>
      <c r="AE730" s="38">
        <v>291</v>
      </c>
      <c r="AF730" s="38">
        <v>275.76</v>
      </c>
      <c r="AG730" s="38">
        <v>236.99</v>
      </c>
      <c r="AH730" s="38">
        <v>211.99</v>
      </c>
      <c r="AI730" s="38">
        <v>201.72</v>
      </c>
      <c r="AJ730" s="38">
        <v>200.12</v>
      </c>
      <c r="AK730" s="38">
        <v>200.73</v>
      </c>
      <c r="AL730" s="38">
        <v>207.53</v>
      </c>
      <c r="AM730" s="38">
        <v>216.53</v>
      </c>
      <c r="AN730" s="38">
        <v>220.53</v>
      </c>
      <c r="AO730" s="38">
        <v>221.53</v>
      </c>
      <c r="AP730" s="38">
        <v>220.03</v>
      </c>
      <c r="AQ730" s="38">
        <v>216.8</v>
      </c>
      <c r="AR730" s="38">
        <v>208.35</v>
      </c>
      <c r="AS730" s="38">
        <v>166.07</v>
      </c>
      <c r="AT730" s="38">
        <v>136.83000000000001</v>
      </c>
      <c r="AU730" s="38">
        <v>134.76</v>
      </c>
      <c r="AV730" s="38">
        <v>130.96</v>
      </c>
      <c r="AW730" s="38">
        <v>125.24</v>
      </c>
      <c r="AX730" s="38">
        <v>126</v>
      </c>
      <c r="AY730" s="38">
        <v>139.21</v>
      </c>
      <c r="BA730" s="37">
        <v>97.13</v>
      </c>
      <c r="BB730" s="38">
        <v>1.1048</v>
      </c>
    </row>
    <row r="731" spans="1:54" x14ac:dyDescent="0.35">
      <c r="A731" s="2">
        <f t="shared" si="11"/>
        <v>44845</v>
      </c>
      <c r="B731" t="s">
        <v>773</v>
      </c>
      <c r="C731" s="32">
        <v>44845</v>
      </c>
      <c r="D731" s="38">
        <v>286.2</v>
      </c>
      <c r="E731" s="38">
        <v>441.59</v>
      </c>
      <c r="F731" s="38">
        <v>463.39</v>
      </c>
      <c r="G731" s="38">
        <v>479.4</v>
      </c>
      <c r="H731" s="38">
        <v>460.8</v>
      </c>
      <c r="I731" s="38">
        <v>428.1</v>
      </c>
      <c r="J731" s="38">
        <v>398.6</v>
      </c>
      <c r="K731" s="38">
        <v>390.62</v>
      </c>
      <c r="L731" s="38">
        <v>388.82</v>
      </c>
      <c r="M731" s="38">
        <v>389.57</v>
      </c>
      <c r="N731" s="38">
        <v>392.86</v>
      </c>
      <c r="O731" s="38">
        <v>391.28</v>
      </c>
      <c r="P731" s="38">
        <v>419.39</v>
      </c>
      <c r="Q731" s="38">
        <v>432.19</v>
      </c>
      <c r="R731" s="38">
        <v>432.92</v>
      </c>
      <c r="S731" s="38">
        <v>436.76</v>
      </c>
      <c r="T731" s="38">
        <v>372</v>
      </c>
      <c r="U731" s="38">
        <v>318.20999999999998</v>
      </c>
      <c r="V731" s="38">
        <v>276.07</v>
      </c>
      <c r="W731" s="38">
        <v>279.57</v>
      </c>
      <c r="X731" s="38">
        <v>263.63</v>
      </c>
      <c r="Y731" s="38">
        <v>265.20999999999998</v>
      </c>
      <c r="Z731" s="38">
        <v>271.47000000000003</v>
      </c>
      <c r="AA731" s="38">
        <v>278.99</v>
      </c>
      <c r="AB731" s="38">
        <v>288.41000000000003</v>
      </c>
      <c r="AC731" s="38">
        <v>297.33</v>
      </c>
      <c r="AD731" s="38">
        <v>307.08</v>
      </c>
      <c r="AE731" s="38">
        <v>303.16000000000003</v>
      </c>
      <c r="AF731" s="38">
        <v>287.92</v>
      </c>
      <c r="AG731" s="38">
        <v>242.44</v>
      </c>
      <c r="AH731" s="38">
        <v>217.44</v>
      </c>
      <c r="AI731" s="38">
        <v>207.17</v>
      </c>
      <c r="AJ731" s="38">
        <v>205.57</v>
      </c>
      <c r="AK731" s="38">
        <v>206.18</v>
      </c>
      <c r="AL731" s="38">
        <v>212.98</v>
      </c>
      <c r="AM731" s="38">
        <v>223.84</v>
      </c>
      <c r="AN731" s="38">
        <v>227.84</v>
      </c>
      <c r="AO731" s="38">
        <v>229.99</v>
      </c>
      <c r="AP731" s="38">
        <v>231.59</v>
      </c>
      <c r="AQ731" s="38">
        <v>232.41</v>
      </c>
      <c r="AR731" s="38">
        <v>223.96</v>
      </c>
      <c r="AS731" s="38">
        <v>181.2</v>
      </c>
      <c r="AT731" s="38">
        <v>151.96</v>
      </c>
      <c r="AU731" s="38">
        <v>149.88999999999999</v>
      </c>
      <c r="AV731" s="38">
        <v>146.09</v>
      </c>
      <c r="AW731" s="38">
        <v>140.37</v>
      </c>
      <c r="AX731" s="38">
        <v>141.13</v>
      </c>
      <c r="AY731" s="38">
        <v>152.83000000000001</v>
      </c>
      <c r="BA731" s="37">
        <v>95.17</v>
      </c>
      <c r="BB731" s="38">
        <v>1.1083000000000001</v>
      </c>
    </row>
    <row r="732" spans="1:54" x14ac:dyDescent="0.35">
      <c r="A732" s="2">
        <f t="shared" si="11"/>
        <v>44846</v>
      </c>
      <c r="B732" t="s">
        <v>774</v>
      </c>
      <c r="C732" s="32">
        <v>44846</v>
      </c>
      <c r="D732" s="38">
        <v>293.89999999999998</v>
      </c>
      <c r="E732" s="38">
        <v>444.74</v>
      </c>
      <c r="F732" s="38">
        <v>464.76</v>
      </c>
      <c r="G732" s="38">
        <v>482.48</v>
      </c>
      <c r="H732" s="38">
        <v>462.74</v>
      </c>
      <c r="I732" s="38">
        <v>419.89</v>
      </c>
      <c r="J732" s="38">
        <v>388.07</v>
      </c>
      <c r="K732" s="38">
        <v>379.9</v>
      </c>
      <c r="L732" s="38">
        <v>375.99</v>
      </c>
      <c r="M732" s="38">
        <v>376.23</v>
      </c>
      <c r="N732" s="38">
        <v>377.5</v>
      </c>
      <c r="O732" s="38">
        <v>375.01</v>
      </c>
      <c r="P732" s="38">
        <v>405.31</v>
      </c>
      <c r="Q732" s="38">
        <v>426.88</v>
      </c>
      <c r="R732" s="38">
        <v>428.43</v>
      </c>
      <c r="S732" s="38">
        <v>430.22</v>
      </c>
      <c r="T732" s="38">
        <v>369.48</v>
      </c>
      <c r="U732" s="38">
        <v>317.51</v>
      </c>
      <c r="V732" s="38">
        <v>275.39999999999998</v>
      </c>
      <c r="W732" s="38">
        <v>278.93</v>
      </c>
      <c r="X732" s="38">
        <v>261.95999999999998</v>
      </c>
      <c r="Y732" s="38">
        <v>263.60000000000002</v>
      </c>
      <c r="Z732" s="38">
        <v>269.68</v>
      </c>
      <c r="AA732" s="38">
        <v>279</v>
      </c>
      <c r="AB732" s="38">
        <v>288</v>
      </c>
      <c r="AC732" s="38">
        <v>296.92</v>
      </c>
      <c r="AD732" s="38">
        <v>300.2</v>
      </c>
      <c r="AE732" s="38">
        <v>296.2</v>
      </c>
      <c r="AF732" s="38">
        <v>280.2</v>
      </c>
      <c r="AG732" s="38">
        <v>238.46</v>
      </c>
      <c r="AH732" s="38">
        <v>213.46</v>
      </c>
      <c r="AI732" s="38">
        <v>203.46</v>
      </c>
      <c r="AJ732" s="38">
        <v>201.86</v>
      </c>
      <c r="AK732" s="38">
        <v>202.45</v>
      </c>
      <c r="AL732" s="38">
        <v>209.27</v>
      </c>
      <c r="AM732" s="38">
        <v>218.09</v>
      </c>
      <c r="AN732" s="38">
        <v>222.09</v>
      </c>
      <c r="AO732" s="38">
        <v>224.26</v>
      </c>
      <c r="AP732" s="38">
        <v>227.34</v>
      </c>
      <c r="AQ732" s="38">
        <v>228.16</v>
      </c>
      <c r="AR732" s="38">
        <v>218.16</v>
      </c>
      <c r="AS732" s="38">
        <v>168.33</v>
      </c>
      <c r="AT732" s="38">
        <v>137.33000000000001</v>
      </c>
      <c r="AU732" s="38">
        <v>135.26</v>
      </c>
      <c r="AV732" s="38">
        <v>131.46</v>
      </c>
      <c r="AW732" s="38">
        <v>125.74</v>
      </c>
      <c r="AX732" s="38">
        <v>126.5</v>
      </c>
      <c r="AY732" s="38">
        <v>139.77000000000001</v>
      </c>
      <c r="BA732" s="37">
        <v>93.44</v>
      </c>
      <c r="BB732" s="38">
        <v>1.1072</v>
      </c>
    </row>
    <row r="733" spans="1:54" x14ac:dyDescent="0.35">
      <c r="A733" s="2">
        <f t="shared" si="11"/>
        <v>44847</v>
      </c>
      <c r="B733" t="s">
        <v>775</v>
      </c>
      <c r="C733" s="32">
        <v>44847</v>
      </c>
      <c r="D733" s="38">
        <v>281.37</v>
      </c>
      <c r="E733" s="38">
        <v>426.77</v>
      </c>
      <c r="F733" s="38">
        <v>444.27</v>
      </c>
      <c r="G733" s="38">
        <v>461.27</v>
      </c>
      <c r="H733" s="38">
        <v>442.39</v>
      </c>
      <c r="I733" s="38">
        <v>405.36</v>
      </c>
      <c r="J733" s="38">
        <v>375.36</v>
      </c>
      <c r="K733" s="38">
        <v>366.65</v>
      </c>
      <c r="L733" s="38">
        <v>359.25</v>
      </c>
      <c r="M733" s="38">
        <v>361.69</v>
      </c>
      <c r="N733" s="38">
        <v>362.34</v>
      </c>
      <c r="O733" s="38">
        <v>358.84</v>
      </c>
      <c r="P733" s="38">
        <v>388.58</v>
      </c>
      <c r="Q733" s="38">
        <v>403.57</v>
      </c>
      <c r="R733" s="38">
        <v>407.21</v>
      </c>
      <c r="S733" s="38">
        <v>409</v>
      </c>
      <c r="T733" s="38">
        <v>348.29</v>
      </c>
      <c r="U733" s="38">
        <v>313.08999999999997</v>
      </c>
      <c r="V733" s="38">
        <v>270.98</v>
      </c>
      <c r="W733" s="38">
        <v>274.51</v>
      </c>
      <c r="X733" s="38">
        <v>257.52999999999997</v>
      </c>
      <c r="Y733" s="38">
        <v>259.17</v>
      </c>
      <c r="Z733" s="38">
        <v>264.25</v>
      </c>
      <c r="AA733" s="38">
        <v>272.54000000000002</v>
      </c>
      <c r="AB733" s="38">
        <v>280.54000000000002</v>
      </c>
      <c r="AC733" s="38">
        <v>289.45999999999998</v>
      </c>
      <c r="AD733" s="38">
        <v>292.77</v>
      </c>
      <c r="AE733" s="38">
        <v>288.77</v>
      </c>
      <c r="AF733" s="38">
        <v>272.77</v>
      </c>
      <c r="AG733" s="38">
        <v>231.12</v>
      </c>
      <c r="AH733" s="38">
        <v>206.12</v>
      </c>
      <c r="AI733" s="38">
        <v>196.12</v>
      </c>
      <c r="AJ733" s="38">
        <v>194.52</v>
      </c>
      <c r="AK733" s="38">
        <v>195.11</v>
      </c>
      <c r="AL733" s="38">
        <v>201.93</v>
      </c>
      <c r="AM733" s="38">
        <v>210.74</v>
      </c>
      <c r="AN733" s="38">
        <v>214.74</v>
      </c>
      <c r="AO733" s="38">
        <v>216.91</v>
      </c>
      <c r="AP733" s="38">
        <v>219.93</v>
      </c>
      <c r="AQ733" s="38">
        <v>220.75</v>
      </c>
      <c r="AR733" s="38">
        <v>210.77</v>
      </c>
      <c r="AS733" s="38">
        <v>160.78</v>
      </c>
      <c r="AT733" s="38">
        <v>130.02000000000001</v>
      </c>
      <c r="AU733" s="38">
        <v>127.96</v>
      </c>
      <c r="AV733" s="38">
        <v>124.15</v>
      </c>
      <c r="AW733" s="38">
        <v>118.43</v>
      </c>
      <c r="AX733" s="38">
        <v>119.19</v>
      </c>
      <c r="AY733" s="38">
        <v>132.04</v>
      </c>
      <c r="BA733" s="37">
        <v>95.16</v>
      </c>
      <c r="BB733" s="38">
        <v>1.1236999999999999</v>
      </c>
    </row>
    <row r="734" spans="1:54" x14ac:dyDescent="0.35">
      <c r="A734" s="2">
        <f t="shared" si="11"/>
        <v>44848</v>
      </c>
      <c r="B734" t="s">
        <v>776</v>
      </c>
      <c r="C734" s="32">
        <v>44848</v>
      </c>
      <c r="D734" s="38">
        <v>261.35000000000002</v>
      </c>
      <c r="E734" s="38">
        <v>403.35</v>
      </c>
      <c r="F734" s="38">
        <v>421.19</v>
      </c>
      <c r="G734" s="38">
        <v>437.95</v>
      </c>
      <c r="H734" s="38">
        <v>419.58</v>
      </c>
      <c r="I734" s="38">
        <v>395</v>
      </c>
      <c r="J734" s="38">
        <v>370</v>
      </c>
      <c r="K734" s="38">
        <v>363.99</v>
      </c>
      <c r="L734" s="38">
        <v>357.64</v>
      </c>
      <c r="M734" s="38">
        <v>359.3</v>
      </c>
      <c r="N734" s="38">
        <v>360.74</v>
      </c>
      <c r="O734" s="38">
        <v>360.74</v>
      </c>
      <c r="P734" s="38">
        <v>390.01</v>
      </c>
      <c r="Q734" s="38">
        <v>404.87</v>
      </c>
      <c r="R734" s="38">
        <v>409.94</v>
      </c>
      <c r="S734" s="38">
        <v>408.94</v>
      </c>
      <c r="T734" s="38">
        <v>351.23</v>
      </c>
      <c r="U734" s="38">
        <v>316.57</v>
      </c>
      <c r="V734" s="38">
        <v>274.45999999999998</v>
      </c>
      <c r="W734" s="38">
        <v>277.95999999999998</v>
      </c>
      <c r="X734" s="38">
        <v>260.98</v>
      </c>
      <c r="Y734" s="38">
        <v>262.62</v>
      </c>
      <c r="Z734" s="38">
        <v>267.7</v>
      </c>
      <c r="AA734" s="38">
        <v>275.62</v>
      </c>
      <c r="AB734" s="38">
        <v>283.62</v>
      </c>
      <c r="AC734" s="38">
        <v>292.54000000000002</v>
      </c>
      <c r="AD734" s="38">
        <v>295.35000000000002</v>
      </c>
      <c r="AE734" s="38">
        <v>291.35000000000002</v>
      </c>
      <c r="AF734" s="38">
        <v>275.35000000000002</v>
      </c>
      <c r="AG734" s="38">
        <v>232.19</v>
      </c>
      <c r="AH734" s="38">
        <v>207.2</v>
      </c>
      <c r="AI734" s="38">
        <v>197.19</v>
      </c>
      <c r="AJ734" s="38">
        <v>195.59</v>
      </c>
      <c r="AK734" s="38">
        <v>196.18</v>
      </c>
      <c r="AL734" s="38">
        <v>200</v>
      </c>
      <c r="AM734" s="38">
        <v>203.86</v>
      </c>
      <c r="AN734" s="38">
        <v>207.86</v>
      </c>
      <c r="AO734" s="38">
        <v>210.04</v>
      </c>
      <c r="AP734" s="38">
        <v>213.03</v>
      </c>
      <c r="AQ734" s="38">
        <v>213.85</v>
      </c>
      <c r="AR734" s="38">
        <v>203.88</v>
      </c>
      <c r="AS734" s="38">
        <v>153.47</v>
      </c>
      <c r="AT734" s="38">
        <v>122.71</v>
      </c>
      <c r="AU734" s="38">
        <v>120.64</v>
      </c>
      <c r="AV734" s="38">
        <v>116.84</v>
      </c>
      <c r="AW734" s="38">
        <v>111.12</v>
      </c>
      <c r="AX734" s="38">
        <v>111.88</v>
      </c>
      <c r="AY734" s="38">
        <v>124.72</v>
      </c>
      <c r="BA734" s="37">
        <v>92.22</v>
      </c>
      <c r="BB734" s="38">
        <v>1.1251</v>
      </c>
    </row>
    <row r="735" spans="1:54" x14ac:dyDescent="0.35">
      <c r="A735" s="2">
        <f t="shared" si="11"/>
        <v>44851</v>
      </c>
      <c r="B735" t="s">
        <v>777</v>
      </c>
      <c r="C735" s="32">
        <v>44851</v>
      </c>
      <c r="D735" s="38">
        <v>232.25</v>
      </c>
      <c r="E735" s="38">
        <v>380.25</v>
      </c>
      <c r="F735" s="38">
        <v>403.26</v>
      </c>
      <c r="G735" s="38">
        <v>418</v>
      </c>
      <c r="H735" s="38">
        <v>401.41</v>
      </c>
      <c r="I735" s="38">
        <v>385.17</v>
      </c>
      <c r="J735" s="38">
        <v>361.17</v>
      </c>
      <c r="K735" s="38">
        <v>354.37</v>
      </c>
      <c r="L735" s="38">
        <v>349.2</v>
      </c>
      <c r="M735" s="38">
        <v>350</v>
      </c>
      <c r="N735" s="38">
        <v>349.23</v>
      </c>
      <c r="O735" s="38">
        <v>347.23</v>
      </c>
      <c r="P735" s="38">
        <v>381.23</v>
      </c>
      <c r="Q735" s="38">
        <v>396.43</v>
      </c>
      <c r="R735" s="38">
        <v>402.72</v>
      </c>
      <c r="S735" s="38">
        <v>401.72</v>
      </c>
      <c r="T735" s="38">
        <v>346.72</v>
      </c>
      <c r="U735" s="38">
        <v>310.52999999999997</v>
      </c>
      <c r="V735" s="38">
        <v>268.42</v>
      </c>
      <c r="W735" s="38">
        <v>271.92</v>
      </c>
      <c r="X735" s="38">
        <v>254.94</v>
      </c>
      <c r="Y735" s="38">
        <v>256.58</v>
      </c>
      <c r="Z735" s="38">
        <v>261.64999999999998</v>
      </c>
      <c r="AA735" s="38">
        <v>268.51</v>
      </c>
      <c r="AB735" s="38">
        <v>275.51</v>
      </c>
      <c r="AC735" s="38">
        <v>282.86</v>
      </c>
      <c r="AD735" s="38">
        <v>286.95</v>
      </c>
      <c r="AE735" s="38">
        <v>283.14999999999998</v>
      </c>
      <c r="AF735" s="38">
        <v>267.33</v>
      </c>
      <c r="AG735" s="38">
        <v>224.72</v>
      </c>
      <c r="AH735" s="38">
        <v>199.81</v>
      </c>
      <c r="AI735" s="38">
        <v>189.84</v>
      </c>
      <c r="AJ735" s="38">
        <v>187.46</v>
      </c>
      <c r="AK735" s="38">
        <v>188.08</v>
      </c>
      <c r="AL735" s="38">
        <v>192.01</v>
      </c>
      <c r="AM735" s="38">
        <v>196.03</v>
      </c>
      <c r="AN735" s="38">
        <v>200.02</v>
      </c>
      <c r="AO735" s="38">
        <v>202.21</v>
      </c>
      <c r="AP735" s="38">
        <v>205.31</v>
      </c>
      <c r="AQ735" s="38">
        <v>206.13</v>
      </c>
      <c r="AR735" s="38">
        <v>196.16</v>
      </c>
      <c r="AS735" s="38">
        <v>145.76</v>
      </c>
      <c r="AT735" s="38">
        <v>115</v>
      </c>
      <c r="AU735" s="38">
        <v>112.93</v>
      </c>
      <c r="AV735" s="38">
        <v>109.13</v>
      </c>
      <c r="AW735" s="38">
        <v>103.41</v>
      </c>
      <c r="AX735" s="38">
        <v>104.17</v>
      </c>
      <c r="AY735" s="38">
        <v>115.04</v>
      </c>
      <c r="BA735" s="37">
        <v>91.04</v>
      </c>
      <c r="BB735" s="38">
        <v>1.1434</v>
      </c>
    </row>
    <row r="736" spans="1:54" x14ac:dyDescent="0.35">
      <c r="A736" s="2">
        <f t="shared" si="11"/>
        <v>44852</v>
      </c>
      <c r="B736" t="s">
        <v>778</v>
      </c>
      <c r="C736" s="32">
        <v>44852</v>
      </c>
      <c r="D736" s="38">
        <v>201.5</v>
      </c>
      <c r="E736" s="38">
        <v>362.5</v>
      </c>
      <c r="F736" s="38">
        <v>385</v>
      </c>
      <c r="G736" s="38">
        <v>398.32</v>
      </c>
      <c r="H736" s="38">
        <v>381.58</v>
      </c>
      <c r="I736" s="38">
        <v>358.33</v>
      </c>
      <c r="J736" s="38">
        <v>334.34</v>
      </c>
      <c r="K736" s="38">
        <v>328.58</v>
      </c>
      <c r="L736" s="38">
        <v>325.73</v>
      </c>
      <c r="M736" s="38">
        <v>326.73</v>
      </c>
      <c r="N736" s="38">
        <v>327.73</v>
      </c>
      <c r="O736" s="38">
        <v>325.23</v>
      </c>
      <c r="P736" s="38">
        <v>357</v>
      </c>
      <c r="Q736" s="38">
        <v>373.1</v>
      </c>
      <c r="R736" s="38">
        <v>378.64</v>
      </c>
      <c r="S736" s="38">
        <v>377.65</v>
      </c>
      <c r="T736" s="38">
        <v>322.64999999999998</v>
      </c>
      <c r="U736" s="38">
        <v>293.52999999999997</v>
      </c>
      <c r="V736" s="38">
        <v>251.51</v>
      </c>
      <c r="W736" s="38">
        <v>255.03</v>
      </c>
      <c r="X736" s="38">
        <v>238.06</v>
      </c>
      <c r="Y736" s="38">
        <v>239.72</v>
      </c>
      <c r="Z736" s="38">
        <v>244.8</v>
      </c>
      <c r="AA736" s="38">
        <v>253.81</v>
      </c>
      <c r="AB736" s="38">
        <v>261.29000000000002</v>
      </c>
      <c r="AC736" s="38">
        <v>268.64</v>
      </c>
      <c r="AD736" s="38">
        <v>272.73</v>
      </c>
      <c r="AE736" s="38">
        <v>268.93</v>
      </c>
      <c r="AF736" s="38">
        <v>253.11</v>
      </c>
      <c r="AG736" s="38">
        <v>219.11</v>
      </c>
      <c r="AH736" s="38">
        <v>194.2</v>
      </c>
      <c r="AI736" s="38">
        <v>184.23</v>
      </c>
      <c r="AJ736" s="38">
        <v>181.85</v>
      </c>
      <c r="AK736" s="38">
        <v>182.47</v>
      </c>
      <c r="AL736" s="38">
        <v>186.4</v>
      </c>
      <c r="AM736" s="38">
        <v>192.4</v>
      </c>
      <c r="AN736" s="38">
        <v>196.39</v>
      </c>
      <c r="AO736" s="38">
        <v>198.58</v>
      </c>
      <c r="AP736" s="38">
        <v>201.68</v>
      </c>
      <c r="AQ736" s="38">
        <v>202.5</v>
      </c>
      <c r="AR736" s="38">
        <v>192.53</v>
      </c>
      <c r="AS736" s="38">
        <v>142.13</v>
      </c>
      <c r="AT736" s="38">
        <v>111.37</v>
      </c>
      <c r="AU736" s="38">
        <v>109.3</v>
      </c>
      <c r="AV736" s="38">
        <v>105.5</v>
      </c>
      <c r="AW736" s="38">
        <v>99.78</v>
      </c>
      <c r="AX736" s="38">
        <v>100.54</v>
      </c>
      <c r="AY736" s="38">
        <v>111.41</v>
      </c>
      <c r="BA736" s="37">
        <v>89.46</v>
      </c>
      <c r="BB736" s="38">
        <v>1.1322000000000001</v>
      </c>
    </row>
    <row r="737" spans="1:54" x14ac:dyDescent="0.35">
      <c r="A737" s="2">
        <f t="shared" si="11"/>
        <v>44853</v>
      </c>
      <c r="B737" t="s">
        <v>779</v>
      </c>
      <c r="C737" s="32">
        <v>44853</v>
      </c>
      <c r="D737" s="38">
        <v>182.71</v>
      </c>
      <c r="E737" s="38">
        <v>340.5</v>
      </c>
      <c r="F737" s="38">
        <v>364.1</v>
      </c>
      <c r="G737" s="38">
        <v>377.1</v>
      </c>
      <c r="H737" s="38">
        <v>364.1</v>
      </c>
      <c r="I737" s="38">
        <v>345.64</v>
      </c>
      <c r="J737" s="38">
        <v>328.97</v>
      </c>
      <c r="K737" s="38">
        <v>323.29000000000002</v>
      </c>
      <c r="L737" s="38">
        <v>317.5</v>
      </c>
      <c r="M737" s="38">
        <v>318.57</v>
      </c>
      <c r="N737" s="38">
        <v>317.54000000000002</v>
      </c>
      <c r="O737" s="38">
        <v>315.04000000000002</v>
      </c>
      <c r="P737" s="38">
        <v>346.6</v>
      </c>
      <c r="Q737" s="38">
        <v>355.8</v>
      </c>
      <c r="R737" s="38">
        <v>361</v>
      </c>
      <c r="S737" s="38">
        <v>360.02</v>
      </c>
      <c r="T737" s="38">
        <v>305.01</v>
      </c>
      <c r="U737" s="38">
        <v>278.38</v>
      </c>
      <c r="V737" s="38">
        <v>252.24</v>
      </c>
      <c r="W737" s="38">
        <v>255.76</v>
      </c>
      <c r="X737" s="38">
        <v>238.8</v>
      </c>
      <c r="Y737" s="38">
        <v>240.46</v>
      </c>
      <c r="Z737" s="38">
        <v>245.54</v>
      </c>
      <c r="AA737" s="38">
        <v>253.42</v>
      </c>
      <c r="AB737" s="38">
        <v>260.89999999999998</v>
      </c>
      <c r="AC737" s="38">
        <v>268.26</v>
      </c>
      <c r="AD737" s="38">
        <v>272.39</v>
      </c>
      <c r="AE737" s="38">
        <v>268.58999999999997</v>
      </c>
      <c r="AF737" s="38">
        <v>252.77</v>
      </c>
      <c r="AG737" s="38">
        <v>215.79</v>
      </c>
      <c r="AH737" s="38">
        <v>190.86</v>
      </c>
      <c r="AI737" s="38">
        <v>180.89</v>
      </c>
      <c r="AJ737" s="38">
        <v>177.14</v>
      </c>
      <c r="AK737" s="38">
        <v>177.76</v>
      </c>
      <c r="AL737" s="38">
        <v>181.69</v>
      </c>
      <c r="AM737" s="38">
        <v>187.68</v>
      </c>
      <c r="AN737" s="38">
        <v>191.67</v>
      </c>
      <c r="AO737" s="38">
        <v>193.86</v>
      </c>
      <c r="AP737" s="38">
        <v>197.15</v>
      </c>
      <c r="AQ737" s="38">
        <v>197.97</v>
      </c>
      <c r="AR737" s="38">
        <v>188</v>
      </c>
      <c r="AS737" s="38">
        <v>137.24</v>
      </c>
      <c r="AT737" s="38">
        <v>106.47</v>
      </c>
      <c r="AU737" s="38">
        <v>104.4</v>
      </c>
      <c r="AV737" s="38">
        <v>100.61</v>
      </c>
      <c r="AW737" s="38">
        <v>94.89</v>
      </c>
      <c r="AX737" s="38">
        <v>95.64</v>
      </c>
      <c r="AY737" s="38">
        <v>104.55</v>
      </c>
      <c r="BA737" s="37">
        <v>91.34</v>
      </c>
      <c r="BB737" s="38">
        <v>1.1259999999999999</v>
      </c>
    </row>
    <row r="738" spans="1:54" x14ac:dyDescent="0.35">
      <c r="A738" s="2">
        <f t="shared" si="11"/>
        <v>44854</v>
      </c>
      <c r="B738" t="s">
        <v>780</v>
      </c>
      <c r="C738" s="32">
        <v>44854</v>
      </c>
      <c r="D738" s="38">
        <v>224</v>
      </c>
      <c r="E738" s="38">
        <v>387.94</v>
      </c>
      <c r="F738" s="38">
        <v>410.44</v>
      </c>
      <c r="G738" s="38">
        <v>423.94</v>
      </c>
      <c r="H738" s="38">
        <v>411.61</v>
      </c>
      <c r="I738" s="38">
        <v>387.79</v>
      </c>
      <c r="J738" s="38">
        <v>371.07</v>
      </c>
      <c r="K738" s="38">
        <v>365.22</v>
      </c>
      <c r="L738" s="38">
        <v>360.22</v>
      </c>
      <c r="M738" s="38">
        <v>361.28</v>
      </c>
      <c r="N738" s="38">
        <v>360.23</v>
      </c>
      <c r="O738" s="38">
        <v>357.25</v>
      </c>
      <c r="P738" s="38">
        <v>385.01</v>
      </c>
      <c r="Q738" s="38">
        <v>394.21</v>
      </c>
      <c r="R738" s="38">
        <v>403.5</v>
      </c>
      <c r="S738" s="38">
        <v>402.52</v>
      </c>
      <c r="T738" s="38">
        <v>347.5</v>
      </c>
      <c r="U738" s="38">
        <v>296.69</v>
      </c>
      <c r="V738" s="38">
        <v>270.55</v>
      </c>
      <c r="W738" s="38">
        <v>274.07</v>
      </c>
      <c r="X738" s="38">
        <v>263.11</v>
      </c>
      <c r="Y738" s="38">
        <v>264.77</v>
      </c>
      <c r="Z738" s="38">
        <v>269.85000000000002</v>
      </c>
      <c r="AA738" s="38">
        <v>274.73</v>
      </c>
      <c r="AB738" s="38">
        <v>279.20999999999998</v>
      </c>
      <c r="AC738" s="38">
        <v>286.57</v>
      </c>
      <c r="AD738" s="38">
        <v>290.7</v>
      </c>
      <c r="AE738" s="38">
        <v>286.89999999999998</v>
      </c>
      <c r="AF738" s="38">
        <v>271.08</v>
      </c>
      <c r="AG738" s="38">
        <v>234.1</v>
      </c>
      <c r="AH738" s="38">
        <v>209.17</v>
      </c>
      <c r="AI738" s="38">
        <v>199.2</v>
      </c>
      <c r="AJ738" s="38">
        <v>195.45</v>
      </c>
      <c r="AK738" s="38">
        <v>196.07</v>
      </c>
      <c r="AL738" s="38">
        <v>200</v>
      </c>
      <c r="AM738" s="38">
        <v>205.99</v>
      </c>
      <c r="AN738" s="38">
        <v>209.98</v>
      </c>
      <c r="AO738" s="38">
        <v>212.17</v>
      </c>
      <c r="AP738" s="38">
        <v>215.46</v>
      </c>
      <c r="AQ738" s="38">
        <v>216.28</v>
      </c>
      <c r="AR738" s="38">
        <v>206.31</v>
      </c>
      <c r="AS738" s="38">
        <v>155.55000000000001</v>
      </c>
      <c r="AT738" s="38">
        <v>124.78</v>
      </c>
      <c r="AU738" s="38">
        <v>122.71</v>
      </c>
      <c r="AV738" s="38">
        <v>118.92</v>
      </c>
      <c r="AW738" s="38">
        <v>113.2</v>
      </c>
      <c r="AX738" s="38">
        <v>113.95</v>
      </c>
      <c r="AY738" s="38">
        <v>118.86</v>
      </c>
      <c r="BA738" s="37">
        <v>91.52</v>
      </c>
      <c r="BB738" s="38">
        <v>1.1318999999999999</v>
      </c>
    </row>
    <row r="739" spans="1:54" x14ac:dyDescent="0.35">
      <c r="A739" s="2">
        <f t="shared" si="11"/>
        <v>44855</v>
      </c>
      <c r="B739" t="s">
        <v>781</v>
      </c>
      <c r="C739" s="32">
        <v>44855</v>
      </c>
      <c r="D739" s="38">
        <v>204.12</v>
      </c>
      <c r="E739" s="38">
        <v>364.35</v>
      </c>
      <c r="F739" s="38">
        <v>390.25</v>
      </c>
      <c r="G739" s="38">
        <v>406.3</v>
      </c>
      <c r="H739" s="38">
        <v>390.8</v>
      </c>
      <c r="I739" s="38">
        <v>368.56</v>
      </c>
      <c r="J739" s="38">
        <v>350.95</v>
      </c>
      <c r="K739" s="38">
        <v>346.39</v>
      </c>
      <c r="L739" s="38">
        <v>342.37</v>
      </c>
      <c r="M739" s="38">
        <v>343.42</v>
      </c>
      <c r="N739" s="38">
        <v>342.37</v>
      </c>
      <c r="O739" s="38">
        <v>340.29</v>
      </c>
      <c r="P739" s="38">
        <v>369.65</v>
      </c>
      <c r="Q739" s="38">
        <v>378.85</v>
      </c>
      <c r="R739" s="38">
        <v>388.14</v>
      </c>
      <c r="S739" s="38">
        <v>387.16</v>
      </c>
      <c r="T739" s="38">
        <v>332.14</v>
      </c>
      <c r="U739" s="38">
        <v>281.33</v>
      </c>
      <c r="V739" s="38">
        <v>255.19</v>
      </c>
      <c r="W739" s="38">
        <v>258.70999999999998</v>
      </c>
      <c r="X739" s="38">
        <v>247.75</v>
      </c>
      <c r="Y739" s="38">
        <v>249.41</v>
      </c>
      <c r="Z739" s="38">
        <v>254.49</v>
      </c>
      <c r="AA739" s="38">
        <v>259.37</v>
      </c>
      <c r="AB739" s="38">
        <v>263.85000000000002</v>
      </c>
      <c r="AC739" s="38">
        <v>271.20999999999998</v>
      </c>
      <c r="AD739" s="38">
        <v>276.33999999999997</v>
      </c>
      <c r="AE739" s="38">
        <v>272.54000000000002</v>
      </c>
      <c r="AF739" s="38">
        <v>256.72000000000003</v>
      </c>
      <c r="AG739" s="38">
        <v>219.74</v>
      </c>
      <c r="AH739" s="38">
        <v>194.81</v>
      </c>
      <c r="AI739" s="38">
        <v>184.84</v>
      </c>
      <c r="AJ739" s="38">
        <v>181.09</v>
      </c>
      <c r="AK739" s="38">
        <v>181.71</v>
      </c>
      <c r="AL739" s="38">
        <v>185.64</v>
      </c>
      <c r="AM739" s="38">
        <v>191.63</v>
      </c>
      <c r="AN739" s="38">
        <v>195.62</v>
      </c>
      <c r="AO739" s="38">
        <v>197.81</v>
      </c>
      <c r="AP739" s="38">
        <v>200.1</v>
      </c>
      <c r="AQ739" s="38">
        <v>200.92</v>
      </c>
      <c r="AR739" s="38">
        <v>190.95</v>
      </c>
      <c r="AS739" s="38">
        <v>140.19</v>
      </c>
      <c r="AT739" s="38">
        <v>109.42</v>
      </c>
      <c r="AU739" s="38">
        <v>107.35</v>
      </c>
      <c r="AV739" s="38">
        <v>103.56</v>
      </c>
      <c r="AW739" s="38">
        <v>97.84</v>
      </c>
      <c r="AX739" s="38">
        <v>98.59</v>
      </c>
      <c r="AY739" s="38">
        <v>103.5</v>
      </c>
      <c r="BA739" s="37">
        <v>91.82</v>
      </c>
      <c r="BB739" s="38">
        <v>1.1126</v>
      </c>
    </row>
    <row r="740" spans="1:54" x14ac:dyDescent="0.35">
      <c r="A740" s="2">
        <f t="shared" si="11"/>
        <v>44858</v>
      </c>
      <c r="B740" t="s">
        <v>782</v>
      </c>
      <c r="C740" s="32">
        <v>44858</v>
      </c>
      <c r="D740" s="38">
        <v>183.2</v>
      </c>
      <c r="E740" s="38">
        <v>339.98</v>
      </c>
      <c r="F740" s="38">
        <v>370.98</v>
      </c>
      <c r="G740" s="38">
        <v>387.28</v>
      </c>
      <c r="H740" s="38">
        <v>373.73</v>
      </c>
      <c r="I740" s="38">
        <v>349.02</v>
      </c>
      <c r="J740" s="38">
        <v>331.77</v>
      </c>
      <c r="K740" s="38">
        <v>327.77</v>
      </c>
      <c r="L740" s="38">
        <v>323.27</v>
      </c>
      <c r="M740" s="38">
        <v>324.02</v>
      </c>
      <c r="N740" s="38">
        <v>324.52</v>
      </c>
      <c r="O740" s="38">
        <v>324.07</v>
      </c>
      <c r="P740" s="38">
        <v>353.07</v>
      </c>
      <c r="Q740" s="38">
        <v>362.32</v>
      </c>
      <c r="R740" s="38">
        <v>371.56</v>
      </c>
      <c r="S740" s="38">
        <v>370.66</v>
      </c>
      <c r="T740" s="38">
        <v>319.74</v>
      </c>
      <c r="U740" s="38">
        <v>274.85000000000002</v>
      </c>
      <c r="V740" s="38">
        <v>248.77</v>
      </c>
      <c r="W740" s="38">
        <v>252.3</v>
      </c>
      <c r="X740" s="38">
        <v>241.38</v>
      </c>
      <c r="Y740" s="38">
        <v>243.05</v>
      </c>
      <c r="Z740" s="38">
        <v>248.13</v>
      </c>
      <c r="AA740" s="38">
        <v>252.84</v>
      </c>
      <c r="AB740" s="38">
        <v>257.33</v>
      </c>
      <c r="AC740" s="38">
        <v>264.69</v>
      </c>
      <c r="AD740" s="38">
        <v>270.74</v>
      </c>
      <c r="AE740" s="38">
        <v>266.94</v>
      </c>
      <c r="AF740" s="38">
        <v>251.13</v>
      </c>
      <c r="AG740" s="38">
        <v>211.13</v>
      </c>
      <c r="AH740" s="38">
        <v>185.89</v>
      </c>
      <c r="AI740" s="38">
        <v>175.93</v>
      </c>
      <c r="AJ740" s="38">
        <v>175.44</v>
      </c>
      <c r="AK740" s="38">
        <v>176.07</v>
      </c>
      <c r="AL740" s="38">
        <v>180.02</v>
      </c>
      <c r="AM740" s="38">
        <v>187.02</v>
      </c>
      <c r="AN740" s="38">
        <v>191.06</v>
      </c>
      <c r="AO740" s="38">
        <v>193.29</v>
      </c>
      <c r="AP740" s="38">
        <v>196.04</v>
      </c>
      <c r="AQ740" s="38">
        <v>196.9</v>
      </c>
      <c r="AR740" s="38">
        <v>187.4</v>
      </c>
      <c r="AS740" s="38">
        <v>139.65</v>
      </c>
      <c r="AT740" s="38">
        <v>108.9</v>
      </c>
      <c r="AU740" s="38">
        <v>106.83</v>
      </c>
      <c r="AV740" s="38">
        <v>103.04</v>
      </c>
      <c r="AW740" s="38">
        <v>97.32</v>
      </c>
      <c r="AX740" s="38">
        <v>98.07</v>
      </c>
      <c r="AY740" s="38">
        <v>102.98</v>
      </c>
      <c r="BA740" s="37">
        <v>91.57</v>
      </c>
      <c r="BB740" s="38">
        <v>1.1314</v>
      </c>
    </row>
    <row r="741" spans="1:54" x14ac:dyDescent="0.35">
      <c r="A741" s="2">
        <f t="shared" si="11"/>
        <v>44859</v>
      </c>
      <c r="B741" t="s">
        <v>783</v>
      </c>
      <c r="C741" s="32">
        <v>44859</v>
      </c>
      <c r="D741" s="38">
        <v>185.2</v>
      </c>
      <c r="E741" s="38">
        <v>334.19</v>
      </c>
      <c r="F741" s="38">
        <v>366.96</v>
      </c>
      <c r="G741" s="38">
        <v>381.75</v>
      </c>
      <c r="H741" s="38">
        <v>367.96</v>
      </c>
      <c r="I741" s="38">
        <v>344.95</v>
      </c>
      <c r="J741" s="38">
        <v>327.9</v>
      </c>
      <c r="K741" s="38">
        <v>321.88</v>
      </c>
      <c r="L741" s="38">
        <v>317.38</v>
      </c>
      <c r="M741" s="38">
        <v>318.62</v>
      </c>
      <c r="N741" s="38">
        <v>318.88</v>
      </c>
      <c r="O741" s="38">
        <v>319.57</v>
      </c>
      <c r="P741" s="38">
        <v>345.77</v>
      </c>
      <c r="Q741" s="38">
        <v>356.46</v>
      </c>
      <c r="R741" s="38">
        <v>362.84</v>
      </c>
      <c r="S741" s="38">
        <v>362.02</v>
      </c>
      <c r="T741" s="38">
        <v>315.01</v>
      </c>
      <c r="U741" s="38">
        <v>272.01</v>
      </c>
      <c r="V741" s="38">
        <v>246.94</v>
      </c>
      <c r="W741" s="38">
        <v>250.44</v>
      </c>
      <c r="X741" s="38">
        <v>237.43</v>
      </c>
      <c r="Y741" s="38">
        <v>239.1</v>
      </c>
      <c r="Z741" s="38">
        <v>244.15</v>
      </c>
      <c r="AA741" s="38">
        <v>250.41</v>
      </c>
      <c r="AB741" s="38">
        <v>255.41</v>
      </c>
      <c r="AC741" s="38">
        <v>262.77</v>
      </c>
      <c r="AD741" s="38">
        <v>268.77</v>
      </c>
      <c r="AE741" s="38">
        <v>264.97000000000003</v>
      </c>
      <c r="AF741" s="38">
        <v>249.18</v>
      </c>
      <c r="AG741" s="38">
        <v>207.43</v>
      </c>
      <c r="AH741" s="38">
        <v>180.43</v>
      </c>
      <c r="AI741" s="38">
        <v>170.47</v>
      </c>
      <c r="AJ741" s="38">
        <v>170</v>
      </c>
      <c r="AK741" s="38">
        <v>170.63</v>
      </c>
      <c r="AL741" s="38">
        <v>174.58</v>
      </c>
      <c r="AM741" s="38">
        <v>182.53</v>
      </c>
      <c r="AN741" s="38">
        <v>187.28</v>
      </c>
      <c r="AO741" s="38">
        <v>189.51</v>
      </c>
      <c r="AP741" s="38">
        <v>192.36</v>
      </c>
      <c r="AQ741" s="38">
        <v>193.22</v>
      </c>
      <c r="AR741" s="38">
        <v>183.72</v>
      </c>
      <c r="AS741" s="38">
        <v>135.97</v>
      </c>
      <c r="AT741" s="38">
        <v>105.21</v>
      </c>
      <c r="AU741" s="38">
        <v>103.14</v>
      </c>
      <c r="AV741" s="38">
        <v>99.35</v>
      </c>
      <c r="AW741" s="38">
        <v>93.63</v>
      </c>
      <c r="AX741" s="38">
        <v>94.39</v>
      </c>
      <c r="AY741" s="38">
        <v>99.09</v>
      </c>
      <c r="BA741" s="37">
        <v>91.76</v>
      </c>
      <c r="BB741" s="38">
        <v>1.1457999999999999</v>
      </c>
    </row>
    <row r="742" spans="1:54" x14ac:dyDescent="0.35">
      <c r="A742" s="2">
        <f t="shared" si="11"/>
        <v>44860</v>
      </c>
      <c r="B742" t="s">
        <v>784</v>
      </c>
      <c r="C742" s="32">
        <v>44860</v>
      </c>
      <c r="D742" s="38">
        <v>197.41</v>
      </c>
      <c r="E742" s="38">
        <v>328.75</v>
      </c>
      <c r="F742" s="38">
        <v>364.25</v>
      </c>
      <c r="G742" s="38">
        <v>375.25</v>
      </c>
      <c r="H742" s="38">
        <v>362.25</v>
      </c>
      <c r="I742" s="38">
        <v>338.96</v>
      </c>
      <c r="J742" s="38">
        <v>319.37</v>
      </c>
      <c r="K742" s="38">
        <v>310.8</v>
      </c>
      <c r="L742" s="38">
        <v>307.8</v>
      </c>
      <c r="M742" s="38">
        <v>308.81</v>
      </c>
      <c r="N742" s="38">
        <v>309.04000000000002</v>
      </c>
      <c r="O742" s="38">
        <v>309.74</v>
      </c>
      <c r="P742" s="38">
        <v>336.74</v>
      </c>
      <c r="Q742" s="38">
        <v>350.74</v>
      </c>
      <c r="R742" s="38">
        <v>357.24</v>
      </c>
      <c r="S742" s="38">
        <v>356.36</v>
      </c>
      <c r="T742" s="38">
        <v>308.36</v>
      </c>
      <c r="U742" s="38">
        <v>264.33999999999997</v>
      </c>
      <c r="V742" s="38">
        <v>238.84</v>
      </c>
      <c r="W742" s="38">
        <v>242.33</v>
      </c>
      <c r="X742" s="38">
        <v>229.31</v>
      </c>
      <c r="Y742" s="38">
        <v>230.98</v>
      </c>
      <c r="Z742" s="38">
        <v>236.02</v>
      </c>
      <c r="AA742" s="38">
        <v>243.17</v>
      </c>
      <c r="AB742" s="38">
        <v>248.17</v>
      </c>
      <c r="AC742" s="38">
        <v>255.51</v>
      </c>
      <c r="AD742" s="38">
        <v>261.51</v>
      </c>
      <c r="AE742" s="38">
        <v>257.70999999999998</v>
      </c>
      <c r="AF742" s="38">
        <v>241.92</v>
      </c>
      <c r="AG742" s="38">
        <v>202.92</v>
      </c>
      <c r="AH742" s="38">
        <v>175.92</v>
      </c>
      <c r="AI742" s="38">
        <v>165.96</v>
      </c>
      <c r="AJ742" s="38">
        <v>165.9</v>
      </c>
      <c r="AK742" s="38">
        <v>166.52</v>
      </c>
      <c r="AL742" s="38">
        <v>170.48</v>
      </c>
      <c r="AM742" s="38">
        <v>176.98</v>
      </c>
      <c r="AN742" s="38">
        <v>181.73</v>
      </c>
      <c r="AO742" s="38">
        <v>183.96</v>
      </c>
      <c r="AP742" s="38">
        <v>187.09</v>
      </c>
      <c r="AQ742" s="38">
        <v>187.95</v>
      </c>
      <c r="AR742" s="38">
        <v>178.45</v>
      </c>
      <c r="AS742" s="38">
        <v>135.44999999999999</v>
      </c>
      <c r="AT742" s="38">
        <v>106.95</v>
      </c>
      <c r="AU742" s="38">
        <v>104.89</v>
      </c>
      <c r="AV742" s="38">
        <v>101.1</v>
      </c>
      <c r="AW742" s="38">
        <v>95.37</v>
      </c>
      <c r="AX742" s="38">
        <v>96.13</v>
      </c>
      <c r="AY742" s="38">
        <v>100.83</v>
      </c>
      <c r="BA742" s="37">
        <v>92.93</v>
      </c>
      <c r="BB742" s="38">
        <v>1.1599999999999999</v>
      </c>
    </row>
    <row r="743" spans="1:54" x14ac:dyDescent="0.35">
      <c r="A743" s="2">
        <f t="shared" si="11"/>
        <v>44861</v>
      </c>
      <c r="B743" t="s">
        <v>785</v>
      </c>
      <c r="C743" s="32">
        <v>44861</v>
      </c>
      <c r="D743" s="38">
        <v>215.88</v>
      </c>
      <c r="E743" s="38">
        <v>334.13</v>
      </c>
      <c r="F743" s="38">
        <v>364.33</v>
      </c>
      <c r="G743" s="38">
        <v>375.05</v>
      </c>
      <c r="H743" s="38">
        <v>363.55</v>
      </c>
      <c r="I743" s="38">
        <v>342.55</v>
      </c>
      <c r="J743" s="38">
        <v>320.3</v>
      </c>
      <c r="K743" s="38">
        <v>312.55</v>
      </c>
      <c r="L743" s="38">
        <v>308.2</v>
      </c>
      <c r="M743" s="38">
        <v>308.2</v>
      </c>
      <c r="N743" s="38">
        <v>308.2</v>
      </c>
      <c r="O743" s="38">
        <v>312.7</v>
      </c>
      <c r="P743" s="38">
        <v>338.7</v>
      </c>
      <c r="Q743" s="38">
        <v>351.7</v>
      </c>
      <c r="R743" s="38">
        <v>356.7</v>
      </c>
      <c r="S743" s="38">
        <v>355.82</v>
      </c>
      <c r="T743" s="38">
        <v>311.57</v>
      </c>
      <c r="U743" s="38">
        <v>264.57</v>
      </c>
      <c r="V743" s="38">
        <v>239.07</v>
      </c>
      <c r="W743" s="38">
        <v>242.56</v>
      </c>
      <c r="X743" s="38">
        <v>229.53</v>
      </c>
      <c r="Y743" s="38">
        <v>231.2</v>
      </c>
      <c r="Z743" s="38">
        <v>236.24</v>
      </c>
      <c r="AA743" s="38">
        <v>244.24</v>
      </c>
      <c r="AB743" s="38">
        <v>249.24</v>
      </c>
      <c r="AC743" s="38">
        <v>256.58</v>
      </c>
      <c r="AD743" s="38">
        <v>262.58</v>
      </c>
      <c r="AE743" s="38">
        <v>258.77999999999997</v>
      </c>
      <c r="AF743" s="38">
        <v>242.99</v>
      </c>
      <c r="AG743" s="38">
        <v>201.99</v>
      </c>
      <c r="AH743" s="38">
        <v>174.99</v>
      </c>
      <c r="AI743" s="38">
        <v>165.03</v>
      </c>
      <c r="AJ743" s="38">
        <v>164.97</v>
      </c>
      <c r="AK743" s="38">
        <v>165.59</v>
      </c>
      <c r="AL743" s="38">
        <v>169.55</v>
      </c>
      <c r="AM743" s="38">
        <v>178.05</v>
      </c>
      <c r="AN743" s="38">
        <v>183.55</v>
      </c>
      <c r="AO743" s="38">
        <v>185.78</v>
      </c>
      <c r="AP743" s="38">
        <v>188.91</v>
      </c>
      <c r="AQ743" s="38">
        <v>189.77</v>
      </c>
      <c r="AR743" s="38">
        <v>180.27</v>
      </c>
      <c r="AS743" s="38">
        <v>137.27000000000001</v>
      </c>
      <c r="AT743" s="38">
        <v>108.77</v>
      </c>
      <c r="AU743" s="38">
        <v>106.71</v>
      </c>
      <c r="AV743" s="38">
        <v>102.92</v>
      </c>
      <c r="AW743" s="38">
        <v>97.19</v>
      </c>
      <c r="AX743" s="38">
        <v>97.95</v>
      </c>
      <c r="AY743" s="38">
        <v>103.95</v>
      </c>
      <c r="BA743" s="37">
        <v>94.17</v>
      </c>
      <c r="BB743" s="38">
        <v>1.1580999999999999</v>
      </c>
    </row>
    <row r="744" spans="1:54" x14ac:dyDescent="0.35">
      <c r="A744" s="2">
        <f t="shared" si="11"/>
        <v>44862</v>
      </c>
      <c r="B744" t="s">
        <v>786</v>
      </c>
      <c r="C744" s="32">
        <v>44862</v>
      </c>
      <c r="D744" s="38">
        <v>246.43</v>
      </c>
      <c r="E744" s="38">
        <v>338.13</v>
      </c>
      <c r="F744" s="38">
        <v>367.13</v>
      </c>
      <c r="G744" s="38">
        <v>376.13</v>
      </c>
      <c r="H744" s="38">
        <v>367.63</v>
      </c>
      <c r="I744" s="38">
        <v>339.63</v>
      </c>
      <c r="J744" s="38">
        <v>315.83999999999997</v>
      </c>
      <c r="K744" s="38">
        <v>308.58999999999997</v>
      </c>
      <c r="L744" s="38">
        <v>304.19</v>
      </c>
      <c r="M744" s="38">
        <v>305.14999999999998</v>
      </c>
      <c r="N744" s="38">
        <v>306.14</v>
      </c>
      <c r="O744" s="38">
        <v>316.14</v>
      </c>
      <c r="P744" s="38">
        <v>340.89</v>
      </c>
      <c r="Q744" s="38">
        <v>353.48</v>
      </c>
      <c r="R744" s="38">
        <v>357.48</v>
      </c>
      <c r="S744" s="38">
        <v>356.48</v>
      </c>
      <c r="T744" s="38">
        <v>314.48</v>
      </c>
      <c r="U744" s="38">
        <v>272.73</v>
      </c>
      <c r="V744" s="38">
        <v>249.73</v>
      </c>
      <c r="W744" s="38">
        <v>253.22</v>
      </c>
      <c r="X744" s="38">
        <v>240.18</v>
      </c>
      <c r="Y744" s="38">
        <v>241.85</v>
      </c>
      <c r="Z744" s="38">
        <v>246.89</v>
      </c>
      <c r="AA744" s="38">
        <v>251.95</v>
      </c>
      <c r="AB744" s="38">
        <v>257.01</v>
      </c>
      <c r="AC744" s="38">
        <v>264.41000000000003</v>
      </c>
      <c r="AD744" s="38">
        <v>270.43</v>
      </c>
      <c r="AE744" s="38">
        <v>266.72000000000003</v>
      </c>
      <c r="AF744" s="38">
        <v>251</v>
      </c>
      <c r="AG744" s="38">
        <v>207</v>
      </c>
      <c r="AH744" s="38">
        <v>176.5</v>
      </c>
      <c r="AI744" s="38">
        <v>166.54</v>
      </c>
      <c r="AJ744" s="38">
        <v>166.48</v>
      </c>
      <c r="AK744" s="38">
        <v>167.1</v>
      </c>
      <c r="AL744" s="38">
        <v>171.06</v>
      </c>
      <c r="AM744" s="38">
        <v>180.51</v>
      </c>
      <c r="AN744" s="38">
        <v>186.01</v>
      </c>
      <c r="AO744" s="38">
        <v>188.24</v>
      </c>
      <c r="AP744" s="38">
        <v>191.24</v>
      </c>
      <c r="AQ744" s="38">
        <v>192.09</v>
      </c>
      <c r="AR744" s="38">
        <v>182.59</v>
      </c>
      <c r="AS744" s="38">
        <v>137.34</v>
      </c>
      <c r="AT744" s="38">
        <v>107.84</v>
      </c>
      <c r="AU744" s="38">
        <v>105.78</v>
      </c>
      <c r="AV744" s="38">
        <v>101.99</v>
      </c>
      <c r="AW744" s="38">
        <v>96.26</v>
      </c>
      <c r="AX744" s="38">
        <v>97.02</v>
      </c>
      <c r="AY744" s="38">
        <v>105.52</v>
      </c>
      <c r="BA744" s="37">
        <v>94.64</v>
      </c>
      <c r="BB744" s="38">
        <v>1.1592</v>
      </c>
    </row>
    <row r="745" spans="1:54" x14ac:dyDescent="0.35">
      <c r="A745" s="2">
        <f t="shared" si="11"/>
        <v>44865</v>
      </c>
      <c r="B745" t="s">
        <v>787</v>
      </c>
      <c r="C745" s="32">
        <v>44865</v>
      </c>
      <c r="D745" s="38">
        <v>300.74</v>
      </c>
      <c r="E745" s="38">
        <v>335.04</v>
      </c>
      <c r="F745" s="38">
        <v>344.85</v>
      </c>
      <c r="G745" s="38">
        <v>336.66</v>
      </c>
      <c r="H745" s="38">
        <v>318.37</v>
      </c>
      <c r="I745" s="38">
        <v>297.36</v>
      </c>
      <c r="J745" s="38">
        <v>290.70999999999998</v>
      </c>
      <c r="K745" s="38">
        <v>287.42</v>
      </c>
      <c r="L745" s="38">
        <v>288.25</v>
      </c>
      <c r="M745" s="38">
        <v>289.17</v>
      </c>
      <c r="N745" s="38">
        <v>292.45999999999998</v>
      </c>
      <c r="O745" s="38">
        <v>317.20999999999998</v>
      </c>
      <c r="P745" s="38">
        <v>331.21</v>
      </c>
      <c r="Q745" s="38">
        <v>335.21</v>
      </c>
      <c r="R745" s="38">
        <v>334.21</v>
      </c>
      <c r="S745" s="38">
        <v>294.20999999999998</v>
      </c>
      <c r="T745" s="38">
        <v>259.70999999999998</v>
      </c>
      <c r="U745" s="38">
        <v>238.71</v>
      </c>
      <c r="V745" s="38">
        <v>242.2</v>
      </c>
      <c r="W745" s="38">
        <v>229.16</v>
      </c>
      <c r="X745" s="38">
        <v>230.83</v>
      </c>
      <c r="Y745" s="38">
        <v>235.87</v>
      </c>
      <c r="Z745" s="38">
        <v>240.37</v>
      </c>
      <c r="AA745" s="38">
        <v>245.37</v>
      </c>
      <c r="AB745" s="38">
        <v>252.77</v>
      </c>
      <c r="AC745" s="38">
        <v>258.79000000000002</v>
      </c>
      <c r="AD745" s="38">
        <v>255.08</v>
      </c>
      <c r="AE745" s="38">
        <v>239.36</v>
      </c>
      <c r="AF745" s="38">
        <v>202.86</v>
      </c>
      <c r="AG745" s="38">
        <v>176.86</v>
      </c>
      <c r="AH745" s="38">
        <v>166.9</v>
      </c>
      <c r="AI745" s="38">
        <v>166.84</v>
      </c>
      <c r="AJ745" s="38">
        <v>167.46</v>
      </c>
      <c r="AK745" s="38">
        <v>171.42</v>
      </c>
      <c r="AL745" s="38">
        <v>177.97</v>
      </c>
      <c r="AM745" s="38">
        <v>182.47</v>
      </c>
      <c r="AN745" s="38">
        <v>184.7</v>
      </c>
      <c r="AO745" s="38">
        <v>187.7</v>
      </c>
      <c r="AP745" s="38">
        <v>188.55</v>
      </c>
      <c r="AQ745" s="38">
        <v>179.05</v>
      </c>
      <c r="AR745" s="38">
        <v>133.80000000000001</v>
      </c>
      <c r="AS745" s="38">
        <v>104.3</v>
      </c>
      <c r="AT745" s="38">
        <v>102.24</v>
      </c>
      <c r="AU745" s="38">
        <v>98.45</v>
      </c>
      <c r="AV745" s="38">
        <v>92.72</v>
      </c>
      <c r="AW745" s="38">
        <v>93.48</v>
      </c>
      <c r="AX745" s="38">
        <v>102.48</v>
      </c>
      <c r="AY745" s="38">
        <v>107.23</v>
      </c>
      <c r="BA745" s="37">
        <v>93.3</v>
      </c>
      <c r="BB745" s="38">
        <v>1.1514</v>
      </c>
    </row>
    <row r="746" spans="1:54" x14ac:dyDescent="0.35">
      <c r="A746" s="2">
        <f t="shared" si="11"/>
        <v>44866</v>
      </c>
      <c r="B746" t="s">
        <v>788</v>
      </c>
      <c r="C746" s="32">
        <v>44866</v>
      </c>
      <c r="D746" s="38">
        <v>279.69</v>
      </c>
      <c r="E746" s="38">
        <v>318.11</v>
      </c>
      <c r="F746" s="38">
        <v>326.69</v>
      </c>
      <c r="G746" s="38">
        <v>318.66000000000003</v>
      </c>
      <c r="H746" s="38">
        <v>299.16000000000003</v>
      </c>
      <c r="I746" s="38">
        <v>278.01</v>
      </c>
      <c r="J746" s="38">
        <v>270.52</v>
      </c>
      <c r="K746" s="38">
        <v>266.23</v>
      </c>
      <c r="L746" s="38">
        <v>267.02999999999997</v>
      </c>
      <c r="M746" s="38">
        <v>269.02999999999997</v>
      </c>
      <c r="N746" s="38">
        <v>271.45</v>
      </c>
      <c r="O746" s="38">
        <v>296.14999999999998</v>
      </c>
      <c r="P746" s="38">
        <v>310.05</v>
      </c>
      <c r="Q746" s="38">
        <v>313.94</v>
      </c>
      <c r="R746" s="38">
        <v>312.85000000000002</v>
      </c>
      <c r="S746" s="38">
        <v>272.64</v>
      </c>
      <c r="T746" s="38">
        <v>246.22</v>
      </c>
      <c r="U746" s="38">
        <v>230.22</v>
      </c>
      <c r="V746" s="38">
        <v>233.71</v>
      </c>
      <c r="W746" s="38">
        <v>220.67</v>
      </c>
      <c r="X746" s="38">
        <v>222.34</v>
      </c>
      <c r="Y746" s="38">
        <v>227.38</v>
      </c>
      <c r="Z746" s="38">
        <v>231.89</v>
      </c>
      <c r="AA746" s="38">
        <v>238.8</v>
      </c>
      <c r="AB746" s="38">
        <v>246.8</v>
      </c>
      <c r="AC746" s="38">
        <v>252.82</v>
      </c>
      <c r="AD746" s="38">
        <v>249.11</v>
      </c>
      <c r="AE746" s="38">
        <v>233.39</v>
      </c>
      <c r="AF746" s="38">
        <v>200.69</v>
      </c>
      <c r="AG746" s="38">
        <v>174.69</v>
      </c>
      <c r="AH746" s="38">
        <v>164.73</v>
      </c>
      <c r="AI746" s="38">
        <v>164.35</v>
      </c>
      <c r="AJ746" s="38">
        <v>164.97</v>
      </c>
      <c r="AK746" s="38">
        <v>168.93</v>
      </c>
      <c r="AL746" s="38">
        <v>176.87</v>
      </c>
      <c r="AM746" s="38">
        <v>181.37</v>
      </c>
      <c r="AN746" s="38">
        <v>183.6</v>
      </c>
      <c r="AO746" s="38">
        <v>186.6</v>
      </c>
      <c r="AP746" s="38">
        <v>187.45</v>
      </c>
      <c r="AQ746" s="38">
        <v>177.95</v>
      </c>
      <c r="AR746" s="38">
        <v>132.94999999999999</v>
      </c>
      <c r="AS746" s="38">
        <v>103.45</v>
      </c>
      <c r="AT746" s="38">
        <v>101.39</v>
      </c>
      <c r="AU746" s="38">
        <v>97.6</v>
      </c>
      <c r="AV746" s="38">
        <v>91.87</v>
      </c>
      <c r="AW746" s="38">
        <v>92.63</v>
      </c>
      <c r="AX746" s="38">
        <v>101.03</v>
      </c>
      <c r="AY746" s="38">
        <v>105.78</v>
      </c>
      <c r="BA746" s="37">
        <v>95.12</v>
      </c>
      <c r="BB746" s="38">
        <v>1.1459999999999999</v>
      </c>
    </row>
    <row r="747" spans="1:54" x14ac:dyDescent="0.35">
      <c r="A747" s="2">
        <f t="shared" si="11"/>
        <v>44867</v>
      </c>
      <c r="B747" t="s">
        <v>789</v>
      </c>
      <c r="C747" s="32">
        <v>44867</v>
      </c>
      <c r="D747" s="38">
        <v>305.44</v>
      </c>
      <c r="E747" s="38">
        <v>342.03</v>
      </c>
      <c r="F747" s="38">
        <v>351.56</v>
      </c>
      <c r="G747" s="38">
        <v>342.53</v>
      </c>
      <c r="H747" s="38">
        <v>320.3</v>
      </c>
      <c r="I747" s="38">
        <v>298.06</v>
      </c>
      <c r="J747" s="38">
        <v>290.95999999999998</v>
      </c>
      <c r="K747" s="38">
        <v>287.04000000000002</v>
      </c>
      <c r="L747" s="38">
        <v>287.54000000000002</v>
      </c>
      <c r="M747" s="38">
        <v>289.54000000000002</v>
      </c>
      <c r="N747" s="38">
        <v>288.19</v>
      </c>
      <c r="O747" s="38">
        <v>313.48</v>
      </c>
      <c r="P747" s="38">
        <v>328.48</v>
      </c>
      <c r="Q747" s="38">
        <v>332.37</v>
      </c>
      <c r="R747" s="38">
        <v>331.28</v>
      </c>
      <c r="S747" s="38">
        <v>289.8</v>
      </c>
      <c r="T747" s="38">
        <v>255.8</v>
      </c>
      <c r="U747" s="38">
        <v>235.8</v>
      </c>
      <c r="V747" s="38">
        <v>239.29</v>
      </c>
      <c r="W747" s="38">
        <v>226.25</v>
      </c>
      <c r="X747" s="38">
        <v>227.92</v>
      </c>
      <c r="Y747" s="38">
        <v>232.96</v>
      </c>
      <c r="Z747" s="38">
        <v>237.96</v>
      </c>
      <c r="AA747" s="38">
        <v>245.21</v>
      </c>
      <c r="AB747" s="38">
        <v>253.22</v>
      </c>
      <c r="AC747" s="38">
        <v>258.97000000000003</v>
      </c>
      <c r="AD747" s="38">
        <v>255.26</v>
      </c>
      <c r="AE747" s="38">
        <v>239.54</v>
      </c>
      <c r="AF747" s="38">
        <v>206.62</v>
      </c>
      <c r="AG747" s="38">
        <v>180.62</v>
      </c>
      <c r="AH747" s="38">
        <v>170.66</v>
      </c>
      <c r="AI747" s="38">
        <v>171.28</v>
      </c>
      <c r="AJ747" s="38">
        <v>171.91</v>
      </c>
      <c r="AK747" s="38">
        <v>175.87</v>
      </c>
      <c r="AL747" s="38">
        <v>183.32</v>
      </c>
      <c r="AM747" s="38">
        <v>187.82</v>
      </c>
      <c r="AN747" s="38">
        <v>190.05</v>
      </c>
      <c r="AO747" s="38">
        <v>192.68</v>
      </c>
      <c r="AP747" s="38">
        <v>193.53</v>
      </c>
      <c r="AQ747" s="38">
        <v>184.03</v>
      </c>
      <c r="AR747" s="38">
        <v>139.03</v>
      </c>
      <c r="AS747" s="38">
        <v>109.53</v>
      </c>
      <c r="AT747" s="38">
        <v>107.47</v>
      </c>
      <c r="AU747" s="38">
        <v>103.68</v>
      </c>
      <c r="AV747" s="38">
        <v>97.95</v>
      </c>
      <c r="AW747" s="38">
        <v>98.71</v>
      </c>
      <c r="AX747" s="38">
        <v>106.16</v>
      </c>
      <c r="AY747" s="38">
        <v>110.91</v>
      </c>
      <c r="BA747" s="37">
        <v>96.07</v>
      </c>
      <c r="BB747" s="38">
        <v>1.1463000000000001</v>
      </c>
    </row>
    <row r="748" spans="1:54" x14ac:dyDescent="0.35">
      <c r="A748" s="2">
        <f t="shared" si="11"/>
        <v>44868</v>
      </c>
      <c r="B748" t="s">
        <v>790</v>
      </c>
      <c r="C748" s="32">
        <v>44868</v>
      </c>
      <c r="D748" s="38">
        <v>311.42</v>
      </c>
      <c r="E748" s="38">
        <v>349.29</v>
      </c>
      <c r="F748" s="38">
        <v>356.76</v>
      </c>
      <c r="G748" s="38">
        <v>347.55</v>
      </c>
      <c r="H748" s="38">
        <v>328.76</v>
      </c>
      <c r="I748" s="38">
        <v>306.76</v>
      </c>
      <c r="J748" s="38">
        <v>299.3</v>
      </c>
      <c r="K748" s="38">
        <v>295.35000000000002</v>
      </c>
      <c r="L748" s="38">
        <v>296.14999999999998</v>
      </c>
      <c r="M748" s="38">
        <v>298.14999999999998</v>
      </c>
      <c r="N748" s="38">
        <v>295.07</v>
      </c>
      <c r="O748" s="38">
        <v>319.82</v>
      </c>
      <c r="P748" s="38">
        <v>337.57</v>
      </c>
      <c r="Q748" s="38">
        <v>341.46</v>
      </c>
      <c r="R748" s="38">
        <v>340.37</v>
      </c>
      <c r="S748" s="38">
        <v>298.89</v>
      </c>
      <c r="T748" s="38">
        <v>259.89</v>
      </c>
      <c r="U748" s="38">
        <v>239.89</v>
      </c>
      <c r="V748" s="38">
        <v>243.38</v>
      </c>
      <c r="W748" s="38">
        <v>230.34</v>
      </c>
      <c r="X748" s="38">
        <v>232.01</v>
      </c>
      <c r="Y748" s="38">
        <v>237.05</v>
      </c>
      <c r="Z748" s="38">
        <v>242.05</v>
      </c>
      <c r="AA748" s="38">
        <v>249.3</v>
      </c>
      <c r="AB748" s="38">
        <v>257.31</v>
      </c>
      <c r="AC748" s="38">
        <v>263.06</v>
      </c>
      <c r="AD748" s="38">
        <v>259.35000000000002</v>
      </c>
      <c r="AE748" s="38">
        <v>243.63</v>
      </c>
      <c r="AF748" s="38">
        <v>209.88</v>
      </c>
      <c r="AG748" s="38">
        <v>183.88</v>
      </c>
      <c r="AH748" s="38">
        <v>173.92</v>
      </c>
      <c r="AI748" s="38">
        <v>174.54</v>
      </c>
      <c r="AJ748" s="38">
        <v>175.17</v>
      </c>
      <c r="AK748" s="38">
        <v>179.13</v>
      </c>
      <c r="AL748" s="38">
        <v>186.58</v>
      </c>
      <c r="AM748" s="38">
        <v>191.08</v>
      </c>
      <c r="AN748" s="38">
        <v>193.31</v>
      </c>
      <c r="AO748" s="38">
        <v>195.94</v>
      </c>
      <c r="AP748" s="38">
        <v>196.79</v>
      </c>
      <c r="AQ748" s="38">
        <v>187.29</v>
      </c>
      <c r="AR748" s="38">
        <v>141.04</v>
      </c>
      <c r="AS748" s="38">
        <v>111.54</v>
      </c>
      <c r="AT748" s="38">
        <v>109.48</v>
      </c>
      <c r="AU748" s="38">
        <v>105.69</v>
      </c>
      <c r="AV748" s="38">
        <v>99.96</v>
      </c>
      <c r="AW748" s="38">
        <v>100.72</v>
      </c>
      <c r="AX748" s="38">
        <v>107.72</v>
      </c>
      <c r="AY748" s="38">
        <v>112.47</v>
      </c>
      <c r="BA748" s="37">
        <v>95.29</v>
      </c>
      <c r="BB748" s="38">
        <v>1.1178999999999999</v>
      </c>
    </row>
    <row r="749" spans="1:54" x14ac:dyDescent="0.35">
      <c r="A749" s="2">
        <f t="shared" si="11"/>
        <v>44869</v>
      </c>
      <c r="B749" t="s">
        <v>791</v>
      </c>
      <c r="C749" s="32">
        <v>44869</v>
      </c>
      <c r="D749" s="38">
        <v>283.02999999999997</v>
      </c>
      <c r="E749" s="38">
        <v>328.18</v>
      </c>
      <c r="F749" s="38">
        <v>336.74</v>
      </c>
      <c r="G749" s="38">
        <v>328.68</v>
      </c>
      <c r="H749" s="38">
        <v>314.58</v>
      </c>
      <c r="I749" s="38">
        <v>292.58</v>
      </c>
      <c r="J749" s="38">
        <v>285.12</v>
      </c>
      <c r="K749" s="38">
        <v>281.7</v>
      </c>
      <c r="L749" s="38">
        <v>282.5</v>
      </c>
      <c r="M749" s="38">
        <v>284.48</v>
      </c>
      <c r="N749" s="38">
        <v>283.48</v>
      </c>
      <c r="O749" s="38">
        <v>308.18</v>
      </c>
      <c r="P749" s="38">
        <v>325.93</v>
      </c>
      <c r="Q749" s="38">
        <v>329.82</v>
      </c>
      <c r="R749" s="38">
        <v>328.73</v>
      </c>
      <c r="S749" s="38">
        <v>287.25</v>
      </c>
      <c r="T749" s="38">
        <v>248.25</v>
      </c>
      <c r="U749" s="38">
        <v>228.25</v>
      </c>
      <c r="V749" s="38">
        <v>231.74</v>
      </c>
      <c r="W749" s="38">
        <v>218.7</v>
      </c>
      <c r="X749" s="38">
        <v>220.37</v>
      </c>
      <c r="Y749" s="38">
        <v>225.41</v>
      </c>
      <c r="Z749" s="38">
        <v>230.41</v>
      </c>
      <c r="AA749" s="38">
        <v>237.66</v>
      </c>
      <c r="AB749" s="38">
        <v>245.67</v>
      </c>
      <c r="AC749" s="38">
        <v>251.42</v>
      </c>
      <c r="AD749" s="38">
        <v>247.71</v>
      </c>
      <c r="AE749" s="38">
        <v>231.99</v>
      </c>
      <c r="AF749" s="38">
        <v>198.24</v>
      </c>
      <c r="AG749" s="38">
        <v>172.24</v>
      </c>
      <c r="AH749" s="38">
        <v>162.28</v>
      </c>
      <c r="AI749" s="38">
        <v>162.9</v>
      </c>
      <c r="AJ749" s="38">
        <v>163.53</v>
      </c>
      <c r="AK749" s="38">
        <v>167.49</v>
      </c>
      <c r="AL749" s="38">
        <v>174.94</v>
      </c>
      <c r="AM749" s="38">
        <v>179.44</v>
      </c>
      <c r="AN749" s="38">
        <v>181.67</v>
      </c>
      <c r="AO749" s="38">
        <v>184.3</v>
      </c>
      <c r="AP749" s="38">
        <v>185.15</v>
      </c>
      <c r="AQ749" s="38">
        <v>175.65</v>
      </c>
      <c r="AR749" s="38">
        <v>129.4</v>
      </c>
      <c r="AS749" s="38">
        <v>99.9</v>
      </c>
      <c r="AT749" s="38">
        <v>97.84</v>
      </c>
      <c r="AU749" s="38">
        <v>94.05</v>
      </c>
      <c r="AV749" s="38">
        <v>88.32</v>
      </c>
      <c r="AW749" s="38">
        <v>89.08</v>
      </c>
      <c r="AX749" s="38">
        <v>96.08</v>
      </c>
      <c r="AY749" s="38">
        <v>100.83</v>
      </c>
      <c r="BA749" s="37">
        <v>99.53</v>
      </c>
      <c r="BB749" s="38">
        <v>1.1276999999999999</v>
      </c>
    </row>
    <row r="750" spans="1:54" x14ac:dyDescent="0.35">
      <c r="A750" s="2">
        <f t="shared" si="11"/>
        <v>44872</v>
      </c>
      <c r="B750" t="s">
        <v>792</v>
      </c>
      <c r="C750" s="32">
        <v>44872</v>
      </c>
      <c r="D750" s="38">
        <v>267.44</v>
      </c>
      <c r="E750" s="38">
        <v>314.39999999999998</v>
      </c>
      <c r="F750" s="38">
        <v>323.58</v>
      </c>
      <c r="G750" s="38">
        <v>315.14999999999998</v>
      </c>
      <c r="H750" s="38">
        <v>302.89999999999998</v>
      </c>
      <c r="I750" s="38">
        <v>286.89999999999998</v>
      </c>
      <c r="J750" s="38">
        <v>280.7</v>
      </c>
      <c r="K750" s="38">
        <v>276.98</v>
      </c>
      <c r="L750" s="38">
        <v>277.48</v>
      </c>
      <c r="M750" s="38">
        <v>278.48</v>
      </c>
      <c r="N750" s="38">
        <v>276.48</v>
      </c>
      <c r="O750" s="38">
        <v>300.98</v>
      </c>
      <c r="P750" s="38">
        <v>318.48</v>
      </c>
      <c r="Q750" s="38">
        <v>323.48</v>
      </c>
      <c r="R750" s="38">
        <v>322.41000000000003</v>
      </c>
      <c r="S750" s="38">
        <v>280.93</v>
      </c>
      <c r="T750" s="38">
        <v>249.43</v>
      </c>
      <c r="U750" s="38">
        <v>233.43</v>
      </c>
      <c r="V750" s="38">
        <v>236.92</v>
      </c>
      <c r="W750" s="38">
        <v>223.88</v>
      </c>
      <c r="X750" s="38">
        <v>225.55</v>
      </c>
      <c r="Y750" s="38">
        <v>230.59</v>
      </c>
      <c r="Z750" s="38">
        <v>235.88</v>
      </c>
      <c r="AA750" s="38">
        <v>243.13</v>
      </c>
      <c r="AB750" s="38">
        <v>251.13</v>
      </c>
      <c r="AC750" s="38">
        <v>257.37</v>
      </c>
      <c r="AD750" s="38">
        <v>253.66</v>
      </c>
      <c r="AE750" s="38">
        <v>237.94</v>
      </c>
      <c r="AF750" s="38">
        <v>204.94</v>
      </c>
      <c r="AG750" s="38">
        <v>178.94</v>
      </c>
      <c r="AH750" s="38">
        <v>169</v>
      </c>
      <c r="AI750" s="38">
        <v>169.6</v>
      </c>
      <c r="AJ750" s="38">
        <v>170.23</v>
      </c>
      <c r="AK750" s="38">
        <v>174.19</v>
      </c>
      <c r="AL750" s="38">
        <v>179.67</v>
      </c>
      <c r="AM750" s="38">
        <v>183.42</v>
      </c>
      <c r="AN750" s="38">
        <v>185.65</v>
      </c>
      <c r="AO750" s="38">
        <v>188.28</v>
      </c>
      <c r="AP750" s="38">
        <v>189.13</v>
      </c>
      <c r="AQ750" s="38">
        <v>179.63</v>
      </c>
      <c r="AR750" s="38">
        <v>131.63</v>
      </c>
      <c r="AS750" s="38">
        <v>101.13</v>
      </c>
      <c r="AT750" s="38">
        <v>99.07</v>
      </c>
      <c r="AU750" s="38">
        <v>95.28</v>
      </c>
      <c r="AV750" s="38">
        <v>89.55</v>
      </c>
      <c r="AW750" s="38">
        <v>90.31</v>
      </c>
      <c r="AX750" s="38">
        <v>97.43</v>
      </c>
      <c r="AY750" s="38">
        <v>102.18</v>
      </c>
      <c r="BA750" s="37">
        <v>99.87</v>
      </c>
      <c r="BB750" s="38">
        <v>1.1466000000000001</v>
      </c>
    </row>
    <row r="751" spans="1:54" x14ac:dyDescent="0.35">
      <c r="A751" s="2">
        <f t="shared" si="11"/>
        <v>44873</v>
      </c>
      <c r="B751" t="s">
        <v>793</v>
      </c>
      <c r="C751" s="32">
        <v>44873</v>
      </c>
      <c r="D751" s="38">
        <v>283.81</v>
      </c>
      <c r="E751" s="38">
        <v>327.7</v>
      </c>
      <c r="F751" s="38">
        <v>337.26</v>
      </c>
      <c r="G751" s="38">
        <v>328.57</v>
      </c>
      <c r="H751" s="38">
        <v>312.94</v>
      </c>
      <c r="I751" s="38">
        <v>296.44</v>
      </c>
      <c r="J751" s="38">
        <v>289.52999999999997</v>
      </c>
      <c r="K751" s="38">
        <v>286.18</v>
      </c>
      <c r="L751" s="38">
        <v>287.02</v>
      </c>
      <c r="M751" s="38">
        <v>288.14999999999998</v>
      </c>
      <c r="N751" s="38">
        <v>286.05</v>
      </c>
      <c r="O751" s="38">
        <v>310.12</v>
      </c>
      <c r="P751" s="38">
        <v>328.57</v>
      </c>
      <c r="Q751" s="38">
        <v>333.59</v>
      </c>
      <c r="R751" s="38">
        <v>333.03</v>
      </c>
      <c r="S751" s="38">
        <v>290.97000000000003</v>
      </c>
      <c r="T751" s="38">
        <v>255.69</v>
      </c>
      <c r="U751" s="38">
        <v>238.63</v>
      </c>
      <c r="V751" s="38">
        <v>241.77</v>
      </c>
      <c r="W751" s="38">
        <v>226.1</v>
      </c>
      <c r="X751" s="38">
        <v>227.77</v>
      </c>
      <c r="Y751" s="38">
        <v>232.81</v>
      </c>
      <c r="Z751" s="38">
        <v>238.57</v>
      </c>
      <c r="AA751" s="38">
        <v>245.82</v>
      </c>
      <c r="AB751" s="38">
        <v>253.82</v>
      </c>
      <c r="AC751" s="38">
        <v>260.39999999999998</v>
      </c>
      <c r="AD751" s="38">
        <v>256.69</v>
      </c>
      <c r="AE751" s="38">
        <v>240.71</v>
      </c>
      <c r="AF751" s="38">
        <v>206.5</v>
      </c>
      <c r="AG751" s="38">
        <v>180.29</v>
      </c>
      <c r="AH751" s="38">
        <v>170.35</v>
      </c>
      <c r="AI751" s="38">
        <v>170.95</v>
      </c>
      <c r="AJ751" s="38">
        <v>171.58</v>
      </c>
      <c r="AK751" s="38">
        <v>174.94</v>
      </c>
      <c r="AL751" s="38">
        <v>179.31</v>
      </c>
      <c r="AM751" s="38">
        <v>182.39</v>
      </c>
      <c r="AN751" s="38">
        <v>184.61</v>
      </c>
      <c r="AO751" s="38">
        <v>187.26</v>
      </c>
      <c r="AP751" s="38">
        <v>188.11</v>
      </c>
      <c r="AQ751" s="38">
        <v>178.93</v>
      </c>
      <c r="AR751" s="38">
        <v>132.35</v>
      </c>
      <c r="AS751" s="38">
        <v>102.13</v>
      </c>
      <c r="AT751" s="38">
        <v>100.07</v>
      </c>
      <c r="AU751" s="38">
        <v>96.28</v>
      </c>
      <c r="AV751" s="38">
        <v>90.55</v>
      </c>
      <c r="AW751" s="38">
        <v>91.31</v>
      </c>
      <c r="AX751" s="38">
        <v>98.43</v>
      </c>
      <c r="AY751" s="38">
        <v>103.18</v>
      </c>
      <c r="BA751" s="37">
        <v>96.85</v>
      </c>
      <c r="BB751" s="38">
        <v>1.1564000000000001</v>
      </c>
    </row>
    <row r="752" spans="1:54" x14ac:dyDescent="0.35">
      <c r="A752" s="2">
        <f t="shared" si="11"/>
        <v>44874</v>
      </c>
      <c r="B752" t="s">
        <v>794</v>
      </c>
      <c r="C752" s="32">
        <v>44874</v>
      </c>
      <c r="D752" s="38">
        <v>270.87</v>
      </c>
      <c r="E752" s="38">
        <v>314.01</v>
      </c>
      <c r="F752" s="38">
        <v>323</v>
      </c>
      <c r="G752" s="38">
        <v>314.14999999999998</v>
      </c>
      <c r="H752" s="38">
        <v>301.76</v>
      </c>
      <c r="I752" s="38">
        <v>284.27</v>
      </c>
      <c r="J752" s="38">
        <v>276.81</v>
      </c>
      <c r="K752" s="38">
        <v>273.45999999999998</v>
      </c>
      <c r="L752" s="38">
        <v>274.3</v>
      </c>
      <c r="M752" s="38">
        <v>275.81</v>
      </c>
      <c r="N752" s="38">
        <v>275.45999999999998</v>
      </c>
      <c r="O752" s="38">
        <v>299.66000000000003</v>
      </c>
      <c r="P752" s="38">
        <v>318.55</v>
      </c>
      <c r="Q752" s="38">
        <v>326.63</v>
      </c>
      <c r="R752" s="38">
        <v>322.95</v>
      </c>
      <c r="S752" s="38">
        <v>280.95</v>
      </c>
      <c r="T752" s="38">
        <v>250.95</v>
      </c>
      <c r="U752" s="38">
        <v>236.95</v>
      </c>
      <c r="V752" s="38">
        <v>240.08</v>
      </c>
      <c r="W752" s="38">
        <v>224.4</v>
      </c>
      <c r="X752" s="38">
        <v>226.07</v>
      </c>
      <c r="Y752" s="38">
        <v>231.1</v>
      </c>
      <c r="Z752" s="38">
        <v>235</v>
      </c>
      <c r="AA752" s="38">
        <v>242.25</v>
      </c>
      <c r="AB752" s="38">
        <v>250.25</v>
      </c>
      <c r="AC752" s="38">
        <v>256.83</v>
      </c>
      <c r="AD752" s="38">
        <v>253.12</v>
      </c>
      <c r="AE752" s="38">
        <v>237.14</v>
      </c>
      <c r="AF752" s="38">
        <v>203.91</v>
      </c>
      <c r="AG752" s="38">
        <v>177.54</v>
      </c>
      <c r="AH752" s="38">
        <v>167.6</v>
      </c>
      <c r="AI752" s="38">
        <v>168.2</v>
      </c>
      <c r="AJ752" s="38">
        <v>168.83</v>
      </c>
      <c r="AK752" s="38">
        <v>172.19</v>
      </c>
      <c r="AL752" s="38">
        <v>176.59</v>
      </c>
      <c r="AM752" s="38">
        <v>179.67</v>
      </c>
      <c r="AN752" s="38">
        <v>181.89</v>
      </c>
      <c r="AO752" s="38">
        <v>184.54</v>
      </c>
      <c r="AP752" s="38">
        <v>185.39</v>
      </c>
      <c r="AQ752" s="38">
        <v>176.21</v>
      </c>
      <c r="AR752" s="38">
        <v>131.21</v>
      </c>
      <c r="AS752" s="38">
        <v>100.99</v>
      </c>
      <c r="AT752" s="38">
        <v>98.93</v>
      </c>
      <c r="AU752" s="38">
        <v>95.14</v>
      </c>
      <c r="AV752" s="38">
        <v>89.41</v>
      </c>
      <c r="AW752" s="38">
        <v>90.17</v>
      </c>
      <c r="AX752" s="38">
        <v>97.57</v>
      </c>
      <c r="AY752" s="38">
        <v>102.32</v>
      </c>
      <c r="BA752" s="37">
        <v>93.05</v>
      </c>
      <c r="BB752" s="38">
        <v>1.1374</v>
      </c>
    </row>
    <row r="753" spans="1:54" x14ac:dyDescent="0.35">
      <c r="A753" s="2">
        <f t="shared" si="11"/>
        <v>44875</v>
      </c>
      <c r="B753" t="s">
        <v>795</v>
      </c>
      <c r="C753" s="32">
        <v>44875</v>
      </c>
      <c r="D753" s="38">
        <v>266.39</v>
      </c>
      <c r="E753" s="38">
        <v>310.72000000000003</v>
      </c>
      <c r="F753" s="38">
        <v>320.12</v>
      </c>
      <c r="G753" s="38">
        <v>311.07</v>
      </c>
      <c r="H753" s="38">
        <v>300.23</v>
      </c>
      <c r="I753" s="38">
        <v>283.22000000000003</v>
      </c>
      <c r="J753" s="38">
        <v>275.74</v>
      </c>
      <c r="K753" s="38">
        <v>272.51</v>
      </c>
      <c r="L753" s="38">
        <v>273.45</v>
      </c>
      <c r="M753" s="38">
        <v>275.2</v>
      </c>
      <c r="N753" s="38">
        <v>274.7</v>
      </c>
      <c r="O753" s="38">
        <v>298.89999999999998</v>
      </c>
      <c r="P753" s="38">
        <v>317.79000000000002</v>
      </c>
      <c r="Q753" s="38">
        <v>325.83999999999997</v>
      </c>
      <c r="R753" s="38">
        <v>322.14</v>
      </c>
      <c r="S753" s="38">
        <v>280.12</v>
      </c>
      <c r="T753" s="38">
        <v>249.87</v>
      </c>
      <c r="U753" s="38">
        <v>235.84</v>
      </c>
      <c r="V753" s="38">
        <v>238.95</v>
      </c>
      <c r="W753" s="38">
        <v>223.26</v>
      </c>
      <c r="X753" s="38">
        <v>224.91</v>
      </c>
      <c r="Y753" s="38">
        <v>229.93</v>
      </c>
      <c r="Z753" s="38">
        <v>233.08</v>
      </c>
      <c r="AA753" s="38">
        <v>240.32</v>
      </c>
      <c r="AB753" s="38">
        <v>248.31</v>
      </c>
      <c r="AC753" s="38">
        <v>254.88</v>
      </c>
      <c r="AD753" s="38">
        <v>251.15</v>
      </c>
      <c r="AE753" s="38">
        <v>235.16</v>
      </c>
      <c r="AF753" s="38">
        <v>201.98</v>
      </c>
      <c r="AG753" s="38">
        <v>175.6</v>
      </c>
      <c r="AH753" s="38">
        <v>165.65</v>
      </c>
      <c r="AI753" s="38">
        <v>166.24</v>
      </c>
      <c r="AJ753" s="38">
        <v>166.86</v>
      </c>
      <c r="AK753" s="38">
        <v>170.21</v>
      </c>
      <c r="AL753" s="38">
        <v>174.66</v>
      </c>
      <c r="AM753" s="38">
        <v>177.74</v>
      </c>
      <c r="AN753" s="38">
        <v>179.95</v>
      </c>
      <c r="AO753" s="38">
        <v>182.59</v>
      </c>
      <c r="AP753" s="38">
        <v>183.43</v>
      </c>
      <c r="AQ753" s="38">
        <v>174.24</v>
      </c>
      <c r="AR753" s="38">
        <v>127.48</v>
      </c>
      <c r="AS753" s="38">
        <v>97.26</v>
      </c>
      <c r="AT753" s="38">
        <v>95.2</v>
      </c>
      <c r="AU753" s="38">
        <v>91.41</v>
      </c>
      <c r="AV753" s="38">
        <v>85.68</v>
      </c>
      <c r="AW753" s="38">
        <v>86.44</v>
      </c>
      <c r="AX753" s="38">
        <v>94.64</v>
      </c>
      <c r="AY753" s="38">
        <v>99.39</v>
      </c>
      <c r="BA753" s="37">
        <v>94.25</v>
      </c>
      <c r="BB753" s="38">
        <v>1.1677999999999999</v>
      </c>
    </row>
    <row r="754" spans="1:54" x14ac:dyDescent="0.35">
      <c r="A754" s="2">
        <f t="shared" si="11"/>
        <v>44876</v>
      </c>
      <c r="B754" t="s">
        <v>796</v>
      </c>
      <c r="C754" s="32">
        <v>44876</v>
      </c>
      <c r="D754" s="38">
        <v>228.43</v>
      </c>
      <c r="E754" s="38">
        <v>274.43</v>
      </c>
      <c r="F754" s="38">
        <v>285.43</v>
      </c>
      <c r="G754" s="38">
        <v>276.93</v>
      </c>
      <c r="H754" s="38">
        <v>264.73</v>
      </c>
      <c r="I754" s="38">
        <v>248.23</v>
      </c>
      <c r="J754" s="38">
        <v>242.5</v>
      </c>
      <c r="K754" s="38">
        <v>239.83</v>
      </c>
      <c r="L754" s="38">
        <v>240.54</v>
      </c>
      <c r="M754" s="38">
        <v>242.54</v>
      </c>
      <c r="N754" s="38">
        <v>245</v>
      </c>
      <c r="O754" s="38">
        <v>266.5</v>
      </c>
      <c r="P754" s="38">
        <v>285</v>
      </c>
      <c r="Q754" s="38">
        <v>299</v>
      </c>
      <c r="R754" s="38">
        <v>294</v>
      </c>
      <c r="S754" s="38">
        <v>256</v>
      </c>
      <c r="T754" s="38">
        <v>236</v>
      </c>
      <c r="U754" s="38">
        <v>222.01</v>
      </c>
      <c r="V754" s="38">
        <v>221.01</v>
      </c>
      <c r="W754" s="38">
        <v>205.32</v>
      </c>
      <c r="X754" s="38">
        <v>206.97</v>
      </c>
      <c r="Y754" s="38">
        <v>211.99</v>
      </c>
      <c r="Z754" s="38">
        <v>215.44</v>
      </c>
      <c r="AA754" s="38">
        <v>222.63</v>
      </c>
      <c r="AB754" s="38">
        <v>230.56</v>
      </c>
      <c r="AC754" s="38">
        <v>237.38</v>
      </c>
      <c r="AD754" s="38">
        <v>233.61</v>
      </c>
      <c r="AE754" s="38">
        <v>217.34</v>
      </c>
      <c r="AF754" s="38">
        <v>186.49</v>
      </c>
      <c r="AG754" s="38">
        <v>161.49</v>
      </c>
      <c r="AH754" s="38">
        <v>151.54</v>
      </c>
      <c r="AI754" s="38">
        <v>152.13</v>
      </c>
      <c r="AJ754" s="38">
        <v>152.75</v>
      </c>
      <c r="AK754" s="38">
        <v>156.1</v>
      </c>
      <c r="AL754" s="38">
        <v>164.1</v>
      </c>
      <c r="AM754" s="38">
        <v>169.6</v>
      </c>
      <c r="AN754" s="38">
        <v>171.81</v>
      </c>
      <c r="AO754" s="38">
        <v>174.46</v>
      </c>
      <c r="AP754" s="38">
        <v>175.3</v>
      </c>
      <c r="AQ754" s="38">
        <v>166.11</v>
      </c>
      <c r="AR754" s="38">
        <v>121.16</v>
      </c>
      <c r="AS754" s="38">
        <v>90.94</v>
      </c>
      <c r="AT754" s="38">
        <v>88.88</v>
      </c>
      <c r="AU754" s="38">
        <v>85.09</v>
      </c>
      <c r="AV754" s="38">
        <v>79.36</v>
      </c>
      <c r="AW754" s="38">
        <v>80.12</v>
      </c>
      <c r="AX754" s="38">
        <v>88.12</v>
      </c>
      <c r="AY754" s="38">
        <v>92.87</v>
      </c>
      <c r="BA754" s="37">
        <v>96.37</v>
      </c>
      <c r="BB754" s="38">
        <v>1.1774</v>
      </c>
    </row>
    <row r="755" spans="1:54" x14ac:dyDescent="0.35">
      <c r="A755" s="2">
        <f t="shared" si="11"/>
        <v>44879</v>
      </c>
      <c r="B755" t="s">
        <v>797</v>
      </c>
      <c r="C755" s="32">
        <v>44879</v>
      </c>
      <c r="D755" s="38">
        <v>272.88</v>
      </c>
      <c r="E755" s="38">
        <v>313.64</v>
      </c>
      <c r="F755" s="38">
        <v>322.14</v>
      </c>
      <c r="G755" s="38">
        <v>311.64</v>
      </c>
      <c r="H755" s="38">
        <v>297.64</v>
      </c>
      <c r="I755" s="38">
        <v>280.26</v>
      </c>
      <c r="J755" s="38">
        <v>273.64</v>
      </c>
      <c r="K755" s="38">
        <v>269.72000000000003</v>
      </c>
      <c r="L755" s="38">
        <v>270.39</v>
      </c>
      <c r="M755" s="38">
        <v>272.39</v>
      </c>
      <c r="N755" s="38">
        <v>271.64</v>
      </c>
      <c r="O755" s="38">
        <v>293.64</v>
      </c>
      <c r="P755" s="38">
        <v>313.64</v>
      </c>
      <c r="Q755" s="38">
        <v>322.39</v>
      </c>
      <c r="R755" s="38">
        <v>317.37</v>
      </c>
      <c r="S755" s="38">
        <v>279.37</v>
      </c>
      <c r="T755" s="38">
        <v>252.87</v>
      </c>
      <c r="U755" s="38">
        <v>234.87</v>
      </c>
      <c r="V755" s="38">
        <v>233.86</v>
      </c>
      <c r="W755" s="38">
        <v>218.17</v>
      </c>
      <c r="X755" s="38">
        <v>219.82</v>
      </c>
      <c r="Y755" s="38">
        <v>224.07</v>
      </c>
      <c r="Z755" s="38">
        <v>227.57</v>
      </c>
      <c r="AA755" s="38">
        <v>234.75</v>
      </c>
      <c r="AB755" s="38">
        <v>242.69</v>
      </c>
      <c r="AC755" s="38">
        <v>249.69</v>
      </c>
      <c r="AD755" s="38">
        <v>245.9</v>
      </c>
      <c r="AE755" s="38">
        <v>229.62</v>
      </c>
      <c r="AF755" s="38">
        <v>194.87</v>
      </c>
      <c r="AG755" s="38">
        <v>167.87</v>
      </c>
      <c r="AH755" s="38">
        <v>157.83000000000001</v>
      </c>
      <c r="AI755" s="38">
        <v>157.33000000000001</v>
      </c>
      <c r="AJ755" s="38">
        <v>157.94999999999999</v>
      </c>
      <c r="AK755" s="38">
        <v>160.94999999999999</v>
      </c>
      <c r="AL755" s="38">
        <v>168.45</v>
      </c>
      <c r="AM755" s="38">
        <v>173.45</v>
      </c>
      <c r="AN755" s="38">
        <v>175.66</v>
      </c>
      <c r="AO755" s="38">
        <v>178.31</v>
      </c>
      <c r="AP755" s="38">
        <v>179.15</v>
      </c>
      <c r="AQ755" s="38">
        <v>169.96</v>
      </c>
      <c r="AR755" s="38">
        <v>124.96</v>
      </c>
      <c r="AS755" s="38">
        <v>94.73</v>
      </c>
      <c r="AT755" s="38">
        <v>92.67</v>
      </c>
      <c r="AU755" s="38">
        <v>88.88</v>
      </c>
      <c r="AV755" s="38">
        <v>83.15</v>
      </c>
      <c r="AW755" s="38">
        <v>83.91</v>
      </c>
      <c r="AX755" s="38">
        <v>91.91</v>
      </c>
      <c r="AY755" s="38">
        <v>96.66</v>
      </c>
      <c r="BA755" s="37">
        <v>93.59</v>
      </c>
      <c r="BB755" s="38">
        <v>1.1729000000000001</v>
      </c>
    </row>
    <row r="756" spans="1:54" x14ac:dyDescent="0.35">
      <c r="A756" s="2">
        <f t="shared" si="11"/>
        <v>44880</v>
      </c>
      <c r="B756" t="s">
        <v>798</v>
      </c>
      <c r="C756" s="32">
        <v>44880</v>
      </c>
      <c r="D756" s="38">
        <v>298.95</v>
      </c>
      <c r="E756" s="38">
        <v>335.35</v>
      </c>
      <c r="F756" s="38">
        <v>344.09</v>
      </c>
      <c r="G756" s="38">
        <v>332.74</v>
      </c>
      <c r="H756" s="38">
        <v>319.39999999999998</v>
      </c>
      <c r="I756" s="38">
        <v>300.39999999999998</v>
      </c>
      <c r="J756" s="38">
        <v>291.39999999999998</v>
      </c>
      <c r="K756" s="38">
        <v>288.44</v>
      </c>
      <c r="L756" s="38">
        <v>289.5</v>
      </c>
      <c r="M756" s="38">
        <v>291.64</v>
      </c>
      <c r="N756" s="38">
        <v>289.20999999999998</v>
      </c>
      <c r="O756" s="38">
        <v>310.20999999999998</v>
      </c>
      <c r="P756" s="38">
        <v>332.21</v>
      </c>
      <c r="Q756" s="38">
        <v>340.6</v>
      </c>
      <c r="R756" s="38">
        <v>333.14</v>
      </c>
      <c r="S756" s="38">
        <v>293.05</v>
      </c>
      <c r="T756" s="38">
        <v>260.62</v>
      </c>
      <c r="U756" s="38">
        <v>238.63</v>
      </c>
      <c r="V756" s="38">
        <v>237.62</v>
      </c>
      <c r="W756" s="38">
        <v>221.93</v>
      </c>
      <c r="X756" s="38">
        <v>223.58</v>
      </c>
      <c r="Y756" s="38">
        <v>227.83</v>
      </c>
      <c r="Z756" s="38">
        <v>234.83</v>
      </c>
      <c r="AA756" s="38">
        <v>242.59</v>
      </c>
      <c r="AB756" s="38">
        <v>250.54</v>
      </c>
      <c r="AC756" s="38">
        <v>257.51</v>
      </c>
      <c r="AD756" s="38">
        <v>253.7</v>
      </c>
      <c r="AE756" s="38">
        <v>237</v>
      </c>
      <c r="AF756" s="38">
        <v>195.79</v>
      </c>
      <c r="AG756" s="38">
        <v>167.6</v>
      </c>
      <c r="AH756" s="38">
        <v>157.6</v>
      </c>
      <c r="AI756" s="38">
        <v>157.13999999999999</v>
      </c>
      <c r="AJ756" s="38">
        <v>157.82</v>
      </c>
      <c r="AK756" s="38">
        <v>160.88999999999999</v>
      </c>
      <c r="AL756" s="38">
        <v>167.13</v>
      </c>
      <c r="AM756" s="38">
        <v>172.13</v>
      </c>
      <c r="AN756" s="38">
        <v>174.34</v>
      </c>
      <c r="AO756" s="38">
        <v>177</v>
      </c>
      <c r="AP756" s="38">
        <v>177.84</v>
      </c>
      <c r="AQ756" s="38">
        <v>168.65</v>
      </c>
      <c r="AR756" s="38">
        <v>122.65</v>
      </c>
      <c r="AS756" s="38">
        <v>92.42</v>
      </c>
      <c r="AT756" s="38">
        <v>90.36</v>
      </c>
      <c r="AU756" s="38">
        <v>86.57</v>
      </c>
      <c r="AV756" s="38">
        <v>80.84</v>
      </c>
      <c r="AW756" s="38">
        <v>81.599999999999994</v>
      </c>
      <c r="AX756" s="38">
        <v>89.6</v>
      </c>
      <c r="AY756" s="38">
        <v>94.35</v>
      </c>
      <c r="BA756" s="37">
        <v>94.3</v>
      </c>
      <c r="BB756" s="38">
        <v>1.1895</v>
      </c>
    </row>
    <row r="757" spans="1:54" x14ac:dyDescent="0.35">
      <c r="A757" s="2">
        <f t="shared" si="11"/>
        <v>44881</v>
      </c>
      <c r="B757" t="s">
        <v>799</v>
      </c>
      <c r="C757" s="32">
        <v>44881</v>
      </c>
      <c r="D757" s="38">
        <v>269.73</v>
      </c>
      <c r="E757" s="38">
        <v>316.98</v>
      </c>
      <c r="F757" s="38">
        <v>325.98</v>
      </c>
      <c r="G757" s="38">
        <v>316.24</v>
      </c>
      <c r="H757" s="38">
        <v>307.23</v>
      </c>
      <c r="I757" s="38">
        <v>288.81</v>
      </c>
      <c r="J757" s="38">
        <v>280.48</v>
      </c>
      <c r="K757" s="38">
        <v>278.14999999999998</v>
      </c>
      <c r="L757" s="38">
        <v>278.60000000000002</v>
      </c>
      <c r="M757" s="38">
        <v>280.7</v>
      </c>
      <c r="N757" s="38">
        <v>279.7</v>
      </c>
      <c r="O757" s="38">
        <v>297.69</v>
      </c>
      <c r="P757" s="38">
        <v>322.67</v>
      </c>
      <c r="Q757" s="38">
        <v>328.66</v>
      </c>
      <c r="R757" s="38">
        <v>321.66000000000003</v>
      </c>
      <c r="S757" s="38">
        <v>284.13</v>
      </c>
      <c r="T757" s="38">
        <v>253.63</v>
      </c>
      <c r="U757" s="38">
        <v>232.06</v>
      </c>
      <c r="V757" s="38">
        <v>230.97</v>
      </c>
      <c r="W757" s="38">
        <v>215.2</v>
      </c>
      <c r="X757" s="38">
        <v>216.75</v>
      </c>
      <c r="Y757" s="38">
        <v>220.83</v>
      </c>
      <c r="Z757" s="38">
        <v>227.46</v>
      </c>
      <c r="AA757" s="38">
        <v>234.56</v>
      </c>
      <c r="AB757" s="38">
        <v>242.53</v>
      </c>
      <c r="AC757" s="38">
        <v>249.53</v>
      </c>
      <c r="AD757" s="38">
        <v>245.72</v>
      </c>
      <c r="AE757" s="38">
        <v>229.02</v>
      </c>
      <c r="AF757" s="38">
        <v>188.02</v>
      </c>
      <c r="AG757" s="38">
        <v>159.85</v>
      </c>
      <c r="AH757" s="38">
        <v>149.85</v>
      </c>
      <c r="AI757" s="38">
        <v>149.38999999999999</v>
      </c>
      <c r="AJ757" s="38">
        <v>150.06</v>
      </c>
      <c r="AK757" s="38">
        <v>153.13</v>
      </c>
      <c r="AL757" s="38">
        <v>159.44</v>
      </c>
      <c r="AM757" s="38">
        <v>164.44</v>
      </c>
      <c r="AN757" s="38">
        <v>166.65</v>
      </c>
      <c r="AO757" s="38">
        <v>169.33</v>
      </c>
      <c r="AP757" s="38">
        <v>170.16</v>
      </c>
      <c r="AQ757" s="38">
        <v>160.97</v>
      </c>
      <c r="AR757" s="38">
        <v>114.97</v>
      </c>
      <c r="AS757" s="38">
        <v>84.72</v>
      </c>
      <c r="AT757" s="38">
        <v>82.66</v>
      </c>
      <c r="AU757" s="38">
        <v>78.89</v>
      </c>
      <c r="AV757" s="38">
        <v>73.14</v>
      </c>
      <c r="AW757" s="38">
        <v>73.92</v>
      </c>
      <c r="AX757" s="38">
        <v>81.96</v>
      </c>
      <c r="AY757" s="38">
        <v>86.71</v>
      </c>
      <c r="BA757" s="37">
        <v>92.61</v>
      </c>
      <c r="BB757" s="38">
        <v>1.1889000000000001</v>
      </c>
    </row>
    <row r="758" spans="1:54" x14ac:dyDescent="0.35">
      <c r="A758" s="2">
        <f t="shared" si="11"/>
        <v>44882</v>
      </c>
      <c r="B758" t="s">
        <v>800</v>
      </c>
      <c r="C758" s="32">
        <v>44882</v>
      </c>
      <c r="D758" s="38">
        <v>267.85000000000002</v>
      </c>
      <c r="E758" s="38">
        <v>307.73</v>
      </c>
      <c r="F758" s="38">
        <v>318.25</v>
      </c>
      <c r="G758" s="38">
        <v>309.61</v>
      </c>
      <c r="H758" s="38">
        <v>303.01</v>
      </c>
      <c r="I758" s="38">
        <v>290.39999999999998</v>
      </c>
      <c r="J758" s="38">
        <v>282.95</v>
      </c>
      <c r="K758" s="38">
        <v>278.98</v>
      </c>
      <c r="L758" s="38">
        <v>279.18</v>
      </c>
      <c r="M758" s="38">
        <v>280.68</v>
      </c>
      <c r="N758" s="38">
        <v>279.43</v>
      </c>
      <c r="O758" s="38">
        <v>297.52</v>
      </c>
      <c r="P758" s="38">
        <v>322.5</v>
      </c>
      <c r="Q758" s="38">
        <v>327.08999999999997</v>
      </c>
      <c r="R758" s="38">
        <v>321.08999999999997</v>
      </c>
      <c r="S758" s="38">
        <v>283.08999999999997</v>
      </c>
      <c r="T758" s="38">
        <v>252.59</v>
      </c>
      <c r="U758" s="38">
        <v>231.02</v>
      </c>
      <c r="V758" s="38">
        <v>229.93</v>
      </c>
      <c r="W758" s="38">
        <v>214.16</v>
      </c>
      <c r="X758" s="38">
        <v>215.71</v>
      </c>
      <c r="Y758" s="38">
        <v>219.79</v>
      </c>
      <c r="Z758" s="38">
        <v>226.42</v>
      </c>
      <c r="AA758" s="38">
        <v>233.52</v>
      </c>
      <c r="AB758" s="38">
        <v>241.49</v>
      </c>
      <c r="AC758" s="38">
        <v>248.49</v>
      </c>
      <c r="AD758" s="38">
        <v>244.68</v>
      </c>
      <c r="AE758" s="38">
        <v>227.98</v>
      </c>
      <c r="AF758" s="38">
        <v>186.98</v>
      </c>
      <c r="AG758" s="38">
        <v>158.81</v>
      </c>
      <c r="AH758" s="38">
        <v>148.81</v>
      </c>
      <c r="AI758" s="38">
        <v>148.35</v>
      </c>
      <c r="AJ758" s="38">
        <v>149.02000000000001</v>
      </c>
      <c r="AK758" s="38">
        <v>152.09</v>
      </c>
      <c r="AL758" s="38">
        <v>158.4</v>
      </c>
      <c r="AM758" s="38">
        <v>163.4</v>
      </c>
      <c r="AN758" s="38">
        <v>165.61</v>
      </c>
      <c r="AO758" s="38">
        <v>168.29</v>
      </c>
      <c r="AP758" s="38">
        <v>169.12</v>
      </c>
      <c r="AQ758" s="38">
        <v>159.93</v>
      </c>
      <c r="AR758" s="38">
        <v>113.93</v>
      </c>
      <c r="AS758" s="38">
        <v>83.68</v>
      </c>
      <c r="AT758" s="38">
        <v>81.62</v>
      </c>
      <c r="AU758" s="38">
        <v>77.849999999999994</v>
      </c>
      <c r="AV758" s="38">
        <v>72.099999999999994</v>
      </c>
      <c r="AW758" s="38">
        <v>72.88</v>
      </c>
      <c r="AX758" s="38">
        <v>80.92</v>
      </c>
      <c r="AY758" s="38">
        <v>85.67</v>
      </c>
      <c r="BA758" s="37">
        <v>91</v>
      </c>
      <c r="BB758" s="38">
        <v>1.1778</v>
      </c>
    </row>
    <row r="759" spans="1:54" x14ac:dyDescent="0.35">
      <c r="A759" s="2">
        <f t="shared" si="11"/>
        <v>44883</v>
      </c>
      <c r="B759" t="s">
        <v>801</v>
      </c>
      <c r="C759" s="32">
        <v>44883</v>
      </c>
      <c r="D759" s="38">
        <v>271.51</v>
      </c>
      <c r="E759" s="38">
        <v>310.76</v>
      </c>
      <c r="F759" s="38">
        <v>320.45999999999998</v>
      </c>
      <c r="G759" s="38">
        <v>312.58</v>
      </c>
      <c r="H759" s="38">
        <v>306.85000000000002</v>
      </c>
      <c r="I759" s="38">
        <v>294.24</v>
      </c>
      <c r="J759" s="38">
        <v>286.99</v>
      </c>
      <c r="K759" s="38">
        <v>283.45</v>
      </c>
      <c r="L759" s="38">
        <v>283.58999999999997</v>
      </c>
      <c r="M759" s="38">
        <v>285.02</v>
      </c>
      <c r="N759" s="38">
        <v>283.77</v>
      </c>
      <c r="O759" s="38">
        <v>301.86</v>
      </c>
      <c r="P759" s="38">
        <v>326.83999999999997</v>
      </c>
      <c r="Q759" s="38">
        <v>330.89</v>
      </c>
      <c r="R759" s="38">
        <v>324.89</v>
      </c>
      <c r="S759" s="38">
        <v>286.89</v>
      </c>
      <c r="T759" s="38">
        <v>256.39</v>
      </c>
      <c r="U759" s="38">
        <v>234.82</v>
      </c>
      <c r="V759" s="38">
        <v>233.73</v>
      </c>
      <c r="W759" s="38">
        <v>217.96</v>
      </c>
      <c r="X759" s="38">
        <v>219.51</v>
      </c>
      <c r="Y759" s="38">
        <v>223.59</v>
      </c>
      <c r="Z759" s="38">
        <v>230.22</v>
      </c>
      <c r="AA759" s="38">
        <v>237.32</v>
      </c>
      <c r="AB759" s="38">
        <v>245.29</v>
      </c>
      <c r="AC759" s="38">
        <v>252.29</v>
      </c>
      <c r="AD759" s="38">
        <v>248.48</v>
      </c>
      <c r="AE759" s="38">
        <v>231.78</v>
      </c>
      <c r="AF759" s="38">
        <v>190.78</v>
      </c>
      <c r="AG759" s="38">
        <v>162.61000000000001</v>
      </c>
      <c r="AH759" s="38">
        <v>152.61000000000001</v>
      </c>
      <c r="AI759" s="38">
        <v>152.15</v>
      </c>
      <c r="AJ759" s="38">
        <v>152.82</v>
      </c>
      <c r="AK759" s="38">
        <v>155.88999999999999</v>
      </c>
      <c r="AL759" s="38">
        <v>162.19999999999999</v>
      </c>
      <c r="AM759" s="38">
        <v>167.2</v>
      </c>
      <c r="AN759" s="38">
        <v>169.41</v>
      </c>
      <c r="AO759" s="38">
        <v>172.09</v>
      </c>
      <c r="AP759" s="38">
        <v>172.92</v>
      </c>
      <c r="AQ759" s="38">
        <v>163.72999999999999</v>
      </c>
      <c r="AR759" s="38">
        <v>117.73</v>
      </c>
      <c r="AS759" s="38">
        <v>87.48</v>
      </c>
      <c r="AT759" s="38">
        <v>85.42</v>
      </c>
      <c r="AU759" s="38">
        <v>81.650000000000006</v>
      </c>
      <c r="AV759" s="38">
        <v>75.900000000000006</v>
      </c>
      <c r="AW759" s="38">
        <v>76.680000000000007</v>
      </c>
      <c r="AX759" s="38">
        <v>84.72</v>
      </c>
      <c r="AY759" s="38">
        <v>89.47</v>
      </c>
      <c r="BA759" s="37">
        <v>88.93</v>
      </c>
      <c r="BB759" s="38">
        <v>1.1927000000000001</v>
      </c>
    </row>
    <row r="760" spans="1:54" x14ac:dyDescent="0.35">
      <c r="A760" s="2">
        <f t="shared" si="11"/>
        <v>44886</v>
      </c>
      <c r="B760" t="s">
        <v>802</v>
      </c>
      <c r="C760" s="32">
        <v>44886</v>
      </c>
      <c r="D760" s="38">
        <v>268.99</v>
      </c>
      <c r="E760" s="38">
        <v>307.39999999999998</v>
      </c>
      <c r="F760" s="38">
        <v>317.3</v>
      </c>
      <c r="G760" s="38">
        <v>312.39999999999998</v>
      </c>
      <c r="H760" s="38">
        <v>309.3</v>
      </c>
      <c r="I760" s="38">
        <v>300.69</v>
      </c>
      <c r="J760" s="38">
        <v>294.24</v>
      </c>
      <c r="K760" s="38">
        <v>289.74</v>
      </c>
      <c r="L760" s="38">
        <v>289.75</v>
      </c>
      <c r="M760" s="38">
        <v>289.05</v>
      </c>
      <c r="N760" s="38">
        <v>287.60000000000002</v>
      </c>
      <c r="O760" s="38">
        <v>305.12</v>
      </c>
      <c r="P760" s="38">
        <v>328.6</v>
      </c>
      <c r="Q760" s="38">
        <v>333</v>
      </c>
      <c r="R760" s="38">
        <v>327</v>
      </c>
      <c r="S760" s="38">
        <v>286.43</v>
      </c>
      <c r="T760" s="38">
        <v>255.7</v>
      </c>
      <c r="U760" s="38">
        <v>233.13</v>
      </c>
      <c r="V760" s="38">
        <v>232.04</v>
      </c>
      <c r="W760" s="38">
        <v>216.27</v>
      </c>
      <c r="X760" s="38">
        <v>217.82</v>
      </c>
      <c r="Y760" s="38">
        <v>220.9</v>
      </c>
      <c r="Z760" s="38">
        <v>226.93</v>
      </c>
      <c r="AA760" s="38">
        <v>234.04</v>
      </c>
      <c r="AB760" s="38">
        <v>242.01</v>
      </c>
      <c r="AC760" s="38">
        <v>249.02</v>
      </c>
      <c r="AD760" s="38">
        <v>245.21</v>
      </c>
      <c r="AE760" s="38">
        <v>228.51</v>
      </c>
      <c r="AF760" s="38">
        <v>189.16</v>
      </c>
      <c r="AG760" s="38">
        <v>162.88</v>
      </c>
      <c r="AH760" s="38">
        <v>152.88</v>
      </c>
      <c r="AI760" s="38">
        <v>152.41999999999999</v>
      </c>
      <c r="AJ760" s="38">
        <v>153.09</v>
      </c>
      <c r="AK760" s="38">
        <v>156.16</v>
      </c>
      <c r="AL760" s="38">
        <v>162.47</v>
      </c>
      <c r="AM760" s="38">
        <v>167.47</v>
      </c>
      <c r="AN760" s="38">
        <v>169.68</v>
      </c>
      <c r="AO760" s="38">
        <v>172.36</v>
      </c>
      <c r="AP760" s="38">
        <v>173.19</v>
      </c>
      <c r="AQ760" s="38">
        <v>164</v>
      </c>
      <c r="AR760" s="38">
        <v>118</v>
      </c>
      <c r="AS760" s="38">
        <v>87.75</v>
      </c>
      <c r="AT760" s="38">
        <v>85.69</v>
      </c>
      <c r="AU760" s="38">
        <v>81.92</v>
      </c>
      <c r="AV760" s="38">
        <v>76.17</v>
      </c>
      <c r="AW760" s="38">
        <v>76.95</v>
      </c>
      <c r="AX760" s="38">
        <v>84.99</v>
      </c>
      <c r="AY760" s="38">
        <v>89.74</v>
      </c>
      <c r="BA760" s="37">
        <v>88.44</v>
      </c>
      <c r="BB760" s="38">
        <v>1.1786000000000001</v>
      </c>
    </row>
    <row r="761" spans="1:54" x14ac:dyDescent="0.35">
      <c r="A761" s="2">
        <f t="shared" si="11"/>
        <v>44887</v>
      </c>
      <c r="B761" t="s">
        <v>803</v>
      </c>
      <c r="C761" s="32">
        <v>44887</v>
      </c>
      <c r="D761" s="38">
        <v>274.29000000000002</v>
      </c>
      <c r="E761" s="38">
        <v>320.22000000000003</v>
      </c>
      <c r="F761" s="38">
        <v>327.23</v>
      </c>
      <c r="G761" s="38">
        <v>324.45</v>
      </c>
      <c r="H761" s="38">
        <v>321.95999999999998</v>
      </c>
      <c r="I761" s="38">
        <v>311.95999999999998</v>
      </c>
      <c r="J761" s="38">
        <v>306.25</v>
      </c>
      <c r="K761" s="38">
        <v>301.70999999999998</v>
      </c>
      <c r="L761" s="38">
        <v>301.20999999999998</v>
      </c>
      <c r="M761" s="38">
        <v>301.45999999999998</v>
      </c>
      <c r="N761" s="38">
        <v>300.76</v>
      </c>
      <c r="O761" s="38">
        <v>314.62</v>
      </c>
      <c r="P761" s="38">
        <v>341.76</v>
      </c>
      <c r="Q761" s="38">
        <v>344.76</v>
      </c>
      <c r="R761" s="38">
        <v>339.31</v>
      </c>
      <c r="S761" s="38">
        <v>300.51</v>
      </c>
      <c r="T761" s="38">
        <v>267.14</v>
      </c>
      <c r="U761" s="38">
        <v>239.88</v>
      </c>
      <c r="V761" s="38">
        <v>231.61</v>
      </c>
      <c r="W761" s="38">
        <v>215.84</v>
      </c>
      <c r="X761" s="38">
        <v>217.39</v>
      </c>
      <c r="Y761" s="38">
        <v>220.48</v>
      </c>
      <c r="Z761" s="38">
        <v>225.2</v>
      </c>
      <c r="AA761" s="38">
        <v>232.31</v>
      </c>
      <c r="AB761" s="38">
        <v>240.28</v>
      </c>
      <c r="AC761" s="38">
        <v>245.58</v>
      </c>
      <c r="AD761" s="38">
        <v>241.77</v>
      </c>
      <c r="AE761" s="38">
        <v>226.58</v>
      </c>
      <c r="AF761" s="38">
        <v>192.24</v>
      </c>
      <c r="AG761" s="38">
        <v>166.33</v>
      </c>
      <c r="AH761" s="38">
        <v>156.78</v>
      </c>
      <c r="AI761" s="38">
        <v>156.32</v>
      </c>
      <c r="AJ761" s="38">
        <v>156.99</v>
      </c>
      <c r="AK761" s="38">
        <v>160.06</v>
      </c>
      <c r="AL761" s="38">
        <v>167.02</v>
      </c>
      <c r="AM761" s="38">
        <v>172.02</v>
      </c>
      <c r="AN761" s="38">
        <v>174.23</v>
      </c>
      <c r="AO761" s="38">
        <v>176.91</v>
      </c>
      <c r="AP761" s="38">
        <v>177.74</v>
      </c>
      <c r="AQ761" s="38">
        <v>168.55</v>
      </c>
      <c r="AR761" s="38">
        <v>122.56</v>
      </c>
      <c r="AS761" s="38">
        <v>92.31</v>
      </c>
      <c r="AT761" s="38">
        <v>90.25</v>
      </c>
      <c r="AU761" s="38">
        <v>86.48</v>
      </c>
      <c r="AV761" s="38">
        <v>80.73</v>
      </c>
      <c r="AW761" s="38">
        <v>81.510000000000005</v>
      </c>
      <c r="AX761" s="38">
        <v>89.55</v>
      </c>
      <c r="AY761" s="38">
        <v>94.3</v>
      </c>
      <c r="BA761" s="37">
        <v>88.65</v>
      </c>
      <c r="BB761" s="38">
        <v>1.1879999999999999</v>
      </c>
    </row>
    <row r="762" spans="1:54" x14ac:dyDescent="0.35">
      <c r="A762" s="2">
        <f t="shared" si="11"/>
        <v>44888</v>
      </c>
      <c r="B762" t="s">
        <v>804</v>
      </c>
      <c r="C762" s="32">
        <v>44888</v>
      </c>
      <c r="D762" s="38">
        <v>301.72000000000003</v>
      </c>
      <c r="E762" s="38">
        <v>340.6</v>
      </c>
      <c r="F762" s="38">
        <v>346.82</v>
      </c>
      <c r="G762" s="38">
        <v>341.25</v>
      </c>
      <c r="H762" s="38">
        <v>335.63</v>
      </c>
      <c r="I762" s="38">
        <v>323.57</v>
      </c>
      <c r="J762" s="38">
        <v>315.86</v>
      </c>
      <c r="K762" s="38">
        <v>313.61</v>
      </c>
      <c r="L762" s="38">
        <v>313.26</v>
      </c>
      <c r="M762" s="38">
        <v>312.99</v>
      </c>
      <c r="N762" s="38">
        <v>312.35000000000002</v>
      </c>
      <c r="O762" s="38">
        <v>328.35</v>
      </c>
      <c r="P762" s="38">
        <v>353.35</v>
      </c>
      <c r="Q762" s="38">
        <v>354.6</v>
      </c>
      <c r="R762" s="38">
        <v>348.85</v>
      </c>
      <c r="S762" s="38">
        <v>310.45</v>
      </c>
      <c r="T762" s="38">
        <v>272.08</v>
      </c>
      <c r="U762" s="38">
        <v>238.31</v>
      </c>
      <c r="V762" s="38">
        <v>227.04</v>
      </c>
      <c r="W762" s="38">
        <v>211.27</v>
      </c>
      <c r="X762" s="38">
        <v>212.82</v>
      </c>
      <c r="Y762" s="38">
        <v>218.91</v>
      </c>
      <c r="Z762" s="38">
        <v>226.16</v>
      </c>
      <c r="AA762" s="38">
        <v>233.27</v>
      </c>
      <c r="AB762" s="38">
        <v>241.24</v>
      </c>
      <c r="AC762" s="38">
        <v>246.54</v>
      </c>
      <c r="AD762" s="38">
        <v>242.73</v>
      </c>
      <c r="AE762" s="38">
        <v>227.54</v>
      </c>
      <c r="AF762" s="38">
        <v>193.2</v>
      </c>
      <c r="AG762" s="38">
        <v>167.29</v>
      </c>
      <c r="AH762" s="38">
        <v>157.74</v>
      </c>
      <c r="AI762" s="38">
        <v>157.28</v>
      </c>
      <c r="AJ762" s="38">
        <v>157.94999999999999</v>
      </c>
      <c r="AK762" s="38">
        <v>161.02000000000001</v>
      </c>
      <c r="AL762" s="38">
        <v>166.99</v>
      </c>
      <c r="AM762" s="38">
        <v>170.24</v>
      </c>
      <c r="AN762" s="38">
        <v>172.45</v>
      </c>
      <c r="AO762" s="38">
        <v>175.13</v>
      </c>
      <c r="AP762" s="38">
        <v>175.96</v>
      </c>
      <c r="AQ762" s="38">
        <v>166.77</v>
      </c>
      <c r="AR762" s="38">
        <v>120.78</v>
      </c>
      <c r="AS762" s="38">
        <v>90.53</v>
      </c>
      <c r="AT762" s="38">
        <v>88.47</v>
      </c>
      <c r="AU762" s="38">
        <v>84.7</v>
      </c>
      <c r="AV762" s="38">
        <v>78.95</v>
      </c>
      <c r="AW762" s="38">
        <v>79.73</v>
      </c>
      <c r="AX762" s="38">
        <v>87.77</v>
      </c>
      <c r="AY762" s="38">
        <v>92.52</v>
      </c>
      <c r="BA762" s="37">
        <v>85.9</v>
      </c>
      <c r="BB762" s="38">
        <v>1.2064999999999999</v>
      </c>
    </row>
    <row r="763" spans="1:54" x14ac:dyDescent="0.35">
      <c r="A763" s="2">
        <f t="shared" si="11"/>
        <v>44889</v>
      </c>
      <c r="B763" t="s">
        <v>805</v>
      </c>
      <c r="C763" s="32">
        <v>44889</v>
      </c>
      <c r="D763" s="38">
        <v>291.69</v>
      </c>
      <c r="E763" s="38">
        <v>323.97000000000003</v>
      </c>
      <c r="F763" s="38">
        <v>331.49</v>
      </c>
      <c r="G763" s="38">
        <v>327.64999999999998</v>
      </c>
      <c r="H763" s="38">
        <v>326.24</v>
      </c>
      <c r="I763" s="38">
        <v>314.83</v>
      </c>
      <c r="J763" s="38">
        <v>306.55</v>
      </c>
      <c r="K763" s="38">
        <v>304.75</v>
      </c>
      <c r="L763" s="38">
        <v>304.24</v>
      </c>
      <c r="M763" s="38">
        <v>303.77</v>
      </c>
      <c r="N763" s="38">
        <v>302.77999999999997</v>
      </c>
      <c r="O763" s="38">
        <v>317.87</v>
      </c>
      <c r="P763" s="38">
        <v>342.58</v>
      </c>
      <c r="Q763" s="38">
        <v>345.22</v>
      </c>
      <c r="R763" s="38">
        <v>339.23</v>
      </c>
      <c r="S763" s="38">
        <v>300.43</v>
      </c>
      <c r="T763" s="38">
        <v>262.83999999999997</v>
      </c>
      <c r="U763" s="38">
        <v>229.06</v>
      </c>
      <c r="V763" s="38">
        <v>217.78</v>
      </c>
      <c r="W763" s="38">
        <v>202.69</v>
      </c>
      <c r="X763" s="38">
        <v>204.22</v>
      </c>
      <c r="Y763" s="38">
        <v>210.3</v>
      </c>
      <c r="Z763" s="38">
        <v>216.69</v>
      </c>
      <c r="AA763" s="38">
        <v>223.78</v>
      </c>
      <c r="AB763" s="38">
        <v>231.72</v>
      </c>
      <c r="AC763" s="38">
        <v>236.99</v>
      </c>
      <c r="AD763" s="38">
        <v>233.15</v>
      </c>
      <c r="AE763" s="38">
        <v>217.9</v>
      </c>
      <c r="AF763" s="38">
        <v>188.57</v>
      </c>
      <c r="AG763" s="38">
        <v>162.66</v>
      </c>
      <c r="AH763" s="38">
        <v>153.11000000000001</v>
      </c>
      <c r="AI763" s="38">
        <v>152.75</v>
      </c>
      <c r="AJ763" s="38">
        <v>153.44</v>
      </c>
      <c r="AK763" s="38">
        <v>156.51</v>
      </c>
      <c r="AL763" s="38">
        <v>162.85</v>
      </c>
      <c r="AM763" s="38">
        <v>166.1</v>
      </c>
      <c r="AN763" s="38">
        <v>168.31</v>
      </c>
      <c r="AO763" s="38">
        <v>170.63</v>
      </c>
      <c r="AP763" s="38">
        <v>171.46</v>
      </c>
      <c r="AQ763" s="38">
        <v>162.27000000000001</v>
      </c>
      <c r="AR763" s="38">
        <v>116.96</v>
      </c>
      <c r="AS763" s="38">
        <v>86.71</v>
      </c>
      <c r="AT763" s="38">
        <v>84.65</v>
      </c>
      <c r="AU763" s="38">
        <v>80.88</v>
      </c>
      <c r="AV763" s="38">
        <v>75.13</v>
      </c>
      <c r="AW763" s="38">
        <v>75.91</v>
      </c>
      <c r="AX763" s="38">
        <v>83.95</v>
      </c>
      <c r="AY763" s="38">
        <v>88.7</v>
      </c>
      <c r="BA763" s="37">
        <v>85.59</v>
      </c>
      <c r="BB763" s="38">
        <v>1.2141999999999999</v>
      </c>
    </row>
    <row r="764" spans="1:54" x14ac:dyDescent="0.35">
      <c r="A764" s="2">
        <f t="shared" si="11"/>
        <v>44890</v>
      </c>
      <c r="B764" t="s">
        <v>806</v>
      </c>
      <c r="C764" s="32">
        <v>44890</v>
      </c>
      <c r="D764" s="38">
        <v>288.45999999999998</v>
      </c>
      <c r="E764" s="38">
        <v>321.14999999999998</v>
      </c>
      <c r="F764" s="38">
        <v>328.6</v>
      </c>
      <c r="G764" s="38">
        <v>326.35000000000002</v>
      </c>
      <c r="H764" s="38">
        <v>324.95</v>
      </c>
      <c r="I764" s="38">
        <v>316.64999999999998</v>
      </c>
      <c r="J764" s="38">
        <v>311.04000000000002</v>
      </c>
      <c r="K764" s="38">
        <v>307.04000000000002</v>
      </c>
      <c r="L764" s="38">
        <v>306.58999999999997</v>
      </c>
      <c r="M764" s="38">
        <v>306.08999999999997</v>
      </c>
      <c r="N764" s="38">
        <v>305.79000000000002</v>
      </c>
      <c r="O764" s="38">
        <v>321.29000000000002</v>
      </c>
      <c r="P764" s="38">
        <v>345.57</v>
      </c>
      <c r="Q764" s="38">
        <v>348.21</v>
      </c>
      <c r="R764" s="38">
        <v>342.21</v>
      </c>
      <c r="S764" s="38">
        <v>304.26</v>
      </c>
      <c r="T764" s="38">
        <v>266.11</v>
      </c>
      <c r="U764" s="38">
        <v>232.3</v>
      </c>
      <c r="V764" s="38">
        <v>221.04</v>
      </c>
      <c r="W764" s="38">
        <v>206.6</v>
      </c>
      <c r="X764" s="38">
        <v>208.58</v>
      </c>
      <c r="Y764" s="38">
        <v>215.17</v>
      </c>
      <c r="Z764" s="38">
        <v>223.41</v>
      </c>
      <c r="AA764" s="38">
        <v>231.12</v>
      </c>
      <c r="AB764" s="38">
        <v>239.06</v>
      </c>
      <c r="AC764" s="38">
        <v>244.34</v>
      </c>
      <c r="AD764" s="38">
        <v>239.82</v>
      </c>
      <c r="AE764" s="38">
        <v>223.59</v>
      </c>
      <c r="AF764" s="38">
        <v>192.88</v>
      </c>
      <c r="AG764" s="38">
        <v>165.5</v>
      </c>
      <c r="AH764" s="38">
        <v>155.31</v>
      </c>
      <c r="AI764" s="38">
        <v>154.94999999999999</v>
      </c>
      <c r="AJ764" s="38">
        <v>155.63999999999999</v>
      </c>
      <c r="AK764" s="38">
        <v>158.71</v>
      </c>
      <c r="AL764" s="38">
        <v>165.37</v>
      </c>
      <c r="AM764" s="38">
        <v>168.62</v>
      </c>
      <c r="AN764" s="38">
        <v>170.83</v>
      </c>
      <c r="AO764" s="38">
        <v>171.83</v>
      </c>
      <c r="AP764" s="38">
        <v>172.66</v>
      </c>
      <c r="AQ764" s="38">
        <v>163.47</v>
      </c>
      <c r="AR764" s="38">
        <v>118.05</v>
      </c>
      <c r="AS764" s="38">
        <v>87.8</v>
      </c>
      <c r="AT764" s="38">
        <v>85.74</v>
      </c>
      <c r="AU764" s="38">
        <v>81.97</v>
      </c>
      <c r="AV764" s="38">
        <v>76.22</v>
      </c>
      <c r="AW764" s="38">
        <v>77</v>
      </c>
      <c r="AX764" s="38">
        <v>84.91</v>
      </c>
      <c r="AY764" s="38">
        <v>89.66</v>
      </c>
      <c r="BA764" s="37">
        <v>83.4</v>
      </c>
      <c r="BB764" s="38">
        <v>1.2095</v>
      </c>
    </row>
    <row r="765" spans="1:54" x14ac:dyDescent="0.35">
      <c r="A765" s="2">
        <f t="shared" si="11"/>
        <v>44893</v>
      </c>
      <c r="B765" t="s">
        <v>807</v>
      </c>
      <c r="C765" s="32">
        <v>44893</v>
      </c>
      <c r="D765" s="38">
        <v>291.27999999999997</v>
      </c>
      <c r="E765" s="38">
        <v>318.77999999999997</v>
      </c>
      <c r="F765" s="38">
        <v>325.77</v>
      </c>
      <c r="G765" s="38">
        <v>323.27</v>
      </c>
      <c r="H765" s="38">
        <v>320.58</v>
      </c>
      <c r="I765" s="38">
        <v>314.31</v>
      </c>
      <c r="J765" s="38">
        <v>310.41000000000003</v>
      </c>
      <c r="K765" s="38">
        <v>306.51</v>
      </c>
      <c r="L765" s="38">
        <v>306.06</v>
      </c>
      <c r="M765" s="38">
        <v>305.36</v>
      </c>
      <c r="N765" s="38">
        <v>304.76</v>
      </c>
      <c r="O765" s="38">
        <v>319.76</v>
      </c>
      <c r="P765" s="38">
        <v>342.44</v>
      </c>
      <c r="Q765" s="38">
        <v>345.08</v>
      </c>
      <c r="R765" s="38">
        <v>339.08</v>
      </c>
      <c r="S765" s="38">
        <v>301.13</v>
      </c>
      <c r="T765" s="38">
        <v>260.98</v>
      </c>
      <c r="U765" s="38">
        <v>227.17</v>
      </c>
      <c r="V765" s="38">
        <v>215.91</v>
      </c>
      <c r="W765" s="38">
        <v>201.47</v>
      </c>
      <c r="X765" s="38">
        <v>203.45</v>
      </c>
      <c r="Y765" s="38">
        <v>210.04</v>
      </c>
      <c r="Z765" s="38">
        <v>218.28</v>
      </c>
      <c r="AA765" s="38">
        <v>225.99</v>
      </c>
      <c r="AB765" s="38">
        <v>233.93</v>
      </c>
      <c r="AC765" s="38">
        <v>239.21</v>
      </c>
      <c r="AD765" s="38">
        <v>234.69</v>
      </c>
      <c r="AE765" s="38">
        <v>218.46</v>
      </c>
      <c r="AF765" s="38">
        <v>187.75</v>
      </c>
      <c r="AG765" s="38">
        <v>160.37</v>
      </c>
      <c r="AH765" s="38">
        <v>150.18</v>
      </c>
      <c r="AI765" s="38">
        <v>149.82</v>
      </c>
      <c r="AJ765" s="38">
        <v>150.51</v>
      </c>
      <c r="AK765" s="38">
        <v>153.58000000000001</v>
      </c>
      <c r="AL765" s="38">
        <v>160.24</v>
      </c>
      <c r="AM765" s="38">
        <v>163.49</v>
      </c>
      <c r="AN765" s="38">
        <v>165.7</v>
      </c>
      <c r="AO765" s="38">
        <v>166.7</v>
      </c>
      <c r="AP765" s="38">
        <v>167.53</v>
      </c>
      <c r="AQ765" s="38">
        <v>158.34</v>
      </c>
      <c r="AR765" s="38">
        <v>112.92</v>
      </c>
      <c r="AS765" s="38">
        <v>82.67</v>
      </c>
      <c r="AT765" s="38">
        <v>80.61</v>
      </c>
      <c r="AU765" s="38">
        <v>76.84</v>
      </c>
      <c r="AV765" s="38">
        <v>71.09</v>
      </c>
      <c r="AW765" s="38">
        <v>71.87</v>
      </c>
      <c r="AX765" s="38">
        <v>77.78</v>
      </c>
      <c r="AY765" s="38">
        <v>82.53</v>
      </c>
      <c r="BA765" s="37">
        <v>83.5</v>
      </c>
      <c r="BB765" s="38">
        <v>1.204</v>
      </c>
    </row>
    <row r="766" spans="1:54" x14ac:dyDescent="0.35">
      <c r="A766" s="2">
        <f t="shared" si="11"/>
        <v>44894</v>
      </c>
      <c r="B766" t="s">
        <v>808</v>
      </c>
      <c r="C766" s="32">
        <v>44894</v>
      </c>
      <c r="D766" s="38">
        <v>322.33999999999997</v>
      </c>
      <c r="E766" s="38">
        <v>343.03</v>
      </c>
      <c r="F766" s="38">
        <v>345.92</v>
      </c>
      <c r="G766" s="38">
        <v>343.88</v>
      </c>
      <c r="H766" s="38">
        <v>339.68</v>
      </c>
      <c r="I766" s="38">
        <v>333.93</v>
      </c>
      <c r="J766" s="38">
        <v>329.7</v>
      </c>
      <c r="K766" s="38">
        <v>326.75</v>
      </c>
      <c r="L766" s="38">
        <v>325.74</v>
      </c>
      <c r="M766" s="38">
        <v>325.54000000000002</v>
      </c>
      <c r="N766" s="38">
        <v>324.04000000000002</v>
      </c>
      <c r="O766" s="38">
        <v>338.04</v>
      </c>
      <c r="P766" s="38">
        <v>348.69</v>
      </c>
      <c r="Q766" s="38">
        <v>355.39</v>
      </c>
      <c r="R766" s="38">
        <v>350.4</v>
      </c>
      <c r="S766" s="38">
        <v>313.45</v>
      </c>
      <c r="T766" s="38">
        <v>262.89999999999998</v>
      </c>
      <c r="U766" s="38">
        <v>229.09</v>
      </c>
      <c r="V766" s="38">
        <v>219.83</v>
      </c>
      <c r="W766" s="38">
        <v>210.39</v>
      </c>
      <c r="X766" s="38">
        <v>212.37</v>
      </c>
      <c r="Y766" s="38">
        <v>218.96</v>
      </c>
      <c r="Z766" s="38">
        <v>223.2</v>
      </c>
      <c r="AA766" s="38">
        <v>227.91</v>
      </c>
      <c r="AB766" s="38">
        <v>235.85</v>
      </c>
      <c r="AC766" s="38">
        <v>241.13</v>
      </c>
      <c r="AD766" s="38">
        <v>236.61</v>
      </c>
      <c r="AE766" s="38">
        <v>220.38</v>
      </c>
      <c r="AF766" s="38">
        <v>189.67</v>
      </c>
      <c r="AG766" s="38">
        <v>162.29</v>
      </c>
      <c r="AH766" s="38">
        <v>152.1</v>
      </c>
      <c r="AI766" s="38">
        <v>151.74</v>
      </c>
      <c r="AJ766" s="38">
        <v>152.44</v>
      </c>
      <c r="AK766" s="38">
        <v>155.51</v>
      </c>
      <c r="AL766" s="38">
        <v>162.16999999999999</v>
      </c>
      <c r="AM766" s="38">
        <v>165.42</v>
      </c>
      <c r="AN766" s="38">
        <v>167.63</v>
      </c>
      <c r="AO766" s="38">
        <v>168.63</v>
      </c>
      <c r="AP766" s="38">
        <v>169.46</v>
      </c>
      <c r="AQ766" s="38">
        <v>160.27000000000001</v>
      </c>
      <c r="AR766" s="38">
        <v>114.85</v>
      </c>
      <c r="AS766" s="38">
        <v>84.6</v>
      </c>
      <c r="AT766" s="38">
        <v>82.54</v>
      </c>
      <c r="AU766" s="38">
        <v>78.77</v>
      </c>
      <c r="AV766" s="38">
        <v>73.02</v>
      </c>
      <c r="AW766" s="38">
        <v>73.8</v>
      </c>
      <c r="AX766" s="38">
        <v>79.72</v>
      </c>
      <c r="AY766" s="38">
        <v>84.47</v>
      </c>
      <c r="BA766" s="37">
        <v>83.22</v>
      </c>
      <c r="BB766" s="38">
        <v>1.2001999999999999</v>
      </c>
    </row>
    <row r="767" spans="1:54" x14ac:dyDescent="0.35">
      <c r="A767" s="2">
        <f t="shared" si="11"/>
        <v>44895</v>
      </c>
      <c r="B767" t="s">
        <v>809</v>
      </c>
      <c r="C767" s="32">
        <v>44895</v>
      </c>
      <c r="D767" s="38">
        <v>369.65</v>
      </c>
      <c r="E767" s="38">
        <v>371.74</v>
      </c>
      <c r="F767" s="38">
        <v>368.1</v>
      </c>
      <c r="G767" s="38">
        <v>363.6</v>
      </c>
      <c r="H767" s="38">
        <v>358.82</v>
      </c>
      <c r="I767" s="38">
        <v>354.57</v>
      </c>
      <c r="J767" s="38">
        <v>350.5</v>
      </c>
      <c r="K767" s="38">
        <v>350.47</v>
      </c>
      <c r="L767" s="38">
        <v>348.99</v>
      </c>
      <c r="M767" s="38">
        <v>347.49</v>
      </c>
      <c r="N767" s="38">
        <v>361.09</v>
      </c>
      <c r="O767" s="38">
        <v>371.74</v>
      </c>
      <c r="P767" s="38">
        <v>376.49</v>
      </c>
      <c r="Q767" s="38">
        <v>372.4</v>
      </c>
      <c r="R767" s="38">
        <v>335.45</v>
      </c>
      <c r="S767" s="38">
        <v>273.86</v>
      </c>
      <c r="T767" s="38">
        <v>240.64</v>
      </c>
      <c r="U767" s="38">
        <v>231.9</v>
      </c>
      <c r="V767" s="38">
        <v>223.86</v>
      </c>
      <c r="W767" s="38">
        <v>226.01</v>
      </c>
      <c r="X767" s="38">
        <v>232.69</v>
      </c>
      <c r="Y767" s="38">
        <v>235.98</v>
      </c>
      <c r="Z767" s="38">
        <v>240.69</v>
      </c>
      <c r="AA767" s="38">
        <v>248.63</v>
      </c>
      <c r="AB767" s="38">
        <v>253.91</v>
      </c>
      <c r="AC767" s="38">
        <v>249.39</v>
      </c>
      <c r="AD767" s="38">
        <v>233.16</v>
      </c>
      <c r="AE767" s="38">
        <v>195.43</v>
      </c>
      <c r="AF767" s="38">
        <v>168.05</v>
      </c>
      <c r="AG767" s="38">
        <v>157.86000000000001</v>
      </c>
      <c r="AH767" s="38">
        <v>157.5</v>
      </c>
      <c r="AI767" s="38">
        <v>158.19999999999999</v>
      </c>
      <c r="AJ767" s="38">
        <v>161.27000000000001</v>
      </c>
      <c r="AK767" s="38">
        <v>167.93</v>
      </c>
      <c r="AL767" s="38">
        <v>171.18</v>
      </c>
      <c r="AM767" s="38">
        <v>173.39</v>
      </c>
      <c r="AN767" s="38">
        <v>174.39</v>
      </c>
      <c r="AO767" s="38">
        <v>175.22</v>
      </c>
      <c r="AP767" s="38">
        <v>166.03</v>
      </c>
      <c r="AQ767" s="38">
        <v>120.61</v>
      </c>
      <c r="AR767" s="38">
        <v>90.36</v>
      </c>
      <c r="AS767" s="38">
        <v>88.3</v>
      </c>
      <c r="AT767" s="38">
        <v>84.53</v>
      </c>
      <c r="AU767" s="38">
        <v>78.78</v>
      </c>
      <c r="AV767" s="38">
        <v>79.56</v>
      </c>
      <c r="AW767" s="38">
        <v>85.48</v>
      </c>
      <c r="AX767" s="38">
        <v>90.23</v>
      </c>
      <c r="AY767" s="38">
        <v>94.73</v>
      </c>
      <c r="BA767" s="37">
        <v>85.61</v>
      </c>
      <c r="BB767" s="38">
        <v>1.1912</v>
      </c>
    </row>
    <row r="768" spans="1:54" x14ac:dyDescent="0.35">
      <c r="A768" s="2">
        <f t="shared" si="11"/>
        <v>44896</v>
      </c>
      <c r="B768" t="s">
        <v>810</v>
      </c>
      <c r="C768" s="32">
        <v>44896</v>
      </c>
      <c r="D768" s="38">
        <v>344.2</v>
      </c>
      <c r="E768" s="38">
        <v>350.01</v>
      </c>
      <c r="F768" s="38">
        <v>349.71</v>
      </c>
      <c r="G768" s="38">
        <v>349.2</v>
      </c>
      <c r="H768" s="38">
        <v>345.55</v>
      </c>
      <c r="I768" s="38">
        <v>341.3</v>
      </c>
      <c r="J768" s="38">
        <v>337.53</v>
      </c>
      <c r="K768" s="38">
        <v>337.5</v>
      </c>
      <c r="L768" s="38">
        <v>337.35</v>
      </c>
      <c r="M768" s="38">
        <v>336.65</v>
      </c>
      <c r="N768" s="38">
        <v>350.25</v>
      </c>
      <c r="O768" s="38">
        <v>361.4</v>
      </c>
      <c r="P768" s="38">
        <v>366.15</v>
      </c>
      <c r="Q768" s="38">
        <v>362.06</v>
      </c>
      <c r="R768" s="38">
        <v>325.11</v>
      </c>
      <c r="S768" s="38">
        <v>271.52</v>
      </c>
      <c r="T768" s="38">
        <v>238.3</v>
      </c>
      <c r="U768" s="38">
        <v>229.56</v>
      </c>
      <c r="V768" s="38">
        <v>221.52</v>
      </c>
      <c r="W768" s="38">
        <v>223.67</v>
      </c>
      <c r="X768" s="38">
        <v>230.35</v>
      </c>
      <c r="Y768" s="38">
        <v>233.64</v>
      </c>
      <c r="Z768" s="38">
        <v>238.35</v>
      </c>
      <c r="AA768" s="38">
        <v>246.29</v>
      </c>
      <c r="AB768" s="38">
        <v>251.57</v>
      </c>
      <c r="AC768" s="38">
        <v>247.05</v>
      </c>
      <c r="AD768" s="38">
        <v>230.82</v>
      </c>
      <c r="AE768" s="38">
        <v>193.09</v>
      </c>
      <c r="AF768" s="38">
        <v>165.71</v>
      </c>
      <c r="AG768" s="38">
        <v>155.52000000000001</v>
      </c>
      <c r="AH768" s="38">
        <v>155.16</v>
      </c>
      <c r="AI768" s="38">
        <v>155.86000000000001</v>
      </c>
      <c r="AJ768" s="38">
        <v>158.93</v>
      </c>
      <c r="AK768" s="38">
        <v>165.59</v>
      </c>
      <c r="AL768" s="38">
        <v>168.84</v>
      </c>
      <c r="AM768" s="38">
        <v>171.05</v>
      </c>
      <c r="AN768" s="38">
        <v>172.05</v>
      </c>
      <c r="AO768" s="38">
        <v>172.88</v>
      </c>
      <c r="AP768" s="38">
        <v>163.69</v>
      </c>
      <c r="AQ768" s="38">
        <v>118.27</v>
      </c>
      <c r="AR768" s="38">
        <v>88.02</v>
      </c>
      <c r="AS768" s="38">
        <v>85.96</v>
      </c>
      <c r="AT768" s="38">
        <v>82.19</v>
      </c>
      <c r="AU768" s="38">
        <v>76.44</v>
      </c>
      <c r="AV768" s="38">
        <v>77.22</v>
      </c>
      <c r="AW768" s="38">
        <v>83.14</v>
      </c>
      <c r="AX768" s="38">
        <v>87.89</v>
      </c>
      <c r="AY768" s="38">
        <v>92.39</v>
      </c>
      <c r="BA768" s="37">
        <v>86.28</v>
      </c>
      <c r="BB768" s="38">
        <v>1.2266999999999999</v>
      </c>
    </row>
    <row r="769" spans="1:54" x14ac:dyDescent="0.35">
      <c r="A769" s="2">
        <f t="shared" si="11"/>
        <v>44897</v>
      </c>
      <c r="B769" t="s">
        <v>811</v>
      </c>
      <c r="C769" s="32">
        <v>44897</v>
      </c>
      <c r="D769" s="38">
        <v>336.31</v>
      </c>
      <c r="E769" s="38">
        <v>340.61</v>
      </c>
      <c r="F769" s="38">
        <v>340.66</v>
      </c>
      <c r="G769" s="38">
        <v>338.66</v>
      </c>
      <c r="H769" s="38">
        <v>335.66</v>
      </c>
      <c r="I769" s="38">
        <v>331.45</v>
      </c>
      <c r="J769" s="38">
        <v>328.68</v>
      </c>
      <c r="K769" s="38">
        <v>329.25</v>
      </c>
      <c r="L769" s="38">
        <v>329.64</v>
      </c>
      <c r="M769" s="38">
        <v>329.64</v>
      </c>
      <c r="N769" s="38">
        <v>339.24</v>
      </c>
      <c r="O769" s="38">
        <v>354.24</v>
      </c>
      <c r="P769" s="38">
        <v>358.99</v>
      </c>
      <c r="Q769" s="38">
        <v>354.9</v>
      </c>
      <c r="R769" s="38">
        <v>317.95</v>
      </c>
      <c r="S769" s="38">
        <v>270.36</v>
      </c>
      <c r="T769" s="38">
        <v>237.14</v>
      </c>
      <c r="U769" s="38">
        <v>228.4</v>
      </c>
      <c r="V769" s="38">
        <v>220.36</v>
      </c>
      <c r="W769" s="38">
        <v>222.51</v>
      </c>
      <c r="X769" s="38">
        <v>229.19</v>
      </c>
      <c r="Y769" s="38">
        <v>231.48</v>
      </c>
      <c r="Z769" s="38">
        <v>236.19</v>
      </c>
      <c r="AA769" s="38">
        <v>244.13</v>
      </c>
      <c r="AB769" s="38">
        <v>249.41</v>
      </c>
      <c r="AC769" s="38">
        <v>244.89</v>
      </c>
      <c r="AD769" s="38">
        <v>228.66</v>
      </c>
      <c r="AE769" s="38">
        <v>190.93</v>
      </c>
      <c r="AF769" s="38">
        <v>163.55000000000001</v>
      </c>
      <c r="AG769" s="38">
        <v>153.36000000000001</v>
      </c>
      <c r="AH769" s="38">
        <v>153</v>
      </c>
      <c r="AI769" s="38">
        <v>153.69999999999999</v>
      </c>
      <c r="AJ769" s="38">
        <v>156.77000000000001</v>
      </c>
      <c r="AK769" s="38">
        <v>165.43</v>
      </c>
      <c r="AL769" s="38">
        <v>168.68</v>
      </c>
      <c r="AM769" s="38">
        <v>170.89</v>
      </c>
      <c r="AN769" s="38">
        <v>171.89</v>
      </c>
      <c r="AO769" s="38">
        <v>172.72</v>
      </c>
      <c r="AP769" s="38">
        <v>163.53</v>
      </c>
      <c r="AQ769" s="38">
        <v>119.11</v>
      </c>
      <c r="AR769" s="38">
        <v>88.86</v>
      </c>
      <c r="AS769" s="38">
        <v>86.8</v>
      </c>
      <c r="AT769" s="38">
        <v>83.03</v>
      </c>
      <c r="AU769" s="38">
        <v>77.28</v>
      </c>
      <c r="AV769" s="38">
        <v>78.06</v>
      </c>
      <c r="AW769" s="38">
        <v>83.98</v>
      </c>
      <c r="AX769" s="38">
        <v>88.73</v>
      </c>
      <c r="AY769" s="38">
        <v>93.23</v>
      </c>
      <c r="BA769" s="37">
        <v>86.54</v>
      </c>
      <c r="BB769" s="38">
        <v>1.2216</v>
      </c>
    </row>
    <row r="770" spans="1:54" x14ac:dyDescent="0.35">
      <c r="A770" s="2">
        <f t="shared" si="11"/>
        <v>44900</v>
      </c>
      <c r="B770" t="s">
        <v>812</v>
      </c>
      <c r="C770" s="32">
        <v>44900</v>
      </c>
      <c r="D770" s="38">
        <v>335.38</v>
      </c>
      <c r="E770" s="38">
        <v>337.9</v>
      </c>
      <c r="F770" s="38">
        <v>337.75</v>
      </c>
      <c r="G770" s="38">
        <v>335.25</v>
      </c>
      <c r="H770" s="38">
        <v>332.25</v>
      </c>
      <c r="I770" s="38">
        <v>329.75</v>
      </c>
      <c r="J770" s="38">
        <v>327.25</v>
      </c>
      <c r="K770" s="38">
        <v>327.74</v>
      </c>
      <c r="L770" s="38">
        <v>328.37</v>
      </c>
      <c r="M770" s="38">
        <v>328.36</v>
      </c>
      <c r="N770" s="38">
        <v>335.86</v>
      </c>
      <c r="O770" s="38">
        <v>349.85</v>
      </c>
      <c r="P770" s="38">
        <v>354.6</v>
      </c>
      <c r="Q770" s="38">
        <v>350.58</v>
      </c>
      <c r="R770" s="38">
        <v>316.56</v>
      </c>
      <c r="S770" s="38">
        <v>273.56</v>
      </c>
      <c r="T770" s="38">
        <v>240.86</v>
      </c>
      <c r="U770" s="38">
        <v>232.11</v>
      </c>
      <c r="V770" s="38">
        <v>226.11</v>
      </c>
      <c r="W770" s="38">
        <v>228.26</v>
      </c>
      <c r="X770" s="38">
        <v>232.26</v>
      </c>
      <c r="Y770" s="38">
        <v>235.18</v>
      </c>
      <c r="Z770" s="38">
        <v>239.4</v>
      </c>
      <c r="AA770" s="38">
        <v>247.47</v>
      </c>
      <c r="AB770" s="38">
        <v>252.92</v>
      </c>
      <c r="AC770" s="38">
        <v>248.47</v>
      </c>
      <c r="AD770" s="38">
        <v>232.29</v>
      </c>
      <c r="AE770" s="38">
        <v>191.84</v>
      </c>
      <c r="AF770" s="38">
        <v>163.38999999999999</v>
      </c>
      <c r="AG770" s="38">
        <v>153.24</v>
      </c>
      <c r="AH770" s="38">
        <v>152.91</v>
      </c>
      <c r="AI770" s="38">
        <v>153.63999999999999</v>
      </c>
      <c r="AJ770" s="38">
        <v>156.75</v>
      </c>
      <c r="AK770" s="38">
        <v>165.14</v>
      </c>
      <c r="AL770" s="38">
        <v>168.39</v>
      </c>
      <c r="AM770" s="38">
        <v>170.6</v>
      </c>
      <c r="AN770" s="38">
        <v>171.57</v>
      </c>
      <c r="AO770" s="38">
        <v>172.4</v>
      </c>
      <c r="AP770" s="38">
        <v>163.22</v>
      </c>
      <c r="AQ770" s="38">
        <v>119.63</v>
      </c>
      <c r="AR770" s="38">
        <v>89.38</v>
      </c>
      <c r="AS770" s="38">
        <v>87.32</v>
      </c>
      <c r="AT770" s="38">
        <v>83.55</v>
      </c>
      <c r="AU770" s="38">
        <v>77.8</v>
      </c>
      <c r="AV770" s="38">
        <v>78.58</v>
      </c>
      <c r="AW770" s="38">
        <v>84.5</v>
      </c>
      <c r="AX770" s="38">
        <v>89.25</v>
      </c>
      <c r="AY770" s="38">
        <v>93.75</v>
      </c>
      <c r="BA770" s="37">
        <v>83.36</v>
      </c>
      <c r="BB770" s="38">
        <v>1.2218</v>
      </c>
    </row>
    <row r="771" spans="1:54" x14ac:dyDescent="0.35">
      <c r="A771" s="2">
        <f t="shared" si="11"/>
        <v>44901</v>
      </c>
      <c r="B771" t="s">
        <v>813</v>
      </c>
      <c r="C771" s="32">
        <v>44901</v>
      </c>
      <c r="D771" s="38">
        <v>346.32</v>
      </c>
      <c r="E771" s="38">
        <v>349.62</v>
      </c>
      <c r="F771" s="38">
        <v>348.37</v>
      </c>
      <c r="G771" s="38">
        <v>344.37</v>
      </c>
      <c r="H771" s="38">
        <v>340.49</v>
      </c>
      <c r="I771" s="38">
        <v>337.89</v>
      </c>
      <c r="J771" s="38">
        <v>334.79</v>
      </c>
      <c r="K771" s="38">
        <v>335.06</v>
      </c>
      <c r="L771" s="38">
        <v>336.15</v>
      </c>
      <c r="M771" s="38">
        <v>336.57</v>
      </c>
      <c r="N771" s="38">
        <v>343.56</v>
      </c>
      <c r="O771" s="38">
        <v>356.58</v>
      </c>
      <c r="P771" s="38">
        <v>359.83</v>
      </c>
      <c r="Q771" s="38">
        <v>355.82</v>
      </c>
      <c r="R771" s="38">
        <v>321.8</v>
      </c>
      <c r="S771" s="38">
        <v>275.8</v>
      </c>
      <c r="T771" s="38">
        <v>240.8</v>
      </c>
      <c r="U771" s="38">
        <v>232.05</v>
      </c>
      <c r="V771" s="38">
        <v>226.05</v>
      </c>
      <c r="W771" s="38">
        <v>228.21</v>
      </c>
      <c r="X771" s="38">
        <v>232.21</v>
      </c>
      <c r="Y771" s="38">
        <v>235.71</v>
      </c>
      <c r="Z771" s="38">
        <v>239.93</v>
      </c>
      <c r="AA771" s="38">
        <v>248</v>
      </c>
      <c r="AB771" s="38">
        <v>253.34</v>
      </c>
      <c r="AC771" s="38">
        <v>248.89</v>
      </c>
      <c r="AD771" s="38">
        <v>232.71</v>
      </c>
      <c r="AE771" s="38">
        <v>191.21</v>
      </c>
      <c r="AF771" s="38">
        <v>161.71</v>
      </c>
      <c r="AG771" s="38">
        <v>151.56</v>
      </c>
      <c r="AH771" s="38">
        <v>151.22999999999999</v>
      </c>
      <c r="AI771" s="38">
        <v>151.94999999999999</v>
      </c>
      <c r="AJ771" s="38">
        <v>155.07</v>
      </c>
      <c r="AK771" s="38">
        <v>163.1</v>
      </c>
      <c r="AL771" s="38">
        <v>166.35</v>
      </c>
      <c r="AM771" s="38">
        <v>168.56</v>
      </c>
      <c r="AN771" s="38">
        <v>169.56</v>
      </c>
      <c r="AO771" s="38">
        <v>170.39</v>
      </c>
      <c r="AP771" s="38">
        <v>161.21</v>
      </c>
      <c r="AQ771" s="38">
        <v>117.21</v>
      </c>
      <c r="AR771" s="38">
        <v>86.96</v>
      </c>
      <c r="AS771" s="38">
        <v>84.9</v>
      </c>
      <c r="AT771" s="38">
        <v>81.13</v>
      </c>
      <c r="AU771" s="38">
        <v>75.38</v>
      </c>
      <c r="AV771" s="38">
        <v>76.16</v>
      </c>
      <c r="AW771" s="38">
        <v>82.16</v>
      </c>
      <c r="AX771" s="38">
        <v>86.91</v>
      </c>
      <c r="AY771" s="38">
        <v>91.41</v>
      </c>
      <c r="BA771" s="37">
        <v>79.92</v>
      </c>
      <c r="BB771" s="38">
        <v>1.2222999999999999</v>
      </c>
    </row>
    <row r="772" spans="1:54" x14ac:dyDescent="0.35">
      <c r="A772" s="2">
        <f t="shared" si="11"/>
        <v>44902</v>
      </c>
      <c r="B772" t="s">
        <v>814</v>
      </c>
      <c r="C772" s="32">
        <v>44902</v>
      </c>
      <c r="D772" s="38">
        <v>374.49</v>
      </c>
      <c r="E772" s="38">
        <v>377.73</v>
      </c>
      <c r="F772" s="38">
        <v>376.57</v>
      </c>
      <c r="G772" s="38">
        <v>371.58</v>
      </c>
      <c r="H772" s="38">
        <v>367.32</v>
      </c>
      <c r="I772" s="38">
        <v>365.07</v>
      </c>
      <c r="J772" s="38">
        <v>360.32</v>
      </c>
      <c r="K772" s="38">
        <v>361.07</v>
      </c>
      <c r="L772" s="38">
        <v>361.82</v>
      </c>
      <c r="M772" s="38">
        <v>362.5</v>
      </c>
      <c r="N772" s="38">
        <v>372</v>
      </c>
      <c r="O772" s="38">
        <v>384.4</v>
      </c>
      <c r="P772" s="38">
        <v>385.38</v>
      </c>
      <c r="Q772" s="38">
        <v>381.36</v>
      </c>
      <c r="R772" s="38">
        <v>347.34</v>
      </c>
      <c r="S772" s="38">
        <v>286.61</v>
      </c>
      <c r="T772" s="38">
        <v>244.61</v>
      </c>
      <c r="U772" s="38">
        <v>235.86</v>
      </c>
      <c r="V772" s="38">
        <v>229.81</v>
      </c>
      <c r="W772" s="38">
        <v>231.97</v>
      </c>
      <c r="X772" s="38">
        <v>235.98</v>
      </c>
      <c r="Y772" s="38">
        <v>239.69</v>
      </c>
      <c r="Z772" s="38">
        <v>243.91</v>
      </c>
      <c r="AA772" s="38">
        <v>251.98</v>
      </c>
      <c r="AB772" s="38">
        <v>257.33</v>
      </c>
      <c r="AC772" s="38">
        <v>252.88</v>
      </c>
      <c r="AD772" s="38">
        <v>236.7</v>
      </c>
      <c r="AE772" s="38">
        <v>194.7</v>
      </c>
      <c r="AF772" s="38">
        <v>165.2</v>
      </c>
      <c r="AG772" s="38">
        <v>155.05000000000001</v>
      </c>
      <c r="AH772" s="38">
        <v>154.72</v>
      </c>
      <c r="AI772" s="38">
        <v>155.44</v>
      </c>
      <c r="AJ772" s="38">
        <v>158.56</v>
      </c>
      <c r="AK772" s="38">
        <v>166.58</v>
      </c>
      <c r="AL772" s="38">
        <v>169.84</v>
      </c>
      <c r="AM772" s="38">
        <v>172.04</v>
      </c>
      <c r="AN772" s="38">
        <v>173.04</v>
      </c>
      <c r="AO772" s="38">
        <v>173.87</v>
      </c>
      <c r="AP772" s="38">
        <v>164.69</v>
      </c>
      <c r="AQ772" s="38">
        <v>120.69</v>
      </c>
      <c r="AR772" s="38">
        <v>90.44</v>
      </c>
      <c r="AS772" s="38">
        <v>88.38</v>
      </c>
      <c r="AT772" s="38">
        <v>84.61</v>
      </c>
      <c r="AU772" s="38">
        <v>78.86</v>
      </c>
      <c r="AV772" s="38">
        <v>79.64</v>
      </c>
      <c r="AW772" s="38">
        <v>85.64</v>
      </c>
      <c r="AX772" s="38">
        <v>90.39</v>
      </c>
      <c r="AY772" s="38">
        <v>94.89</v>
      </c>
      <c r="BA772" s="37">
        <v>77.11</v>
      </c>
      <c r="BB772" s="38">
        <v>1.2198</v>
      </c>
    </row>
    <row r="773" spans="1:54" x14ac:dyDescent="0.35">
      <c r="A773" s="2">
        <f t="shared" si="11"/>
        <v>44903</v>
      </c>
      <c r="B773" t="s">
        <v>815</v>
      </c>
      <c r="C773" s="32">
        <v>44903</v>
      </c>
      <c r="D773" s="38">
        <v>349.59</v>
      </c>
      <c r="E773" s="38">
        <v>353.07</v>
      </c>
      <c r="F773" s="38">
        <v>352.66</v>
      </c>
      <c r="G773" s="38">
        <v>349.91</v>
      </c>
      <c r="H773" s="38">
        <v>346.16</v>
      </c>
      <c r="I773" s="38">
        <v>343.91</v>
      </c>
      <c r="J773" s="38">
        <v>339.21</v>
      </c>
      <c r="K773" s="38">
        <v>339.46</v>
      </c>
      <c r="L773" s="38">
        <v>340.42</v>
      </c>
      <c r="M773" s="38">
        <v>342.43</v>
      </c>
      <c r="N773" s="38">
        <v>351.93</v>
      </c>
      <c r="O773" s="38">
        <v>364.33</v>
      </c>
      <c r="P773" s="38">
        <v>365.31</v>
      </c>
      <c r="Q773" s="38">
        <v>361.29</v>
      </c>
      <c r="R773" s="38">
        <v>327.29000000000002</v>
      </c>
      <c r="S773" s="38">
        <v>278.29000000000002</v>
      </c>
      <c r="T773" s="38">
        <v>241.29</v>
      </c>
      <c r="U773" s="38">
        <v>232.54</v>
      </c>
      <c r="V773" s="38">
        <v>226.49</v>
      </c>
      <c r="W773" s="38">
        <v>228.65</v>
      </c>
      <c r="X773" s="38">
        <v>232.66</v>
      </c>
      <c r="Y773" s="38">
        <v>237.66</v>
      </c>
      <c r="Z773" s="38">
        <v>241.88</v>
      </c>
      <c r="AA773" s="38">
        <v>249.95</v>
      </c>
      <c r="AB773" s="38">
        <v>255.3</v>
      </c>
      <c r="AC773" s="38">
        <v>250.85</v>
      </c>
      <c r="AD773" s="38">
        <v>234.67</v>
      </c>
      <c r="AE773" s="38">
        <v>192.67</v>
      </c>
      <c r="AF773" s="38">
        <v>163.16999999999999</v>
      </c>
      <c r="AG773" s="38">
        <v>153.02000000000001</v>
      </c>
      <c r="AH773" s="38">
        <v>152.69</v>
      </c>
      <c r="AI773" s="38">
        <v>153.41</v>
      </c>
      <c r="AJ773" s="38">
        <v>156.53</v>
      </c>
      <c r="AK773" s="38">
        <v>165.03</v>
      </c>
      <c r="AL773" s="38">
        <v>168.29</v>
      </c>
      <c r="AM773" s="38">
        <v>170.49</v>
      </c>
      <c r="AN773" s="38">
        <v>171.49</v>
      </c>
      <c r="AO773" s="38">
        <v>172.32</v>
      </c>
      <c r="AP773" s="38">
        <v>163.13999999999999</v>
      </c>
      <c r="AQ773" s="38">
        <v>120.14</v>
      </c>
      <c r="AR773" s="38">
        <v>89.89</v>
      </c>
      <c r="AS773" s="38">
        <v>87.83</v>
      </c>
      <c r="AT773" s="38">
        <v>84.06</v>
      </c>
      <c r="AU773" s="38">
        <v>78.31</v>
      </c>
      <c r="AV773" s="38">
        <v>79.09</v>
      </c>
      <c r="AW773" s="38">
        <v>85.09</v>
      </c>
      <c r="AX773" s="38">
        <v>89.84</v>
      </c>
      <c r="AY773" s="38">
        <v>94.34</v>
      </c>
      <c r="BA773" s="37">
        <v>76.02</v>
      </c>
      <c r="BB773" s="38">
        <v>1.2219</v>
      </c>
    </row>
    <row r="774" spans="1:54" x14ac:dyDescent="0.35">
      <c r="A774" s="2">
        <f t="shared" si="11"/>
        <v>44904</v>
      </c>
      <c r="B774" t="s">
        <v>816</v>
      </c>
      <c r="C774" s="32">
        <v>44904</v>
      </c>
      <c r="D774" s="38">
        <v>345.91</v>
      </c>
      <c r="E774" s="38">
        <v>349.4</v>
      </c>
      <c r="F774" s="38">
        <v>349.09</v>
      </c>
      <c r="G774" s="38">
        <v>346.78</v>
      </c>
      <c r="H774" s="38">
        <v>343.66</v>
      </c>
      <c r="I774" s="38">
        <v>341.43</v>
      </c>
      <c r="J774" s="38">
        <v>338.43</v>
      </c>
      <c r="K774" s="38">
        <v>338.73</v>
      </c>
      <c r="L774" s="38">
        <v>340.07</v>
      </c>
      <c r="M774" s="38">
        <v>341.25</v>
      </c>
      <c r="N774" s="38">
        <v>350.97</v>
      </c>
      <c r="O774" s="38">
        <v>364.74</v>
      </c>
      <c r="P774" s="38">
        <v>365.68</v>
      </c>
      <c r="Q774" s="38">
        <v>361.34</v>
      </c>
      <c r="R774" s="38">
        <v>328.64</v>
      </c>
      <c r="S774" s="38">
        <v>281.39</v>
      </c>
      <c r="T774" s="38">
        <v>244.46</v>
      </c>
      <c r="U774" s="38">
        <v>235.7</v>
      </c>
      <c r="V774" s="38">
        <v>229.64</v>
      </c>
      <c r="W774" s="38">
        <v>231.8</v>
      </c>
      <c r="X774" s="38">
        <v>235.81</v>
      </c>
      <c r="Y774" s="38">
        <v>239.91</v>
      </c>
      <c r="Z774" s="38">
        <v>244.13</v>
      </c>
      <c r="AA774" s="38">
        <v>252.2</v>
      </c>
      <c r="AB774" s="38">
        <v>257.95</v>
      </c>
      <c r="AC774" s="38">
        <v>253.5</v>
      </c>
      <c r="AD774" s="38">
        <v>237.32</v>
      </c>
      <c r="AE774" s="38">
        <v>192.33</v>
      </c>
      <c r="AF774" s="38">
        <v>161.33000000000001</v>
      </c>
      <c r="AG774" s="38">
        <v>151.18</v>
      </c>
      <c r="AH774" s="38">
        <v>150.85</v>
      </c>
      <c r="AI774" s="38">
        <v>151.57</v>
      </c>
      <c r="AJ774" s="38">
        <v>154.69</v>
      </c>
      <c r="AK774" s="38">
        <v>163.09</v>
      </c>
      <c r="AL774" s="38">
        <v>166.35</v>
      </c>
      <c r="AM774" s="38">
        <v>168.55</v>
      </c>
      <c r="AN774" s="38">
        <v>169.31</v>
      </c>
      <c r="AO774" s="38">
        <v>170.14</v>
      </c>
      <c r="AP774" s="38">
        <v>160.96</v>
      </c>
      <c r="AQ774" s="38">
        <v>118.31</v>
      </c>
      <c r="AR774" s="38">
        <v>88.06</v>
      </c>
      <c r="AS774" s="38">
        <v>86</v>
      </c>
      <c r="AT774" s="38">
        <v>82.23</v>
      </c>
      <c r="AU774" s="38">
        <v>76.48</v>
      </c>
      <c r="AV774" s="38">
        <v>77.260000000000005</v>
      </c>
      <c r="AW774" s="38">
        <v>83.18</v>
      </c>
      <c r="AX774" s="38">
        <v>87.93</v>
      </c>
      <c r="AY774" s="38">
        <v>92.43</v>
      </c>
      <c r="BA774" s="37">
        <v>76.37</v>
      </c>
      <c r="BB774" s="38">
        <v>1.2295</v>
      </c>
    </row>
    <row r="775" spans="1:54" x14ac:dyDescent="0.35">
      <c r="A775" s="2">
        <f t="shared" si="11"/>
        <v>44907</v>
      </c>
      <c r="B775" t="s">
        <v>817</v>
      </c>
      <c r="C775" s="32">
        <v>44907</v>
      </c>
      <c r="D775" s="38">
        <v>339.05</v>
      </c>
      <c r="E775" s="38">
        <v>343.76</v>
      </c>
      <c r="F775" s="38">
        <v>343.06</v>
      </c>
      <c r="G775" s="38">
        <v>341.76</v>
      </c>
      <c r="H775" s="38">
        <v>339.49</v>
      </c>
      <c r="I775" s="38">
        <v>336.76</v>
      </c>
      <c r="J775" s="38">
        <v>334.41</v>
      </c>
      <c r="K775" s="38">
        <v>334.71</v>
      </c>
      <c r="L775" s="38">
        <v>336.05</v>
      </c>
      <c r="M775" s="38">
        <v>337.25</v>
      </c>
      <c r="N775" s="38">
        <v>346.97</v>
      </c>
      <c r="O775" s="38">
        <v>360.74</v>
      </c>
      <c r="P775" s="38">
        <v>361.68</v>
      </c>
      <c r="Q775" s="38">
        <v>357.34</v>
      </c>
      <c r="R775" s="38">
        <v>324.64</v>
      </c>
      <c r="S775" s="38">
        <v>279.74</v>
      </c>
      <c r="T775" s="38">
        <v>242.82</v>
      </c>
      <c r="U775" s="38">
        <v>234.07</v>
      </c>
      <c r="V775" s="38">
        <v>226.34</v>
      </c>
      <c r="W775" s="38">
        <v>228.52</v>
      </c>
      <c r="X775" s="38">
        <v>232.55</v>
      </c>
      <c r="Y775" s="38">
        <v>237.55</v>
      </c>
      <c r="Z775" s="38">
        <v>241.8</v>
      </c>
      <c r="AA775" s="38">
        <v>249.99</v>
      </c>
      <c r="AB775" s="38">
        <v>255.78</v>
      </c>
      <c r="AC775" s="38">
        <v>251.38</v>
      </c>
      <c r="AD775" s="38">
        <v>235.29</v>
      </c>
      <c r="AE775" s="38">
        <v>193.29</v>
      </c>
      <c r="AF775" s="38">
        <v>162.29</v>
      </c>
      <c r="AG775" s="38">
        <v>152.13999999999999</v>
      </c>
      <c r="AH775" s="38">
        <v>151.81</v>
      </c>
      <c r="AI775" s="38">
        <v>152.53</v>
      </c>
      <c r="AJ775" s="38">
        <v>155.65</v>
      </c>
      <c r="AK775" s="38">
        <v>163.65</v>
      </c>
      <c r="AL775" s="38">
        <v>166.91</v>
      </c>
      <c r="AM775" s="38">
        <v>169.11</v>
      </c>
      <c r="AN775" s="38">
        <v>169.87</v>
      </c>
      <c r="AO775" s="38">
        <v>170.7</v>
      </c>
      <c r="AP775" s="38">
        <v>161.52000000000001</v>
      </c>
      <c r="AQ775" s="38">
        <v>118.62</v>
      </c>
      <c r="AR775" s="38">
        <v>88.37</v>
      </c>
      <c r="AS775" s="38">
        <v>86.31</v>
      </c>
      <c r="AT775" s="38">
        <v>82.54</v>
      </c>
      <c r="AU775" s="38">
        <v>76.790000000000006</v>
      </c>
      <c r="AV775" s="38">
        <v>77.569999999999993</v>
      </c>
      <c r="AW775" s="38">
        <v>83.49</v>
      </c>
      <c r="AX775" s="38">
        <v>88.24</v>
      </c>
      <c r="AY775" s="38">
        <v>92.74</v>
      </c>
      <c r="BA775" s="37">
        <v>78</v>
      </c>
      <c r="BB775" s="38">
        <v>1.2253000000000001</v>
      </c>
    </row>
    <row r="776" spans="1:54" x14ac:dyDescent="0.35">
      <c r="A776" s="2">
        <f t="shared" si="11"/>
        <v>44908</v>
      </c>
      <c r="B776" t="s">
        <v>818</v>
      </c>
      <c r="C776" s="32">
        <v>44908</v>
      </c>
      <c r="D776" s="38">
        <v>341.32</v>
      </c>
      <c r="E776" s="38">
        <v>345.81</v>
      </c>
      <c r="F776" s="38">
        <v>344.56</v>
      </c>
      <c r="G776" s="38">
        <v>341.07</v>
      </c>
      <c r="H776" s="38">
        <v>337.9</v>
      </c>
      <c r="I776" s="38">
        <v>335.14</v>
      </c>
      <c r="J776" s="38">
        <v>331.96</v>
      </c>
      <c r="K776" s="38">
        <v>332.75</v>
      </c>
      <c r="L776" s="38">
        <v>334.44</v>
      </c>
      <c r="M776" s="38">
        <v>335.44</v>
      </c>
      <c r="N776" s="38">
        <v>345</v>
      </c>
      <c r="O776" s="38">
        <v>359.41</v>
      </c>
      <c r="P776" s="38">
        <v>362.22</v>
      </c>
      <c r="Q776" s="38">
        <v>357.88</v>
      </c>
      <c r="R776" s="38">
        <v>326.52999999999997</v>
      </c>
      <c r="S776" s="38">
        <v>282.66000000000003</v>
      </c>
      <c r="T776" s="38">
        <v>245.74</v>
      </c>
      <c r="U776" s="38">
        <v>236.99</v>
      </c>
      <c r="V776" s="38">
        <v>229.54</v>
      </c>
      <c r="W776" s="38">
        <v>231.72</v>
      </c>
      <c r="X776" s="38">
        <v>235.75</v>
      </c>
      <c r="Y776" s="38">
        <v>239.86</v>
      </c>
      <c r="Z776" s="38">
        <v>244.11</v>
      </c>
      <c r="AA776" s="38">
        <v>252.3</v>
      </c>
      <c r="AB776" s="38">
        <v>257.91000000000003</v>
      </c>
      <c r="AC776" s="38">
        <v>253.51</v>
      </c>
      <c r="AD776" s="38">
        <v>237.42</v>
      </c>
      <c r="AE776" s="38">
        <v>191.35</v>
      </c>
      <c r="AF776" s="38">
        <v>160.05000000000001</v>
      </c>
      <c r="AG776" s="38">
        <v>150</v>
      </c>
      <c r="AH776" s="38">
        <v>150.34</v>
      </c>
      <c r="AI776" s="38">
        <v>151.16</v>
      </c>
      <c r="AJ776" s="38">
        <v>155.25</v>
      </c>
      <c r="AK776" s="38">
        <v>163.74</v>
      </c>
      <c r="AL776" s="38">
        <v>167.34</v>
      </c>
      <c r="AM776" s="38">
        <v>170.75</v>
      </c>
      <c r="AN776" s="38">
        <v>172.41</v>
      </c>
      <c r="AO776" s="38">
        <v>173.31</v>
      </c>
      <c r="AP776" s="38">
        <v>164.13</v>
      </c>
      <c r="AQ776" s="38">
        <v>121.6</v>
      </c>
      <c r="AR776" s="38">
        <v>88.63</v>
      </c>
      <c r="AS776" s="38">
        <v>85.63</v>
      </c>
      <c r="AT776" s="38">
        <v>80.63</v>
      </c>
      <c r="AU776" s="38">
        <v>72.63</v>
      </c>
      <c r="AV776" s="38">
        <v>72.86</v>
      </c>
      <c r="AW776" s="38">
        <v>79.069999999999993</v>
      </c>
      <c r="AX776" s="38">
        <v>83.96</v>
      </c>
      <c r="AY776" s="38">
        <v>88.52</v>
      </c>
      <c r="BA776" s="37">
        <v>80.14</v>
      </c>
      <c r="BB776" s="38">
        <v>1.2395</v>
      </c>
    </row>
    <row r="777" spans="1:54" x14ac:dyDescent="0.35">
      <c r="A777" s="2">
        <f t="shared" si="11"/>
        <v>44909</v>
      </c>
      <c r="B777" t="s">
        <v>819</v>
      </c>
      <c r="C777" s="32">
        <v>44909</v>
      </c>
      <c r="D777" s="38">
        <v>324.89</v>
      </c>
      <c r="E777" s="38">
        <v>329.79</v>
      </c>
      <c r="F777" s="38">
        <v>327.74</v>
      </c>
      <c r="G777" s="38">
        <v>322.82</v>
      </c>
      <c r="H777" s="38">
        <v>319.62</v>
      </c>
      <c r="I777" s="38">
        <v>316.92</v>
      </c>
      <c r="J777" s="38">
        <v>313.99</v>
      </c>
      <c r="K777" s="38">
        <v>314.97000000000003</v>
      </c>
      <c r="L777" s="38">
        <v>317.83999999999997</v>
      </c>
      <c r="M777" s="38">
        <v>318.48</v>
      </c>
      <c r="N777" s="38">
        <v>327.55</v>
      </c>
      <c r="O777" s="38">
        <v>341.38</v>
      </c>
      <c r="P777" s="38">
        <v>346.08</v>
      </c>
      <c r="Q777" s="38">
        <v>342.11</v>
      </c>
      <c r="R777" s="38">
        <v>310.77999999999997</v>
      </c>
      <c r="S777" s="38">
        <v>273.89</v>
      </c>
      <c r="T777" s="38">
        <v>239.87</v>
      </c>
      <c r="U777" s="38">
        <v>231.11</v>
      </c>
      <c r="V777" s="38">
        <v>223.3</v>
      </c>
      <c r="W777" s="38">
        <v>225.73</v>
      </c>
      <c r="X777" s="38">
        <v>230.53</v>
      </c>
      <c r="Y777" s="38">
        <v>236.74</v>
      </c>
      <c r="Z777" s="38">
        <v>242.69</v>
      </c>
      <c r="AA777" s="38">
        <v>250.88</v>
      </c>
      <c r="AB777" s="38">
        <v>256.47000000000003</v>
      </c>
      <c r="AC777" s="38">
        <v>252.07</v>
      </c>
      <c r="AD777" s="38">
        <v>235.98</v>
      </c>
      <c r="AE777" s="38">
        <v>190.29</v>
      </c>
      <c r="AF777" s="38">
        <v>159.04</v>
      </c>
      <c r="AG777" s="38">
        <v>148.99</v>
      </c>
      <c r="AH777" s="38">
        <v>149.33000000000001</v>
      </c>
      <c r="AI777" s="38">
        <v>150.15</v>
      </c>
      <c r="AJ777" s="38">
        <v>154.24</v>
      </c>
      <c r="AK777" s="38">
        <v>161.38</v>
      </c>
      <c r="AL777" s="38">
        <v>164.69</v>
      </c>
      <c r="AM777" s="38">
        <v>167.89</v>
      </c>
      <c r="AN777" s="38">
        <v>168.03</v>
      </c>
      <c r="AO777" s="38">
        <v>168.93</v>
      </c>
      <c r="AP777" s="38">
        <v>159.75</v>
      </c>
      <c r="AQ777" s="38">
        <v>120.58</v>
      </c>
      <c r="AR777" s="38">
        <v>89.07</v>
      </c>
      <c r="AS777" s="38">
        <v>86.06</v>
      </c>
      <c r="AT777" s="38">
        <v>81.06</v>
      </c>
      <c r="AU777" s="38">
        <v>73.06</v>
      </c>
      <c r="AV777" s="38">
        <v>73.3</v>
      </c>
      <c r="AW777" s="38">
        <v>81.3</v>
      </c>
      <c r="AX777" s="38">
        <v>86.3</v>
      </c>
      <c r="AY777" s="38">
        <v>90.3</v>
      </c>
      <c r="BA777" s="37">
        <v>83.33</v>
      </c>
      <c r="BB777" s="38">
        <v>1.2403999999999999</v>
      </c>
    </row>
    <row r="778" spans="1:54" x14ac:dyDescent="0.35">
      <c r="A778" s="2">
        <f t="shared" si="11"/>
        <v>44910</v>
      </c>
      <c r="B778" t="s">
        <v>820</v>
      </c>
      <c r="C778" s="32">
        <v>44910</v>
      </c>
      <c r="D778" s="38">
        <v>337.13</v>
      </c>
      <c r="E778" s="38">
        <v>341.56</v>
      </c>
      <c r="F778" s="38">
        <v>337.31</v>
      </c>
      <c r="G778" s="38">
        <v>332.56</v>
      </c>
      <c r="H778" s="38">
        <v>328.31</v>
      </c>
      <c r="I778" s="38">
        <v>325.61</v>
      </c>
      <c r="J778" s="38">
        <v>322.3</v>
      </c>
      <c r="K778" s="38">
        <v>322.86</v>
      </c>
      <c r="L778" s="38">
        <v>325.62</v>
      </c>
      <c r="M778" s="38">
        <v>326.08999999999997</v>
      </c>
      <c r="N778" s="38">
        <v>335.16</v>
      </c>
      <c r="O778" s="38">
        <v>348.99</v>
      </c>
      <c r="P778" s="38">
        <v>353.69</v>
      </c>
      <c r="Q778" s="38">
        <v>349.72</v>
      </c>
      <c r="R778" s="38">
        <v>318.39</v>
      </c>
      <c r="S778" s="38">
        <v>279.52</v>
      </c>
      <c r="T778" s="38">
        <v>243.52</v>
      </c>
      <c r="U778" s="38">
        <v>234.76</v>
      </c>
      <c r="V778" s="38">
        <v>226.95</v>
      </c>
      <c r="W778" s="38">
        <v>229.38</v>
      </c>
      <c r="X778" s="38">
        <v>234.18</v>
      </c>
      <c r="Y778" s="38">
        <v>240.39</v>
      </c>
      <c r="Z778" s="38">
        <v>246.34</v>
      </c>
      <c r="AA778" s="38">
        <v>254.53</v>
      </c>
      <c r="AB778" s="38">
        <v>260.12</v>
      </c>
      <c r="AC778" s="38">
        <v>255.72</v>
      </c>
      <c r="AD778" s="38">
        <v>239.63</v>
      </c>
      <c r="AE778" s="38">
        <v>192.63</v>
      </c>
      <c r="AF778" s="38">
        <v>161.13</v>
      </c>
      <c r="AG778" s="38">
        <v>151.08000000000001</v>
      </c>
      <c r="AH778" s="38">
        <v>151.41999999999999</v>
      </c>
      <c r="AI778" s="38">
        <v>152.24</v>
      </c>
      <c r="AJ778" s="38">
        <v>156.33000000000001</v>
      </c>
      <c r="AK778" s="38">
        <v>163.93</v>
      </c>
      <c r="AL778" s="38">
        <v>167.24</v>
      </c>
      <c r="AM778" s="38">
        <v>170.44</v>
      </c>
      <c r="AN778" s="38">
        <v>170.58</v>
      </c>
      <c r="AO778" s="38">
        <v>171.48</v>
      </c>
      <c r="AP778" s="38">
        <v>162.30000000000001</v>
      </c>
      <c r="AQ778" s="38">
        <v>120.63</v>
      </c>
      <c r="AR778" s="38">
        <v>89.12</v>
      </c>
      <c r="AS778" s="38">
        <v>86.11</v>
      </c>
      <c r="AT778" s="38">
        <v>81.11</v>
      </c>
      <c r="AU778" s="38">
        <v>73.11</v>
      </c>
      <c r="AV778" s="38">
        <v>73.349999999999994</v>
      </c>
      <c r="AW778" s="38">
        <v>81.14</v>
      </c>
      <c r="AX778" s="38">
        <v>86.14</v>
      </c>
      <c r="AY778" s="38">
        <v>90.14</v>
      </c>
      <c r="BA778" s="37">
        <v>82.34</v>
      </c>
      <c r="BB778" s="38">
        <v>1.222</v>
      </c>
    </row>
    <row r="779" spans="1:54" x14ac:dyDescent="0.35">
      <c r="A779" s="2">
        <f t="shared" si="11"/>
        <v>44911</v>
      </c>
      <c r="B779" t="s">
        <v>821</v>
      </c>
      <c r="C779" s="32">
        <v>44911</v>
      </c>
      <c r="D779" s="38">
        <v>288.42</v>
      </c>
      <c r="E779" s="38">
        <v>293.17</v>
      </c>
      <c r="F779" s="38">
        <v>290.47000000000003</v>
      </c>
      <c r="G779" s="38">
        <v>288.67</v>
      </c>
      <c r="H779" s="38">
        <v>286.17</v>
      </c>
      <c r="I779" s="38">
        <v>282.14999999999998</v>
      </c>
      <c r="J779" s="38">
        <v>278.93</v>
      </c>
      <c r="K779" s="38">
        <v>279.68</v>
      </c>
      <c r="L779" s="38">
        <v>282.08</v>
      </c>
      <c r="M779" s="38">
        <v>283.07</v>
      </c>
      <c r="N779" s="38">
        <v>292.17</v>
      </c>
      <c r="O779" s="38">
        <v>306.02</v>
      </c>
      <c r="P779" s="38">
        <v>310.97000000000003</v>
      </c>
      <c r="Q779" s="38">
        <v>308.97000000000003</v>
      </c>
      <c r="R779" s="38">
        <v>277.64</v>
      </c>
      <c r="S779" s="38">
        <v>247.64</v>
      </c>
      <c r="T779" s="38">
        <v>218.64</v>
      </c>
      <c r="U779" s="38">
        <v>209.88</v>
      </c>
      <c r="V779" s="38">
        <v>202.07</v>
      </c>
      <c r="W779" s="38">
        <v>204.5</v>
      </c>
      <c r="X779" s="38">
        <v>209.3</v>
      </c>
      <c r="Y779" s="38">
        <v>219.25</v>
      </c>
      <c r="Z779" s="38">
        <v>227.25</v>
      </c>
      <c r="AA779" s="38">
        <v>235.44</v>
      </c>
      <c r="AB779" s="38">
        <v>241.11</v>
      </c>
      <c r="AC779" s="38">
        <v>236.71</v>
      </c>
      <c r="AD779" s="38">
        <v>220.62</v>
      </c>
      <c r="AE779" s="38">
        <v>182.62</v>
      </c>
      <c r="AF779" s="38">
        <v>151.13</v>
      </c>
      <c r="AG779" s="38">
        <v>141.07</v>
      </c>
      <c r="AH779" s="38">
        <v>141.41</v>
      </c>
      <c r="AI779" s="38">
        <v>142.22999999999999</v>
      </c>
      <c r="AJ779" s="38">
        <v>146.32</v>
      </c>
      <c r="AK779" s="38">
        <v>156.33000000000001</v>
      </c>
      <c r="AL779" s="38">
        <v>159.63999999999999</v>
      </c>
      <c r="AM779" s="38">
        <v>162.84</v>
      </c>
      <c r="AN779" s="38">
        <v>162.97999999999999</v>
      </c>
      <c r="AO779" s="38">
        <v>163.88</v>
      </c>
      <c r="AP779" s="38">
        <v>154.69999999999999</v>
      </c>
      <c r="AQ779" s="38">
        <v>116.7</v>
      </c>
      <c r="AR779" s="38">
        <v>86.7</v>
      </c>
      <c r="AS779" s="38">
        <v>83.69</v>
      </c>
      <c r="AT779" s="38">
        <v>78.69</v>
      </c>
      <c r="AU779" s="38">
        <v>70.69</v>
      </c>
      <c r="AV779" s="38">
        <v>70.930000000000007</v>
      </c>
      <c r="AW779" s="38">
        <v>79.430000000000007</v>
      </c>
      <c r="AX779" s="38">
        <v>84.43</v>
      </c>
      <c r="AY779" s="38">
        <v>88.43</v>
      </c>
      <c r="BA779" s="37">
        <v>80.2</v>
      </c>
      <c r="BB779" s="38">
        <v>1.2153</v>
      </c>
    </row>
    <row r="780" spans="1:54" x14ac:dyDescent="0.35">
      <c r="A780" s="2">
        <f t="shared" si="11"/>
        <v>44914</v>
      </c>
      <c r="B780" t="s">
        <v>822</v>
      </c>
      <c r="C780" s="32">
        <v>44914</v>
      </c>
      <c r="D780" s="38">
        <v>270.07</v>
      </c>
      <c r="E780" s="38">
        <v>274.64</v>
      </c>
      <c r="F780" s="38">
        <v>272.95</v>
      </c>
      <c r="G780" s="38">
        <v>272.60000000000002</v>
      </c>
      <c r="H780" s="38">
        <v>270.52</v>
      </c>
      <c r="I780" s="38">
        <v>267.2</v>
      </c>
      <c r="J780" s="38">
        <v>264.25</v>
      </c>
      <c r="K780" s="38">
        <v>265.2</v>
      </c>
      <c r="L780" s="38">
        <v>267.7</v>
      </c>
      <c r="M780" s="38">
        <v>269.29000000000002</v>
      </c>
      <c r="N780" s="38">
        <v>278.83999999999997</v>
      </c>
      <c r="O780" s="38">
        <v>292.04000000000002</v>
      </c>
      <c r="P780" s="38">
        <v>296.99</v>
      </c>
      <c r="Q780" s="38">
        <v>294.99</v>
      </c>
      <c r="R780" s="38">
        <v>263.66000000000003</v>
      </c>
      <c r="S780" s="38">
        <v>237.16</v>
      </c>
      <c r="T780" s="38">
        <v>212.16</v>
      </c>
      <c r="U780" s="38">
        <v>203.4</v>
      </c>
      <c r="V780" s="38">
        <v>195.59</v>
      </c>
      <c r="W780" s="38">
        <v>198.02</v>
      </c>
      <c r="X780" s="38">
        <v>202.82</v>
      </c>
      <c r="Y780" s="38">
        <v>212.77</v>
      </c>
      <c r="Z780" s="38">
        <v>220.77</v>
      </c>
      <c r="AA780" s="38">
        <v>228.96</v>
      </c>
      <c r="AB780" s="38">
        <v>234.62</v>
      </c>
      <c r="AC780" s="38">
        <v>230.22</v>
      </c>
      <c r="AD780" s="38">
        <v>214.13</v>
      </c>
      <c r="AE780" s="38">
        <v>178.13</v>
      </c>
      <c r="AF780" s="38">
        <v>146.63999999999999</v>
      </c>
      <c r="AG780" s="38">
        <v>136.58000000000001</v>
      </c>
      <c r="AH780" s="38">
        <v>136.91999999999999</v>
      </c>
      <c r="AI780" s="38">
        <v>137.74</v>
      </c>
      <c r="AJ780" s="38">
        <v>141.83000000000001</v>
      </c>
      <c r="AK780" s="38">
        <v>151.84</v>
      </c>
      <c r="AL780" s="38">
        <v>155.15</v>
      </c>
      <c r="AM780" s="38">
        <v>158.35</v>
      </c>
      <c r="AN780" s="38">
        <v>158.49</v>
      </c>
      <c r="AO780" s="38">
        <v>159.38999999999999</v>
      </c>
      <c r="AP780" s="38">
        <v>150.21</v>
      </c>
      <c r="AQ780" s="38">
        <v>112.21</v>
      </c>
      <c r="AR780" s="38">
        <v>82.21</v>
      </c>
      <c r="AS780" s="38">
        <v>79.2</v>
      </c>
      <c r="AT780" s="38">
        <v>74.2</v>
      </c>
      <c r="AU780" s="38">
        <v>66.2</v>
      </c>
      <c r="AV780" s="38">
        <v>66.44</v>
      </c>
      <c r="AW780" s="38">
        <v>74.94</v>
      </c>
      <c r="AX780" s="38">
        <v>79.94</v>
      </c>
      <c r="AY780" s="38">
        <v>83.94</v>
      </c>
      <c r="BA780" s="37">
        <v>81.66</v>
      </c>
      <c r="BB780" s="38">
        <v>1.2130000000000001</v>
      </c>
    </row>
    <row r="781" spans="1:54" x14ac:dyDescent="0.35">
      <c r="A781" s="2">
        <f t="shared" ref="A781:A844" si="12">+A776+7</f>
        <v>44915</v>
      </c>
      <c r="B781" t="s">
        <v>823</v>
      </c>
      <c r="C781" s="32">
        <v>44915</v>
      </c>
      <c r="D781" s="38">
        <v>262.56</v>
      </c>
      <c r="E781" s="38">
        <v>268.16000000000003</v>
      </c>
      <c r="F781" s="38">
        <v>267.45999999999998</v>
      </c>
      <c r="G781" s="38">
        <v>267.33</v>
      </c>
      <c r="H781" s="38">
        <v>265.33</v>
      </c>
      <c r="I781" s="38">
        <v>262.33</v>
      </c>
      <c r="J781" s="38">
        <v>259.33</v>
      </c>
      <c r="K781" s="38">
        <v>260.08</v>
      </c>
      <c r="L781" s="38">
        <v>260.58</v>
      </c>
      <c r="M781" s="38">
        <v>262.52999999999997</v>
      </c>
      <c r="N781" s="38">
        <v>272.89999999999998</v>
      </c>
      <c r="O781" s="38">
        <v>286.44</v>
      </c>
      <c r="P781" s="38">
        <v>292.17</v>
      </c>
      <c r="Q781" s="38">
        <v>290.13</v>
      </c>
      <c r="R781" s="38">
        <v>258.70999999999998</v>
      </c>
      <c r="S781" s="38">
        <v>232.88</v>
      </c>
      <c r="T781" s="38">
        <v>208.66</v>
      </c>
      <c r="U781" s="38">
        <v>199.75</v>
      </c>
      <c r="V781" s="38">
        <v>191.76</v>
      </c>
      <c r="W781" s="38">
        <v>194.03</v>
      </c>
      <c r="X781" s="38">
        <v>198.67</v>
      </c>
      <c r="Y781" s="38">
        <v>206.46</v>
      </c>
      <c r="Z781" s="38">
        <v>214.46</v>
      </c>
      <c r="AA781" s="38">
        <v>222.65</v>
      </c>
      <c r="AB781" s="38">
        <v>228.31</v>
      </c>
      <c r="AC781" s="38">
        <v>223.91</v>
      </c>
      <c r="AD781" s="38">
        <v>207.82</v>
      </c>
      <c r="AE781" s="38">
        <v>174.32</v>
      </c>
      <c r="AF781" s="38">
        <v>142.83000000000001</v>
      </c>
      <c r="AG781" s="38">
        <v>132.77000000000001</v>
      </c>
      <c r="AH781" s="38">
        <v>133.11000000000001</v>
      </c>
      <c r="AI781" s="38">
        <v>133.93</v>
      </c>
      <c r="AJ781" s="38">
        <v>138.02000000000001</v>
      </c>
      <c r="AK781" s="38">
        <v>148.03</v>
      </c>
      <c r="AL781" s="38">
        <v>151.34</v>
      </c>
      <c r="AM781" s="38">
        <v>154.54</v>
      </c>
      <c r="AN781" s="38">
        <v>154.68</v>
      </c>
      <c r="AO781" s="38">
        <v>155.58000000000001</v>
      </c>
      <c r="AP781" s="38">
        <v>146.4</v>
      </c>
      <c r="AQ781" s="38">
        <v>108.4</v>
      </c>
      <c r="AR781" s="38">
        <v>78.400000000000006</v>
      </c>
      <c r="AS781" s="38">
        <v>75.39</v>
      </c>
      <c r="AT781" s="38">
        <v>70.39</v>
      </c>
      <c r="AU781" s="38">
        <v>62.39</v>
      </c>
      <c r="AV781" s="38">
        <v>62.63</v>
      </c>
      <c r="AW781" s="38">
        <v>71.13</v>
      </c>
      <c r="AX781" s="38">
        <v>76.13</v>
      </c>
      <c r="AY781" s="38">
        <v>80.13</v>
      </c>
      <c r="BA781" s="37">
        <v>79.45</v>
      </c>
      <c r="BB781" s="38">
        <v>1.2139</v>
      </c>
    </row>
    <row r="782" spans="1:54" x14ac:dyDescent="0.35">
      <c r="A782" s="2">
        <f t="shared" si="12"/>
        <v>44916</v>
      </c>
      <c r="B782" t="s">
        <v>824</v>
      </c>
      <c r="C782" s="32">
        <v>44916</v>
      </c>
      <c r="D782" s="38">
        <v>241.95</v>
      </c>
      <c r="E782" s="38">
        <v>247.68</v>
      </c>
      <c r="F782" s="38">
        <v>246.99</v>
      </c>
      <c r="G782" s="38">
        <v>247.22</v>
      </c>
      <c r="H782" s="38">
        <v>246.42</v>
      </c>
      <c r="I782" s="38">
        <v>244.92</v>
      </c>
      <c r="J782" s="38">
        <v>242.42</v>
      </c>
      <c r="K782" s="38">
        <v>242.97</v>
      </c>
      <c r="L782" s="38">
        <v>243.22</v>
      </c>
      <c r="M782" s="38">
        <v>245.42</v>
      </c>
      <c r="N782" s="38">
        <v>255.79</v>
      </c>
      <c r="O782" s="38">
        <v>269.33</v>
      </c>
      <c r="P782" s="38">
        <v>275.06</v>
      </c>
      <c r="Q782" s="38">
        <v>273.02</v>
      </c>
      <c r="R782" s="38">
        <v>248.52</v>
      </c>
      <c r="S782" s="38">
        <v>228.32</v>
      </c>
      <c r="T782" s="38">
        <v>208.32</v>
      </c>
      <c r="U782" s="38">
        <v>199.24</v>
      </c>
      <c r="V782" s="38">
        <v>191.09</v>
      </c>
      <c r="W782" s="38">
        <v>193.18</v>
      </c>
      <c r="X782" s="38">
        <v>197.56</v>
      </c>
      <c r="Y782" s="38">
        <v>200.7</v>
      </c>
      <c r="Z782" s="38">
        <v>205.69</v>
      </c>
      <c r="AA782" s="38">
        <v>213.88</v>
      </c>
      <c r="AB782" s="38">
        <v>219.54</v>
      </c>
      <c r="AC782" s="38">
        <v>215.14</v>
      </c>
      <c r="AD782" s="38">
        <v>199.06</v>
      </c>
      <c r="AE782" s="38">
        <v>170.15</v>
      </c>
      <c r="AF782" s="38">
        <v>138.83000000000001</v>
      </c>
      <c r="AG782" s="38">
        <v>128.85</v>
      </c>
      <c r="AH782" s="38">
        <v>129.22</v>
      </c>
      <c r="AI782" s="38">
        <v>130.57</v>
      </c>
      <c r="AJ782" s="38">
        <v>134.79</v>
      </c>
      <c r="AK782" s="38">
        <v>147.5</v>
      </c>
      <c r="AL782" s="38">
        <v>150.81</v>
      </c>
      <c r="AM782" s="38">
        <v>154.01</v>
      </c>
      <c r="AN782" s="38">
        <v>154.15</v>
      </c>
      <c r="AO782" s="38">
        <v>155.05000000000001</v>
      </c>
      <c r="AP782" s="38">
        <v>145.87</v>
      </c>
      <c r="AQ782" s="38">
        <v>114.87</v>
      </c>
      <c r="AR782" s="38">
        <v>84.87</v>
      </c>
      <c r="AS782" s="38">
        <v>81.86</v>
      </c>
      <c r="AT782" s="38">
        <v>76.86</v>
      </c>
      <c r="AU782" s="38">
        <v>68.86</v>
      </c>
      <c r="AV782" s="38">
        <v>69.099999999999994</v>
      </c>
      <c r="AW782" s="38">
        <v>77.599999999999994</v>
      </c>
      <c r="AX782" s="38">
        <v>82.6</v>
      </c>
      <c r="AY782" s="38">
        <v>86.6</v>
      </c>
      <c r="BA782" s="37">
        <v>80.25</v>
      </c>
      <c r="BB782" s="38">
        <v>1.2109000000000001</v>
      </c>
    </row>
    <row r="783" spans="1:54" x14ac:dyDescent="0.35">
      <c r="A783" s="2">
        <f t="shared" si="12"/>
        <v>44917</v>
      </c>
      <c r="B783" t="s">
        <v>825</v>
      </c>
      <c r="C783" s="32">
        <v>44917</v>
      </c>
      <c r="D783" s="38">
        <v>226.9</v>
      </c>
      <c r="E783" s="38">
        <v>233.16</v>
      </c>
      <c r="F783" s="38">
        <v>233.87</v>
      </c>
      <c r="G783" s="38">
        <v>234.88</v>
      </c>
      <c r="H783" s="38">
        <v>234.86</v>
      </c>
      <c r="I783" s="38">
        <v>232.86</v>
      </c>
      <c r="J783" s="38">
        <v>230.81</v>
      </c>
      <c r="K783" s="38">
        <v>231.56</v>
      </c>
      <c r="L783" s="38">
        <v>231.81</v>
      </c>
      <c r="M783" s="38">
        <v>233.51</v>
      </c>
      <c r="N783" s="38">
        <v>243.88</v>
      </c>
      <c r="O783" s="38">
        <v>257.42</v>
      </c>
      <c r="P783" s="38">
        <v>263.14999999999998</v>
      </c>
      <c r="Q783" s="38">
        <v>261.11</v>
      </c>
      <c r="R783" s="38">
        <v>236.61</v>
      </c>
      <c r="S783" s="38">
        <v>220.41</v>
      </c>
      <c r="T783" s="38">
        <v>205.01</v>
      </c>
      <c r="U783" s="38">
        <v>195.93</v>
      </c>
      <c r="V783" s="38">
        <v>187.78</v>
      </c>
      <c r="W783" s="38">
        <v>189.87</v>
      </c>
      <c r="X783" s="38">
        <v>194.25</v>
      </c>
      <c r="Y783" s="38">
        <v>197.39</v>
      </c>
      <c r="Z783" s="38">
        <v>202.38</v>
      </c>
      <c r="AA783" s="38">
        <v>210.57</v>
      </c>
      <c r="AB783" s="38">
        <v>216.23</v>
      </c>
      <c r="AC783" s="38">
        <v>211.83</v>
      </c>
      <c r="AD783" s="38">
        <v>195.75</v>
      </c>
      <c r="AE783" s="38">
        <v>168.84</v>
      </c>
      <c r="AF783" s="38">
        <v>143.02000000000001</v>
      </c>
      <c r="AG783" s="38">
        <v>133.04</v>
      </c>
      <c r="AH783" s="38">
        <v>133.41</v>
      </c>
      <c r="AI783" s="38">
        <v>134.76</v>
      </c>
      <c r="AJ783" s="38">
        <v>138.97999999999999</v>
      </c>
      <c r="AK783" s="38">
        <v>149.69</v>
      </c>
      <c r="AL783" s="38">
        <v>153</v>
      </c>
      <c r="AM783" s="38">
        <v>156.19999999999999</v>
      </c>
      <c r="AN783" s="38">
        <v>156.34</v>
      </c>
      <c r="AO783" s="38">
        <v>157.24</v>
      </c>
      <c r="AP783" s="38">
        <v>148.06</v>
      </c>
      <c r="AQ783" s="38">
        <v>117.06</v>
      </c>
      <c r="AR783" s="38">
        <v>87.06</v>
      </c>
      <c r="AS783" s="38">
        <v>84.05</v>
      </c>
      <c r="AT783" s="38">
        <v>79.05</v>
      </c>
      <c r="AU783" s="38">
        <v>71.05</v>
      </c>
      <c r="AV783" s="38">
        <v>71.290000000000006</v>
      </c>
      <c r="AW783" s="38">
        <v>79.790000000000006</v>
      </c>
      <c r="AX783" s="38">
        <v>84.79</v>
      </c>
      <c r="AY783" s="38">
        <v>88.79</v>
      </c>
      <c r="BA783" s="37">
        <v>79.58</v>
      </c>
      <c r="BB783" s="38">
        <v>1.2030000000000001</v>
      </c>
    </row>
    <row r="784" spans="1:54" x14ac:dyDescent="0.35">
      <c r="A784" s="2">
        <f t="shared" si="12"/>
        <v>44918</v>
      </c>
      <c r="B784" t="s">
        <v>826</v>
      </c>
      <c r="C784" s="32">
        <v>44918</v>
      </c>
      <c r="D784" s="38">
        <v>200.11</v>
      </c>
      <c r="E784" s="38">
        <v>211.07</v>
      </c>
      <c r="F784" s="38">
        <v>212.22</v>
      </c>
      <c r="G784" s="38">
        <v>221.22</v>
      </c>
      <c r="H784" s="38">
        <v>221.92</v>
      </c>
      <c r="I784" s="38">
        <v>220.36</v>
      </c>
      <c r="J784" s="38">
        <v>218.16</v>
      </c>
      <c r="K784" s="38">
        <v>218.94</v>
      </c>
      <c r="L784" s="38">
        <v>219.24</v>
      </c>
      <c r="M784" s="38">
        <v>221.39</v>
      </c>
      <c r="N784" s="38">
        <v>231.76</v>
      </c>
      <c r="O784" s="38">
        <v>243.3</v>
      </c>
      <c r="P784" s="38">
        <v>249.15</v>
      </c>
      <c r="Q784" s="38">
        <v>246.65</v>
      </c>
      <c r="R784" s="38">
        <v>224.4</v>
      </c>
      <c r="S784" s="38">
        <v>211.33</v>
      </c>
      <c r="T784" s="38">
        <v>199.95</v>
      </c>
      <c r="U784" s="38">
        <v>190.9</v>
      </c>
      <c r="V784" s="38">
        <v>182.76</v>
      </c>
      <c r="W784" s="38">
        <v>184.87</v>
      </c>
      <c r="X784" s="38">
        <v>189.3</v>
      </c>
      <c r="Y784" s="38">
        <v>195.41</v>
      </c>
      <c r="Z784" s="38">
        <v>201.56</v>
      </c>
      <c r="AA784" s="38">
        <v>210.16</v>
      </c>
      <c r="AB784" s="38">
        <v>215.85</v>
      </c>
      <c r="AC784" s="38">
        <v>211.49</v>
      </c>
      <c r="AD784" s="38">
        <v>195.63</v>
      </c>
      <c r="AE784" s="38">
        <v>168.75</v>
      </c>
      <c r="AF784" s="38">
        <v>143.97</v>
      </c>
      <c r="AG784" s="38">
        <v>134.02000000000001</v>
      </c>
      <c r="AH784" s="38">
        <v>134.41</v>
      </c>
      <c r="AI784" s="38">
        <v>135.77000000000001</v>
      </c>
      <c r="AJ784" s="38">
        <v>140</v>
      </c>
      <c r="AK784" s="38">
        <v>150.71</v>
      </c>
      <c r="AL784" s="38">
        <v>154.02000000000001</v>
      </c>
      <c r="AM784" s="38">
        <v>157.22</v>
      </c>
      <c r="AN784" s="38">
        <v>157.37</v>
      </c>
      <c r="AO784" s="38">
        <v>158.27000000000001</v>
      </c>
      <c r="AP784" s="38">
        <v>149.12</v>
      </c>
      <c r="AQ784" s="38">
        <v>119.62</v>
      </c>
      <c r="AR784" s="38">
        <v>90.62</v>
      </c>
      <c r="AS784" s="38">
        <v>87.61</v>
      </c>
      <c r="AT784" s="38">
        <v>82.61</v>
      </c>
      <c r="AU784" s="38">
        <v>74.61</v>
      </c>
      <c r="AV784" s="38">
        <v>74.849999999999994</v>
      </c>
      <c r="AW784" s="38">
        <v>83.35</v>
      </c>
      <c r="AX784" s="38">
        <v>88.35</v>
      </c>
      <c r="AY784" s="38">
        <v>92.35</v>
      </c>
      <c r="BA784" s="37">
        <v>82.45</v>
      </c>
      <c r="BB784" s="38">
        <v>1.2070000000000001</v>
      </c>
    </row>
    <row r="785" spans="1:54" x14ac:dyDescent="0.35">
      <c r="A785" s="2">
        <f t="shared" si="12"/>
        <v>44921</v>
      </c>
      <c r="B785" t="s">
        <v>827</v>
      </c>
      <c r="C785" s="32">
        <v>44921</v>
      </c>
      <c r="D785" s="38" t="e">
        <v>#N/A</v>
      </c>
      <c r="E785" s="38" t="e">
        <v>#N/A</v>
      </c>
      <c r="F785" s="38" t="e">
        <v>#N/A</v>
      </c>
      <c r="G785" s="38" t="e">
        <v>#N/A</v>
      </c>
      <c r="H785" s="38" t="e">
        <v>#N/A</v>
      </c>
      <c r="I785" s="38" t="e">
        <v>#N/A</v>
      </c>
      <c r="J785" s="38" t="e">
        <v>#N/A</v>
      </c>
      <c r="K785" s="38" t="e">
        <v>#N/A</v>
      </c>
      <c r="L785" s="38" t="e">
        <v>#N/A</v>
      </c>
      <c r="M785" s="38" t="e">
        <v>#N/A</v>
      </c>
      <c r="N785" s="38" t="e">
        <v>#N/A</v>
      </c>
      <c r="O785" s="38" t="e">
        <v>#N/A</v>
      </c>
      <c r="P785" s="38" t="e">
        <v>#N/A</v>
      </c>
      <c r="Q785" s="38" t="e">
        <v>#N/A</v>
      </c>
      <c r="R785" s="38" t="e">
        <v>#N/A</v>
      </c>
      <c r="S785" s="38" t="e">
        <v>#N/A</v>
      </c>
      <c r="T785" s="38" t="e">
        <v>#N/A</v>
      </c>
      <c r="U785" s="38" t="e">
        <v>#N/A</v>
      </c>
      <c r="V785" s="38" t="e">
        <v>#N/A</v>
      </c>
      <c r="W785" s="38" t="e">
        <v>#N/A</v>
      </c>
      <c r="X785" s="38" t="e">
        <v>#N/A</v>
      </c>
      <c r="Y785" s="38" t="e">
        <v>#N/A</v>
      </c>
      <c r="Z785" s="38" t="e">
        <v>#N/A</v>
      </c>
      <c r="AA785" s="38" t="e">
        <v>#N/A</v>
      </c>
      <c r="AB785" s="38" t="e">
        <v>#N/A</v>
      </c>
      <c r="AC785" s="38" t="e">
        <v>#N/A</v>
      </c>
      <c r="AD785" s="38" t="e">
        <v>#N/A</v>
      </c>
      <c r="AE785" s="38" t="e">
        <v>#N/A</v>
      </c>
      <c r="AF785" s="38" t="e">
        <v>#N/A</v>
      </c>
      <c r="AG785" s="38" t="e">
        <v>#N/A</v>
      </c>
      <c r="AH785" s="38" t="e">
        <v>#N/A</v>
      </c>
      <c r="AI785" s="38" t="e">
        <v>#N/A</v>
      </c>
      <c r="AJ785" s="38" t="e">
        <v>#N/A</v>
      </c>
      <c r="AK785" s="38" t="e">
        <v>#N/A</v>
      </c>
      <c r="AL785" s="38" t="e">
        <v>#N/A</v>
      </c>
      <c r="AM785" s="38" t="e">
        <v>#N/A</v>
      </c>
      <c r="AN785" s="38" t="e">
        <v>#N/A</v>
      </c>
      <c r="AO785" s="38" t="e">
        <v>#N/A</v>
      </c>
      <c r="AP785" s="38" t="e">
        <v>#N/A</v>
      </c>
      <c r="AQ785" s="38" t="e">
        <v>#N/A</v>
      </c>
      <c r="AR785" s="38" t="e">
        <v>#N/A</v>
      </c>
      <c r="AS785" s="38" t="e">
        <v>#N/A</v>
      </c>
      <c r="AT785" s="38" t="e">
        <v>#N/A</v>
      </c>
      <c r="AU785" s="38" t="e">
        <v>#N/A</v>
      </c>
      <c r="AV785" s="38" t="e">
        <v>#N/A</v>
      </c>
      <c r="AW785" s="38" t="e">
        <v>#N/A</v>
      </c>
      <c r="AX785" s="38" t="e">
        <v>#N/A</v>
      </c>
      <c r="AY785" s="38" t="e">
        <v>#N/A</v>
      </c>
      <c r="BA785" s="37" t="e">
        <v>#N/A</v>
      </c>
      <c r="BB785" s="38" t="e">
        <v>#N/A</v>
      </c>
    </row>
    <row r="786" spans="1:54" x14ac:dyDescent="0.35">
      <c r="A786" s="2">
        <f t="shared" si="12"/>
        <v>44922</v>
      </c>
      <c r="B786" t="s">
        <v>828</v>
      </c>
      <c r="C786" s="32">
        <v>44922</v>
      </c>
      <c r="D786" s="38">
        <v>200.11</v>
      </c>
      <c r="E786" s="38">
        <v>211.07</v>
      </c>
      <c r="F786" s="38">
        <v>212.22</v>
      </c>
      <c r="G786" s="38">
        <v>221.22</v>
      </c>
      <c r="H786" s="38">
        <v>221.92</v>
      </c>
      <c r="I786" s="38">
        <v>220.36</v>
      </c>
      <c r="J786" s="38">
        <v>218.16</v>
      </c>
      <c r="K786" s="38">
        <v>218.94</v>
      </c>
      <c r="L786" s="38">
        <v>219.24</v>
      </c>
      <c r="M786" s="38">
        <v>221.39</v>
      </c>
      <c r="N786" s="38">
        <v>231.76</v>
      </c>
      <c r="O786" s="38">
        <v>243.3</v>
      </c>
      <c r="P786" s="38">
        <v>249.15</v>
      </c>
      <c r="Q786" s="38">
        <v>246.65</v>
      </c>
      <c r="R786" s="38">
        <v>224.4</v>
      </c>
      <c r="S786" s="38">
        <v>211.33</v>
      </c>
      <c r="T786" s="38">
        <v>199.95</v>
      </c>
      <c r="U786" s="38">
        <v>190.9</v>
      </c>
      <c r="V786" s="38">
        <v>182.76</v>
      </c>
      <c r="W786" s="38">
        <v>184.87</v>
      </c>
      <c r="X786" s="38">
        <v>189.3</v>
      </c>
      <c r="Y786" s="38">
        <v>195.41</v>
      </c>
      <c r="Z786" s="38">
        <v>201.56</v>
      </c>
      <c r="AA786" s="38">
        <v>210.16</v>
      </c>
      <c r="AB786" s="38">
        <v>215.85</v>
      </c>
      <c r="AC786" s="38">
        <v>211.49</v>
      </c>
      <c r="AD786" s="38">
        <v>195.63</v>
      </c>
      <c r="AE786" s="38">
        <v>168.75</v>
      </c>
      <c r="AF786" s="38">
        <v>143.97</v>
      </c>
      <c r="AG786" s="38">
        <v>134.02000000000001</v>
      </c>
      <c r="AH786" s="38">
        <v>134.41</v>
      </c>
      <c r="AI786" s="38">
        <v>135.77000000000001</v>
      </c>
      <c r="AJ786" s="38">
        <v>140</v>
      </c>
      <c r="AK786" s="38">
        <v>150.71</v>
      </c>
      <c r="AL786" s="38">
        <v>154.02000000000001</v>
      </c>
      <c r="AM786" s="38">
        <v>157.22</v>
      </c>
      <c r="AN786" s="38">
        <v>157.37</v>
      </c>
      <c r="AO786" s="38">
        <v>158.27000000000001</v>
      </c>
      <c r="AP786" s="38">
        <v>149.12</v>
      </c>
      <c r="AQ786" s="38">
        <v>119.62</v>
      </c>
      <c r="AR786" s="38">
        <v>90.62</v>
      </c>
      <c r="AS786" s="38">
        <v>87.61</v>
      </c>
      <c r="AT786" s="38">
        <v>82.61</v>
      </c>
      <c r="AU786" s="38">
        <v>74.61</v>
      </c>
      <c r="AV786" s="38">
        <v>74.849999999999994</v>
      </c>
      <c r="AW786" s="38">
        <v>83.35</v>
      </c>
      <c r="AX786" s="38">
        <v>88.35</v>
      </c>
      <c r="AY786" s="38">
        <v>92.35</v>
      </c>
      <c r="BA786" s="37" t="e">
        <v>#N/A</v>
      </c>
      <c r="BB786" s="38" t="e">
        <v>#N/A</v>
      </c>
    </row>
    <row r="787" spans="1:54" x14ac:dyDescent="0.35">
      <c r="A787" s="2">
        <f t="shared" si="12"/>
        <v>44923</v>
      </c>
      <c r="B787" t="s">
        <v>829</v>
      </c>
      <c r="C787" s="32">
        <v>44923</v>
      </c>
      <c r="D787" s="38">
        <v>188.5</v>
      </c>
      <c r="E787" s="38">
        <v>203.85</v>
      </c>
      <c r="F787" s="38">
        <v>203.93</v>
      </c>
      <c r="G787" s="38">
        <v>212.58</v>
      </c>
      <c r="H787" s="38">
        <v>212.68</v>
      </c>
      <c r="I787" s="38">
        <v>212.48</v>
      </c>
      <c r="J787" s="38">
        <v>210.48</v>
      </c>
      <c r="K787" s="38">
        <v>211.18</v>
      </c>
      <c r="L787" s="38">
        <v>211.53</v>
      </c>
      <c r="M787" s="38">
        <v>213.06</v>
      </c>
      <c r="N787" s="38">
        <v>222.56</v>
      </c>
      <c r="O787" s="38">
        <v>234.32</v>
      </c>
      <c r="P787" s="38">
        <v>240.32</v>
      </c>
      <c r="Q787" s="38">
        <v>237.08</v>
      </c>
      <c r="R787" s="38">
        <v>220.11</v>
      </c>
      <c r="S787" s="38">
        <v>209.38</v>
      </c>
      <c r="T787" s="38">
        <v>198.88</v>
      </c>
      <c r="U787" s="38">
        <v>189.89</v>
      </c>
      <c r="V787" s="38">
        <v>181.76</v>
      </c>
      <c r="W787" s="38">
        <v>183.87</v>
      </c>
      <c r="X787" s="38">
        <v>188.31</v>
      </c>
      <c r="Y787" s="38">
        <v>194.31</v>
      </c>
      <c r="Z787" s="38">
        <v>200.46</v>
      </c>
      <c r="AA787" s="38">
        <v>207.46</v>
      </c>
      <c r="AB787" s="38">
        <v>212.51</v>
      </c>
      <c r="AC787" s="38">
        <v>208.17</v>
      </c>
      <c r="AD787" s="38">
        <v>192.31</v>
      </c>
      <c r="AE787" s="38">
        <v>168.28</v>
      </c>
      <c r="AF787" s="38">
        <v>148.28</v>
      </c>
      <c r="AG787" s="38">
        <v>138.33000000000001</v>
      </c>
      <c r="AH787" s="38">
        <v>138.72</v>
      </c>
      <c r="AI787" s="38">
        <v>140.08000000000001</v>
      </c>
      <c r="AJ787" s="38">
        <v>144.32</v>
      </c>
      <c r="AK787" s="38">
        <v>155.25</v>
      </c>
      <c r="AL787" s="38">
        <v>158.74</v>
      </c>
      <c r="AM787" s="38">
        <v>161.94</v>
      </c>
      <c r="AN787" s="38">
        <v>162.86000000000001</v>
      </c>
      <c r="AO787" s="38">
        <v>163.76</v>
      </c>
      <c r="AP787" s="38">
        <v>154.61000000000001</v>
      </c>
      <c r="AQ787" s="38">
        <v>125.11</v>
      </c>
      <c r="AR787" s="38">
        <v>96.11</v>
      </c>
      <c r="AS787" s="38">
        <v>93.1</v>
      </c>
      <c r="AT787" s="38">
        <v>88.1</v>
      </c>
      <c r="AU787" s="38">
        <v>80.099999999999994</v>
      </c>
      <c r="AV787" s="38">
        <v>80.34</v>
      </c>
      <c r="AW787" s="38">
        <v>89.05</v>
      </c>
      <c r="AX787" s="38">
        <v>94.05</v>
      </c>
      <c r="AY787" s="38">
        <v>98.05</v>
      </c>
      <c r="BA787" s="37">
        <v>81.7</v>
      </c>
      <c r="BB787" s="38">
        <v>1.2037</v>
      </c>
    </row>
    <row r="788" spans="1:54" x14ac:dyDescent="0.35">
      <c r="A788" s="2">
        <f t="shared" si="12"/>
        <v>44924</v>
      </c>
      <c r="B788" t="s">
        <v>830</v>
      </c>
      <c r="C788" s="32">
        <v>44924</v>
      </c>
      <c r="D788" s="38">
        <v>194.21</v>
      </c>
      <c r="E788" s="38">
        <v>210.04</v>
      </c>
      <c r="F788" s="38">
        <v>211.36</v>
      </c>
      <c r="G788" s="38">
        <v>220.86</v>
      </c>
      <c r="H788" s="38">
        <v>221.05</v>
      </c>
      <c r="I788" s="38">
        <v>220.85</v>
      </c>
      <c r="J788" s="38">
        <v>217.85</v>
      </c>
      <c r="K788" s="38">
        <v>218.85</v>
      </c>
      <c r="L788" s="38">
        <v>220.1</v>
      </c>
      <c r="M788" s="38">
        <v>222.1</v>
      </c>
      <c r="N788" s="38">
        <v>232.1</v>
      </c>
      <c r="O788" s="38">
        <v>243.1</v>
      </c>
      <c r="P788" s="38">
        <v>248.6</v>
      </c>
      <c r="Q788" s="38">
        <v>245.85</v>
      </c>
      <c r="R788" s="38">
        <v>228.85</v>
      </c>
      <c r="S788" s="38">
        <v>216.9</v>
      </c>
      <c r="T788" s="38">
        <v>205.9</v>
      </c>
      <c r="U788" s="38">
        <v>196.91</v>
      </c>
      <c r="V788" s="38">
        <v>188.81</v>
      </c>
      <c r="W788" s="38">
        <v>190.92</v>
      </c>
      <c r="X788" s="38">
        <v>193.92</v>
      </c>
      <c r="Y788" s="38">
        <v>197.92</v>
      </c>
      <c r="Z788" s="38">
        <v>202.92</v>
      </c>
      <c r="AA788" s="38">
        <v>209.92</v>
      </c>
      <c r="AB788" s="38">
        <v>214.42</v>
      </c>
      <c r="AC788" s="38">
        <v>210.07</v>
      </c>
      <c r="AD788" s="38">
        <v>194.21</v>
      </c>
      <c r="AE788" s="38">
        <v>169.32</v>
      </c>
      <c r="AF788" s="38">
        <v>149.32</v>
      </c>
      <c r="AG788" s="38">
        <v>139.37</v>
      </c>
      <c r="AH788" s="38">
        <v>139.5</v>
      </c>
      <c r="AI788" s="38">
        <v>140.86000000000001</v>
      </c>
      <c r="AJ788" s="38">
        <v>145.1</v>
      </c>
      <c r="AK788" s="38">
        <v>155.12</v>
      </c>
      <c r="AL788" s="38">
        <v>158.61000000000001</v>
      </c>
      <c r="AM788" s="38">
        <v>161.81</v>
      </c>
      <c r="AN788" s="38">
        <v>162.9</v>
      </c>
      <c r="AO788" s="38">
        <v>163.80000000000001</v>
      </c>
      <c r="AP788" s="38">
        <v>154.65</v>
      </c>
      <c r="AQ788" s="38">
        <v>126.15</v>
      </c>
      <c r="AR788" s="38">
        <v>98.15</v>
      </c>
      <c r="AS788" s="38">
        <v>95.14</v>
      </c>
      <c r="AT788" s="38">
        <v>90.14</v>
      </c>
      <c r="AU788" s="38">
        <v>82.14</v>
      </c>
      <c r="AV788" s="38">
        <v>83.14</v>
      </c>
      <c r="AW788" s="38">
        <v>91.85</v>
      </c>
      <c r="AX788" s="38">
        <v>96.85</v>
      </c>
      <c r="AY788" s="38">
        <v>100.85</v>
      </c>
      <c r="BA788" s="37">
        <v>80.959999999999994</v>
      </c>
      <c r="BB788" s="38">
        <v>1.2055</v>
      </c>
    </row>
    <row r="789" spans="1:54" x14ac:dyDescent="0.35">
      <c r="A789" s="2">
        <f t="shared" si="12"/>
        <v>44925</v>
      </c>
      <c r="B789" t="s">
        <v>831</v>
      </c>
      <c r="C789" s="32">
        <v>44925</v>
      </c>
      <c r="D789" s="38">
        <v>186.05</v>
      </c>
      <c r="E789" s="38">
        <v>188.2</v>
      </c>
      <c r="F789" s="38">
        <v>200.73</v>
      </c>
      <c r="G789" s="38">
        <v>201.74</v>
      </c>
      <c r="H789" s="38">
        <v>201.73</v>
      </c>
      <c r="I789" s="38">
        <v>200.02</v>
      </c>
      <c r="J789" s="38">
        <v>200.77</v>
      </c>
      <c r="K789" s="38">
        <v>201.77</v>
      </c>
      <c r="L789" s="38">
        <v>203.27</v>
      </c>
      <c r="M789" s="38">
        <v>214.77</v>
      </c>
      <c r="N789" s="38">
        <v>226.77</v>
      </c>
      <c r="O789" s="38">
        <v>232.77</v>
      </c>
      <c r="P789" s="38">
        <v>230.02</v>
      </c>
      <c r="Q789" s="38">
        <v>212.87</v>
      </c>
      <c r="R789" s="38">
        <v>202.12</v>
      </c>
      <c r="S789" s="38">
        <v>191.12</v>
      </c>
      <c r="T789" s="38">
        <v>182.14</v>
      </c>
      <c r="U789" s="38">
        <v>174.03</v>
      </c>
      <c r="V789" s="38">
        <v>176.14</v>
      </c>
      <c r="W789" s="38">
        <v>179.49</v>
      </c>
      <c r="X789" s="38">
        <v>186.34</v>
      </c>
      <c r="Y789" s="38">
        <v>192.34</v>
      </c>
      <c r="Z789" s="38">
        <v>199.34</v>
      </c>
      <c r="AA789" s="38">
        <v>203.9</v>
      </c>
      <c r="AB789" s="38">
        <v>199.55</v>
      </c>
      <c r="AC789" s="38">
        <v>183.69</v>
      </c>
      <c r="AD789" s="38">
        <v>162.69</v>
      </c>
      <c r="AE789" s="38">
        <v>144.69</v>
      </c>
      <c r="AF789" s="38">
        <v>134.74</v>
      </c>
      <c r="AG789" s="38">
        <v>134.87</v>
      </c>
      <c r="AH789" s="38">
        <v>136.22999999999999</v>
      </c>
      <c r="AI789" s="38">
        <v>140.47</v>
      </c>
      <c r="AJ789" s="38">
        <v>150.5</v>
      </c>
      <c r="AK789" s="38">
        <v>153.99</v>
      </c>
      <c r="AL789" s="38">
        <v>157.19</v>
      </c>
      <c r="AM789" s="38">
        <v>158.47999999999999</v>
      </c>
      <c r="AN789" s="38">
        <v>159.38</v>
      </c>
      <c r="AO789" s="38">
        <v>150.22999999999999</v>
      </c>
      <c r="AP789" s="38">
        <v>121.87</v>
      </c>
      <c r="AQ789" s="38">
        <v>93.87</v>
      </c>
      <c r="AR789" s="38">
        <v>90.86</v>
      </c>
      <c r="AS789" s="38">
        <v>85.86</v>
      </c>
      <c r="AT789" s="38">
        <v>77.86</v>
      </c>
      <c r="AU789" s="38">
        <v>78.86</v>
      </c>
      <c r="AV789" s="38">
        <v>87.12</v>
      </c>
      <c r="AW789" s="38">
        <v>92.12</v>
      </c>
      <c r="AX789" s="38">
        <v>96.12</v>
      </c>
      <c r="AY789" s="38">
        <v>118.12</v>
      </c>
      <c r="BA789" s="37">
        <v>82.82</v>
      </c>
      <c r="BB789" s="38">
        <v>1.2039</v>
      </c>
    </row>
    <row r="790" spans="1:54" x14ac:dyDescent="0.35">
      <c r="A790" s="2">
        <f t="shared" si="12"/>
        <v>44928</v>
      </c>
      <c r="B790" t="s">
        <v>832</v>
      </c>
      <c r="C790" s="32">
        <v>44928</v>
      </c>
      <c r="D790" s="38" t="e">
        <v>#N/A</v>
      </c>
      <c r="E790" s="38" t="e">
        <v>#N/A</v>
      </c>
      <c r="F790" s="38" t="e">
        <v>#N/A</v>
      </c>
      <c r="G790" s="38" t="e">
        <v>#N/A</v>
      </c>
      <c r="H790" s="38" t="e">
        <v>#N/A</v>
      </c>
      <c r="I790" s="38" t="e">
        <v>#N/A</v>
      </c>
      <c r="J790" s="38" t="e">
        <v>#N/A</v>
      </c>
      <c r="K790" s="38" t="e">
        <v>#N/A</v>
      </c>
      <c r="L790" s="38" t="e">
        <v>#N/A</v>
      </c>
      <c r="M790" s="38" t="e">
        <v>#N/A</v>
      </c>
      <c r="N790" s="38" t="e">
        <v>#N/A</v>
      </c>
      <c r="O790" s="38" t="e">
        <v>#N/A</v>
      </c>
      <c r="P790" s="38" t="e">
        <v>#N/A</v>
      </c>
      <c r="Q790" s="38" t="e">
        <v>#N/A</v>
      </c>
      <c r="R790" s="38" t="e">
        <v>#N/A</v>
      </c>
      <c r="S790" s="38" t="e">
        <v>#N/A</v>
      </c>
      <c r="T790" s="38" t="e">
        <v>#N/A</v>
      </c>
      <c r="U790" s="38" t="e">
        <v>#N/A</v>
      </c>
      <c r="V790" s="38" t="e">
        <v>#N/A</v>
      </c>
      <c r="W790" s="38" t="e">
        <v>#N/A</v>
      </c>
      <c r="X790" s="38" t="e">
        <v>#N/A</v>
      </c>
      <c r="Y790" s="38" t="e">
        <v>#N/A</v>
      </c>
      <c r="Z790" s="38" t="e">
        <v>#N/A</v>
      </c>
      <c r="AA790" s="38" t="e">
        <v>#N/A</v>
      </c>
      <c r="AB790" s="38" t="e">
        <v>#N/A</v>
      </c>
      <c r="AC790" s="38" t="e">
        <v>#N/A</v>
      </c>
      <c r="AD790" s="38" t="e">
        <v>#N/A</v>
      </c>
      <c r="AE790" s="38" t="e">
        <v>#N/A</v>
      </c>
      <c r="AF790" s="38" t="e">
        <v>#N/A</v>
      </c>
      <c r="AG790" s="38" t="e">
        <v>#N/A</v>
      </c>
      <c r="AH790" s="38" t="e">
        <v>#N/A</v>
      </c>
      <c r="AI790" s="38" t="e">
        <v>#N/A</v>
      </c>
      <c r="AJ790" s="38" t="e">
        <v>#N/A</v>
      </c>
      <c r="AK790" s="38" t="e">
        <v>#N/A</v>
      </c>
      <c r="AL790" s="38" t="e">
        <v>#N/A</v>
      </c>
      <c r="AM790" s="38" t="e">
        <v>#N/A</v>
      </c>
      <c r="AN790" s="38" t="e">
        <v>#N/A</v>
      </c>
      <c r="AO790" s="38" t="e">
        <v>#N/A</v>
      </c>
      <c r="AP790" s="38" t="e">
        <v>#N/A</v>
      </c>
      <c r="AQ790" s="38" t="e">
        <v>#N/A</v>
      </c>
      <c r="AR790" s="38" t="e">
        <v>#N/A</v>
      </c>
      <c r="AS790" s="38" t="e">
        <v>#N/A</v>
      </c>
      <c r="AT790" s="38" t="e">
        <v>#N/A</v>
      </c>
      <c r="AU790" s="38" t="e">
        <v>#N/A</v>
      </c>
      <c r="AV790" s="38" t="e">
        <v>#N/A</v>
      </c>
      <c r="AW790" s="38" t="e">
        <v>#N/A</v>
      </c>
      <c r="AX790" s="38" t="e">
        <v>#N/A</v>
      </c>
      <c r="AY790" s="38" t="e">
        <v>#N/A</v>
      </c>
      <c r="BA790" s="37" t="e">
        <v>#N/A</v>
      </c>
      <c r="BB790" s="38" t="e">
        <v>#N/A</v>
      </c>
    </row>
    <row r="791" spans="1:54" x14ac:dyDescent="0.35">
      <c r="A791" s="2">
        <f t="shared" si="12"/>
        <v>44929</v>
      </c>
      <c r="B791" t="s">
        <v>833</v>
      </c>
      <c r="C791" s="32">
        <v>44929</v>
      </c>
      <c r="D791" s="38">
        <v>171.18</v>
      </c>
      <c r="E791" s="38">
        <v>174.03</v>
      </c>
      <c r="F791" s="38">
        <v>187.53</v>
      </c>
      <c r="G791" s="38">
        <v>191.1</v>
      </c>
      <c r="H791" s="38">
        <v>190.52</v>
      </c>
      <c r="I791" s="38">
        <v>188.52</v>
      </c>
      <c r="J791" s="38">
        <v>189.62</v>
      </c>
      <c r="K791" s="38">
        <v>190.97</v>
      </c>
      <c r="L791" s="38">
        <v>193.97</v>
      </c>
      <c r="M791" s="38">
        <v>207.37</v>
      </c>
      <c r="N791" s="38">
        <v>222.37</v>
      </c>
      <c r="O791" s="38">
        <v>228.37</v>
      </c>
      <c r="P791" s="38">
        <v>225.62</v>
      </c>
      <c r="Q791" s="38">
        <v>211.47</v>
      </c>
      <c r="R791" s="38">
        <v>200.75</v>
      </c>
      <c r="S791" s="38">
        <v>190.75</v>
      </c>
      <c r="T791" s="38">
        <v>181.77</v>
      </c>
      <c r="U791" s="38">
        <v>173.66</v>
      </c>
      <c r="V791" s="38">
        <v>175.77</v>
      </c>
      <c r="W791" s="38">
        <v>179.12</v>
      </c>
      <c r="X791" s="38">
        <v>186.97</v>
      </c>
      <c r="Y791" s="38">
        <v>192.97</v>
      </c>
      <c r="Z791" s="38">
        <v>199.97</v>
      </c>
      <c r="AA791" s="38">
        <v>204.53</v>
      </c>
      <c r="AB791" s="38">
        <v>200.18</v>
      </c>
      <c r="AC791" s="38">
        <v>184.32</v>
      </c>
      <c r="AD791" s="38">
        <v>163.32</v>
      </c>
      <c r="AE791" s="38">
        <v>145.32</v>
      </c>
      <c r="AF791" s="38">
        <v>135.37</v>
      </c>
      <c r="AG791" s="38">
        <v>135.5</v>
      </c>
      <c r="AH791" s="38">
        <v>136.86000000000001</v>
      </c>
      <c r="AI791" s="38">
        <v>141.1</v>
      </c>
      <c r="AJ791" s="38">
        <v>151.13</v>
      </c>
      <c r="AK791" s="38">
        <v>154.62</v>
      </c>
      <c r="AL791" s="38">
        <v>157.82</v>
      </c>
      <c r="AM791" s="38">
        <v>159.11000000000001</v>
      </c>
      <c r="AN791" s="38">
        <v>160.01</v>
      </c>
      <c r="AO791" s="38">
        <v>150.86000000000001</v>
      </c>
      <c r="AP791" s="38">
        <v>122.5</v>
      </c>
      <c r="AQ791" s="38">
        <v>94.5</v>
      </c>
      <c r="AR791" s="38">
        <v>91.49</v>
      </c>
      <c r="AS791" s="38">
        <v>86.49</v>
      </c>
      <c r="AT791" s="38">
        <v>78.489999999999995</v>
      </c>
      <c r="AU791" s="38">
        <v>79.489999999999995</v>
      </c>
      <c r="AV791" s="38">
        <v>87.75</v>
      </c>
      <c r="AW791" s="38">
        <v>92.75</v>
      </c>
      <c r="AX791" s="38">
        <v>96.75</v>
      </c>
      <c r="AY791" s="38">
        <v>118.75</v>
      </c>
      <c r="BA791" s="37">
        <v>80.36</v>
      </c>
      <c r="BB791" s="38">
        <v>1.2008000000000001</v>
      </c>
    </row>
    <row r="792" spans="1:54" x14ac:dyDescent="0.35">
      <c r="A792" s="2">
        <f t="shared" si="12"/>
        <v>44930</v>
      </c>
      <c r="B792" t="s">
        <v>834</v>
      </c>
      <c r="C792" s="32">
        <v>44930</v>
      </c>
      <c r="D792" s="38">
        <v>153.08000000000001</v>
      </c>
      <c r="E792" s="38">
        <v>154.86000000000001</v>
      </c>
      <c r="F792" s="38">
        <v>165.85</v>
      </c>
      <c r="G792" s="38">
        <v>168.47</v>
      </c>
      <c r="H792" s="38">
        <v>168.9</v>
      </c>
      <c r="I792" s="38">
        <v>167.9</v>
      </c>
      <c r="J792" s="38">
        <v>169.15</v>
      </c>
      <c r="K792" s="38">
        <v>171.4</v>
      </c>
      <c r="L792" s="38">
        <v>174.5</v>
      </c>
      <c r="M792" s="38">
        <v>187</v>
      </c>
      <c r="N792" s="38">
        <v>199.16</v>
      </c>
      <c r="O792" s="38">
        <v>203.96</v>
      </c>
      <c r="P792" s="38">
        <v>201.46</v>
      </c>
      <c r="Q792" s="38">
        <v>186.92</v>
      </c>
      <c r="R792" s="38">
        <v>178.46</v>
      </c>
      <c r="S792" s="38">
        <v>171.43</v>
      </c>
      <c r="T792" s="38">
        <v>164.4</v>
      </c>
      <c r="U792" s="38">
        <v>156.22</v>
      </c>
      <c r="V792" s="38">
        <v>158.24</v>
      </c>
      <c r="W792" s="38">
        <v>162.51</v>
      </c>
      <c r="X792" s="38">
        <v>171.91</v>
      </c>
      <c r="Y792" s="38">
        <v>179.91</v>
      </c>
      <c r="Z792" s="38">
        <v>186.91</v>
      </c>
      <c r="AA792" s="38">
        <v>191.47</v>
      </c>
      <c r="AB792" s="38">
        <v>187.12</v>
      </c>
      <c r="AC792" s="38">
        <v>171.26</v>
      </c>
      <c r="AD792" s="38">
        <v>153.26</v>
      </c>
      <c r="AE792" s="38">
        <v>137.26</v>
      </c>
      <c r="AF792" s="38">
        <v>127.31</v>
      </c>
      <c r="AG792" s="38">
        <v>127.44</v>
      </c>
      <c r="AH792" s="38">
        <v>128.80000000000001</v>
      </c>
      <c r="AI792" s="38">
        <v>133.04</v>
      </c>
      <c r="AJ792" s="38">
        <v>143.07</v>
      </c>
      <c r="AK792" s="38">
        <v>146.56</v>
      </c>
      <c r="AL792" s="38">
        <v>149.76</v>
      </c>
      <c r="AM792" s="38">
        <v>151.05000000000001</v>
      </c>
      <c r="AN792" s="38">
        <v>151.94999999999999</v>
      </c>
      <c r="AO792" s="38">
        <v>142.80000000000001</v>
      </c>
      <c r="AP792" s="38">
        <v>114.44</v>
      </c>
      <c r="AQ792" s="38">
        <v>86.44</v>
      </c>
      <c r="AR792" s="38">
        <v>83.43</v>
      </c>
      <c r="AS792" s="38">
        <v>78.430000000000007</v>
      </c>
      <c r="AT792" s="38">
        <v>70.430000000000007</v>
      </c>
      <c r="AU792" s="38">
        <v>71.430000000000007</v>
      </c>
      <c r="AV792" s="38">
        <v>79.69</v>
      </c>
      <c r="AW792" s="38">
        <v>84.69</v>
      </c>
      <c r="AX792" s="38">
        <v>88.69</v>
      </c>
      <c r="AY792" s="38">
        <v>110.69</v>
      </c>
      <c r="BA792" s="37">
        <v>75.31</v>
      </c>
      <c r="BB792" s="38">
        <v>1.2040999999999999</v>
      </c>
    </row>
    <row r="793" spans="1:54" x14ac:dyDescent="0.35">
      <c r="A793" s="2">
        <f t="shared" si="12"/>
        <v>44931</v>
      </c>
      <c r="B793" t="s">
        <v>835</v>
      </c>
      <c r="C793" s="32">
        <v>44931</v>
      </c>
      <c r="D793" s="38">
        <v>182.73</v>
      </c>
      <c r="E793" s="38">
        <v>182.05</v>
      </c>
      <c r="F793" s="38">
        <v>186.55</v>
      </c>
      <c r="G793" s="38">
        <v>189.15</v>
      </c>
      <c r="H793" s="38">
        <v>189.27</v>
      </c>
      <c r="I793" s="38">
        <v>188.27</v>
      </c>
      <c r="J793" s="38">
        <v>189.87</v>
      </c>
      <c r="K793" s="38">
        <v>192.17</v>
      </c>
      <c r="L793" s="38">
        <v>194.7</v>
      </c>
      <c r="M793" s="38">
        <v>207.2</v>
      </c>
      <c r="N793" s="38">
        <v>217.95</v>
      </c>
      <c r="O793" s="38">
        <v>222.75</v>
      </c>
      <c r="P793" s="38">
        <v>220.25</v>
      </c>
      <c r="Q793" s="38">
        <v>205.71</v>
      </c>
      <c r="R793" s="38">
        <v>197.25</v>
      </c>
      <c r="S793" s="38">
        <v>190.22</v>
      </c>
      <c r="T793" s="38">
        <v>183.19</v>
      </c>
      <c r="U793" s="38">
        <v>175.01</v>
      </c>
      <c r="V793" s="38">
        <v>177.03</v>
      </c>
      <c r="W793" s="38">
        <v>181.3</v>
      </c>
      <c r="X793" s="38">
        <v>187.8</v>
      </c>
      <c r="Y793" s="38">
        <v>193.3</v>
      </c>
      <c r="Z793" s="38">
        <v>198.8</v>
      </c>
      <c r="AA793" s="38">
        <v>203.36</v>
      </c>
      <c r="AB793" s="38">
        <v>199.01</v>
      </c>
      <c r="AC793" s="38">
        <v>183.15</v>
      </c>
      <c r="AD793" s="38">
        <v>164.15</v>
      </c>
      <c r="AE793" s="38">
        <v>148.15</v>
      </c>
      <c r="AF793" s="38">
        <v>138.19999999999999</v>
      </c>
      <c r="AG793" s="38">
        <v>138.33000000000001</v>
      </c>
      <c r="AH793" s="38">
        <v>139.69</v>
      </c>
      <c r="AI793" s="38">
        <v>143.93</v>
      </c>
      <c r="AJ793" s="38">
        <v>150.96</v>
      </c>
      <c r="AK793" s="38">
        <v>154.44999999999999</v>
      </c>
      <c r="AL793" s="38">
        <v>157.65</v>
      </c>
      <c r="AM793" s="38">
        <v>158.94</v>
      </c>
      <c r="AN793" s="38">
        <v>159.84</v>
      </c>
      <c r="AO793" s="38">
        <v>150.69</v>
      </c>
      <c r="AP793" s="38">
        <v>124.33</v>
      </c>
      <c r="AQ793" s="38">
        <v>98.33</v>
      </c>
      <c r="AR793" s="38">
        <v>95.32</v>
      </c>
      <c r="AS793" s="38">
        <v>90.32</v>
      </c>
      <c r="AT793" s="38">
        <v>82.32</v>
      </c>
      <c r="AU793" s="38">
        <v>83.32</v>
      </c>
      <c r="AV793" s="38">
        <v>91.58</v>
      </c>
      <c r="AW793" s="38">
        <v>96.58</v>
      </c>
      <c r="AX793" s="38">
        <v>100.58</v>
      </c>
      <c r="AY793" s="38">
        <v>122.58</v>
      </c>
      <c r="BA793" s="37">
        <v>76.73</v>
      </c>
      <c r="BB793" s="38">
        <v>1.1879</v>
      </c>
    </row>
    <row r="794" spans="1:54" x14ac:dyDescent="0.35">
      <c r="A794" s="2">
        <f t="shared" si="12"/>
        <v>44932</v>
      </c>
      <c r="B794" t="s">
        <v>836</v>
      </c>
      <c r="C794" s="32">
        <v>44932</v>
      </c>
      <c r="D794" s="38">
        <v>170</v>
      </c>
      <c r="E794" s="38">
        <v>171.4</v>
      </c>
      <c r="F794" s="38">
        <v>180.56</v>
      </c>
      <c r="G794" s="38">
        <v>183.81</v>
      </c>
      <c r="H794" s="38">
        <v>184.11</v>
      </c>
      <c r="I794" s="38">
        <v>182.86</v>
      </c>
      <c r="J794" s="38">
        <v>184.46</v>
      </c>
      <c r="K794" s="38">
        <v>186.86</v>
      </c>
      <c r="L794" s="38">
        <v>190.61</v>
      </c>
      <c r="M794" s="38">
        <v>203.11</v>
      </c>
      <c r="N794" s="38">
        <v>213.11</v>
      </c>
      <c r="O794" s="38">
        <v>216.26</v>
      </c>
      <c r="P794" s="38">
        <v>213.76</v>
      </c>
      <c r="Q794" s="38">
        <v>199.22</v>
      </c>
      <c r="R794" s="38">
        <v>189.72</v>
      </c>
      <c r="S794" s="38">
        <v>182.69</v>
      </c>
      <c r="T794" s="38">
        <v>175.66</v>
      </c>
      <c r="U794" s="38">
        <v>167.48</v>
      </c>
      <c r="V794" s="38">
        <v>169.5</v>
      </c>
      <c r="W794" s="38">
        <v>173.77</v>
      </c>
      <c r="X794" s="38">
        <v>180.27</v>
      </c>
      <c r="Y794" s="38">
        <v>185.77</v>
      </c>
      <c r="Z794" s="38">
        <v>191.27</v>
      </c>
      <c r="AA794" s="38">
        <v>195.83</v>
      </c>
      <c r="AB794" s="38">
        <v>191.48</v>
      </c>
      <c r="AC794" s="38">
        <v>175.62</v>
      </c>
      <c r="AD794" s="38">
        <v>156.62</v>
      </c>
      <c r="AE794" s="38">
        <v>140.62</v>
      </c>
      <c r="AF794" s="38">
        <v>130.66999999999999</v>
      </c>
      <c r="AG794" s="38">
        <v>130.80000000000001</v>
      </c>
      <c r="AH794" s="38">
        <v>132.16</v>
      </c>
      <c r="AI794" s="38">
        <v>136.4</v>
      </c>
      <c r="AJ794" s="38">
        <v>143.43</v>
      </c>
      <c r="AK794" s="38">
        <v>146.91999999999999</v>
      </c>
      <c r="AL794" s="38">
        <v>150.12</v>
      </c>
      <c r="AM794" s="38">
        <v>151.41</v>
      </c>
      <c r="AN794" s="38">
        <v>152.31</v>
      </c>
      <c r="AO794" s="38">
        <v>143.16</v>
      </c>
      <c r="AP794" s="38">
        <v>116.8</v>
      </c>
      <c r="AQ794" s="38">
        <v>90.8</v>
      </c>
      <c r="AR794" s="38">
        <v>87.79</v>
      </c>
      <c r="AS794" s="38">
        <v>82.79</v>
      </c>
      <c r="AT794" s="38">
        <v>74.790000000000006</v>
      </c>
      <c r="AU794" s="38">
        <v>75.790000000000006</v>
      </c>
      <c r="AV794" s="38">
        <v>84.05</v>
      </c>
      <c r="AW794" s="38">
        <v>89.05</v>
      </c>
      <c r="AX794" s="38">
        <v>93.05</v>
      </c>
      <c r="AY794" s="38">
        <v>115.05</v>
      </c>
      <c r="BA794" s="37">
        <v>76.41</v>
      </c>
      <c r="BB794" s="38">
        <v>1.2047000000000001</v>
      </c>
    </row>
    <row r="795" spans="1:54" x14ac:dyDescent="0.35">
      <c r="A795" s="2">
        <f t="shared" si="12"/>
        <v>44935</v>
      </c>
      <c r="B795" t="s">
        <v>837</v>
      </c>
      <c r="C795" s="32">
        <v>44935</v>
      </c>
      <c r="D795" s="38">
        <v>183.64</v>
      </c>
      <c r="E795" s="38">
        <v>185.91</v>
      </c>
      <c r="F795" s="38">
        <v>190.35</v>
      </c>
      <c r="G795" s="38">
        <v>192.34</v>
      </c>
      <c r="H795" s="38">
        <v>192.21</v>
      </c>
      <c r="I795" s="38">
        <v>191.18</v>
      </c>
      <c r="J795" s="38">
        <v>192.78</v>
      </c>
      <c r="K795" s="38">
        <v>194.78</v>
      </c>
      <c r="L795" s="38">
        <v>197.98</v>
      </c>
      <c r="M795" s="38">
        <v>211.03</v>
      </c>
      <c r="N795" s="38">
        <v>220.28</v>
      </c>
      <c r="O795" s="38">
        <v>224.08</v>
      </c>
      <c r="P795" s="38">
        <v>223.58</v>
      </c>
      <c r="Q795" s="38">
        <v>209.58</v>
      </c>
      <c r="R795" s="38">
        <v>198.08</v>
      </c>
      <c r="S795" s="38">
        <v>190.05</v>
      </c>
      <c r="T795" s="38">
        <v>183.02</v>
      </c>
      <c r="U795" s="38">
        <v>174.84</v>
      </c>
      <c r="V795" s="38">
        <v>176.86</v>
      </c>
      <c r="W795" s="38">
        <v>181.13</v>
      </c>
      <c r="X795" s="38">
        <v>187.63</v>
      </c>
      <c r="Y795" s="38">
        <v>193.13</v>
      </c>
      <c r="Z795" s="38">
        <v>198.63</v>
      </c>
      <c r="AA795" s="38">
        <v>203.19</v>
      </c>
      <c r="AB795" s="38">
        <v>198.84</v>
      </c>
      <c r="AC795" s="38">
        <v>182.98</v>
      </c>
      <c r="AD795" s="38">
        <v>160.47999999999999</v>
      </c>
      <c r="AE795" s="38">
        <v>142.97999999999999</v>
      </c>
      <c r="AF795" s="38">
        <v>133.03</v>
      </c>
      <c r="AG795" s="38">
        <v>133.16</v>
      </c>
      <c r="AH795" s="38">
        <v>134.52000000000001</v>
      </c>
      <c r="AI795" s="38">
        <v>138.76</v>
      </c>
      <c r="AJ795" s="38">
        <v>145.79</v>
      </c>
      <c r="AK795" s="38">
        <v>149.28</v>
      </c>
      <c r="AL795" s="38">
        <v>152.47999999999999</v>
      </c>
      <c r="AM795" s="38">
        <v>153.77000000000001</v>
      </c>
      <c r="AN795" s="38">
        <v>154.66999999999999</v>
      </c>
      <c r="AO795" s="38">
        <v>145.52000000000001</v>
      </c>
      <c r="AP795" s="38">
        <v>122.52</v>
      </c>
      <c r="AQ795" s="38">
        <v>99.52</v>
      </c>
      <c r="AR795" s="38">
        <v>96.51</v>
      </c>
      <c r="AS795" s="38">
        <v>91.51</v>
      </c>
      <c r="AT795" s="38">
        <v>83.51</v>
      </c>
      <c r="AU795" s="38">
        <v>84.51</v>
      </c>
      <c r="AV795" s="38">
        <v>92.77</v>
      </c>
      <c r="AW795" s="38">
        <v>97.77</v>
      </c>
      <c r="AX795" s="38">
        <v>101.77</v>
      </c>
      <c r="AY795" s="38">
        <v>123.77</v>
      </c>
      <c r="BA795" s="37">
        <v>77.5</v>
      </c>
      <c r="BB795" s="38">
        <v>1.2193000000000001</v>
      </c>
    </row>
    <row r="796" spans="1:54" x14ac:dyDescent="0.35">
      <c r="A796" s="2">
        <f t="shared" si="12"/>
        <v>44936</v>
      </c>
      <c r="B796" t="s">
        <v>838</v>
      </c>
      <c r="C796" s="32">
        <v>44936</v>
      </c>
      <c r="D796" s="38">
        <v>171.3</v>
      </c>
      <c r="E796" s="38">
        <v>174.15</v>
      </c>
      <c r="F796" s="38">
        <v>179.85</v>
      </c>
      <c r="G796" s="38">
        <v>181.35</v>
      </c>
      <c r="H796" s="38">
        <v>181.15</v>
      </c>
      <c r="I796" s="38">
        <v>180.53</v>
      </c>
      <c r="J796" s="38">
        <v>182.13</v>
      </c>
      <c r="K796" s="38">
        <v>184.63</v>
      </c>
      <c r="L796" s="38">
        <v>189.38</v>
      </c>
      <c r="M796" s="38">
        <v>202.98</v>
      </c>
      <c r="N796" s="38">
        <v>211.58</v>
      </c>
      <c r="O796" s="38">
        <v>215.65</v>
      </c>
      <c r="P796" s="38">
        <v>215.15</v>
      </c>
      <c r="Q796" s="38">
        <v>201.15</v>
      </c>
      <c r="R796" s="38">
        <v>190.5</v>
      </c>
      <c r="S796" s="38">
        <v>182.47</v>
      </c>
      <c r="T796" s="38">
        <v>175.44</v>
      </c>
      <c r="U796" s="38">
        <v>167.26</v>
      </c>
      <c r="V796" s="38">
        <v>169.28</v>
      </c>
      <c r="W796" s="38">
        <v>173.55</v>
      </c>
      <c r="X796" s="38">
        <v>178.47</v>
      </c>
      <c r="Y796" s="38">
        <v>183.47</v>
      </c>
      <c r="Z796" s="38">
        <v>188.97</v>
      </c>
      <c r="AA796" s="38">
        <v>193.53</v>
      </c>
      <c r="AB796" s="38">
        <v>189.18</v>
      </c>
      <c r="AC796" s="38">
        <v>173.32</v>
      </c>
      <c r="AD796" s="38">
        <v>154.32</v>
      </c>
      <c r="AE796" s="38">
        <v>138.32</v>
      </c>
      <c r="AF796" s="38">
        <v>128.37</v>
      </c>
      <c r="AG796" s="38">
        <v>128.5</v>
      </c>
      <c r="AH796" s="38">
        <v>129.86000000000001</v>
      </c>
      <c r="AI796" s="38">
        <v>134.1</v>
      </c>
      <c r="AJ796" s="38">
        <v>141.13</v>
      </c>
      <c r="AK796" s="38">
        <v>144.62</v>
      </c>
      <c r="AL796" s="38">
        <v>147.82</v>
      </c>
      <c r="AM796" s="38">
        <v>149.11000000000001</v>
      </c>
      <c r="AN796" s="38">
        <v>150.01</v>
      </c>
      <c r="AO796" s="38">
        <v>140.86000000000001</v>
      </c>
      <c r="AP796" s="38">
        <v>117.86</v>
      </c>
      <c r="AQ796" s="38">
        <v>94.86</v>
      </c>
      <c r="AR796" s="38">
        <v>91.85</v>
      </c>
      <c r="AS796" s="38">
        <v>86.85</v>
      </c>
      <c r="AT796" s="38">
        <v>78.849999999999994</v>
      </c>
      <c r="AU796" s="38">
        <v>79.849999999999994</v>
      </c>
      <c r="AV796" s="38">
        <v>88.11</v>
      </c>
      <c r="AW796" s="38">
        <v>93.11</v>
      </c>
      <c r="AX796" s="38">
        <v>97.11</v>
      </c>
      <c r="AY796" s="38">
        <v>119.11</v>
      </c>
      <c r="BA796" s="37">
        <v>78.400000000000006</v>
      </c>
      <c r="BB796" s="38">
        <v>1.2148000000000001</v>
      </c>
    </row>
    <row r="797" spans="1:54" x14ac:dyDescent="0.35">
      <c r="A797" s="2">
        <f t="shared" si="12"/>
        <v>44937</v>
      </c>
      <c r="B797" t="s">
        <v>839</v>
      </c>
      <c r="C797" s="32">
        <v>44937</v>
      </c>
      <c r="D797" s="38">
        <v>160.63</v>
      </c>
      <c r="E797" s="38">
        <v>163.4</v>
      </c>
      <c r="F797" s="38">
        <v>169.39</v>
      </c>
      <c r="G797" s="38">
        <v>170.9</v>
      </c>
      <c r="H797" s="38">
        <v>170.94</v>
      </c>
      <c r="I797" s="38">
        <v>170.48</v>
      </c>
      <c r="J797" s="38">
        <v>172.13</v>
      </c>
      <c r="K797" s="38">
        <v>174.69</v>
      </c>
      <c r="L797" s="38">
        <v>181.89</v>
      </c>
      <c r="M797" s="38">
        <v>195.49</v>
      </c>
      <c r="N797" s="38">
        <v>203.99</v>
      </c>
      <c r="O797" s="38">
        <v>208.06</v>
      </c>
      <c r="P797" s="38">
        <v>207.56</v>
      </c>
      <c r="Q797" s="38">
        <v>193.56</v>
      </c>
      <c r="R797" s="38">
        <v>184.56</v>
      </c>
      <c r="S797" s="38">
        <v>177.03</v>
      </c>
      <c r="T797" s="38">
        <v>170</v>
      </c>
      <c r="U797" s="38">
        <v>161.82</v>
      </c>
      <c r="V797" s="38">
        <v>163.84</v>
      </c>
      <c r="W797" s="38">
        <v>168.11</v>
      </c>
      <c r="X797" s="38">
        <v>173.61</v>
      </c>
      <c r="Y797" s="38">
        <v>178.61</v>
      </c>
      <c r="Z797" s="38">
        <v>184.11</v>
      </c>
      <c r="AA797" s="38">
        <v>188.67</v>
      </c>
      <c r="AB797" s="38">
        <v>184.32</v>
      </c>
      <c r="AC797" s="38">
        <v>168.46</v>
      </c>
      <c r="AD797" s="38">
        <v>152.46</v>
      </c>
      <c r="AE797" s="38">
        <v>137.46</v>
      </c>
      <c r="AF797" s="38">
        <v>127.51</v>
      </c>
      <c r="AG797" s="38">
        <v>127.64</v>
      </c>
      <c r="AH797" s="38">
        <v>129</v>
      </c>
      <c r="AI797" s="38">
        <v>133.24</v>
      </c>
      <c r="AJ797" s="38">
        <v>140.27000000000001</v>
      </c>
      <c r="AK797" s="38">
        <v>143.76</v>
      </c>
      <c r="AL797" s="38">
        <v>146.96</v>
      </c>
      <c r="AM797" s="38">
        <v>148.25</v>
      </c>
      <c r="AN797" s="38">
        <v>149.15</v>
      </c>
      <c r="AO797" s="38">
        <v>140</v>
      </c>
      <c r="AP797" s="38">
        <v>118</v>
      </c>
      <c r="AQ797" s="38">
        <v>96.5</v>
      </c>
      <c r="AR797" s="38">
        <v>93.49</v>
      </c>
      <c r="AS797" s="38">
        <v>88.49</v>
      </c>
      <c r="AT797" s="38">
        <v>80.489999999999995</v>
      </c>
      <c r="AU797" s="38">
        <v>81.489999999999995</v>
      </c>
      <c r="AV797" s="38">
        <v>89.75</v>
      </c>
      <c r="AW797" s="38">
        <v>94.75</v>
      </c>
      <c r="AX797" s="38">
        <v>98.75</v>
      </c>
      <c r="AY797" s="38">
        <v>120.75</v>
      </c>
      <c r="BA797" s="37">
        <v>81.11</v>
      </c>
      <c r="BB797" s="38">
        <v>1.2130000000000001</v>
      </c>
    </row>
    <row r="798" spans="1:54" x14ac:dyDescent="0.35">
      <c r="A798" s="2">
        <f t="shared" si="12"/>
        <v>44938</v>
      </c>
      <c r="B798" t="s">
        <v>840</v>
      </c>
      <c r="C798" s="32">
        <v>44938</v>
      </c>
      <c r="D798" s="38">
        <v>167.42</v>
      </c>
      <c r="E798" s="38">
        <v>168.67</v>
      </c>
      <c r="F798" s="38">
        <v>172.65</v>
      </c>
      <c r="G798" s="38">
        <v>174</v>
      </c>
      <c r="H798" s="38">
        <v>174.36</v>
      </c>
      <c r="I798" s="38">
        <v>173.76</v>
      </c>
      <c r="J798" s="38">
        <v>174.86</v>
      </c>
      <c r="K798" s="38">
        <v>177.41</v>
      </c>
      <c r="L798" s="38">
        <v>182.51</v>
      </c>
      <c r="M798" s="38">
        <v>195.91</v>
      </c>
      <c r="N798" s="38">
        <v>204.41</v>
      </c>
      <c r="O798" s="38">
        <v>209.98</v>
      </c>
      <c r="P798" s="38">
        <v>209.98</v>
      </c>
      <c r="Q798" s="38">
        <v>195.98</v>
      </c>
      <c r="R798" s="38">
        <v>181.38</v>
      </c>
      <c r="S798" s="38">
        <v>172.18</v>
      </c>
      <c r="T798" s="38">
        <v>165.23</v>
      </c>
      <c r="U798" s="38">
        <v>157.05000000000001</v>
      </c>
      <c r="V798" s="38">
        <v>159.08000000000001</v>
      </c>
      <c r="W798" s="38">
        <v>163.35</v>
      </c>
      <c r="X798" s="38">
        <v>169.05</v>
      </c>
      <c r="Y798" s="38">
        <v>174.05</v>
      </c>
      <c r="Z798" s="38">
        <v>179.55</v>
      </c>
      <c r="AA798" s="38">
        <v>184.11</v>
      </c>
      <c r="AB798" s="38">
        <v>179.76</v>
      </c>
      <c r="AC798" s="38">
        <v>163.9</v>
      </c>
      <c r="AD798" s="38">
        <v>149.4</v>
      </c>
      <c r="AE798" s="38">
        <v>135.4</v>
      </c>
      <c r="AF798" s="38">
        <v>125.45</v>
      </c>
      <c r="AG798" s="38">
        <v>125.58</v>
      </c>
      <c r="AH798" s="38">
        <v>126.94</v>
      </c>
      <c r="AI798" s="38">
        <v>131.18</v>
      </c>
      <c r="AJ798" s="38">
        <v>135.18</v>
      </c>
      <c r="AK798" s="38">
        <v>138.66999999999999</v>
      </c>
      <c r="AL798" s="38">
        <v>141.87</v>
      </c>
      <c r="AM798" s="38">
        <v>143.16</v>
      </c>
      <c r="AN798" s="38">
        <v>144.06</v>
      </c>
      <c r="AO798" s="38">
        <v>134.91</v>
      </c>
      <c r="AP798" s="38">
        <v>115.66</v>
      </c>
      <c r="AQ798" s="38">
        <v>97.41</v>
      </c>
      <c r="AR798" s="38">
        <v>94.4</v>
      </c>
      <c r="AS798" s="38">
        <v>89.4</v>
      </c>
      <c r="AT798" s="38">
        <v>81.400000000000006</v>
      </c>
      <c r="AU798" s="38">
        <v>82.4</v>
      </c>
      <c r="AV798" s="38">
        <v>90.66</v>
      </c>
      <c r="AW798" s="38">
        <v>95.66</v>
      </c>
      <c r="AX798" s="38">
        <v>99.66</v>
      </c>
      <c r="AY798" s="38">
        <v>118.66</v>
      </c>
      <c r="BA798" s="37">
        <v>82.59</v>
      </c>
      <c r="BB798" s="38">
        <v>1.2177</v>
      </c>
    </row>
    <row r="799" spans="1:54" x14ac:dyDescent="0.35">
      <c r="A799" s="2">
        <f t="shared" si="12"/>
        <v>44939</v>
      </c>
      <c r="B799" t="s">
        <v>841</v>
      </c>
      <c r="C799" s="32">
        <v>44939</v>
      </c>
      <c r="D799" s="38">
        <v>162.54</v>
      </c>
      <c r="E799" s="38">
        <v>163.05000000000001</v>
      </c>
      <c r="F799" s="38">
        <v>166.17</v>
      </c>
      <c r="G799" s="38">
        <v>168.07</v>
      </c>
      <c r="H799" s="38">
        <v>168.47</v>
      </c>
      <c r="I799" s="38">
        <v>167.87</v>
      </c>
      <c r="J799" s="38">
        <v>168.91</v>
      </c>
      <c r="K799" s="38">
        <v>171.22</v>
      </c>
      <c r="L799" s="38">
        <v>176.12</v>
      </c>
      <c r="M799" s="38">
        <v>189.52</v>
      </c>
      <c r="N799" s="38">
        <v>198.02</v>
      </c>
      <c r="O799" s="38">
        <v>203.02</v>
      </c>
      <c r="P799" s="38">
        <v>203.02</v>
      </c>
      <c r="Q799" s="38">
        <v>189.02</v>
      </c>
      <c r="R799" s="38">
        <v>177.51</v>
      </c>
      <c r="S799" s="38">
        <v>168.31</v>
      </c>
      <c r="T799" s="38">
        <v>161.33000000000001</v>
      </c>
      <c r="U799" s="38">
        <v>152.13</v>
      </c>
      <c r="V799" s="38">
        <v>154.15</v>
      </c>
      <c r="W799" s="38">
        <v>158.41999999999999</v>
      </c>
      <c r="X799" s="38">
        <v>164.56</v>
      </c>
      <c r="Y799" s="38">
        <v>169.56</v>
      </c>
      <c r="Z799" s="38">
        <v>175.06</v>
      </c>
      <c r="AA799" s="38">
        <v>179.62</v>
      </c>
      <c r="AB799" s="38">
        <v>175.27</v>
      </c>
      <c r="AC799" s="38">
        <v>159.41</v>
      </c>
      <c r="AD799" s="38">
        <v>146.41</v>
      </c>
      <c r="AE799" s="38">
        <v>133.41</v>
      </c>
      <c r="AF799" s="38">
        <v>123.46</v>
      </c>
      <c r="AG799" s="38">
        <v>123.59</v>
      </c>
      <c r="AH799" s="38">
        <v>124.95</v>
      </c>
      <c r="AI799" s="38">
        <v>129.19</v>
      </c>
      <c r="AJ799" s="38">
        <v>133.19</v>
      </c>
      <c r="AK799" s="38">
        <v>136.68</v>
      </c>
      <c r="AL799" s="38">
        <v>139.88</v>
      </c>
      <c r="AM799" s="38">
        <v>141.16999999999999</v>
      </c>
      <c r="AN799" s="38">
        <v>142.07</v>
      </c>
      <c r="AO799" s="38">
        <v>132.91999999999999</v>
      </c>
      <c r="AP799" s="38">
        <v>113.67</v>
      </c>
      <c r="AQ799" s="38">
        <v>95.42</v>
      </c>
      <c r="AR799" s="38">
        <v>92.41</v>
      </c>
      <c r="AS799" s="38">
        <v>87.41</v>
      </c>
      <c r="AT799" s="38">
        <v>79.41</v>
      </c>
      <c r="AU799" s="38">
        <v>80.41</v>
      </c>
      <c r="AV799" s="38">
        <v>88.67</v>
      </c>
      <c r="AW799" s="38">
        <v>93.67</v>
      </c>
      <c r="AX799" s="38">
        <v>97.67</v>
      </c>
      <c r="AY799" s="38">
        <v>113.67</v>
      </c>
      <c r="BA799" s="37">
        <v>83.43</v>
      </c>
      <c r="BB799" s="38">
        <v>1.2215</v>
      </c>
    </row>
    <row r="800" spans="1:54" x14ac:dyDescent="0.35">
      <c r="A800" s="2">
        <f t="shared" si="12"/>
        <v>44942</v>
      </c>
      <c r="B800" t="s">
        <v>842</v>
      </c>
      <c r="C800" s="32">
        <v>44942</v>
      </c>
      <c r="D800" s="38">
        <v>136.76</v>
      </c>
      <c r="E800" s="38">
        <v>138.25</v>
      </c>
      <c r="F800" s="38">
        <v>142.13</v>
      </c>
      <c r="G800" s="38">
        <v>144.12</v>
      </c>
      <c r="H800" s="38">
        <v>144.13</v>
      </c>
      <c r="I800" s="38">
        <v>144.13</v>
      </c>
      <c r="J800" s="38">
        <v>145.61000000000001</v>
      </c>
      <c r="K800" s="38">
        <v>147.91999999999999</v>
      </c>
      <c r="L800" s="38">
        <v>153.54</v>
      </c>
      <c r="M800" s="38">
        <v>166.94</v>
      </c>
      <c r="N800" s="38">
        <v>175.44</v>
      </c>
      <c r="O800" s="38">
        <v>180.55</v>
      </c>
      <c r="P800" s="38">
        <v>181.05</v>
      </c>
      <c r="Q800" s="38">
        <v>169.05</v>
      </c>
      <c r="R800" s="38">
        <v>159.05000000000001</v>
      </c>
      <c r="S800" s="38">
        <v>149.85</v>
      </c>
      <c r="T800" s="38">
        <v>142.87</v>
      </c>
      <c r="U800" s="38">
        <v>133.66999999999999</v>
      </c>
      <c r="V800" s="38">
        <v>135.69</v>
      </c>
      <c r="W800" s="38">
        <v>139.96</v>
      </c>
      <c r="X800" s="38">
        <v>147.1</v>
      </c>
      <c r="Y800" s="38">
        <v>152.1</v>
      </c>
      <c r="Z800" s="38">
        <v>157.6</v>
      </c>
      <c r="AA800" s="38">
        <v>162.16</v>
      </c>
      <c r="AB800" s="38">
        <v>157.81</v>
      </c>
      <c r="AC800" s="38">
        <v>143.81</v>
      </c>
      <c r="AD800" s="38">
        <v>133.81</v>
      </c>
      <c r="AE800" s="38">
        <v>124.31</v>
      </c>
      <c r="AF800" s="38">
        <v>114.36</v>
      </c>
      <c r="AG800" s="38">
        <v>114.49</v>
      </c>
      <c r="AH800" s="38">
        <v>115.85</v>
      </c>
      <c r="AI800" s="38">
        <v>120.09</v>
      </c>
      <c r="AJ800" s="38">
        <v>123.09</v>
      </c>
      <c r="AK800" s="38">
        <v>126.08</v>
      </c>
      <c r="AL800" s="38">
        <v>129.28</v>
      </c>
      <c r="AM800" s="38">
        <v>130.57</v>
      </c>
      <c r="AN800" s="38">
        <v>131.47</v>
      </c>
      <c r="AO800" s="38">
        <v>122.32</v>
      </c>
      <c r="AP800" s="38">
        <v>105.07</v>
      </c>
      <c r="AQ800" s="38">
        <v>88.82</v>
      </c>
      <c r="AR800" s="38">
        <v>85.81</v>
      </c>
      <c r="AS800" s="38">
        <v>80.81</v>
      </c>
      <c r="AT800" s="38">
        <v>72.81</v>
      </c>
      <c r="AU800" s="38">
        <v>73.81</v>
      </c>
      <c r="AV800" s="38">
        <v>82.07</v>
      </c>
      <c r="AW800" s="38">
        <v>87.07</v>
      </c>
      <c r="AX800" s="38">
        <v>94.07</v>
      </c>
      <c r="AY800" s="38">
        <v>107.07</v>
      </c>
      <c r="BA800" s="37">
        <v>82.65</v>
      </c>
      <c r="BB800" s="38">
        <v>1.2205999999999999</v>
      </c>
    </row>
    <row r="801" spans="1:54" x14ac:dyDescent="0.35">
      <c r="A801" s="2">
        <f t="shared" si="12"/>
        <v>44943</v>
      </c>
      <c r="B801" t="s">
        <v>843</v>
      </c>
      <c r="C801" s="32">
        <v>44943</v>
      </c>
      <c r="D801" s="38">
        <v>150.74</v>
      </c>
      <c r="E801" s="38">
        <v>151</v>
      </c>
      <c r="F801" s="38">
        <v>153.41999999999999</v>
      </c>
      <c r="G801" s="38">
        <v>155.52000000000001</v>
      </c>
      <c r="H801" s="38">
        <v>155.41999999999999</v>
      </c>
      <c r="I801" s="38">
        <v>154.75</v>
      </c>
      <c r="J801" s="38">
        <v>156.44999999999999</v>
      </c>
      <c r="K801" s="38">
        <v>158.84</v>
      </c>
      <c r="L801" s="38">
        <v>163.52000000000001</v>
      </c>
      <c r="M801" s="38">
        <v>176.92</v>
      </c>
      <c r="N801" s="38">
        <v>185.42</v>
      </c>
      <c r="O801" s="38">
        <v>189.03</v>
      </c>
      <c r="P801" s="38">
        <v>189.53</v>
      </c>
      <c r="Q801" s="38">
        <v>179.53</v>
      </c>
      <c r="R801" s="38">
        <v>167.03</v>
      </c>
      <c r="S801" s="38">
        <v>155.03</v>
      </c>
      <c r="T801" s="38">
        <v>148.06</v>
      </c>
      <c r="U801" s="38">
        <v>138.88</v>
      </c>
      <c r="V801" s="38">
        <v>140.91999999999999</v>
      </c>
      <c r="W801" s="38">
        <v>145.21</v>
      </c>
      <c r="X801" s="38">
        <v>152.37</v>
      </c>
      <c r="Y801" s="38">
        <v>157.38999999999999</v>
      </c>
      <c r="Z801" s="38">
        <v>162.91999999999999</v>
      </c>
      <c r="AA801" s="38">
        <v>167.5</v>
      </c>
      <c r="AB801" s="38">
        <v>163.16999999999999</v>
      </c>
      <c r="AC801" s="38">
        <v>149.19999999999999</v>
      </c>
      <c r="AD801" s="38">
        <v>136.22</v>
      </c>
      <c r="AE801" s="38">
        <v>124.07</v>
      </c>
      <c r="AF801" s="38">
        <v>114.19</v>
      </c>
      <c r="AG801" s="38">
        <v>114.45</v>
      </c>
      <c r="AH801" s="38">
        <v>115.97</v>
      </c>
      <c r="AI801" s="38">
        <v>120.44</v>
      </c>
      <c r="AJ801" s="38">
        <v>125.08</v>
      </c>
      <c r="AK801" s="38">
        <v>128.07</v>
      </c>
      <c r="AL801" s="38">
        <v>131.27000000000001</v>
      </c>
      <c r="AM801" s="38">
        <v>132.56</v>
      </c>
      <c r="AN801" s="38">
        <v>133.46</v>
      </c>
      <c r="AO801" s="38">
        <v>124.31</v>
      </c>
      <c r="AP801" s="38">
        <v>106.56</v>
      </c>
      <c r="AQ801" s="38">
        <v>89.81</v>
      </c>
      <c r="AR801" s="38">
        <v>86.8</v>
      </c>
      <c r="AS801" s="38">
        <v>81.8</v>
      </c>
      <c r="AT801" s="38">
        <v>76.8</v>
      </c>
      <c r="AU801" s="38">
        <v>78.8</v>
      </c>
      <c r="AV801" s="38">
        <v>87.06</v>
      </c>
      <c r="AW801" s="38">
        <v>92.06</v>
      </c>
      <c r="AX801" s="38">
        <v>99.06</v>
      </c>
      <c r="AY801" s="38">
        <v>109.06</v>
      </c>
      <c r="BA801" s="37">
        <v>84.38</v>
      </c>
      <c r="BB801" s="38">
        <v>1.228</v>
      </c>
    </row>
    <row r="802" spans="1:54" x14ac:dyDescent="0.35">
      <c r="A802" s="2">
        <f t="shared" si="12"/>
        <v>44944</v>
      </c>
      <c r="B802" t="s">
        <v>844</v>
      </c>
      <c r="C802" s="32">
        <v>44944</v>
      </c>
      <c r="D802" s="38">
        <v>153.88</v>
      </c>
      <c r="E802" s="38">
        <v>153.88999999999999</v>
      </c>
      <c r="F802" s="38">
        <v>156.69</v>
      </c>
      <c r="G802" s="38">
        <v>158.33000000000001</v>
      </c>
      <c r="H802" s="38">
        <v>158.69</v>
      </c>
      <c r="I802" s="38">
        <v>157.79</v>
      </c>
      <c r="J802" s="38">
        <v>159.29</v>
      </c>
      <c r="K802" s="38">
        <v>162.11000000000001</v>
      </c>
      <c r="L802" s="38">
        <v>166.01</v>
      </c>
      <c r="M802" s="38">
        <v>179.21</v>
      </c>
      <c r="N802" s="38">
        <v>187.71</v>
      </c>
      <c r="O802" s="38">
        <v>192.46</v>
      </c>
      <c r="P802" s="38">
        <v>192.46</v>
      </c>
      <c r="Q802" s="38">
        <v>182.46</v>
      </c>
      <c r="R802" s="38">
        <v>170.96</v>
      </c>
      <c r="S802" s="38">
        <v>159.96</v>
      </c>
      <c r="T802" s="38">
        <v>152.99</v>
      </c>
      <c r="U802" s="38">
        <v>143.81</v>
      </c>
      <c r="V802" s="38">
        <v>145.85</v>
      </c>
      <c r="W802" s="38">
        <v>150.13999999999999</v>
      </c>
      <c r="X802" s="38">
        <v>157.51</v>
      </c>
      <c r="Y802" s="38">
        <v>162.53</v>
      </c>
      <c r="Z802" s="38">
        <v>168.06</v>
      </c>
      <c r="AA802" s="38">
        <v>172.64</v>
      </c>
      <c r="AB802" s="38">
        <v>168.31</v>
      </c>
      <c r="AC802" s="38">
        <v>154.34</v>
      </c>
      <c r="AD802" s="38">
        <v>139.26</v>
      </c>
      <c r="AE802" s="38">
        <v>126.11</v>
      </c>
      <c r="AF802" s="38">
        <v>116.23</v>
      </c>
      <c r="AG802" s="38">
        <v>116.49</v>
      </c>
      <c r="AH802" s="38">
        <v>118.01</v>
      </c>
      <c r="AI802" s="38">
        <v>122.48</v>
      </c>
      <c r="AJ802" s="38">
        <v>125.38</v>
      </c>
      <c r="AK802" s="38">
        <v>126.78</v>
      </c>
      <c r="AL802" s="38">
        <v>129.97999999999999</v>
      </c>
      <c r="AM802" s="38">
        <v>131.27000000000001</v>
      </c>
      <c r="AN802" s="38">
        <v>132.16999999999999</v>
      </c>
      <c r="AO802" s="38">
        <v>123.02</v>
      </c>
      <c r="AP802" s="38">
        <v>105.27</v>
      </c>
      <c r="AQ802" s="38">
        <v>88.52</v>
      </c>
      <c r="AR802" s="38">
        <v>85.51</v>
      </c>
      <c r="AS802" s="38">
        <v>82.51</v>
      </c>
      <c r="AT802" s="38">
        <v>79.510000000000005</v>
      </c>
      <c r="AU802" s="38">
        <v>81.510000000000005</v>
      </c>
      <c r="AV802" s="38">
        <v>88.77</v>
      </c>
      <c r="AW802" s="38">
        <v>96.77</v>
      </c>
      <c r="AX802" s="38">
        <v>103.77</v>
      </c>
      <c r="AY802" s="38">
        <v>110.77</v>
      </c>
      <c r="BA802" s="37">
        <v>83.78</v>
      </c>
      <c r="BB802" s="38">
        <v>1.2394000000000001</v>
      </c>
    </row>
    <row r="803" spans="1:54" x14ac:dyDescent="0.35">
      <c r="A803" s="2">
        <f t="shared" si="12"/>
        <v>44945</v>
      </c>
      <c r="B803" t="s">
        <v>845</v>
      </c>
      <c r="C803" s="32">
        <v>44945</v>
      </c>
      <c r="D803" s="38">
        <v>152.52000000000001</v>
      </c>
      <c r="E803" s="38">
        <v>152.32</v>
      </c>
      <c r="F803" s="38">
        <v>154.83000000000001</v>
      </c>
      <c r="G803" s="38">
        <v>156.83000000000001</v>
      </c>
      <c r="H803" s="38">
        <v>157.41</v>
      </c>
      <c r="I803" s="38">
        <v>156.41</v>
      </c>
      <c r="J803" s="38">
        <v>157.91</v>
      </c>
      <c r="K803" s="38">
        <v>160.83000000000001</v>
      </c>
      <c r="L803" s="38">
        <v>164.83</v>
      </c>
      <c r="M803" s="38">
        <v>177.9</v>
      </c>
      <c r="N803" s="38">
        <v>186.4</v>
      </c>
      <c r="O803" s="38">
        <v>191.19</v>
      </c>
      <c r="P803" s="38">
        <v>191.19</v>
      </c>
      <c r="Q803" s="38">
        <v>182.89</v>
      </c>
      <c r="R803" s="38">
        <v>171.89</v>
      </c>
      <c r="S803" s="38">
        <v>161.38999999999999</v>
      </c>
      <c r="T803" s="38">
        <v>154.41999999999999</v>
      </c>
      <c r="U803" s="38">
        <v>149.13999999999999</v>
      </c>
      <c r="V803" s="38">
        <v>151.43</v>
      </c>
      <c r="W803" s="38">
        <v>155.72</v>
      </c>
      <c r="X803" s="38">
        <v>159.79</v>
      </c>
      <c r="Y803" s="38">
        <v>163.71</v>
      </c>
      <c r="Z803" s="38">
        <v>169.13</v>
      </c>
      <c r="AA803" s="38">
        <v>173.57</v>
      </c>
      <c r="AB803" s="38">
        <v>168.98</v>
      </c>
      <c r="AC803" s="38">
        <v>154.88</v>
      </c>
      <c r="AD803" s="38">
        <v>137.38999999999999</v>
      </c>
      <c r="AE803" s="38">
        <v>122.89</v>
      </c>
      <c r="AF803" s="38">
        <v>113.01</v>
      </c>
      <c r="AG803" s="38">
        <v>113.27</v>
      </c>
      <c r="AH803" s="38">
        <v>114.79</v>
      </c>
      <c r="AI803" s="38">
        <v>119.26</v>
      </c>
      <c r="AJ803" s="38">
        <v>123.16</v>
      </c>
      <c r="AK803" s="38">
        <v>125.56</v>
      </c>
      <c r="AL803" s="38">
        <v>128.76</v>
      </c>
      <c r="AM803" s="38">
        <v>130.05000000000001</v>
      </c>
      <c r="AN803" s="38">
        <v>130.94999999999999</v>
      </c>
      <c r="AO803" s="38">
        <v>121.8</v>
      </c>
      <c r="AP803" s="38">
        <v>106.8</v>
      </c>
      <c r="AQ803" s="38">
        <v>92.8</v>
      </c>
      <c r="AR803" s="38">
        <v>89.79</v>
      </c>
      <c r="AS803" s="38">
        <v>86.79</v>
      </c>
      <c r="AT803" s="38">
        <v>83.79</v>
      </c>
      <c r="AU803" s="38">
        <v>85.79</v>
      </c>
      <c r="AV803" s="38">
        <v>91.05</v>
      </c>
      <c r="AW803" s="38">
        <v>99.05</v>
      </c>
      <c r="AX803" s="38">
        <v>106.05</v>
      </c>
      <c r="AY803" s="38">
        <v>113.05</v>
      </c>
      <c r="BA803" s="37">
        <v>85.08</v>
      </c>
      <c r="BB803" s="38">
        <v>1.2359</v>
      </c>
    </row>
    <row r="804" spans="1:54" x14ac:dyDescent="0.35">
      <c r="A804" s="2">
        <f t="shared" si="12"/>
        <v>44946</v>
      </c>
      <c r="B804" t="s">
        <v>846</v>
      </c>
      <c r="C804" s="32">
        <v>44946</v>
      </c>
      <c r="D804" s="38">
        <v>168.9</v>
      </c>
      <c r="E804" s="38">
        <v>169.09</v>
      </c>
      <c r="F804" s="38">
        <v>171.09</v>
      </c>
      <c r="G804" s="38">
        <v>173.26</v>
      </c>
      <c r="H804" s="38">
        <v>173.44</v>
      </c>
      <c r="I804" s="38">
        <v>172.59</v>
      </c>
      <c r="J804" s="38">
        <v>173.89</v>
      </c>
      <c r="K804" s="38">
        <v>175.44</v>
      </c>
      <c r="L804" s="38">
        <v>180.14</v>
      </c>
      <c r="M804" s="38">
        <v>192.92</v>
      </c>
      <c r="N804" s="38">
        <v>201.14</v>
      </c>
      <c r="O804" s="38">
        <v>206.49</v>
      </c>
      <c r="P804" s="38">
        <v>205.99</v>
      </c>
      <c r="Q804" s="38">
        <v>197.69</v>
      </c>
      <c r="R804" s="38">
        <v>183.69</v>
      </c>
      <c r="S804" s="38">
        <v>171.19</v>
      </c>
      <c r="T804" s="38">
        <v>164.22</v>
      </c>
      <c r="U804" s="38">
        <v>159.56</v>
      </c>
      <c r="V804" s="38">
        <v>161.85</v>
      </c>
      <c r="W804" s="38">
        <v>166.14</v>
      </c>
      <c r="X804" s="38">
        <v>169.21</v>
      </c>
      <c r="Y804" s="38">
        <v>173.13</v>
      </c>
      <c r="Z804" s="38">
        <v>176.55</v>
      </c>
      <c r="AA804" s="38">
        <v>180.99</v>
      </c>
      <c r="AB804" s="38">
        <v>176.4</v>
      </c>
      <c r="AC804" s="38">
        <v>162.30000000000001</v>
      </c>
      <c r="AD804" s="38">
        <v>142.31</v>
      </c>
      <c r="AE804" s="38">
        <v>125.81</v>
      </c>
      <c r="AF804" s="38">
        <v>115.93</v>
      </c>
      <c r="AG804" s="38">
        <v>116.19</v>
      </c>
      <c r="AH804" s="38">
        <v>117.71</v>
      </c>
      <c r="AI804" s="38">
        <v>122.18</v>
      </c>
      <c r="AJ804" s="38">
        <v>126.08</v>
      </c>
      <c r="AK804" s="38">
        <v>128.47999999999999</v>
      </c>
      <c r="AL804" s="38">
        <v>131.68</v>
      </c>
      <c r="AM804" s="38">
        <v>132.97</v>
      </c>
      <c r="AN804" s="38">
        <v>133.87</v>
      </c>
      <c r="AO804" s="38">
        <v>124.72</v>
      </c>
      <c r="AP804" s="38">
        <v>109.72</v>
      </c>
      <c r="AQ804" s="38">
        <v>95.72</v>
      </c>
      <c r="AR804" s="38">
        <v>92.71</v>
      </c>
      <c r="AS804" s="38">
        <v>89.71</v>
      </c>
      <c r="AT804" s="38">
        <v>86.71</v>
      </c>
      <c r="AU804" s="38">
        <v>88.71</v>
      </c>
      <c r="AV804" s="38">
        <v>93.97</v>
      </c>
      <c r="AW804" s="38">
        <v>101.97</v>
      </c>
      <c r="AX804" s="38">
        <v>108.97</v>
      </c>
      <c r="AY804" s="38">
        <v>115.97</v>
      </c>
      <c r="BA804" s="37">
        <v>86.96</v>
      </c>
      <c r="BB804" s="38">
        <v>1.2369000000000001</v>
      </c>
    </row>
    <row r="805" spans="1:54" x14ac:dyDescent="0.35">
      <c r="A805" s="2">
        <f t="shared" si="12"/>
        <v>44949</v>
      </c>
      <c r="B805" t="s">
        <v>847</v>
      </c>
      <c r="C805" s="32">
        <v>44949</v>
      </c>
      <c r="D805" s="38">
        <v>166.72</v>
      </c>
      <c r="E805" s="38">
        <v>167.42</v>
      </c>
      <c r="F805" s="38">
        <v>169</v>
      </c>
      <c r="G805" s="38">
        <v>171.15</v>
      </c>
      <c r="H805" s="38">
        <v>171.26</v>
      </c>
      <c r="I805" s="38">
        <v>170.41</v>
      </c>
      <c r="J805" s="38">
        <v>172.34</v>
      </c>
      <c r="K805" s="38">
        <v>174.54</v>
      </c>
      <c r="L805" s="38">
        <v>180.04</v>
      </c>
      <c r="M805" s="38">
        <v>193.04</v>
      </c>
      <c r="N805" s="38">
        <v>202.04</v>
      </c>
      <c r="O805" s="38">
        <v>205.09</v>
      </c>
      <c r="P805" s="38">
        <v>203.89</v>
      </c>
      <c r="Q805" s="38">
        <v>195.59</v>
      </c>
      <c r="R805" s="38">
        <v>182.69</v>
      </c>
      <c r="S805" s="38">
        <v>171.19</v>
      </c>
      <c r="T805" s="38">
        <v>166.22</v>
      </c>
      <c r="U805" s="38">
        <v>161.56</v>
      </c>
      <c r="V805" s="38">
        <v>163.85</v>
      </c>
      <c r="W805" s="38">
        <v>168.14</v>
      </c>
      <c r="X805" s="38">
        <v>171.21</v>
      </c>
      <c r="Y805" s="38">
        <v>175.13</v>
      </c>
      <c r="Z805" s="38">
        <v>178.55</v>
      </c>
      <c r="AA805" s="38">
        <v>182.99</v>
      </c>
      <c r="AB805" s="38">
        <v>178.4</v>
      </c>
      <c r="AC805" s="38">
        <v>164.3</v>
      </c>
      <c r="AD805" s="38">
        <v>141.31</v>
      </c>
      <c r="AE805" s="38">
        <v>121.81</v>
      </c>
      <c r="AF805" s="38">
        <v>111.94</v>
      </c>
      <c r="AG805" s="38">
        <v>112.2</v>
      </c>
      <c r="AH805" s="38">
        <v>113.72</v>
      </c>
      <c r="AI805" s="38">
        <v>118.19</v>
      </c>
      <c r="AJ805" s="38">
        <v>122.09</v>
      </c>
      <c r="AK805" s="38">
        <v>124.49</v>
      </c>
      <c r="AL805" s="38">
        <v>127.69</v>
      </c>
      <c r="AM805" s="38">
        <v>128.97999999999999</v>
      </c>
      <c r="AN805" s="38">
        <v>129.88</v>
      </c>
      <c r="AO805" s="38">
        <v>120.73</v>
      </c>
      <c r="AP805" s="38">
        <v>105.73</v>
      </c>
      <c r="AQ805" s="38">
        <v>92.73</v>
      </c>
      <c r="AR805" s="38">
        <v>89.72</v>
      </c>
      <c r="AS805" s="38">
        <v>86.72</v>
      </c>
      <c r="AT805" s="38">
        <v>83.72</v>
      </c>
      <c r="AU805" s="38">
        <v>85.72</v>
      </c>
      <c r="AV805" s="38">
        <v>90.98</v>
      </c>
      <c r="AW805" s="38">
        <v>98.98</v>
      </c>
      <c r="AX805" s="38">
        <v>105.98</v>
      </c>
      <c r="AY805" s="38">
        <v>112.98</v>
      </c>
      <c r="BA805" s="37">
        <v>87.54</v>
      </c>
      <c r="BB805" s="38">
        <v>1.2367999999999999</v>
      </c>
    </row>
    <row r="806" spans="1:54" x14ac:dyDescent="0.35">
      <c r="A806" s="2">
        <f t="shared" si="12"/>
        <v>44950</v>
      </c>
      <c r="B806" t="s">
        <v>848</v>
      </c>
      <c r="C806" s="32">
        <v>44950</v>
      </c>
      <c r="D806" s="38">
        <v>147.66</v>
      </c>
      <c r="E806" s="38">
        <v>148.19</v>
      </c>
      <c r="F806" s="38">
        <v>150.41</v>
      </c>
      <c r="G806" s="38">
        <v>152.16</v>
      </c>
      <c r="H806" s="38">
        <v>152.27000000000001</v>
      </c>
      <c r="I806" s="38">
        <v>151.5</v>
      </c>
      <c r="J806" s="38">
        <v>153.15</v>
      </c>
      <c r="K806" s="38">
        <v>155.65</v>
      </c>
      <c r="L806" s="38">
        <v>161.36000000000001</v>
      </c>
      <c r="M806" s="38">
        <v>174.48</v>
      </c>
      <c r="N806" s="38">
        <v>183.61</v>
      </c>
      <c r="O806" s="38">
        <v>187.25</v>
      </c>
      <c r="P806" s="38">
        <v>186.05</v>
      </c>
      <c r="Q806" s="38">
        <v>177.75</v>
      </c>
      <c r="R806" s="38">
        <v>167.34</v>
      </c>
      <c r="S806" s="38">
        <v>157.34</v>
      </c>
      <c r="T806" s="38">
        <v>152.37</v>
      </c>
      <c r="U806" s="38">
        <v>147.07</v>
      </c>
      <c r="V806" s="38">
        <v>149.36000000000001</v>
      </c>
      <c r="W806" s="38">
        <v>153.63999999999999</v>
      </c>
      <c r="X806" s="38">
        <v>157.69999999999999</v>
      </c>
      <c r="Y806" s="38">
        <v>161.62</v>
      </c>
      <c r="Z806" s="38">
        <v>165.03</v>
      </c>
      <c r="AA806" s="38">
        <v>169.46</v>
      </c>
      <c r="AB806" s="38">
        <v>164.87</v>
      </c>
      <c r="AC806" s="38">
        <v>152.87</v>
      </c>
      <c r="AD806" s="38">
        <v>135.87</v>
      </c>
      <c r="AE806" s="38">
        <v>120.37</v>
      </c>
      <c r="AF806" s="38">
        <v>110.5</v>
      </c>
      <c r="AG806" s="38">
        <v>110.76</v>
      </c>
      <c r="AH806" s="38">
        <v>112.28</v>
      </c>
      <c r="AI806" s="38">
        <v>116.75</v>
      </c>
      <c r="AJ806" s="38">
        <v>120.65</v>
      </c>
      <c r="AK806" s="38">
        <v>123.05</v>
      </c>
      <c r="AL806" s="38">
        <v>126.25</v>
      </c>
      <c r="AM806" s="38">
        <v>127.54</v>
      </c>
      <c r="AN806" s="38">
        <v>128.44</v>
      </c>
      <c r="AO806" s="38">
        <v>119.29</v>
      </c>
      <c r="AP806" s="38">
        <v>104.29</v>
      </c>
      <c r="AQ806" s="38">
        <v>91.29</v>
      </c>
      <c r="AR806" s="38">
        <v>88.28</v>
      </c>
      <c r="AS806" s="38">
        <v>85.28</v>
      </c>
      <c r="AT806" s="38">
        <v>82.28</v>
      </c>
      <c r="AU806" s="38">
        <v>84.28</v>
      </c>
      <c r="AV806" s="38">
        <v>89.54</v>
      </c>
      <c r="AW806" s="38">
        <v>97.54</v>
      </c>
      <c r="AX806" s="38">
        <v>104.54</v>
      </c>
      <c r="AY806" s="38">
        <v>111.54</v>
      </c>
      <c r="BA806" s="37">
        <v>85.25</v>
      </c>
      <c r="BB806" s="38">
        <v>1.2315</v>
      </c>
    </row>
    <row r="807" spans="1:54" x14ac:dyDescent="0.35">
      <c r="A807" s="2">
        <f t="shared" si="12"/>
        <v>44951</v>
      </c>
      <c r="B807" t="s">
        <v>849</v>
      </c>
      <c r="C807" s="32">
        <v>44951</v>
      </c>
      <c r="D807" s="38">
        <v>143.22999999999999</v>
      </c>
      <c r="E807" s="38">
        <v>142.94</v>
      </c>
      <c r="F807" s="38">
        <v>145.9</v>
      </c>
      <c r="G807" s="38">
        <v>147.24</v>
      </c>
      <c r="H807" s="38">
        <v>147.11000000000001</v>
      </c>
      <c r="I807" s="38">
        <v>146.72999999999999</v>
      </c>
      <c r="J807" s="38">
        <v>148.47</v>
      </c>
      <c r="K807" s="38">
        <v>151.1</v>
      </c>
      <c r="L807" s="38">
        <v>156.51</v>
      </c>
      <c r="M807" s="38">
        <v>169.51</v>
      </c>
      <c r="N807" s="38">
        <v>178.51</v>
      </c>
      <c r="O807" s="38">
        <v>182.15</v>
      </c>
      <c r="P807" s="38">
        <v>180.95</v>
      </c>
      <c r="Q807" s="38">
        <v>172.65</v>
      </c>
      <c r="R807" s="38">
        <v>161.82</v>
      </c>
      <c r="S807" s="38">
        <v>151.72999999999999</v>
      </c>
      <c r="T807" s="38">
        <v>146.65</v>
      </c>
      <c r="U807" s="38">
        <v>141.24</v>
      </c>
      <c r="V807" s="38">
        <v>143.41999999999999</v>
      </c>
      <c r="W807" s="38">
        <v>147.59</v>
      </c>
      <c r="X807" s="38">
        <v>152.56</v>
      </c>
      <c r="Y807" s="38">
        <v>156.37</v>
      </c>
      <c r="Z807" s="38">
        <v>159.65</v>
      </c>
      <c r="AA807" s="38">
        <v>163.54</v>
      </c>
      <c r="AB807" s="38">
        <v>158.94999999999999</v>
      </c>
      <c r="AC807" s="38">
        <v>146.94999999999999</v>
      </c>
      <c r="AD807" s="38">
        <v>132.65</v>
      </c>
      <c r="AE807" s="38">
        <v>118.55</v>
      </c>
      <c r="AF807" s="38">
        <v>108.97</v>
      </c>
      <c r="AG807" s="38">
        <v>109.44</v>
      </c>
      <c r="AH807" s="38">
        <v>111.21</v>
      </c>
      <c r="AI807" s="38">
        <v>115.97</v>
      </c>
      <c r="AJ807" s="38">
        <v>119.51</v>
      </c>
      <c r="AK807" s="38">
        <v>121.91</v>
      </c>
      <c r="AL807" s="38">
        <v>125.12</v>
      </c>
      <c r="AM807" s="38">
        <v>126.41</v>
      </c>
      <c r="AN807" s="38">
        <v>127.31</v>
      </c>
      <c r="AO807" s="38">
        <v>118.16</v>
      </c>
      <c r="AP807" s="38">
        <v>103.16</v>
      </c>
      <c r="AQ807" s="38">
        <v>90.16</v>
      </c>
      <c r="AR807" s="38">
        <v>87.15</v>
      </c>
      <c r="AS807" s="38">
        <v>84.15</v>
      </c>
      <c r="AT807" s="38">
        <v>81.14</v>
      </c>
      <c r="AU807" s="38">
        <v>83.14</v>
      </c>
      <c r="AV807" s="38">
        <v>88.4</v>
      </c>
      <c r="AW807" s="38">
        <v>96.4</v>
      </c>
      <c r="AX807" s="38">
        <v>103.4</v>
      </c>
      <c r="AY807" s="38">
        <v>110.4</v>
      </c>
      <c r="BA807" s="37">
        <v>85.08</v>
      </c>
      <c r="BB807" s="38">
        <v>1.2358</v>
      </c>
    </row>
    <row r="808" spans="1:54" x14ac:dyDescent="0.35">
      <c r="A808" s="2">
        <f t="shared" si="12"/>
        <v>44952</v>
      </c>
      <c r="B808" t="s">
        <v>850</v>
      </c>
      <c r="C808" s="32">
        <v>44952</v>
      </c>
      <c r="D808" s="38">
        <v>139.22</v>
      </c>
      <c r="E808" s="38">
        <v>138.63</v>
      </c>
      <c r="F808" s="38">
        <v>140.75</v>
      </c>
      <c r="G808" s="38">
        <v>142.72</v>
      </c>
      <c r="H808" s="38">
        <v>142.72</v>
      </c>
      <c r="I808" s="38">
        <v>141.97</v>
      </c>
      <c r="J808" s="38">
        <v>143.52000000000001</v>
      </c>
      <c r="K808" s="38">
        <v>146.80000000000001</v>
      </c>
      <c r="L808" s="38">
        <v>152.80000000000001</v>
      </c>
      <c r="M808" s="38">
        <v>166.05</v>
      </c>
      <c r="N808" s="38">
        <v>174.8</v>
      </c>
      <c r="O808" s="38">
        <v>178.52</v>
      </c>
      <c r="P808" s="38">
        <v>177.33</v>
      </c>
      <c r="Q808" s="38">
        <v>169.3</v>
      </c>
      <c r="R808" s="38">
        <v>159.1</v>
      </c>
      <c r="S808" s="38">
        <v>151.47999999999999</v>
      </c>
      <c r="T808" s="38">
        <v>146.4</v>
      </c>
      <c r="U808" s="38">
        <v>140.99</v>
      </c>
      <c r="V808" s="38">
        <v>143.16999999999999</v>
      </c>
      <c r="W808" s="38">
        <v>147.34</v>
      </c>
      <c r="X808" s="38">
        <v>154.34</v>
      </c>
      <c r="Y808" s="38">
        <v>158.15</v>
      </c>
      <c r="Z808" s="38">
        <v>161.43</v>
      </c>
      <c r="AA808" s="38">
        <v>165.32</v>
      </c>
      <c r="AB808" s="38">
        <v>160.72999999999999</v>
      </c>
      <c r="AC808" s="38">
        <v>148.72999999999999</v>
      </c>
      <c r="AD808" s="38">
        <v>133.63999999999999</v>
      </c>
      <c r="AE808" s="38">
        <v>119.54</v>
      </c>
      <c r="AF808" s="38">
        <v>109.96</v>
      </c>
      <c r="AG808" s="38">
        <v>110.43</v>
      </c>
      <c r="AH808" s="38">
        <v>112.2</v>
      </c>
      <c r="AI808" s="38">
        <v>116.96</v>
      </c>
      <c r="AJ808" s="38">
        <v>120.5</v>
      </c>
      <c r="AK808" s="38">
        <v>122.9</v>
      </c>
      <c r="AL808" s="38">
        <v>126.11</v>
      </c>
      <c r="AM808" s="38">
        <v>127.4</v>
      </c>
      <c r="AN808" s="38">
        <v>128.30000000000001</v>
      </c>
      <c r="AO808" s="38">
        <v>119.15</v>
      </c>
      <c r="AP808" s="38">
        <v>104.15</v>
      </c>
      <c r="AQ808" s="38">
        <v>91.15</v>
      </c>
      <c r="AR808" s="38">
        <v>88.14</v>
      </c>
      <c r="AS808" s="38">
        <v>85.14</v>
      </c>
      <c r="AT808" s="38">
        <v>82.13</v>
      </c>
      <c r="AU808" s="38">
        <v>84.13</v>
      </c>
      <c r="AV808" s="38">
        <v>89.39</v>
      </c>
      <c r="AW808" s="38">
        <v>97.39</v>
      </c>
      <c r="AX808" s="38">
        <v>104.39</v>
      </c>
      <c r="AY808" s="38">
        <v>111.39</v>
      </c>
      <c r="BA808" s="37">
        <v>86.29</v>
      </c>
      <c r="BB808" s="38">
        <v>1.2356</v>
      </c>
    </row>
    <row r="809" spans="1:54" x14ac:dyDescent="0.35">
      <c r="A809" s="2">
        <f t="shared" si="12"/>
        <v>44953</v>
      </c>
      <c r="B809" t="s">
        <v>851</v>
      </c>
      <c r="C809" s="32">
        <v>44953</v>
      </c>
      <c r="D809" s="38">
        <v>140.88999999999999</v>
      </c>
      <c r="E809" s="38">
        <v>140.46</v>
      </c>
      <c r="F809" s="38">
        <v>140.96</v>
      </c>
      <c r="G809" s="38">
        <v>142.46</v>
      </c>
      <c r="H809" s="38">
        <v>142.22</v>
      </c>
      <c r="I809" s="38">
        <v>141.66</v>
      </c>
      <c r="J809" s="38">
        <v>143.21</v>
      </c>
      <c r="K809" s="38">
        <v>146.74</v>
      </c>
      <c r="L809" s="38">
        <v>152.99</v>
      </c>
      <c r="M809" s="38">
        <v>166.24</v>
      </c>
      <c r="N809" s="38">
        <v>174.99</v>
      </c>
      <c r="O809" s="38">
        <v>179.02</v>
      </c>
      <c r="P809" s="38">
        <v>177.83</v>
      </c>
      <c r="Q809" s="38">
        <v>169.8</v>
      </c>
      <c r="R809" s="38">
        <v>160.65</v>
      </c>
      <c r="S809" s="38">
        <v>153.65</v>
      </c>
      <c r="T809" s="38">
        <v>148.57</v>
      </c>
      <c r="U809" s="38">
        <v>143.16</v>
      </c>
      <c r="V809" s="38">
        <v>145.34</v>
      </c>
      <c r="W809" s="38">
        <v>149.51</v>
      </c>
      <c r="X809" s="38">
        <v>155.51</v>
      </c>
      <c r="Y809" s="38">
        <v>159.32</v>
      </c>
      <c r="Z809" s="38">
        <v>162.6</v>
      </c>
      <c r="AA809" s="38">
        <v>166.49</v>
      </c>
      <c r="AB809" s="38">
        <v>161.9</v>
      </c>
      <c r="AC809" s="38">
        <v>149.9</v>
      </c>
      <c r="AD809" s="38">
        <v>133.81</v>
      </c>
      <c r="AE809" s="38">
        <v>119.71</v>
      </c>
      <c r="AF809" s="38">
        <v>110.13</v>
      </c>
      <c r="AG809" s="38">
        <v>110.6</v>
      </c>
      <c r="AH809" s="38">
        <v>112.37</v>
      </c>
      <c r="AI809" s="38">
        <v>117.13</v>
      </c>
      <c r="AJ809" s="38">
        <v>120.67</v>
      </c>
      <c r="AK809" s="38">
        <v>123.07</v>
      </c>
      <c r="AL809" s="38">
        <v>126.28</v>
      </c>
      <c r="AM809" s="38">
        <v>127.57</v>
      </c>
      <c r="AN809" s="38">
        <v>128.47</v>
      </c>
      <c r="AO809" s="38">
        <v>119.32</v>
      </c>
      <c r="AP809" s="38">
        <v>104.32</v>
      </c>
      <c r="AQ809" s="38">
        <v>91.32</v>
      </c>
      <c r="AR809" s="38">
        <v>88.31</v>
      </c>
      <c r="AS809" s="38">
        <v>85.31</v>
      </c>
      <c r="AT809" s="38">
        <v>82.3</v>
      </c>
      <c r="AU809" s="38">
        <v>84.3</v>
      </c>
      <c r="AV809" s="38">
        <v>89.56</v>
      </c>
      <c r="AW809" s="38">
        <v>97.56</v>
      </c>
      <c r="AX809" s="38">
        <v>104.56</v>
      </c>
      <c r="AY809" s="38">
        <v>111.56</v>
      </c>
      <c r="BA809" s="37">
        <v>85.36</v>
      </c>
      <c r="BB809" s="38">
        <v>1.2358</v>
      </c>
    </row>
    <row r="810" spans="1:54" x14ac:dyDescent="0.35">
      <c r="A810" s="2">
        <f t="shared" si="12"/>
        <v>44956</v>
      </c>
      <c r="B810" t="s">
        <v>852</v>
      </c>
      <c r="C810" s="32">
        <v>44956</v>
      </c>
      <c r="D810" s="38">
        <v>139.81</v>
      </c>
      <c r="E810" s="38">
        <v>139.4</v>
      </c>
      <c r="F810" s="38">
        <v>140.41</v>
      </c>
      <c r="G810" s="38">
        <v>142.24</v>
      </c>
      <c r="H810" s="38">
        <v>142.74</v>
      </c>
      <c r="I810" s="38">
        <v>141.87</v>
      </c>
      <c r="J810" s="38">
        <v>143.41999999999999</v>
      </c>
      <c r="K810" s="38">
        <v>146.94999999999999</v>
      </c>
      <c r="L810" s="38">
        <v>153.30000000000001</v>
      </c>
      <c r="M810" s="38">
        <v>166.78</v>
      </c>
      <c r="N810" s="38">
        <v>175.52</v>
      </c>
      <c r="O810" s="38">
        <v>179.85</v>
      </c>
      <c r="P810" s="38">
        <v>178.66</v>
      </c>
      <c r="Q810" s="38">
        <v>171.25</v>
      </c>
      <c r="R810" s="38">
        <v>162.15</v>
      </c>
      <c r="S810" s="38">
        <v>156.36000000000001</v>
      </c>
      <c r="T810" s="38">
        <v>151.28</v>
      </c>
      <c r="U810" s="38">
        <v>145.87</v>
      </c>
      <c r="V810" s="38">
        <v>148.05000000000001</v>
      </c>
      <c r="W810" s="38">
        <v>152.22</v>
      </c>
      <c r="X810" s="38">
        <v>158.77000000000001</v>
      </c>
      <c r="Y810" s="38">
        <v>162.58000000000001</v>
      </c>
      <c r="Z810" s="38">
        <v>165.86</v>
      </c>
      <c r="AA810" s="38">
        <v>169.75</v>
      </c>
      <c r="AB810" s="38">
        <v>165.16</v>
      </c>
      <c r="AC810" s="38">
        <v>153.16</v>
      </c>
      <c r="AD810" s="38">
        <v>136.07</v>
      </c>
      <c r="AE810" s="38">
        <v>121.97</v>
      </c>
      <c r="AF810" s="38">
        <v>112.39</v>
      </c>
      <c r="AG810" s="38">
        <v>112.86</v>
      </c>
      <c r="AH810" s="38">
        <v>114.63</v>
      </c>
      <c r="AI810" s="38">
        <v>119.39</v>
      </c>
      <c r="AJ810" s="38">
        <v>123.43</v>
      </c>
      <c r="AK810" s="38">
        <v>125.83</v>
      </c>
      <c r="AL810" s="38">
        <v>129.04</v>
      </c>
      <c r="AM810" s="38">
        <v>130.33000000000001</v>
      </c>
      <c r="AN810" s="38">
        <v>131.22999999999999</v>
      </c>
      <c r="AO810" s="38">
        <v>122.08</v>
      </c>
      <c r="AP810" s="38">
        <v>107.08</v>
      </c>
      <c r="AQ810" s="38">
        <v>94.08</v>
      </c>
      <c r="AR810" s="38">
        <v>91.07</v>
      </c>
      <c r="AS810" s="38">
        <v>88.07</v>
      </c>
      <c r="AT810" s="38">
        <v>85.06</v>
      </c>
      <c r="AU810" s="38">
        <v>87.06</v>
      </c>
      <c r="AV810" s="38">
        <v>92.32</v>
      </c>
      <c r="AW810" s="38">
        <v>100.32</v>
      </c>
      <c r="AX810" s="38">
        <v>107.32</v>
      </c>
      <c r="AY810" s="38">
        <v>114.32</v>
      </c>
      <c r="BA810" s="37">
        <v>84.9</v>
      </c>
      <c r="BB810" s="38">
        <v>1.2379</v>
      </c>
    </row>
    <row r="811" spans="1:54" x14ac:dyDescent="0.35">
      <c r="A811" s="2">
        <f t="shared" si="12"/>
        <v>44957</v>
      </c>
      <c r="B811" t="s">
        <v>853</v>
      </c>
      <c r="C811" s="32">
        <v>44957</v>
      </c>
      <c r="D811" s="38">
        <v>145.51</v>
      </c>
      <c r="E811" s="38">
        <v>146.30000000000001</v>
      </c>
      <c r="F811" s="38">
        <v>148.5</v>
      </c>
      <c r="G811" s="38">
        <v>148.9</v>
      </c>
      <c r="H811" s="38">
        <v>148.44999999999999</v>
      </c>
      <c r="I811" s="38">
        <v>149.85</v>
      </c>
      <c r="J811" s="38">
        <v>152.75</v>
      </c>
      <c r="K811" s="38">
        <v>160.07</v>
      </c>
      <c r="L811" s="38">
        <v>173.23</v>
      </c>
      <c r="M811" s="38">
        <v>181.72</v>
      </c>
      <c r="N811" s="38">
        <v>185.3</v>
      </c>
      <c r="O811" s="38">
        <v>184.6</v>
      </c>
      <c r="P811" s="38">
        <v>177.19</v>
      </c>
      <c r="Q811" s="38">
        <v>166.59</v>
      </c>
      <c r="R811" s="38">
        <v>159.79</v>
      </c>
      <c r="S811" s="38">
        <v>154.71</v>
      </c>
      <c r="T811" s="38">
        <v>149.30000000000001</v>
      </c>
      <c r="U811" s="38">
        <v>151.47999999999999</v>
      </c>
      <c r="V811" s="38">
        <v>155.65</v>
      </c>
      <c r="W811" s="38">
        <v>163.02000000000001</v>
      </c>
      <c r="X811" s="38">
        <v>166.83</v>
      </c>
      <c r="Y811" s="38">
        <v>170.11</v>
      </c>
      <c r="Z811" s="38">
        <v>174</v>
      </c>
      <c r="AA811" s="38">
        <v>169.41</v>
      </c>
      <c r="AB811" s="38">
        <v>157.41</v>
      </c>
      <c r="AC811" s="38">
        <v>137.56</v>
      </c>
      <c r="AD811" s="38">
        <v>122.45</v>
      </c>
      <c r="AE811" s="38">
        <v>112.87</v>
      </c>
      <c r="AF811" s="38">
        <v>113.34</v>
      </c>
      <c r="AG811" s="38">
        <v>115.11</v>
      </c>
      <c r="AH811" s="38">
        <v>119.87</v>
      </c>
      <c r="AI811" s="38">
        <v>122.91</v>
      </c>
      <c r="AJ811" s="38">
        <v>125.31</v>
      </c>
      <c r="AK811" s="38">
        <v>128.52000000000001</v>
      </c>
      <c r="AL811" s="38">
        <v>129.81</v>
      </c>
      <c r="AM811" s="38">
        <v>130.69999999999999</v>
      </c>
      <c r="AN811" s="38">
        <v>121.55</v>
      </c>
      <c r="AO811" s="38">
        <v>104.55</v>
      </c>
      <c r="AP811" s="38">
        <v>89.54</v>
      </c>
      <c r="AQ811" s="38">
        <v>86.53</v>
      </c>
      <c r="AR811" s="38">
        <v>83.53</v>
      </c>
      <c r="AS811" s="38">
        <v>80.52</v>
      </c>
      <c r="AT811" s="38">
        <v>82.52</v>
      </c>
      <c r="AU811" s="38">
        <v>87.77</v>
      </c>
      <c r="AV811" s="38">
        <v>94.97</v>
      </c>
      <c r="AW811" s="38">
        <v>101.97</v>
      </c>
      <c r="AX811" s="38">
        <v>108.97</v>
      </c>
      <c r="AY811" s="38">
        <v>109.07</v>
      </c>
      <c r="BA811" s="37">
        <v>83.42</v>
      </c>
      <c r="BB811" s="38">
        <v>1.2306999999999999</v>
      </c>
    </row>
    <row r="812" spans="1:54" x14ac:dyDescent="0.35">
      <c r="A812" s="2">
        <f t="shared" si="12"/>
        <v>44958</v>
      </c>
      <c r="B812" t="s">
        <v>854</v>
      </c>
      <c r="C812" s="32">
        <v>44958</v>
      </c>
      <c r="D812" s="38">
        <v>152.07</v>
      </c>
      <c r="E812" s="38">
        <v>153.82</v>
      </c>
      <c r="F812" s="38">
        <v>155.57</v>
      </c>
      <c r="G812" s="38">
        <v>156.46</v>
      </c>
      <c r="H812" s="38">
        <v>155.94999999999999</v>
      </c>
      <c r="I812" s="38">
        <v>157.16999999999999</v>
      </c>
      <c r="J812" s="38">
        <v>160.08000000000001</v>
      </c>
      <c r="K812" s="38">
        <v>165.83</v>
      </c>
      <c r="L812" s="38">
        <v>178.51</v>
      </c>
      <c r="M812" s="38">
        <v>187</v>
      </c>
      <c r="N812" s="38">
        <v>189.76</v>
      </c>
      <c r="O812" s="38">
        <v>189.36</v>
      </c>
      <c r="P812" s="38">
        <v>181.95</v>
      </c>
      <c r="Q812" s="38">
        <v>169.35</v>
      </c>
      <c r="R812" s="38">
        <v>162.05000000000001</v>
      </c>
      <c r="S812" s="38">
        <v>156.97</v>
      </c>
      <c r="T812" s="38">
        <v>151.56</v>
      </c>
      <c r="U812" s="38">
        <v>153.74</v>
      </c>
      <c r="V812" s="38">
        <v>157.91</v>
      </c>
      <c r="W812" s="38">
        <v>167.28</v>
      </c>
      <c r="X812" s="38">
        <v>171.59</v>
      </c>
      <c r="Y812" s="38">
        <v>174.87</v>
      </c>
      <c r="Z812" s="38">
        <v>178.76</v>
      </c>
      <c r="AA812" s="38">
        <v>174.17</v>
      </c>
      <c r="AB812" s="38">
        <v>162.16999999999999</v>
      </c>
      <c r="AC812" s="38">
        <v>141.16999999999999</v>
      </c>
      <c r="AD812" s="38">
        <v>126.06</v>
      </c>
      <c r="AE812" s="38">
        <v>116.48</v>
      </c>
      <c r="AF812" s="38">
        <v>116.95</v>
      </c>
      <c r="AG812" s="38">
        <v>118.72</v>
      </c>
      <c r="AH812" s="38">
        <v>123.48</v>
      </c>
      <c r="AI812" s="38">
        <v>126.52</v>
      </c>
      <c r="AJ812" s="38">
        <v>128.91999999999999</v>
      </c>
      <c r="AK812" s="38">
        <v>132.13</v>
      </c>
      <c r="AL812" s="38">
        <v>133.41999999999999</v>
      </c>
      <c r="AM812" s="38">
        <v>134.31</v>
      </c>
      <c r="AN812" s="38">
        <v>125.16</v>
      </c>
      <c r="AO812" s="38">
        <v>107.16</v>
      </c>
      <c r="AP812" s="38">
        <v>90.65</v>
      </c>
      <c r="AQ812" s="38">
        <v>87.64</v>
      </c>
      <c r="AR812" s="38">
        <v>84.64</v>
      </c>
      <c r="AS812" s="38">
        <v>81.63</v>
      </c>
      <c r="AT812" s="38">
        <v>83.63</v>
      </c>
      <c r="AU812" s="38">
        <v>88.88</v>
      </c>
      <c r="AV812" s="38">
        <v>96.08</v>
      </c>
      <c r="AW812" s="38">
        <v>103.08</v>
      </c>
      <c r="AX812" s="38">
        <v>110.08</v>
      </c>
      <c r="AY812" s="38">
        <v>110.18</v>
      </c>
      <c r="BA812" s="37">
        <v>81.61</v>
      </c>
      <c r="BB812" s="38">
        <v>1.2325999999999999</v>
      </c>
    </row>
    <row r="813" spans="1:54" x14ac:dyDescent="0.35">
      <c r="A813" s="2">
        <f t="shared" si="12"/>
        <v>44959</v>
      </c>
      <c r="B813" t="s">
        <v>855</v>
      </c>
      <c r="C813" s="32">
        <v>44959</v>
      </c>
      <c r="D813" s="38">
        <v>143.97</v>
      </c>
      <c r="E813" s="38">
        <v>147.22</v>
      </c>
      <c r="F813" s="38">
        <v>149.47</v>
      </c>
      <c r="G813" s="38">
        <v>150.87</v>
      </c>
      <c r="H813" s="38">
        <v>150.38</v>
      </c>
      <c r="I813" s="38">
        <v>151.83000000000001</v>
      </c>
      <c r="J813" s="38">
        <v>154.74</v>
      </c>
      <c r="K813" s="38">
        <v>161.96</v>
      </c>
      <c r="L813" s="38">
        <v>174.64</v>
      </c>
      <c r="M813" s="38">
        <v>183.13</v>
      </c>
      <c r="N813" s="38">
        <v>186.12</v>
      </c>
      <c r="O813" s="38">
        <v>185.72</v>
      </c>
      <c r="P813" s="38">
        <v>178.31</v>
      </c>
      <c r="Q813" s="38">
        <v>168.31</v>
      </c>
      <c r="R813" s="38">
        <v>163.09</v>
      </c>
      <c r="S813" s="38">
        <v>158.01</v>
      </c>
      <c r="T813" s="38">
        <v>152.6</v>
      </c>
      <c r="U813" s="38">
        <v>154.78</v>
      </c>
      <c r="V813" s="38">
        <v>158.94999999999999</v>
      </c>
      <c r="W813" s="38">
        <v>166.32</v>
      </c>
      <c r="X813" s="38">
        <v>169.43</v>
      </c>
      <c r="Y813" s="38">
        <v>172.71</v>
      </c>
      <c r="Z813" s="38">
        <v>176.6</v>
      </c>
      <c r="AA813" s="38">
        <v>172.01</v>
      </c>
      <c r="AB813" s="38">
        <v>160.01</v>
      </c>
      <c r="AC813" s="38">
        <v>140.28</v>
      </c>
      <c r="AD813" s="38">
        <v>125.17</v>
      </c>
      <c r="AE813" s="38">
        <v>115.59</v>
      </c>
      <c r="AF813" s="38">
        <v>116.06</v>
      </c>
      <c r="AG813" s="38">
        <v>117.83</v>
      </c>
      <c r="AH813" s="38">
        <v>122.59</v>
      </c>
      <c r="AI813" s="38">
        <v>125.11</v>
      </c>
      <c r="AJ813" s="38">
        <v>127.14</v>
      </c>
      <c r="AK813" s="38">
        <v>130.35</v>
      </c>
      <c r="AL813" s="38">
        <v>131.63999999999999</v>
      </c>
      <c r="AM813" s="38">
        <v>132.53</v>
      </c>
      <c r="AN813" s="38">
        <v>123.38</v>
      </c>
      <c r="AO813" s="38">
        <v>104.38</v>
      </c>
      <c r="AP813" s="38">
        <v>87.87</v>
      </c>
      <c r="AQ813" s="38">
        <v>84.86</v>
      </c>
      <c r="AR813" s="38">
        <v>81.86</v>
      </c>
      <c r="AS813" s="38">
        <v>78.849999999999994</v>
      </c>
      <c r="AT813" s="38">
        <v>80.849999999999994</v>
      </c>
      <c r="AU813" s="38">
        <v>86.1</v>
      </c>
      <c r="AV813" s="38">
        <v>93.3</v>
      </c>
      <c r="AW813" s="38">
        <v>100.3</v>
      </c>
      <c r="AX813" s="38">
        <v>107.3</v>
      </c>
      <c r="AY813" s="38">
        <v>107.4</v>
      </c>
      <c r="BA813" s="37">
        <v>80.569999999999993</v>
      </c>
      <c r="BB813" s="38">
        <v>1.2298</v>
      </c>
    </row>
    <row r="814" spans="1:54" x14ac:dyDescent="0.35">
      <c r="A814" s="2">
        <f t="shared" si="12"/>
        <v>44960</v>
      </c>
      <c r="B814" t="s">
        <v>856</v>
      </c>
      <c r="C814" s="32">
        <v>44960</v>
      </c>
      <c r="D814" s="38">
        <v>147.88999999999999</v>
      </c>
      <c r="E814" s="38">
        <v>150.94</v>
      </c>
      <c r="F814" s="38">
        <v>153.19</v>
      </c>
      <c r="G814" s="38">
        <v>154.25</v>
      </c>
      <c r="H814" s="38">
        <v>153.69999999999999</v>
      </c>
      <c r="I814" s="38">
        <v>155.15</v>
      </c>
      <c r="J814" s="38">
        <v>158.02000000000001</v>
      </c>
      <c r="K814" s="38">
        <v>164.01</v>
      </c>
      <c r="L814" s="38">
        <v>176.82</v>
      </c>
      <c r="M814" s="38">
        <v>185.31</v>
      </c>
      <c r="N814" s="38">
        <v>188.71</v>
      </c>
      <c r="O814" s="38">
        <v>188.31</v>
      </c>
      <c r="P814" s="38">
        <v>180.21</v>
      </c>
      <c r="Q814" s="38">
        <v>170.96</v>
      </c>
      <c r="R814" s="38">
        <v>166.7</v>
      </c>
      <c r="S814" s="38">
        <v>161.62</v>
      </c>
      <c r="T814" s="38">
        <v>156.21</v>
      </c>
      <c r="U814" s="38">
        <v>158.38999999999999</v>
      </c>
      <c r="V814" s="38">
        <v>162.56</v>
      </c>
      <c r="W814" s="38">
        <v>169.93</v>
      </c>
      <c r="X814" s="38">
        <v>173.04</v>
      </c>
      <c r="Y814" s="38">
        <v>176.32</v>
      </c>
      <c r="Z814" s="38">
        <v>180.21</v>
      </c>
      <c r="AA814" s="38">
        <v>175.62</v>
      </c>
      <c r="AB814" s="38">
        <v>163.62</v>
      </c>
      <c r="AC814" s="38">
        <v>144.88999999999999</v>
      </c>
      <c r="AD814" s="38">
        <v>129.78</v>
      </c>
      <c r="AE814" s="38">
        <v>120.2</v>
      </c>
      <c r="AF814" s="38">
        <v>120.67</v>
      </c>
      <c r="AG814" s="38">
        <v>122.44</v>
      </c>
      <c r="AH814" s="38">
        <v>125.6</v>
      </c>
      <c r="AI814" s="38">
        <v>128.12</v>
      </c>
      <c r="AJ814" s="38">
        <v>130.15</v>
      </c>
      <c r="AK814" s="38">
        <v>133.36000000000001</v>
      </c>
      <c r="AL814" s="38">
        <v>134.65</v>
      </c>
      <c r="AM814" s="38">
        <v>135.54</v>
      </c>
      <c r="AN814" s="38">
        <v>126.19</v>
      </c>
      <c r="AO814" s="38">
        <v>105.19</v>
      </c>
      <c r="AP814" s="38">
        <v>87.18</v>
      </c>
      <c r="AQ814" s="38">
        <v>84.17</v>
      </c>
      <c r="AR814" s="38">
        <v>81.17</v>
      </c>
      <c r="AS814" s="38">
        <v>78.16</v>
      </c>
      <c r="AT814" s="38">
        <v>80.16</v>
      </c>
      <c r="AU814" s="38">
        <v>85.41</v>
      </c>
      <c r="AV814" s="38">
        <v>92.61</v>
      </c>
      <c r="AW814" s="38">
        <v>99.61</v>
      </c>
      <c r="AX814" s="38">
        <v>106.61</v>
      </c>
      <c r="AY814" s="38">
        <v>106.71</v>
      </c>
      <c r="BA814" s="37">
        <v>78.849999999999994</v>
      </c>
      <c r="BB814" s="38">
        <v>1.2104999999999999</v>
      </c>
    </row>
    <row r="815" spans="1:54" x14ac:dyDescent="0.35">
      <c r="A815" s="2">
        <f t="shared" si="12"/>
        <v>44963</v>
      </c>
      <c r="B815" t="s">
        <v>857</v>
      </c>
      <c r="C815" s="32">
        <v>44963</v>
      </c>
      <c r="D815" s="38">
        <v>146.97999999999999</v>
      </c>
      <c r="E815" s="38">
        <v>148.74</v>
      </c>
      <c r="F815" s="38">
        <v>150.34</v>
      </c>
      <c r="G815" s="38">
        <v>151.09</v>
      </c>
      <c r="H815" s="38">
        <v>150.69</v>
      </c>
      <c r="I815" s="38">
        <v>152.18</v>
      </c>
      <c r="J815" s="38">
        <v>155.04</v>
      </c>
      <c r="K815" s="38">
        <v>160.4</v>
      </c>
      <c r="L815" s="38">
        <v>173.21</v>
      </c>
      <c r="M815" s="38">
        <v>181.7</v>
      </c>
      <c r="N815" s="38">
        <v>184.82</v>
      </c>
      <c r="O815" s="38">
        <v>184.42</v>
      </c>
      <c r="P815" s="38">
        <v>176.32</v>
      </c>
      <c r="Q815" s="38">
        <v>167.51</v>
      </c>
      <c r="R815" s="38">
        <v>163.25</v>
      </c>
      <c r="S815" s="38">
        <v>158.16999999999999</v>
      </c>
      <c r="T815" s="38">
        <v>152.76</v>
      </c>
      <c r="U815" s="38">
        <v>154.94</v>
      </c>
      <c r="V815" s="38">
        <v>159.11000000000001</v>
      </c>
      <c r="W815" s="38">
        <v>166.42</v>
      </c>
      <c r="X815" s="38">
        <v>169.53</v>
      </c>
      <c r="Y815" s="38">
        <v>172.81</v>
      </c>
      <c r="Z815" s="38">
        <v>176.7</v>
      </c>
      <c r="AA815" s="38">
        <v>172.11</v>
      </c>
      <c r="AB815" s="38">
        <v>160.11000000000001</v>
      </c>
      <c r="AC815" s="38">
        <v>142.18</v>
      </c>
      <c r="AD815" s="38">
        <v>127.07</v>
      </c>
      <c r="AE815" s="38">
        <v>117.49</v>
      </c>
      <c r="AF815" s="38">
        <v>117.96</v>
      </c>
      <c r="AG815" s="38">
        <v>119.73</v>
      </c>
      <c r="AH815" s="38">
        <v>122.89</v>
      </c>
      <c r="AI815" s="38">
        <v>125.41</v>
      </c>
      <c r="AJ815" s="38">
        <v>127.44</v>
      </c>
      <c r="AK815" s="38">
        <v>130.65</v>
      </c>
      <c r="AL815" s="38">
        <v>131.94</v>
      </c>
      <c r="AM815" s="38">
        <v>132.83000000000001</v>
      </c>
      <c r="AN815" s="38">
        <v>123.48</v>
      </c>
      <c r="AO815" s="38">
        <v>102.48</v>
      </c>
      <c r="AP815" s="38">
        <v>84.47</v>
      </c>
      <c r="AQ815" s="38">
        <v>81.459999999999994</v>
      </c>
      <c r="AR815" s="38">
        <v>78.459999999999994</v>
      </c>
      <c r="AS815" s="38">
        <v>75.45</v>
      </c>
      <c r="AT815" s="38">
        <v>77.45</v>
      </c>
      <c r="AU815" s="38">
        <v>82.7</v>
      </c>
      <c r="AV815" s="38">
        <v>89.9</v>
      </c>
      <c r="AW815" s="38">
        <v>96.9</v>
      </c>
      <c r="AX815" s="38">
        <v>103.9</v>
      </c>
      <c r="AY815" s="38">
        <v>104</v>
      </c>
      <c r="BA815" s="37">
        <v>80.48</v>
      </c>
      <c r="BB815" s="38">
        <v>1.2013</v>
      </c>
    </row>
    <row r="816" spans="1:54" x14ac:dyDescent="0.35">
      <c r="A816" s="2">
        <f t="shared" si="12"/>
        <v>44964</v>
      </c>
      <c r="B816" t="s">
        <v>858</v>
      </c>
      <c r="C816" s="32">
        <v>44964</v>
      </c>
      <c r="D816" s="38">
        <v>140.04</v>
      </c>
      <c r="E816" s="38">
        <v>141.94</v>
      </c>
      <c r="F816" s="38">
        <v>144.03</v>
      </c>
      <c r="G816" s="38">
        <v>144.94999999999999</v>
      </c>
      <c r="H816" s="38">
        <v>144.62</v>
      </c>
      <c r="I816" s="38">
        <v>146.09</v>
      </c>
      <c r="J816" s="38">
        <v>148.93</v>
      </c>
      <c r="K816" s="38">
        <v>155.01</v>
      </c>
      <c r="L816" s="38">
        <v>167.82</v>
      </c>
      <c r="M816" s="38">
        <v>176.52</v>
      </c>
      <c r="N816" s="38">
        <v>179.97</v>
      </c>
      <c r="O816" s="38">
        <v>179.87</v>
      </c>
      <c r="P816" s="38">
        <v>171.59</v>
      </c>
      <c r="Q816" s="38">
        <v>162.13999999999999</v>
      </c>
      <c r="R816" s="38">
        <v>157.56</v>
      </c>
      <c r="S816" s="38">
        <v>152.49</v>
      </c>
      <c r="T816" s="38">
        <v>147.08000000000001</v>
      </c>
      <c r="U816" s="38">
        <v>149.26</v>
      </c>
      <c r="V816" s="38">
        <v>153.43</v>
      </c>
      <c r="W816" s="38">
        <v>161</v>
      </c>
      <c r="X816" s="38">
        <v>164.11</v>
      </c>
      <c r="Y816" s="38">
        <v>167.39</v>
      </c>
      <c r="Z816" s="38">
        <v>171.28</v>
      </c>
      <c r="AA816" s="38">
        <v>166.69</v>
      </c>
      <c r="AB816" s="38">
        <v>154.69</v>
      </c>
      <c r="AC816" s="38">
        <v>138.76</v>
      </c>
      <c r="AD816" s="38">
        <v>125.65</v>
      </c>
      <c r="AE816" s="38">
        <v>116.07</v>
      </c>
      <c r="AF816" s="38">
        <v>116.54</v>
      </c>
      <c r="AG816" s="38">
        <v>118.31</v>
      </c>
      <c r="AH816" s="38">
        <v>121.47</v>
      </c>
      <c r="AI816" s="38">
        <v>125.19</v>
      </c>
      <c r="AJ816" s="38">
        <v>128.22</v>
      </c>
      <c r="AK816" s="38">
        <v>131.43</v>
      </c>
      <c r="AL816" s="38">
        <v>132.72</v>
      </c>
      <c r="AM816" s="38">
        <v>133.61000000000001</v>
      </c>
      <c r="AN816" s="38">
        <v>124.26</v>
      </c>
      <c r="AO816" s="38">
        <v>103.26</v>
      </c>
      <c r="AP816" s="38">
        <v>85.25</v>
      </c>
      <c r="AQ816" s="38">
        <v>82.24</v>
      </c>
      <c r="AR816" s="38">
        <v>79.239999999999995</v>
      </c>
      <c r="AS816" s="38">
        <v>76.23</v>
      </c>
      <c r="AT816" s="38">
        <v>78.23</v>
      </c>
      <c r="AU816" s="38">
        <v>83.48</v>
      </c>
      <c r="AV816" s="38">
        <v>90.68</v>
      </c>
      <c r="AW816" s="38">
        <v>97.68</v>
      </c>
      <c r="AX816" s="38">
        <v>104.68</v>
      </c>
      <c r="AY816" s="38">
        <v>104.78</v>
      </c>
      <c r="BA816" s="37">
        <v>82.92</v>
      </c>
      <c r="BB816" s="38">
        <v>1.2015</v>
      </c>
    </row>
    <row r="817" spans="1:54" x14ac:dyDescent="0.35">
      <c r="A817" s="2">
        <f t="shared" si="12"/>
        <v>44965</v>
      </c>
      <c r="B817" t="s">
        <v>859</v>
      </c>
      <c r="C817" s="32">
        <v>44965</v>
      </c>
      <c r="D817" s="38">
        <v>134.61000000000001</v>
      </c>
      <c r="E817" s="38">
        <v>137.06</v>
      </c>
      <c r="F817" s="38">
        <v>138.76</v>
      </c>
      <c r="G817" s="38">
        <v>139.66</v>
      </c>
      <c r="H817" s="38">
        <v>139.38</v>
      </c>
      <c r="I817" s="38">
        <v>140.88</v>
      </c>
      <c r="J817" s="38">
        <v>143.72</v>
      </c>
      <c r="K817" s="38">
        <v>149.15</v>
      </c>
      <c r="L817" s="38">
        <v>162.1</v>
      </c>
      <c r="M817" s="38">
        <v>170.8</v>
      </c>
      <c r="N817" s="38">
        <v>174.83</v>
      </c>
      <c r="O817" s="38">
        <v>174.7</v>
      </c>
      <c r="P817" s="38">
        <v>166.39</v>
      </c>
      <c r="Q817" s="38">
        <v>157.55000000000001</v>
      </c>
      <c r="R817" s="38">
        <v>153.21</v>
      </c>
      <c r="S817" s="38">
        <v>148.12</v>
      </c>
      <c r="T817" s="38">
        <v>142.69</v>
      </c>
      <c r="U817" s="38">
        <v>144.85</v>
      </c>
      <c r="V817" s="38">
        <v>149.01</v>
      </c>
      <c r="W817" s="38">
        <v>156.69</v>
      </c>
      <c r="X817" s="38">
        <v>159.80000000000001</v>
      </c>
      <c r="Y817" s="38">
        <v>163.08000000000001</v>
      </c>
      <c r="Z817" s="38">
        <v>166.97</v>
      </c>
      <c r="AA817" s="38">
        <v>162.38</v>
      </c>
      <c r="AB817" s="38">
        <v>150.38</v>
      </c>
      <c r="AC817" s="38">
        <v>135.44999999999999</v>
      </c>
      <c r="AD817" s="38">
        <v>122.34</v>
      </c>
      <c r="AE817" s="38">
        <v>112.76</v>
      </c>
      <c r="AF817" s="38">
        <v>113.23</v>
      </c>
      <c r="AG817" s="38">
        <v>115</v>
      </c>
      <c r="AH817" s="38">
        <v>118.16</v>
      </c>
      <c r="AI817" s="38">
        <v>122.88</v>
      </c>
      <c r="AJ817" s="38">
        <v>126.4</v>
      </c>
      <c r="AK817" s="38">
        <v>129.61000000000001</v>
      </c>
      <c r="AL817" s="38">
        <v>130.9</v>
      </c>
      <c r="AM817" s="38">
        <v>131.79</v>
      </c>
      <c r="AN817" s="38">
        <v>122.44</v>
      </c>
      <c r="AO817" s="38">
        <v>101.44</v>
      </c>
      <c r="AP817" s="38">
        <v>83.43</v>
      </c>
      <c r="AQ817" s="38">
        <v>80.42</v>
      </c>
      <c r="AR817" s="38">
        <v>77.42</v>
      </c>
      <c r="AS817" s="38">
        <v>74.41</v>
      </c>
      <c r="AT817" s="38">
        <v>76.41</v>
      </c>
      <c r="AU817" s="38">
        <v>81.66</v>
      </c>
      <c r="AV817" s="38">
        <v>88.86</v>
      </c>
      <c r="AW817" s="38">
        <v>95.86</v>
      </c>
      <c r="AX817" s="38">
        <v>102.86</v>
      </c>
      <c r="AY817" s="38">
        <v>102.96</v>
      </c>
      <c r="BA817" s="37">
        <v>84.17</v>
      </c>
      <c r="BB817" s="38">
        <v>1.2077</v>
      </c>
    </row>
    <row r="818" spans="1:54" x14ac:dyDescent="0.35">
      <c r="A818" s="2">
        <f t="shared" si="12"/>
        <v>44966</v>
      </c>
      <c r="B818" t="s">
        <v>860</v>
      </c>
      <c r="C818" s="32">
        <v>44966</v>
      </c>
      <c r="D818" s="38">
        <v>131.53</v>
      </c>
      <c r="E818" s="38">
        <v>133.86000000000001</v>
      </c>
      <c r="F818" s="38">
        <v>135.55000000000001</v>
      </c>
      <c r="G818" s="38">
        <v>136.65</v>
      </c>
      <c r="H818" s="38">
        <v>136.27000000000001</v>
      </c>
      <c r="I818" s="38">
        <v>137.88</v>
      </c>
      <c r="J818" s="38">
        <v>140.63999999999999</v>
      </c>
      <c r="K818" s="38">
        <v>146.13999999999999</v>
      </c>
      <c r="L818" s="38">
        <v>159.11000000000001</v>
      </c>
      <c r="M818" s="38">
        <v>167.77</v>
      </c>
      <c r="N818" s="38">
        <v>171.69</v>
      </c>
      <c r="O818" s="38">
        <v>171.54</v>
      </c>
      <c r="P818" s="38">
        <v>163.24</v>
      </c>
      <c r="Q818" s="38">
        <v>154.66999999999999</v>
      </c>
      <c r="R818" s="38">
        <v>150.71</v>
      </c>
      <c r="S818" s="38">
        <v>145.62</v>
      </c>
      <c r="T818" s="38">
        <v>140.62</v>
      </c>
      <c r="U818" s="38">
        <v>142.78</v>
      </c>
      <c r="V818" s="38">
        <v>146.94</v>
      </c>
      <c r="W818" s="38">
        <v>153.79</v>
      </c>
      <c r="X818" s="38">
        <v>156.9</v>
      </c>
      <c r="Y818" s="38">
        <v>160.18</v>
      </c>
      <c r="Z818" s="38">
        <v>164.07</v>
      </c>
      <c r="AA818" s="38">
        <v>159.47999999999999</v>
      </c>
      <c r="AB818" s="38">
        <v>147.47999999999999</v>
      </c>
      <c r="AC818" s="38">
        <v>133.44</v>
      </c>
      <c r="AD818" s="38">
        <v>120.33</v>
      </c>
      <c r="AE818" s="38">
        <v>110.75</v>
      </c>
      <c r="AF818" s="38">
        <v>111.22</v>
      </c>
      <c r="AG818" s="38">
        <v>112.99</v>
      </c>
      <c r="AH818" s="38">
        <v>116.15</v>
      </c>
      <c r="AI818" s="38">
        <v>120.87</v>
      </c>
      <c r="AJ818" s="38">
        <v>124.39</v>
      </c>
      <c r="AK818" s="38">
        <v>127.6</v>
      </c>
      <c r="AL818" s="38">
        <v>128.88999999999999</v>
      </c>
      <c r="AM818" s="38">
        <v>129.78</v>
      </c>
      <c r="AN818" s="38">
        <v>120.43</v>
      </c>
      <c r="AO818" s="38">
        <v>100.43</v>
      </c>
      <c r="AP818" s="38">
        <v>82.42</v>
      </c>
      <c r="AQ818" s="38">
        <v>79.41</v>
      </c>
      <c r="AR818" s="38">
        <v>76.41</v>
      </c>
      <c r="AS818" s="38">
        <v>73.400000000000006</v>
      </c>
      <c r="AT818" s="38">
        <v>75.400000000000006</v>
      </c>
      <c r="AU818" s="38">
        <v>80.650000000000006</v>
      </c>
      <c r="AV818" s="38">
        <v>87.85</v>
      </c>
      <c r="AW818" s="38">
        <v>94.85</v>
      </c>
      <c r="AX818" s="38">
        <v>101.85</v>
      </c>
      <c r="AY818" s="38">
        <v>101.95</v>
      </c>
      <c r="BA818" s="37">
        <v>83.46</v>
      </c>
      <c r="BB818" s="38">
        <v>1.2169000000000001</v>
      </c>
    </row>
    <row r="819" spans="1:54" x14ac:dyDescent="0.35">
      <c r="A819" s="2">
        <f t="shared" si="12"/>
        <v>44967</v>
      </c>
      <c r="B819" t="s">
        <v>861</v>
      </c>
      <c r="C819" s="32">
        <v>44967</v>
      </c>
      <c r="D819" s="38">
        <v>134.51</v>
      </c>
      <c r="E819" s="38">
        <v>135.81</v>
      </c>
      <c r="F819" s="38">
        <v>137.11000000000001</v>
      </c>
      <c r="G819" s="38">
        <v>137.82</v>
      </c>
      <c r="H819" s="38">
        <v>137.09</v>
      </c>
      <c r="I819" s="38">
        <v>138.83000000000001</v>
      </c>
      <c r="J819" s="38">
        <v>141.66</v>
      </c>
      <c r="K819" s="38">
        <v>146.36000000000001</v>
      </c>
      <c r="L819" s="38">
        <v>159.19</v>
      </c>
      <c r="M819" s="38">
        <v>167.76</v>
      </c>
      <c r="N819" s="38">
        <v>172.01</v>
      </c>
      <c r="O819" s="38">
        <v>171.86</v>
      </c>
      <c r="P819" s="38">
        <v>163.61000000000001</v>
      </c>
      <c r="Q819" s="38">
        <v>155.11000000000001</v>
      </c>
      <c r="R819" s="38">
        <v>151.33000000000001</v>
      </c>
      <c r="S819" s="38">
        <v>146.24</v>
      </c>
      <c r="T819" s="38">
        <v>141.24</v>
      </c>
      <c r="U819" s="38">
        <v>143.4</v>
      </c>
      <c r="V819" s="38">
        <v>147.56</v>
      </c>
      <c r="W819" s="38">
        <v>153.87</v>
      </c>
      <c r="X819" s="38">
        <v>156.97999999999999</v>
      </c>
      <c r="Y819" s="38">
        <v>160.26</v>
      </c>
      <c r="Z819" s="38">
        <v>164.15</v>
      </c>
      <c r="AA819" s="38">
        <v>159.56</v>
      </c>
      <c r="AB819" s="38">
        <v>147.56</v>
      </c>
      <c r="AC819" s="38">
        <v>134.06</v>
      </c>
      <c r="AD819" s="38">
        <v>121.45</v>
      </c>
      <c r="AE819" s="38">
        <v>111.87</v>
      </c>
      <c r="AF819" s="38">
        <v>112.34</v>
      </c>
      <c r="AG819" s="38">
        <v>114.11</v>
      </c>
      <c r="AH819" s="38">
        <v>117.27</v>
      </c>
      <c r="AI819" s="38">
        <v>122.39</v>
      </c>
      <c r="AJ819" s="38">
        <v>125.91</v>
      </c>
      <c r="AK819" s="38">
        <v>129.12</v>
      </c>
      <c r="AL819" s="38">
        <v>130.41</v>
      </c>
      <c r="AM819" s="38">
        <v>131.30000000000001</v>
      </c>
      <c r="AN819" s="38">
        <v>121.95</v>
      </c>
      <c r="AO819" s="38">
        <v>101.95</v>
      </c>
      <c r="AP819" s="38">
        <v>83.94</v>
      </c>
      <c r="AQ819" s="38">
        <v>80.930000000000007</v>
      </c>
      <c r="AR819" s="38">
        <v>77.930000000000007</v>
      </c>
      <c r="AS819" s="38">
        <v>74.92</v>
      </c>
      <c r="AT819" s="38">
        <v>76.92</v>
      </c>
      <c r="AU819" s="38">
        <v>82.17</v>
      </c>
      <c r="AV819" s="38">
        <v>89.37</v>
      </c>
      <c r="AW819" s="38">
        <v>96.37</v>
      </c>
      <c r="AX819" s="38">
        <v>103.37</v>
      </c>
      <c r="AY819" s="38">
        <v>103.47</v>
      </c>
      <c r="BA819" s="37">
        <v>85.46</v>
      </c>
      <c r="BB819" s="38">
        <v>1.2074</v>
      </c>
    </row>
    <row r="820" spans="1:54" x14ac:dyDescent="0.35">
      <c r="A820" s="2">
        <f t="shared" si="12"/>
        <v>44970</v>
      </c>
      <c r="B820" t="s">
        <v>862</v>
      </c>
      <c r="C820" s="32">
        <v>44970</v>
      </c>
      <c r="D820" s="38">
        <v>128.94</v>
      </c>
      <c r="E820" s="38">
        <v>129.78</v>
      </c>
      <c r="F820" s="38">
        <v>131.27000000000001</v>
      </c>
      <c r="G820" s="38">
        <v>132.22</v>
      </c>
      <c r="H820" s="38">
        <v>131.72</v>
      </c>
      <c r="I820" s="38">
        <v>133.66999999999999</v>
      </c>
      <c r="J820" s="38">
        <v>136.77000000000001</v>
      </c>
      <c r="K820" s="38">
        <v>142.32</v>
      </c>
      <c r="L820" s="38">
        <v>154.16999999999999</v>
      </c>
      <c r="M820" s="38">
        <v>163.01</v>
      </c>
      <c r="N820" s="38">
        <v>167.17</v>
      </c>
      <c r="O820" s="38">
        <v>167.08</v>
      </c>
      <c r="P820" s="38">
        <v>159.13999999999999</v>
      </c>
      <c r="Q820" s="38">
        <v>150.05000000000001</v>
      </c>
      <c r="R820" s="38">
        <v>146.28</v>
      </c>
      <c r="S820" s="38">
        <v>141.19</v>
      </c>
      <c r="T820" s="38">
        <v>136.19</v>
      </c>
      <c r="U820" s="38">
        <v>138.36000000000001</v>
      </c>
      <c r="V820" s="38">
        <v>142.99</v>
      </c>
      <c r="W820" s="38">
        <v>149.77000000000001</v>
      </c>
      <c r="X820" s="38">
        <v>153.52000000000001</v>
      </c>
      <c r="Y820" s="38">
        <v>156.80000000000001</v>
      </c>
      <c r="Z820" s="38">
        <v>160.56</v>
      </c>
      <c r="AA820" s="38">
        <v>155.97999999999999</v>
      </c>
      <c r="AB820" s="38">
        <v>144.6</v>
      </c>
      <c r="AC820" s="38">
        <v>131.75</v>
      </c>
      <c r="AD820" s="38">
        <v>119.39</v>
      </c>
      <c r="AE820" s="38">
        <v>109.82</v>
      </c>
      <c r="AF820" s="38">
        <v>110.29</v>
      </c>
      <c r="AG820" s="38">
        <v>112.08</v>
      </c>
      <c r="AH820" s="38">
        <v>115.26</v>
      </c>
      <c r="AI820" s="38">
        <v>120.82</v>
      </c>
      <c r="AJ820" s="38">
        <v>124.79</v>
      </c>
      <c r="AK820" s="38">
        <v>128.16</v>
      </c>
      <c r="AL820" s="38">
        <v>129.74</v>
      </c>
      <c r="AM820" s="38">
        <v>130.63</v>
      </c>
      <c r="AN820" s="38">
        <v>121.28</v>
      </c>
      <c r="AO820" s="38">
        <v>101.46</v>
      </c>
      <c r="AP820" s="38">
        <v>83.45</v>
      </c>
      <c r="AQ820" s="38">
        <v>80.44</v>
      </c>
      <c r="AR820" s="38">
        <v>77.44</v>
      </c>
      <c r="AS820" s="38">
        <v>74.430000000000007</v>
      </c>
      <c r="AT820" s="38">
        <v>76.430000000000007</v>
      </c>
      <c r="AU820" s="38">
        <v>81.22</v>
      </c>
      <c r="AV820" s="38">
        <v>88.42</v>
      </c>
      <c r="AW820" s="38">
        <v>95.42</v>
      </c>
      <c r="AX820" s="38">
        <v>102.3</v>
      </c>
      <c r="AY820" s="38">
        <v>102.4</v>
      </c>
      <c r="BA820" s="37">
        <v>85.98</v>
      </c>
      <c r="BB820" s="38">
        <v>1.2137</v>
      </c>
    </row>
    <row r="821" spans="1:54" x14ac:dyDescent="0.35">
      <c r="A821" s="2">
        <f t="shared" si="12"/>
        <v>44971</v>
      </c>
      <c r="B821" t="s">
        <v>863</v>
      </c>
      <c r="C821" s="32">
        <v>44971</v>
      </c>
      <c r="D821" s="38">
        <v>129.59</v>
      </c>
      <c r="E821" s="38">
        <v>129.22</v>
      </c>
      <c r="F821" s="38">
        <v>130.81</v>
      </c>
      <c r="G821" s="38">
        <v>131.80000000000001</v>
      </c>
      <c r="H821" s="38">
        <v>131.05000000000001</v>
      </c>
      <c r="I821" s="38">
        <v>132.81</v>
      </c>
      <c r="J821" s="38">
        <v>136.04</v>
      </c>
      <c r="K821" s="38">
        <v>140.78</v>
      </c>
      <c r="L821" s="38">
        <v>153.72999999999999</v>
      </c>
      <c r="M821" s="38">
        <v>162.18</v>
      </c>
      <c r="N821" s="38">
        <v>166.94</v>
      </c>
      <c r="O821" s="38">
        <v>166.85</v>
      </c>
      <c r="P821" s="38">
        <v>159.04</v>
      </c>
      <c r="Q821" s="38">
        <v>150.58000000000001</v>
      </c>
      <c r="R821" s="38">
        <v>146.81</v>
      </c>
      <c r="S821" s="38">
        <v>141.72</v>
      </c>
      <c r="T821" s="38">
        <v>136.72</v>
      </c>
      <c r="U821" s="38">
        <v>138.88999999999999</v>
      </c>
      <c r="V821" s="38">
        <v>143.52000000000001</v>
      </c>
      <c r="W821" s="38">
        <v>150.34</v>
      </c>
      <c r="X821" s="38">
        <v>154.94999999999999</v>
      </c>
      <c r="Y821" s="38">
        <v>158.41999999999999</v>
      </c>
      <c r="Z821" s="38">
        <v>162.18</v>
      </c>
      <c r="AA821" s="38">
        <v>157.6</v>
      </c>
      <c r="AB821" s="38">
        <v>146.22</v>
      </c>
      <c r="AC821" s="38">
        <v>133.37</v>
      </c>
      <c r="AD821" s="38">
        <v>121.01</v>
      </c>
      <c r="AE821" s="38">
        <v>111.44</v>
      </c>
      <c r="AF821" s="38">
        <v>111.91</v>
      </c>
      <c r="AG821" s="38">
        <v>113.7</v>
      </c>
      <c r="AH821" s="38">
        <v>116.88</v>
      </c>
      <c r="AI821" s="38">
        <v>122.44</v>
      </c>
      <c r="AJ821" s="38">
        <v>126.41</v>
      </c>
      <c r="AK821" s="38">
        <v>129.78</v>
      </c>
      <c r="AL821" s="38">
        <v>131.36000000000001</v>
      </c>
      <c r="AM821" s="38">
        <v>132.25</v>
      </c>
      <c r="AN821" s="38">
        <v>122.9</v>
      </c>
      <c r="AO821" s="38">
        <v>103.08</v>
      </c>
      <c r="AP821" s="38">
        <v>85.07</v>
      </c>
      <c r="AQ821" s="38">
        <v>82.06</v>
      </c>
      <c r="AR821" s="38">
        <v>79.06</v>
      </c>
      <c r="AS821" s="38">
        <v>76.05</v>
      </c>
      <c r="AT821" s="38">
        <v>78.05</v>
      </c>
      <c r="AU821" s="38">
        <v>82.84</v>
      </c>
      <c r="AV821" s="38">
        <v>90.04</v>
      </c>
      <c r="AW821" s="38">
        <v>97.04</v>
      </c>
      <c r="AX821" s="38">
        <v>103.92</v>
      </c>
      <c r="AY821" s="38">
        <v>104.02</v>
      </c>
      <c r="BA821" s="37">
        <v>84.96</v>
      </c>
      <c r="BB821" s="38">
        <v>1.2156</v>
      </c>
    </row>
    <row r="822" spans="1:54" x14ac:dyDescent="0.35">
      <c r="A822" s="2">
        <f t="shared" si="12"/>
        <v>44972</v>
      </c>
      <c r="B822" t="s">
        <v>864</v>
      </c>
      <c r="C822" s="32">
        <v>44972</v>
      </c>
      <c r="D822" s="38">
        <v>137.25</v>
      </c>
      <c r="E822" s="38">
        <v>136.18</v>
      </c>
      <c r="F822" s="38">
        <v>137.25</v>
      </c>
      <c r="G822" s="38">
        <v>138.05000000000001</v>
      </c>
      <c r="H822" s="38">
        <v>137.25</v>
      </c>
      <c r="I822" s="38">
        <v>138.55000000000001</v>
      </c>
      <c r="J822" s="38">
        <v>141.30000000000001</v>
      </c>
      <c r="K822" s="38">
        <v>144.65</v>
      </c>
      <c r="L822" s="38">
        <v>156.94999999999999</v>
      </c>
      <c r="M822" s="38">
        <v>165.44</v>
      </c>
      <c r="N822" s="38">
        <v>169.1</v>
      </c>
      <c r="O822" s="38">
        <v>170.44</v>
      </c>
      <c r="P822" s="38">
        <v>162.63</v>
      </c>
      <c r="Q822" s="38">
        <v>153.47999999999999</v>
      </c>
      <c r="R822" s="38">
        <v>149.71</v>
      </c>
      <c r="S822" s="38">
        <v>144.61000000000001</v>
      </c>
      <c r="T822" s="38">
        <v>139.61000000000001</v>
      </c>
      <c r="U822" s="38">
        <v>141.78</v>
      </c>
      <c r="V822" s="38">
        <v>146.13999999999999</v>
      </c>
      <c r="W822" s="38">
        <v>152.63999999999999</v>
      </c>
      <c r="X822" s="38">
        <v>157.07</v>
      </c>
      <c r="Y822" s="38">
        <v>160.53</v>
      </c>
      <c r="Z822" s="38">
        <v>164.2</v>
      </c>
      <c r="AA822" s="38">
        <v>159.61000000000001</v>
      </c>
      <c r="AB822" s="38">
        <v>147.94</v>
      </c>
      <c r="AC822" s="38">
        <v>133.83000000000001</v>
      </c>
      <c r="AD822" s="38">
        <v>120.92</v>
      </c>
      <c r="AE822" s="38">
        <v>111.35</v>
      </c>
      <c r="AF822" s="38">
        <v>111.82</v>
      </c>
      <c r="AG822" s="38">
        <v>113.62</v>
      </c>
      <c r="AH822" s="38">
        <v>117.45</v>
      </c>
      <c r="AI822" s="38">
        <v>123.41</v>
      </c>
      <c r="AJ822" s="38">
        <v>127.38</v>
      </c>
      <c r="AK822" s="38">
        <v>130.75</v>
      </c>
      <c r="AL822" s="38">
        <v>131.97999999999999</v>
      </c>
      <c r="AM822" s="38">
        <v>132.87</v>
      </c>
      <c r="AN822" s="38">
        <v>123.52</v>
      </c>
      <c r="AO822" s="38">
        <v>103.57</v>
      </c>
      <c r="AP822" s="38">
        <v>85.56</v>
      </c>
      <c r="AQ822" s="38">
        <v>82.55</v>
      </c>
      <c r="AR822" s="38">
        <v>79.55</v>
      </c>
      <c r="AS822" s="38">
        <v>76.540000000000006</v>
      </c>
      <c r="AT822" s="38">
        <v>78.540000000000006</v>
      </c>
      <c r="AU822" s="38">
        <v>83.72</v>
      </c>
      <c r="AV822" s="38">
        <v>90.92</v>
      </c>
      <c r="AW822" s="38">
        <v>97.92</v>
      </c>
      <c r="AX822" s="38">
        <v>105.58</v>
      </c>
      <c r="AY822" s="38">
        <v>105.68</v>
      </c>
      <c r="BA822" s="37">
        <v>84.11</v>
      </c>
      <c r="BB822" s="38">
        <v>1.2002999999999999</v>
      </c>
    </row>
    <row r="823" spans="1:54" x14ac:dyDescent="0.35">
      <c r="A823" s="2">
        <f t="shared" si="12"/>
        <v>44973</v>
      </c>
      <c r="B823" t="s">
        <v>865</v>
      </c>
      <c r="C823" s="32">
        <v>44973</v>
      </c>
      <c r="D823" s="38">
        <v>129.51</v>
      </c>
      <c r="E823" s="38">
        <v>129.5</v>
      </c>
      <c r="F823" s="38">
        <v>131.53</v>
      </c>
      <c r="G823" s="38">
        <v>132.9</v>
      </c>
      <c r="H823" s="38">
        <v>131.94</v>
      </c>
      <c r="I823" s="38">
        <v>133.36000000000001</v>
      </c>
      <c r="J823" s="38">
        <v>136.37</v>
      </c>
      <c r="K823" s="38">
        <v>140.03</v>
      </c>
      <c r="L823" s="38">
        <v>152.37</v>
      </c>
      <c r="M823" s="38">
        <v>161.96</v>
      </c>
      <c r="N823" s="38">
        <v>165.36</v>
      </c>
      <c r="O823" s="38">
        <v>165.71</v>
      </c>
      <c r="P823" s="38">
        <v>159.99</v>
      </c>
      <c r="Q823" s="38">
        <v>151.21</v>
      </c>
      <c r="R823" s="38">
        <v>147.11000000000001</v>
      </c>
      <c r="S823" s="38">
        <v>142.22999999999999</v>
      </c>
      <c r="T823" s="38">
        <v>137.44</v>
      </c>
      <c r="U823" s="38">
        <v>139.61000000000001</v>
      </c>
      <c r="V823" s="38">
        <v>143.84</v>
      </c>
      <c r="W823" s="38">
        <v>149.49</v>
      </c>
      <c r="X823" s="38">
        <v>153.44</v>
      </c>
      <c r="Y823" s="38">
        <v>156.9</v>
      </c>
      <c r="Z823" s="38">
        <v>161.84</v>
      </c>
      <c r="AA823" s="38">
        <v>157.25</v>
      </c>
      <c r="AB823" s="38">
        <v>145.58000000000001</v>
      </c>
      <c r="AC823" s="38">
        <v>132.58000000000001</v>
      </c>
      <c r="AD823" s="38">
        <v>120.66</v>
      </c>
      <c r="AE823" s="38">
        <v>111.08</v>
      </c>
      <c r="AF823" s="38">
        <v>111.55</v>
      </c>
      <c r="AG823" s="38">
        <v>113.35</v>
      </c>
      <c r="AH823" s="38">
        <v>117.18</v>
      </c>
      <c r="AI823" s="38">
        <v>122.69</v>
      </c>
      <c r="AJ823" s="38">
        <v>126.66</v>
      </c>
      <c r="AK823" s="38">
        <v>130.04</v>
      </c>
      <c r="AL823" s="38">
        <v>131.12</v>
      </c>
      <c r="AM823" s="38">
        <v>132.01</v>
      </c>
      <c r="AN823" s="38">
        <v>122.66</v>
      </c>
      <c r="AO823" s="38">
        <v>102.79</v>
      </c>
      <c r="AP823" s="38">
        <v>84.78</v>
      </c>
      <c r="AQ823" s="38">
        <v>81.77</v>
      </c>
      <c r="AR823" s="38">
        <v>78.77</v>
      </c>
      <c r="AS823" s="38">
        <v>75.760000000000005</v>
      </c>
      <c r="AT823" s="38">
        <v>77.760000000000005</v>
      </c>
      <c r="AU823" s="38">
        <v>82.91</v>
      </c>
      <c r="AV823" s="38">
        <v>90.11</v>
      </c>
      <c r="AW823" s="38">
        <v>97.11</v>
      </c>
      <c r="AX823" s="38">
        <v>104.62</v>
      </c>
      <c r="AY823" s="38">
        <v>104.72</v>
      </c>
      <c r="BA823" s="37">
        <v>83.84</v>
      </c>
      <c r="BB823" s="38">
        <v>1.2011000000000001</v>
      </c>
    </row>
    <row r="824" spans="1:54" x14ac:dyDescent="0.35">
      <c r="A824" s="2">
        <f t="shared" si="12"/>
        <v>44974</v>
      </c>
      <c r="B824" t="s">
        <v>866</v>
      </c>
      <c r="C824" s="32">
        <v>44974</v>
      </c>
      <c r="D824" s="38">
        <v>120.96</v>
      </c>
      <c r="E824" s="38">
        <v>121.79</v>
      </c>
      <c r="F824" s="38">
        <v>124.74</v>
      </c>
      <c r="G824" s="38">
        <v>126.14</v>
      </c>
      <c r="H824" s="38">
        <v>125.29</v>
      </c>
      <c r="I824" s="38">
        <v>126.93</v>
      </c>
      <c r="J824" s="38">
        <v>130.29</v>
      </c>
      <c r="K824" s="38">
        <v>134.46</v>
      </c>
      <c r="L824" s="38">
        <v>147.06</v>
      </c>
      <c r="M824" s="38">
        <v>156.05000000000001</v>
      </c>
      <c r="N824" s="38">
        <v>161.51</v>
      </c>
      <c r="O824" s="38">
        <v>158.51</v>
      </c>
      <c r="P824" s="38">
        <v>154.69999999999999</v>
      </c>
      <c r="Q824" s="38">
        <v>146.43</v>
      </c>
      <c r="R824" s="38">
        <v>143.27000000000001</v>
      </c>
      <c r="S824" s="38">
        <v>137</v>
      </c>
      <c r="T824" s="38">
        <v>132.38999999999999</v>
      </c>
      <c r="U824" s="38">
        <v>134.61000000000001</v>
      </c>
      <c r="V824" s="38">
        <v>138.88999999999999</v>
      </c>
      <c r="W824" s="38">
        <v>145.34</v>
      </c>
      <c r="X824" s="38">
        <v>149.55000000000001</v>
      </c>
      <c r="Y824" s="38">
        <v>152.77000000000001</v>
      </c>
      <c r="Z824" s="38">
        <v>157.81</v>
      </c>
      <c r="AA824" s="38">
        <v>153.22</v>
      </c>
      <c r="AB824" s="38">
        <v>141.56</v>
      </c>
      <c r="AC824" s="38">
        <v>129.61000000000001</v>
      </c>
      <c r="AD824" s="38">
        <v>117.69</v>
      </c>
      <c r="AE824" s="38">
        <v>108.11</v>
      </c>
      <c r="AF824" s="38">
        <v>108.58</v>
      </c>
      <c r="AG824" s="38">
        <v>110.38</v>
      </c>
      <c r="AH824" s="38">
        <v>114.21</v>
      </c>
      <c r="AI824" s="38">
        <v>119.73</v>
      </c>
      <c r="AJ824" s="38">
        <v>123.73</v>
      </c>
      <c r="AK824" s="38">
        <v>127.11</v>
      </c>
      <c r="AL824" s="38">
        <v>127.59</v>
      </c>
      <c r="AM824" s="38">
        <v>128.47999999999999</v>
      </c>
      <c r="AN824" s="38">
        <v>119.13</v>
      </c>
      <c r="AO824" s="38">
        <v>98.81</v>
      </c>
      <c r="AP824" s="38">
        <v>82.1</v>
      </c>
      <c r="AQ824" s="38">
        <v>79.010000000000005</v>
      </c>
      <c r="AR824" s="38">
        <v>76.05</v>
      </c>
      <c r="AS824" s="38">
        <v>73.12</v>
      </c>
      <c r="AT824" s="38">
        <v>75.06</v>
      </c>
      <c r="AU824" s="38">
        <v>79.27</v>
      </c>
      <c r="AV824" s="38">
        <v>85.86</v>
      </c>
      <c r="AW824" s="38">
        <v>92.86</v>
      </c>
      <c r="AX824" s="38">
        <v>100.82</v>
      </c>
      <c r="AY824" s="38">
        <v>101.23</v>
      </c>
      <c r="BA824" s="37">
        <v>81.97</v>
      </c>
      <c r="BB824" s="38">
        <v>1.1998</v>
      </c>
    </row>
    <row r="825" spans="1:54" x14ac:dyDescent="0.35">
      <c r="A825" s="2">
        <f t="shared" si="12"/>
        <v>44977</v>
      </c>
      <c r="B825" t="s">
        <v>867</v>
      </c>
      <c r="C825" s="32">
        <v>44977</v>
      </c>
      <c r="D825" s="38">
        <v>123.9</v>
      </c>
      <c r="E825" s="38">
        <v>123.3</v>
      </c>
      <c r="F825" s="38">
        <v>124.88</v>
      </c>
      <c r="G825" s="38">
        <v>125.78</v>
      </c>
      <c r="H825" s="38">
        <v>124.94</v>
      </c>
      <c r="I825" s="38">
        <v>126.65</v>
      </c>
      <c r="J825" s="38">
        <v>130.28</v>
      </c>
      <c r="K825" s="38">
        <v>133.94</v>
      </c>
      <c r="L825" s="38">
        <v>145.66</v>
      </c>
      <c r="M825" s="38">
        <v>155.43</v>
      </c>
      <c r="N825" s="38">
        <v>159.63</v>
      </c>
      <c r="O825" s="38">
        <v>159.19</v>
      </c>
      <c r="P825" s="38">
        <v>153.91999999999999</v>
      </c>
      <c r="Q825" s="38">
        <v>143.29</v>
      </c>
      <c r="R825" s="38">
        <v>141.34</v>
      </c>
      <c r="S825" s="38">
        <v>134.96</v>
      </c>
      <c r="T825" s="38">
        <v>129.47</v>
      </c>
      <c r="U825" s="38">
        <v>131.69999999999999</v>
      </c>
      <c r="V825" s="38">
        <v>137.63</v>
      </c>
      <c r="W825" s="38">
        <v>143.41999999999999</v>
      </c>
      <c r="X825" s="38">
        <v>147.65</v>
      </c>
      <c r="Y825" s="38">
        <v>150.88</v>
      </c>
      <c r="Z825" s="38">
        <v>155.76</v>
      </c>
      <c r="AA825" s="38">
        <v>151.18</v>
      </c>
      <c r="AB825" s="38">
        <v>139.53</v>
      </c>
      <c r="AC825" s="38">
        <v>127.78</v>
      </c>
      <c r="AD825" s="38">
        <v>115.86</v>
      </c>
      <c r="AE825" s="38">
        <v>106.29</v>
      </c>
      <c r="AF825" s="38">
        <v>106.77</v>
      </c>
      <c r="AG825" s="38">
        <v>108.59</v>
      </c>
      <c r="AH825" s="38">
        <v>112.53</v>
      </c>
      <c r="AI825" s="38">
        <v>118.08</v>
      </c>
      <c r="AJ825" s="38">
        <v>122.09</v>
      </c>
      <c r="AK825" s="38">
        <v>125.47</v>
      </c>
      <c r="AL825" s="38">
        <v>126.02</v>
      </c>
      <c r="AM825" s="38">
        <v>126.91</v>
      </c>
      <c r="AN825" s="38">
        <v>117.56</v>
      </c>
      <c r="AO825" s="38">
        <v>97.79</v>
      </c>
      <c r="AP825" s="38">
        <v>81.08</v>
      </c>
      <c r="AQ825" s="38">
        <v>77.989999999999995</v>
      </c>
      <c r="AR825" s="38">
        <v>75.03</v>
      </c>
      <c r="AS825" s="38">
        <v>72.099999999999994</v>
      </c>
      <c r="AT825" s="38">
        <v>74.040000000000006</v>
      </c>
      <c r="AU825" s="38">
        <v>78.25</v>
      </c>
      <c r="AV825" s="38">
        <v>84.84</v>
      </c>
      <c r="AW825" s="38">
        <v>91.85</v>
      </c>
      <c r="AX825" s="38">
        <v>99.81</v>
      </c>
      <c r="AY825" s="38">
        <v>100.22</v>
      </c>
      <c r="BA825" s="37">
        <v>82.79</v>
      </c>
      <c r="BB825" s="38">
        <v>1.2028000000000001</v>
      </c>
    </row>
    <row r="826" spans="1:54" x14ac:dyDescent="0.35">
      <c r="A826" s="2">
        <f t="shared" si="12"/>
        <v>44978</v>
      </c>
      <c r="B826" t="s">
        <v>868</v>
      </c>
      <c r="C826" s="32">
        <v>44978</v>
      </c>
      <c r="D826" s="38">
        <v>120.06</v>
      </c>
      <c r="E826" s="38">
        <v>119.33</v>
      </c>
      <c r="F826" s="38">
        <v>120.52</v>
      </c>
      <c r="G826" s="38">
        <v>121.4</v>
      </c>
      <c r="H826" s="38">
        <v>120.87</v>
      </c>
      <c r="I826" s="38">
        <v>122.46</v>
      </c>
      <c r="J826" s="38">
        <v>126.41</v>
      </c>
      <c r="K826" s="38">
        <v>129.47999999999999</v>
      </c>
      <c r="L826" s="38">
        <v>141.76</v>
      </c>
      <c r="M826" s="38">
        <v>150.97</v>
      </c>
      <c r="N826" s="38">
        <v>155.29</v>
      </c>
      <c r="O826" s="38">
        <v>155.07</v>
      </c>
      <c r="P826" s="38">
        <v>149.80000000000001</v>
      </c>
      <c r="Q826" s="38">
        <v>139.86000000000001</v>
      </c>
      <c r="R826" s="38">
        <v>137.91</v>
      </c>
      <c r="S826" s="38">
        <v>131.53</v>
      </c>
      <c r="T826" s="38">
        <v>125.95</v>
      </c>
      <c r="U826" s="38">
        <v>128.18</v>
      </c>
      <c r="V826" s="38">
        <v>134.03</v>
      </c>
      <c r="W826" s="38">
        <v>139.99</v>
      </c>
      <c r="X826" s="38">
        <v>144.22</v>
      </c>
      <c r="Y826" s="38">
        <v>145.51</v>
      </c>
      <c r="Z826" s="38">
        <v>148.91</v>
      </c>
      <c r="AA826" s="38">
        <v>147.9</v>
      </c>
      <c r="AB826" s="38">
        <v>136.25</v>
      </c>
      <c r="AC826" s="38">
        <v>124.84</v>
      </c>
      <c r="AD826" s="38">
        <v>114.66</v>
      </c>
      <c r="AE826" s="38">
        <v>103.35</v>
      </c>
      <c r="AF826" s="38">
        <v>103.83</v>
      </c>
      <c r="AG826" s="38">
        <v>105.65</v>
      </c>
      <c r="AH826" s="38">
        <v>109.92</v>
      </c>
      <c r="AI826" s="38">
        <v>115.63</v>
      </c>
      <c r="AJ826" s="38">
        <v>119.64</v>
      </c>
      <c r="AK826" s="38">
        <v>123.02</v>
      </c>
      <c r="AL826" s="38">
        <v>123.24</v>
      </c>
      <c r="AM826" s="38">
        <v>124.13</v>
      </c>
      <c r="AN826" s="38">
        <v>115.01</v>
      </c>
      <c r="AO826" s="38">
        <v>96.18</v>
      </c>
      <c r="AP826" s="38">
        <v>79.47</v>
      </c>
      <c r="AQ826" s="38">
        <v>76.38</v>
      </c>
      <c r="AR826" s="38">
        <v>73.42</v>
      </c>
      <c r="AS826" s="38">
        <v>70.489999999999995</v>
      </c>
      <c r="AT826" s="38">
        <v>72.430000000000007</v>
      </c>
      <c r="AU826" s="38">
        <v>76.64</v>
      </c>
      <c r="AV826" s="38">
        <v>83.23</v>
      </c>
      <c r="AW826" s="38">
        <v>90.24</v>
      </c>
      <c r="AX826" s="38">
        <v>98.19</v>
      </c>
      <c r="AY826" s="38">
        <v>98.6</v>
      </c>
      <c r="BA826" s="37">
        <v>82.14</v>
      </c>
      <c r="BB826" s="38">
        <v>1.2139</v>
      </c>
    </row>
    <row r="827" spans="1:54" x14ac:dyDescent="0.35">
      <c r="A827" s="2">
        <f t="shared" si="12"/>
        <v>44979</v>
      </c>
      <c r="B827" t="s">
        <v>869</v>
      </c>
      <c r="C827" s="32">
        <v>44979</v>
      </c>
      <c r="D827" s="38">
        <v>125.4</v>
      </c>
      <c r="E827" s="38">
        <v>123.76</v>
      </c>
      <c r="F827" s="38">
        <v>124.16</v>
      </c>
      <c r="G827" s="38">
        <v>124.93</v>
      </c>
      <c r="H827" s="38">
        <v>124.2</v>
      </c>
      <c r="I827" s="38">
        <v>126.56</v>
      </c>
      <c r="J827" s="38">
        <v>129.77000000000001</v>
      </c>
      <c r="K827" s="38">
        <v>133.03</v>
      </c>
      <c r="L827" s="38">
        <v>144.99</v>
      </c>
      <c r="M827" s="38">
        <v>154.1</v>
      </c>
      <c r="N827" s="38">
        <v>158.47</v>
      </c>
      <c r="O827" s="38">
        <v>158.25</v>
      </c>
      <c r="P827" s="38">
        <v>151.74</v>
      </c>
      <c r="Q827" s="38">
        <v>141.43</v>
      </c>
      <c r="R827" s="38">
        <v>139.44999999999999</v>
      </c>
      <c r="S827" s="38">
        <v>132.97999999999999</v>
      </c>
      <c r="T827" s="38">
        <v>127.58</v>
      </c>
      <c r="U827" s="38">
        <v>129.83000000000001</v>
      </c>
      <c r="V827" s="38">
        <v>135.97999999999999</v>
      </c>
      <c r="W827" s="38">
        <v>141.75</v>
      </c>
      <c r="X827" s="38">
        <v>145.77000000000001</v>
      </c>
      <c r="Y827" s="38">
        <v>147.07</v>
      </c>
      <c r="Z827" s="38">
        <v>150.30000000000001</v>
      </c>
      <c r="AA827" s="38">
        <v>149.29</v>
      </c>
      <c r="AB827" s="38">
        <v>137.63999999999999</v>
      </c>
      <c r="AC827" s="38">
        <v>125.56</v>
      </c>
      <c r="AD827" s="38">
        <v>115.39</v>
      </c>
      <c r="AE827" s="38">
        <v>104.09</v>
      </c>
      <c r="AF827" s="38">
        <v>104.69</v>
      </c>
      <c r="AG827" s="38">
        <v>106.52</v>
      </c>
      <c r="AH827" s="38">
        <v>110.8</v>
      </c>
      <c r="AI827" s="38">
        <v>117.02</v>
      </c>
      <c r="AJ827" s="38">
        <v>121.03</v>
      </c>
      <c r="AK827" s="38">
        <v>124.43</v>
      </c>
      <c r="AL827" s="38">
        <v>124.32</v>
      </c>
      <c r="AM827" s="38">
        <v>125.23</v>
      </c>
      <c r="AN827" s="38">
        <v>115.59</v>
      </c>
      <c r="AO827" s="38">
        <v>96.76</v>
      </c>
      <c r="AP827" s="38">
        <v>80.05</v>
      </c>
      <c r="AQ827" s="38">
        <v>77.41</v>
      </c>
      <c r="AR827" s="38">
        <v>74.81</v>
      </c>
      <c r="AS827" s="38">
        <v>71.88</v>
      </c>
      <c r="AT827" s="38">
        <v>73.819999999999993</v>
      </c>
      <c r="AU827" s="38">
        <v>78.03</v>
      </c>
      <c r="AV827" s="38">
        <v>84.62</v>
      </c>
      <c r="AW827" s="38">
        <v>91.63</v>
      </c>
      <c r="AX827" s="38">
        <v>99.27</v>
      </c>
      <c r="AY827" s="38">
        <v>99.67</v>
      </c>
      <c r="BA827" s="37">
        <v>79.55</v>
      </c>
      <c r="BB827" s="38">
        <v>1.2067000000000001</v>
      </c>
    </row>
    <row r="828" spans="1:54" x14ac:dyDescent="0.35">
      <c r="A828" s="2">
        <f t="shared" si="12"/>
        <v>44980</v>
      </c>
      <c r="B828" t="s">
        <v>870</v>
      </c>
      <c r="C828" s="32">
        <v>44980</v>
      </c>
      <c r="D828" s="38">
        <v>126.22</v>
      </c>
      <c r="E828" s="38">
        <v>124.43</v>
      </c>
      <c r="F828" s="38">
        <v>124.84</v>
      </c>
      <c r="G828" s="38">
        <v>126.19</v>
      </c>
      <c r="H828" s="38">
        <v>125.18</v>
      </c>
      <c r="I828" s="38">
        <v>127.33</v>
      </c>
      <c r="J828" s="38">
        <v>130.08000000000001</v>
      </c>
      <c r="K828" s="38">
        <v>133.11000000000001</v>
      </c>
      <c r="L828" s="38">
        <v>144.97999999999999</v>
      </c>
      <c r="M828" s="38">
        <v>155.11000000000001</v>
      </c>
      <c r="N828" s="38">
        <v>157.78</v>
      </c>
      <c r="O828" s="38">
        <v>157.76</v>
      </c>
      <c r="P828" s="38">
        <v>151.38999999999999</v>
      </c>
      <c r="Q828" s="38">
        <v>141.99</v>
      </c>
      <c r="R828" s="38">
        <v>140.75</v>
      </c>
      <c r="S828" s="38">
        <v>134.72999999999999</v>
      </c>
      <c r="T828" s="38">
        <v>130.19999999999999</v>
      </c>
      <c r="U828" s="38">
        <v>132.46</v>
      </c>
      <c r="V828" s="38">
        <v>138.47</v>
      </c>
      <c r="W828" s="38">
        <v>144.66999999999999</v>
      </c>
      <c r="X828" s="38">
        <v>148.55000000000001</v>
      </c>
      <c r="Y828" s="38">
        <v>149.91999999999999</v>
      </c>
      <c r="Z828" s="38">
        <v>152.97</v>
      </c>
      <c r="AA828" s="38">
        <v>151.96</v>
      </c>
      <c r="AB828" s="38">
        <v>140.31</v>
      </c>
      <c r="AC828" s="38">
        <v>128.29</v>
      </c>
      <c r="AD828" s="38">
        <v>118.11</v>
      </c>
      <c r="AE828" s="38">
        <v>106.82</v>
      </c>
      <c r="AF828" s="38">
        <v>107.51</v>
      </c>
      <c r="AG828" s="38">
        <v>109.34</v>
      </c>
      <c r="AH828" s="38">
        <v>113.62</v>
      </c>
      <c r="AI828" s="38">
        <v>119.27</v>
      </c>
      <c r="AJ828" s="38">
        <v>123.28</v>
      </c>
      <c r="AK828" s="38">
        <v>126.68</v>
      </c>
      <c r="AL828" s="38">
        <v>125.57</v>
      </c>
      <c r="AM828" s="38">
        <v>126.48</v>
      </c>
      <c r="AN828" s="38">
        <v>116.84</v>
      </c>
      <c r="AO828" s="38">
        <v>98.01</v>
      </c>
      <c r="AP828" s="38">
        <v>81.11</v>
      </c>
      <c r="AQ828" s="38">
        <v>78.47</v>
      </c>
      <c r="AR828" s="38">
        <v>75.88</v>
      </c>
      <c r="AS828" s="38">
        <v>72.94</v>
      </c>
      <c r="AT828" s="38">
        <v>74.89</v>
      </c>
      <c r="AU828" s="38">
        <v>79.27</v>
      </c>
      <c r="AV828" s="38">
        <v>85.86</v>
      </c>
      <c r="AW828" s="38">
        <v>92.87</v>
      </c>
      <c r="AX828" s="38">
        <v>100.71</v>
      </c>
      <c r="AY828" s="38">
        <v>101.11</v>
      </c>
      <c r="BA828" s="37">
        <v>82.08</v>
      </c>
      <c r="BB828" s="38">
        <v>1.2022999999999999</v>
      </c>
    </row>
    <row r="829" spans="1:54" x14ac:dyDescent="0.35">
      <c r="A829" s="2">
        <f t="shared" si="12"/>
        <v>44981</v>
      </c>
      <c r="B829" t="s">
        <v>871</v>
      </c>
      <c r="C829" s="32">
        <v>44981</v>
      </c>
      <c r="D829" s="38">
        <v>127.69</v>
      </c>
      <c r="E829" s="38">
        <v>125.52</v>
      </c>
      <c r="F829" s="38">
        <v>126.51</v>
      </c>
      <c r="G829" s="38">
        <v>128.06</v>
      </c>
      <c r="H829" s="38">
        <v>127.22</v>
      </c>
      <c r="I829" s="38">
        <v>129.31</v>
      </c>
      <c r="J829" s="38">
        <v>132.36000000000001</v>
      </c>
      <c r="K829" s="38">
        <v>135.19</v>
      </c>
      <c r="L829" s="38">
        <v>146.24</v>
      </c>
      <c r="M829" s="38">
        <v>157.51</v>
      </c>
      <c r="N829" s="38">
        <v>160.34</v>
      </c>
      <c r="O829" s="38">
        <v>160.29</v>
      </c>
      <c r="P829" s="38">
        <v>153.69</v>
      </c>
      <c r="Q829" s="38">
        <v>145.71</v>
      </c>
      <c r="R829" s="38">
        <v>144.12</v>
      </c>
      <c r="S829" s="38">
        <v>138.24</v>
      </c>
      <c r="T829" s="38">
        <v>132.37</v>
      </c>
      <c r="U829" s="38">
        <v>134.63</v>
      </c>
      <c r="V829" s="38">
        <v>140.63999999999999</v>
      </c>
      <c r="W829" s="38">
        <v>147.85</v>
      </c>
      <c r="X829" s="38">
        <v>151.15</v>
      </c>
      <c r="Y829" s="38">
        <v>153.24</v>
      </c>
      <c r="Z829" s="38">
        <v>153.19999999999999</v>
      </c>
      <c r="AA829" s="38">
        <v>152.19</v>
      </c>
      <c r="AB829" s="38">
        <v>140.54</v>
      </c>
      <c r="AC829" s="38">
        <v>131.94999999999999</v>
      </c>
      <c r="AD829" s="38">
        <v>121.77</v>
      </c>
      <c r="AE829" s="38">
        <v>110.48</v>
      </c>
      <c r="AF829" s="38">
        <v>111.17</v>
      </c>
      <c r="AG829" s="38">
        <v>113</v>
      </c>
      <c r="AH829" s="38">
        <v>117.49</v>
      </c>
      <c r="AI829" s="38">
        <v>120.96</v>
      </c>
      <c r="AJ829" s="38">
        <v>124.97</v>
      </c>
      <c r="AK829" s="38">
        <v>128.32</v>
      </c>
      <c r="AL829" s="38">
        <v>127.21</v>
      </c>
      <c r="AM829" s="38">
        <v>128.12</v>
      </c>
      <c r="AN829" s="38">
        <v>118.48</v>
      </c>
      <c r="AO829" s="38">
        <v>98.96</v>
      </c>
      <c r="AP829" s="38">
        <v>82.06</v>
      </c>
      <c r="AQ829" s="38">
        <v>79.42</v>
      </c>
      <c r="AR829" s="38">
        <v>76.83</v>
      </c>
      <c r="AS829" s="38">
        <v>73.89</v>
      </c>
      <c r="AT829" s="38">
        <v>75.84</v>
      </c>
      <c r="AU829" s="38">
        <v>80.37</v>
      </c>
      <c r="AV829" s="38">
        <v>86.96</v>
      </c>
      <c r="AW829" s="38">
        <v>93.97</v>
      </c>
      <c r="AX829" s="38">
        <v>101.81</v>
      </c>
      <c r="AY829" s="38">
        <v>102.21</v>
      </c>
      <c r="BA829" s="37">
        <v>82.31</v>
      </c>
      <c r="BB829" s="38">
        <v>1.1940999999999999</v>
      </c>
    </row>
    <row r="830" spans="1:54" x14ac:dyDescent="0.35">
      <c r="A830" s="2">
        <f t="shared" si="12"/>
        <v>44984</v>
      </c>
      <c r="B830" t="s">
        <v>872</v>
      </c>
      <c r="C830" s="32">
        <v>44984</v>
      </c>
      <c r="D830" s="38">
        <v>118.19</v>
      </c>
      <c r="E830" s="38">
        <v>116.84</v>
      </c>
      <c r="F830" s="38">
        <v>118.28</v>
      </c>
      <c r="G830" s="38">
        <v>119.78</v>
      </c>
      <c r="H830" s="38">
        <v>118.77</v>
      </c>
      <c r="I830" s="38">
        <v>120.92</v>
      </c>
      <c r="J830" s="38">
        <v>124.27</v>
      </c>
      <c r="K830" s="38">
        <v>127.29</v>
      </c>
      <c r="L830" s="38">
        <v>138.9</v>
      </c>
      <c r="M830" s="38">
        <v>149.80000000000001</v>
      </c>
      <c r="N830" s="38">
        <v>152.80000000000001</v>
      </c>
      <c r="O830" s="38">
        <v>152.78</v>
      </c>
      <c r="P830" s="38">
        <v>146.24</v>
      </c>
      <c r="Q830" s="38">
        <v>138.38</v>
      </c>
      <c r="R830" s="38">
        <v>136.9</v>
      </c>
      <c r="S830" s="38">
        <v>131.02000000000001</v>
      </c>
      <c r="T830" s="38">
        <v>126.77</v>
      </c>
      <c r="U830" s="38">
        <v>129.03</v>
      </c>
      <c r="V830" s="38">
        <v>135.04</v>
      </c>
      <c r="W830" s="38">
        <v>141.04</v>
      </c>
      <c r="X830" s="38">
        <v>144.47999999999999</v>
      </c>
      <c r="Y830" s="38">
        <v>146.47999999999999</v>
      </c>
      <c r="Z830" s="38">
        <v>146.44</v>
      </c>
      <c r="AA830" s="38">
        <v>145.54</v>
      </c>
      <c r="AB830" s="38">
        <v>135.04</v>
      </c>
      <c r="AC830" s="38">
        <v>127.04</v>
      </c>
      <c r="AD830" s="38">
        <v>117.54</v>
      </c>
      <c r="AE830" s="38">
        <v>106.25</v>
      </c>
      <c r="AF830" s="38">
        <v>106.96</v>
      </c>
      <c r="AG830" s="38">
        <v>108.79</v>
      </c>
      <c r="AH830" s="38">
        <v>113.28</v>
      </c>
      <c r="AI830" s="38">
        <v>116.38</v>
      </c>
      <c r="AJ830" s="38">
        <v>120.42</v>
      </c>
      <c r="AK830" s="38">
        <v>123.74</v>
      </c>
      <c r="AL830" s="38">
        <v>122.67</v>
      </c>
      <c r="AM830" s="38">
        <v>123.58</v>
      </c>
      <c r="AN830" s="38">
        <v>113.94</v>
      </c>
      <c r="AO830" s="38">
        <v>96.27</v>
      </c>
      <c r="AP830" s="38">
        <v>80.52</v>
      </c>
      <c r="AQ830" s="38">
        <v>77.92</v>
      </c>
      <c r="AR830" s="38">
        <v>75.33</v>
      </c>
      <c r="AS830" s="38">
        <v>72.34</v>
      </c>
      <c r="AT830" s="38">
        <v>74.319999999999993</v>
      </c>
      <c r="AU830" s="38">
        <v>78.819999999999993</v>
      </c>
      <c r="AV830" s="38">
        <v>85.41</v>
      </c>
      <c r="AW830" s="38">
        <v>92.42</v>
      </c>
      <c r="AX830" s="38">
        <v>100.23</v>
      </c>
      <c r="AY830" s="38">
        <v>100.64</v>
      </c>
      <c r="BA830" s="37">
        <v>81.239999999999995</v>
      </c>
      <c r="BB830" s="38">
        <v>1.2031000000000001</v>
      </c>
    </row>
    <row r="831" spans="1:54" x14ac:dyDescent="0.35">
      <c r="A831" s="2">
        <f t="shared" si="12"/>
        <v>44985</v>
      </c>
      <c r="B831" t="s">
        <v>873</v>
      </c>
      <c r="C831" s="32">
        <v>44985</v>
      </c>
      <c r="D831" s="38">
        <v>115.54</v>
      </c>
      <c r="E831" s="38">
        <v>116.21</v>
      </c>
      <c r="F831" s="38">
        <v>117.37</v>
      </c>
      <c r="G831" s="38">
        <v>116.35</v>
      </c>
      <c r="H831" s="38">
        <v>118.45</v>
      </c>
      <c r="I831" s="38">
        <v>122.3</v>
      </c>
      <c r="J831" s="38">
        <v>125.3</v>
      </c>
      <c r="K831" s="38">
        <v>136.74</v>
      </c>
      <c r="L831" s="38">
        <v>147.63</v>
      </c>
      <c r="M831" s="38">
        <v>150.62</v>
      </c>
      <c r="N831" s="38">
        <v>150.6</v>
      </c>
      <c r="O831" s="38">
        <v>144.04</v>
      </c>
      <c r="P831" s="38">
        <v>136.62</v>
      </c>
      <c r="Q831" s="38">
        <v>135.13</v>
      </c>
      <c r="R831" s="38">
        <v>129.22</v>
      </c>
      <c r="S831" s="38">
        <v>124.94</v>
      </c>
      <c r="T831" s="38">
        <v>127.16</v>
      </c>
      <c r="U831" s="38">
        <v>133.12</v>
      </c>
      <c r="V831" s="38">
        <v>138.91999999999999</v>
      </c>
      <c r="W831" s="38">
        <v>142.36000000000001</v>
      </c>
      <c r="X831" s="38">
        <v>144.36000000000001</v>
      </c>
      <c r="Y831" s="38">
        <v>144.32</v>
      </c>
      <c r="Z831" s="38">
        <v>143.41999999999999</v>
      </c>
      <c r="AA831" s="38">
        <v>132.91999999999999</v>
      </c>
      <c r="AB831" s="38">
        <v>124.92</v>
      </c>
      <c r="AC831" s="38">
        <v>115.42</v>
      </c>
      <c r="AD831" s="38">
        <v>104.13</v>
      </c>
      <c r="AE831" s="38">
        <v>104.84</v>
      </c>
      <c r="AF831" s="38">
        <v>106.67</v>
      </c>
      <c r="AG831" s="38">
        <v>111.16</v>
      </c>
      <c r="AH831" s="38">
        <v>115.66</v>
      </c>
      <c r="AI831" s="38">
        <v>119.7</v>
      </c>
      <c r="AJ831" s="38">
        <v>123.02</v>
      </c>
      <c r="AK831" s="38">
        <v>121.95</v>
      </c>
      <c r="AL831" s="38">
        <v>122.86</v>
      </c>
      <c r="AM831" s="38">
        <v>113.22</v>
      </c>
      <c r="AN831" s="38">
        <v>96.22</v>
      </c>
      <c r="AO831" s="38">
        <v>81.22</v>
      </c>
      <c r="AP831" s="38">
        <v>78.62</v>
      </c>
      <c r="AQ831" s="38">
        <v>76.03</v>
      </c>
      <c r="AR831" s="38">
        <v>73.040000000000006</v>
      </c>
      <c r="AS831" s="38">
        <v>75.02</v>
      </c>
      <c r="AT831" s="38">
        <v>79.52</v>
      </c>
      <c r="AU831" s="38">
        <v>86.11</v>
      </c>
      <c r="AV831" s="38">
        <v>93.12</v>
      </c>
      <c r="AW831" s="38">
        <v>100.93</v>
      </c>
      <c r="AX831" s="38">
        <v>101.34</v>
      </c>
      <c r="AY831" s="38">
        <v>94.76</v>
      </c>
      <c r="BA831" s="37">
        <v>83.21</v>
      </c>
      <c r="BB831" s="38">
        <v>1.2107000000000001</v>
      </c>
    </row>
    <row r="832" spans="1:54" x14ac:dyDescent="0.35">
      <c r="A832" s="2">
        <f t="shared" si="12"/>
        <v>44986</v>
      </c>
      <c r="B832" t="s">
        <v>874</v>
      </c>
      <c r="C832" s="32">
        <v>44986</v>
      </c>
      <c r="D832" s="38">
        <v>118.69</v>
      </c>
      <c r="E832" s="38">
        <v>119.41</v>
      </c>
      <c r="F832" s="38">
        <v>120.59</v>
      </c>
      <c r="G832" s="38">
        <v>119.69</v>
      </c>
      <c r="H832" s="38">
        <v>121.73</v>
      </c>
      <c r="I832" s="38">
        <v>125.35</v>
      </c>
      <c r="J832" s="38">
        <v>127.85</v>
      </c>
      <c r="K832" s="38">
        <v>139.31</v>
      </c>
      <c r="L832" s="38">
        <v>150.12</v>
      </c>
      <c r="M832" s="38">
        <v>152.9</v>
      </c>
      <c r="N832" s="38">
        <v>152.88</v>
      </c>
      <c r="O832" s="38">
        <v>146.27000000000001</v>
      </c>
      <c r="P832" s="38">
        <v>139.07</v>
      </c>
      <c r="Q832" s="38">
        <v>134.28</v>
      </c>
      <c r="R832" s="38">
        <v>128.38999999999999</v>
      </c>
      <c r="S832" s="38">
        <v>124.15</v>
      </c>
      <c r="T832" s="38">
        <v>126.45</v>
      </c>
      <c r="U832" s="38">
        <v>131.83000000000001</v>
      </c>
      <c r="V832" s="38">
        <v>138.1</v>
      </c>
      <c r="W832" s="38">
        <v>141.91999999999999</v>
      </c>
      <c r="X832" s="38">
        <v>143.91999999999999</v>
      </c>
      <c r="Y832" s="38">
        <v>143.88</v>
      </c>
      <c r="Z832" s="38">
        <v>142.97999999999999</v>
      </c>
      <c r="AA832" s="38">
        <v>132.47999999999999</v>
      </c>
      <c r="AB832" s="38">
        <v>122.73</v>
      </c>
      <c r="AC832" s="38">
        <v>113.05</v>
      </c>
      <c r="AD832" s="38">
        <v>101.6</v>
      </c>
      <c r="AE832" s="38">
        <v>102.3</v>
      </c>
      <c r="AF832" s="38">
        <v>104.13</v>
      </c>
      <c r="AG832" s="38">
        <v>108.62</v>
      </c>
      <c r="AH832" s="38">
        <v>114.24</v>
      </c>
      <c r="AI832" s="38">
        <v>118.59</v>
      </c>
      <c r="AJ832" s="38">
        <v>121.91</v>
      </c>
      <c r="AK832" s="38">
        <v>121.62</v>
      </c>
      <c r="AL832" s="38">
        <v>122.53</v>
      </c>
      <c r="AM832" s="38">
        <v>112.89</v>
      </c>
      <c r="AN832" s="38">
        <v>96.56</v>
      </c>
      <c r="AO832" s="38">
        <v>81.56</v>
      </c>
      <c r="AP832" s="38">
        <v>78.959999999999994</v>
      </c>
      <c r="AQ832" s="38">
        <v>76.37</v>
      </c>
      <c r="AR832" s="38">
        <v>73.38</v>
      </c>
      <c r="AS832" s="38">
        <v>75.36</v>
      </c>
      <c r="AT832" s="38">
        <v>79.86</v>
      </c>
      <c r="AU832" s="38">
        <v>86.45</v>
      </c>
      <c r="AV832" s="38">
        <v>93.46</v>
      </c>
      <c r="AW832" s="38">
        <v>101.27</v>
      </c>
      <c r="AX832" s="38">
        <v>101.68</v>
      </c>
      <c r="AY832" s="38">
        <v>95.1</v>
      </c>
      <c r="BA832" s="37">
        <v>83.68</v>
      </c>
      <c r="BB832" s="38">
        <v>1.2007000000000001</v>
      </c>
    </row>
    <row r="833" spans="1:54" x14ac:dyDescent="0.35">
      <c r="A833" s="2">
        <f t="shared" si="12"/>
        <v>44987</v>
      </c>
      <c r="B833" t="s">
        <v>875</v>
      </c>
      <c r="C833" s="32">
        <v>44987</v>
      </c>
      <c r="D833" s="38">
        <v>118.1</v>
      </c>
      <c r="E833" s="38">
        <v>118.99</v>
      </c>
      <c r="F833" s="38">
        <v>120.15</v>
      </c>
      <c r="G833" s="38">
        <v>119.07</v>
      </c>
      <c r="H833" s="38">
        <v>121.17</v>
      </c>
      <c r="I833" s="38">
        <v>124.65</v>
      </c>
      <c r="J833" s="38">
        <v>126.63</v>
      </c>
      <c r="K833" s="38">
        <v>138.08000000000001</v>
      </c>
      <c r="L833" s="38">
        <v>149.22</v>
      </c>
      <c r="M833" s="38">
        <v>152.06</v>
      </c>
      <c r="N833" s="38">
        <v>152.11000000000001</v>
      </c>
      <c r="O833" s="38">
        <v>145.46</v>
      </c>
      <c r="P833" s="38">
        <v>137.85</v>
      </c>
      <c r="Q833" s="38">
        <v>132.72</v>
      </c>
      <c r="R833" s="38">
        <v>126.81</v>
      </c>
      <c r="S833" s="38">
        <v>122.57</v>
      </c>
      <c r="T833" s="38">
        <v>124.87</v>
      </c>
      <c r="U833" s="38">
        <v>130.25</v>
      </c>
      <c r="V833" s="38">
        <v>136.52000000000001</v>
      </c>
      <c r="W833" s="38">
        <v>140.35</v>
      </c>
      <c r="X833" s="38">
        <v>142.35</v>
      </c>
      <c r="Y833" s="38">
        <v>142.25</v>
      </c>
      <c r="Z833" s="38">
        <v>141.35</v>
      </c>
      <c r="AA833" s="38">
        <v>130.85</v>
      </c>
      <c r="AB833" s="38">
        <v>120.4</v>
      </c>
      <c r="AC833" s="38">
        <v>110.72</v>
      </c>
      <c r="AD833" s="38">
        <v>99.27</v>
      </c>
      <c r="AE833" s="38">
        <v>99.96</v>
      </c>
      <c r="AF833" s="38">
        <v>101.79</v>
      </c>
      <c r="AG833" s="38">
        <v>106.28</v>
      </c>
      <c r="AH833" s="38">
        <v>112.75</v>
      </c>
      <c r="AI833" s="38">
        <v>117.82</v>
      </c>
      <c r="AJ833" s="38">
        <v>121.14</v>
      </c>
      <c r="AK833" s="38">
        <v>120.85</v>
      </c>
      <c r="AL833" s="38">
        <v>121.76</v>
      </c>
      <c r="AM833" s="38">
        <v>112.12</v>
      </c>
      <c r="AN833" s="38">
        <v>95.79</v>
      </c>
      <c r="AO833" s="38">
        <v>80.790000000000006</v>
      </c>
      <c r="AP833" s="38">
        <v>78.180000000000007</v>
      </c>
      <c r="AQ833" s="38">
        <v>75.59</v>
      </c>
      <c r="AR833" s="38">
        <v>72.599999999999994</v>
      </c>
      <c r="AS833" s="38">
        <v>74.59</v>
      </c>
      <c r="AT833" s="38">
        <v>79.11</v>
      </c>
      <c r="AU833" s="38">
        <v>85.7</v>
      </c>
      <c r="AV833" s="38">
        <v>92.71</v>
      </c>
      <c r="AW833" s="38">
        <v>100.53</v>
      </c>
      <c r="AX833" s="38">
        <v>100.94</v>
      </c>
      <c r="AY833" s="38">
        <v>94.36</v>
      </c>
      <c r="BA833" s="37">
        <v>84.15</v>
      </c>
      <c r="BB833" s="38">
        <v>1.1954</v>
      </c>
    </row>
    <row r="834" spans="1:54" x14ac:dyDescent="0.35">
      <c r="A834" s="2">
        <f t="shared" si="12"/>
        <v>44988</v>
      </c>
      <c r="B834" t="s">
        <v>876</v>
      </c>
      <c r="C834" s="32">
        <v>44988</v>
      </c>
      <c r="D834" s="38">
        <v>113.18</v>
      </c>
      <c r="E834" s="38">
        <v>113.93</v>
      </c>
      <c r="F834" s="38">
        <v>115.26</v>
      </c>
      <c r="G834" s="38">
        <v>114.18</v>
      </c>
      <c r="H834" s="38">
        <v>115.84</v>
      </c>
      <c r="I834" s="38">
        <v>119.35</v>
      </c>
      <c r="J834" s="38">
        <v>121.38</v>
      </c>
      <c r="K834" s="38">
        <v>133.56</v>
      </c>
      <c r="L834" s="38">
        <v>144.78</v>
      </c>
      <c r="M834" s="38">
        <v>146.74</v>
      </c>
      <c r="N834" s="38">
        <v>146.49</v>
      </c>
      <c r="O834" s="38">
        <v>139.88</v>
      </c>
      <c r="P834" s="38">
        <v>132.19999999999999</v>
      </c>
      <c r="Q834" s="38">
        <v>127.18</v>
      </c>
      <c r="R834" s="38">
        <v>121.66</v>
      </c>
      <c r="S834" s="38">
        <v>118.32</v>
      </c>
      <c r="T834" s="38">
        <v>121.4</v>
      </c>
      <c r="U834" s="38">
        <v>126.78</v>
      </c>
      <c r="V834" s="38">
        <v>131.65</v>
      </c>
      <c r="W834" s="38">
        <v>135.5</v>
      </c>
      <c r="X834" s="38">
        <v>137.51</v>
      </c>
      <c r="Y834" s="38">
        <v>138.33000000000001</v>
      </c>
      <c r="Z834" s="38">
        <v>137.46</v>
      </c>
      <c r="AA834" s="38">
        <v>127</v>
      </c>
      <c r="AB834" s="38">
        <v>117.48</v>
      </c>
      <c r="AC834" s="38">
        <v>108.03</v>
      </c>
      <c r="AD834" s="38">
        <v>96.5</v>
      </c>
      <c r="AE834" s="38">
        <v>97.19</v>
      </c>
      <c r="AF834" s="38">
        <v>99.02</v>
      </c>
      <c r="AG834" s="38">
        <v>103.51</v>
      </c>
      <c r="AH834" s="38">
        <v>109.14</v>
      </c>
      <c r="AI834" s="38">
        <v>114.21</v>
      </c>
      <c r="AJ834" s="38">
        <v>117.5</v>
      </c>
      <c r="AK834" s="38">
        <v>117.19</v>
      </c>
      <c r="AL834" s="38">
        <v>118.1</v>
      </c>
      <c r="AM834" s="38">
        <v>108.46</v>
      </c>
      <c r="AN834" s="38">
        <v>93.12</v>
      </c>
      <c r="AO834" s="38">
        <v>78.33</v>
      </c>
      <c r="AP834" s="38">
        <v>75.73</v>
      </c>
      <c r="AQ834" s="38">
        <v>73.14</v>
      </c>
      <c r="AR834" s="38">
        <v>70.16</v>
      </c>
      <c r="AS834" s="38">
        <v>72.13</v>
      </c>
      <c r="AT834" s="38">
        <v>77.349999999999994</v>
      </c>
      <c r="AU834" s="38">
        <v>83.94</v>
      </c>
      <c r="AV834" s="38">
        <v>90.95</v>
      </c>
      <c r="AW834" s="38">
        <v>98.61</v>
      </c>
      <c r="AX834" s="38">
        <v>99.02</v>
      </c>
      <c r="AY834" s="38">
        <v>92.44</v>
      </c>
      <c r="BA834" s="37">
        <v>85.74</v>
      </c>
      <c r="BB834" s="38">
        <v>1.1977</v>
      </c>
    </row>
    <row r="835" spans="1:54" x14ac:dyDescent="0.35">
      <c r="A835" s="2">
        <f t="shared" si="12"/>
        <v>44991</v>
      </c>
      <c r="B835" t="s">
        <v>877</v>
      </c>
      <c r="C835" s="32">
        <v>44991</v>
      </c>
      <c r="D835" s="38">
        <v>105.66</v>
      </c>
      <c r="E835" s="38">
        <v>106.9</v>
      </c>
      <c r="F835" s="38">
        <v>108.06</v>
      </c>
      <c r="G835" s="38">
        <v>107.27</v>
      </c>
      <c r="H835" s="38">
        <v>109</v>
      </c>
      <c r="I835" s="38">
        <v>111.76</v>
      </c>
      <c r="J835" s="38">
        <v>114.16</v>
      </c>
      <c r="K835" s="38">
        <v>126.09</v>
      </c>
      <c r="L835" s="38">
        <v>137.31</v>
      </c>
      <c r="M835" s="38">
        <v>139.41</v>
      </c>
      <c r="N835" s="38">
        <v>139.16</v>
      </c>
      <c r="O835" s="38">
        <v>133.09</v>
      </c>
      <c r="P835" s="38">
        <v>126.31</v>
      </c>
      <c r="Q835" s="38">
        <v>122.28</v>
      </c>
      <c r="R835" s="38">
        <v>117.26</v>
      </c>
      <c r="S835" s="38">
        <v>113.92</v>
      </c>
      <c r="T835" s="38">
        <v>117</v>
      </c>
      <c r="U835" s="38">
        <v>122.38</v>
      </c>
      <c r="V835" s="38">
        <v>126.38</v>
      </c>
      <c r="W835" s="38">
        <v>130.22999999999999</v>
      </c>
      <c r="X835" s="38">
        <v>132.24</v>
      </c>
      <c r="Y835" s="38">
        <v>133.06</v>
      </c>
      <c r="Z835" s="38">
        <v>132.19</v>
      </c>
      <c r="AA835" s="38">
        <v>122.73</v>
      </c>
      <c r="AB835" s="38">
        <v>113.21</v>
      </c>
      <c r="AC835" s="38">
        <v>104.76</v>
      </c>
      <c r="AD835" s="38">
        <v>95.23</v>
      </c>
      <c r="AE835" s="38">
        <v>95.92</v>
      </c>
      <c r="AF835" s="38">
        <v>97.75</v>
      </c>
      <c r="AG835" s="38">
        <v>102.24</v>
      </c>
      <c r="AH835" s="38">
        <v>106.87</v>
      </c>
      <c r="AI835" s="38">
        <v>111.93</v>
      </c>
      <c r="AJ835" s="38">
        <v>115.22</v>
      </c>
      <c r="AK835" s="38">
        <v>114.91</v>
      </c>
      <c r="AL835" s="38">
        <v>115.82</v>
      </c>
      <c r="AM835" s="38">
        <v>106.18</v>
      </c>
      <c r="AN835" s="38">
        <v>91.34</v>
      </c>
      <c r="AO835" s="38">
        <v>77.05</v>
      </c>
      <c r="AP835" s="38">
        <v>74.45</v>
      </c>
      <c r="AQ835" s="38">
        <v>71.86</v>
      </c>
      <c r="AR835" s="38">
        <v>68.88</v>
      </c>
      <c r="AS835" s="38">
        <v>70.849999999999994</v>
      </c>
      <c r="AT835" s="38">
        <v>76.069999999999993</v>
      </c>
      <c r="AU835" s="38">
        <v>82.66</v>
      </c>
      <c r="AV835" s="38">
        <v>89.67</v>
      </c>
      <c r="AW835" s="38">
        <v>97.33</v>
      </c>
      <c r="AX835" s="38">
        <v>97.74</v>
      </c>
      <c r="AY835" s="38">
        <v>91.16</v>
      </c>
      <c r="BA835" s="37">
        <v>85.86</v>
      </c>
      <c r="BB835" s="38">
        <v>1.2001999999999999</v>
      </c>
    </row>
    <row r="836" spans="1:54" x14ac:dyDescent="0.35">
      <c r="A836" s="2">
        <f t="shared" si="12"/>
        <v>44992</v>
      </c>
      <c r="B836" t="s">
        <v>878</v>
      </c>
      <c r="C836" s="32">
        <v>44992</v>
      </c>
      <c r="D836" s="38">
        <v>108.75</v>
      </c>
      <c r="E836" s="38">
        <v>109.67</v>
      </c>
      <c r="F836" s="38">
        <v>110.02</v>
      </c>
      <c r="G836" s="38">
        <v>109.47</v>
      </c>
      <c r="H836" s="38">
        <v>111.97</v>
      </c>
      <c r="I836" s="38">
        <v>114.95</v>
      </c>
      <c r="J836" s="38">
        <v>117.23</v>
      </c>
      <c r="K836" s="38">
        <v>128.56</v>
      </c>
      <c r="L836" s="38">
        <v>139.13</v>
      </c>
      <c r="M836" s="38">
        <v>141.41</v>
      </c>
      <c r="N836" s="38">
        <v>141.22999999999999</v>
      </c>
      <c r="O836" s="38">
        <v>135.21</v>
      </c>
      <c r="P836" s="38">
        <v>127.54</v>
      </c>
      <c r="Q836" s="38">
        <v>123.64</v>
      </c>
      <c r="R836" s="38">
        <v>118.75</v>
      </c>
      <c r="S836" s="38">
        <v>115.53</v>
      </c>
      <c r="T836" s="38">
        <v>118.73</v>
      </c>
      <c r="U836" s="38">
        <v>124.23</v>
      </c>
      <c r="V836" s="38">
        <v>128.44999999999999</v>
      </c>
      <c r="W836" s="38">
        <v>132.30000000000001</v>
      </c>
      <c r="X836" s="38">
        <v>134.31</v>
      </c>
      <c r="Y836" s="38">
        <v>135.13</v>
      </c>
      <c r="Z836" s="38">
        <v>134.26</v>
      </c>
      <c r="AA836" s="38">
        <v>124.8</v>
      </c>
      <c r="AB836" s="38">
        <v>114.22</v>
      </c>
      <c r="AC836" s="38">
        <v>105.76</v>
      </c>
      <c r="AD836" s="38">
        <v>96.23</v>
      </c>
      <c r="AE836" s="38">
        <v>96.92</v>
      </c>
      <c r="AF836" s="38">
        <v>98.75</v>
      </c>
      <c r="AG836" s="38">
        <v>103.24</v>
      </c>
      <c r="AH836" s="38">
        <v>107.87</v>
      </c>
      <c r="AI836" s="38">
        <v>112.93</v>
      </c>
      <c r="AJ836" s="38">
        <v>116.22</v>
      </c>
      <c r="AK836" s="38">
        <v>115.91</v>
      </c>
      <c r="AL836" s="38">
        <v>116.82</v>
      </c>
      <c r="AM836" s="38">
        <v>107.18</v>
      </c>
      <c r="AN836" s="38">
        <v>92.34</v>
      </c>
      <c r="AO836" s="38">
        <v>78.05</v>
      </c>
      <c r="AP836" s="38">
        <v>75.45</v>
      </c>
      <c r="AQ836" s="38">
        <v>72.86</v>
      </c>
      <c r="AR836" s="38">
        <v>69.88</v>
      </c>
      <c r="AS836" s="38">
        <v>71.849999999999994</v>
      </c>
      <c r="AT836" s="38">
        <v>77.069999999999993</v>
      </c>
      <c r="AU836" s="38">
        <v>83.66</v>
      </c>
      <c r="AV836" s="38">
        <v>90.67</v>
      </c>
      <c r="AW836" s="38">
        <v>98.33</v>
      </c>
      <c r="AX836" s="38">
        <v>98.74</v>
      </c>
      <c r="AY836" s="38">
        <v>92.16</v>
      </c>
      <c r="BA836" s="37">
        <v>83.03</v>
      </c>
      <c r="BB836" s="38">
        <v>1.1872</v>
      </c>
    </row>
    <row r="837" spans="1:54" x14ac:dyDescent="0.35">
      <c r="A837" s="2">
        <f t="shared" si="12"/>
        <v>44993</v>
      </c>
      <c r="B837" t="s">
        <v>879</v>
      </c>
      <c r="C837" s="32">
        <v>44993</v>
      </c>
      <c r="D837" s="38">
        <v>106.85</v>
      </c>
      <c r="E837" s="38">
        <v>108.32</v>
      </c>
      <c r="F837" s="38">
        <v>108.85</v>
      </c>
      <c r="G837" s="38">
        <v>108.26</v>
      </c>
      <c r="H837" s="38">
        <v>110.52</v>
      </c>
      <c r="I837" s="38">
        <v>113.26</v>
      </c>
      <c r="J837" s="38">
        <v>116.02</v>
      </c>
      <c r="K837" s="38">
        <v>127.35</v>
      </c>
      <c r="L837" s="38">
        <v>137.91999999999999</v>
      </c>
      <c r="M837" s="38">
        <v>140.18</v>
      </c>
      <c r="N837" s="38">
        <v>139.97</v>
      </c>
      <c r="O837" s="38">
        <v>133.91999999999999</v>
      </c>
      <c r="P837" s="38">
        <v>127.65</v>
      </c>
      <c r="Q837" s="38">
        <v>123.75</v>
      </c>
      <c r="R837" s="38">
        <v>118.86</v>
      </c>
      <c r="S837" s="38">
        <v>115.64</v>
      </c>
      <c r="T837" s="38">
        <v>118.84</v>
      </c>
      <c r="U837" s="38">
        <v>124.34</v>
      </c>
      <c r="V837" s="38">
        <v>128.56</v>
      </c>
      <c r="W837" s="38">
        <v>132.41</v>
      </c>
      <c r="X837" s="38">
        <v>134.41999999999999</v>
      </c>
      <c r="Y837" s="38">
        <v>135.24</v>
      </c>
      <c r="Z837" s="38">
        <v>134.37</v>
      </c>
      <c r="AA837" s="38">
        <v>124.91</v>
      </c>
      <c r="AB837" s="38">
        <v>112.33</v>
      </c>
      <c r="AC837" s="38">
        <v>103.87</v>
      </c>
      <c r="AD837" s="38">
        <v>94.34</v>
      </c>
      <c r="AE837" s="38">
        <v>95.03</v>
      </c>
      <c r="AF837" s="38">
        <v>96.86</v>
      </c>
      <c r="AG837" s="38">
        <v>101.35</v>
      </c>
      <c r="AH837" s="38">
        <v>105.98</v>
      </c>
      <c r="AI837" s="38">
        <v>111.04</v>
      </c>
      <c r="AJ837" s="38">
        <v>114.33</v>
      </c>
      <c r="AK837" s="38">
        <v>114.02</v>
      </c>
      <c r="AL837" s="38">
        <v>114.93</v>
      </c>
      <c r="AM837" s="38">
        <v>105.29</v>
      </c>
      <c r="AN837" s="38">
        <v>90.45</v>
      </c>
      <c r="AO837" s="38">
        <v>76.16</v>
      </c>
      <c r="AP837" s="38">
        <v>73.56</v>
      </c>
      <c r="AQ837" s="38">
        <v>70.97</v>
      </c>
      <c r="AR837" s="38">
        <v>67.989999999999995</v>
      </c>
      <c r="AS837" s="38">
        <v>69.959999999999994</v>
      </c>
      <c r="AT837" s="38">
        <v>75.180000000000007</v>
      </c>
      <c r="AU837" s="38">
        <v>81.77</v>
      </c>
      <c r="AV837" s="38">
        <v>88.78</v>
      </c>
      <c r="AW837" s="38">
        <v>96.44</v>
      </c>
      <c r="AX837" s="38">
        <v>96.85</v>
      </c>
      <c r="AY837" s="38">
        <v>90.27</v>
      </c>
      <c r="BA837" s="37">
        <v>82.1</v>
      </c>
      <c r="BB837" s="38">
        <v>1.1837</v>
      </c>
    </row>
    <row r="838" spans="1:54" x14ac:dyDescent="0.35">
      <c r="A838" s="2">
        <f t="shared" si="12"/>
        <v>44994</v>
      </c>
      <c r="B838" t="s">
        <v>880</v>
      </c>
      <c r="C838" s="32">
        <v>44994</v>
      </c>
      <c r="D838" s="38">
        <v>109.59</v>
      </c>
      <c r="E838" s="38">
        <v>111.05</v>
      </c>
      <c r="F838" s="38">
        <v>111.85</v>
      </c>
      <c r="G838" s="38">
        <v>111.2</v>
      </c>
      <c r="H838" s="38">
        <v>113.48</v>
      </c>
      <c r="I838" s="38">
        <v>116.13</v>
      </c>
      <c r="J838" s="38">
        <v>118.58</v>
      </c>
      <c r="K838" s="38">
        <v>129.88</v>
      </c>
      <c r="L838" s="38">
        <v>140.44999999999999</v>
      </c>
      <c r="M838" s="38">
        <v>142.71</v>
      </c>
      <c r="N838" s="38">
        <v>142.5</v>
      </c>
      <c r="O838" s="38">
        <v>136.44</v>
      </c>
      <c r="P838" s="38">
        <v>129.63999999999999</v>
      </c>
      <c r="Q838" s="38">
        <v>125.74</v>
      </c>
      <c r="R838" s="38">
        <v>121.85</v>
      </c>
      <c r="S838" s="38">
        <v>119.83</v>
      </c>
      <c r="T838" s="38">
        <v>123.03</v>
      </c>
      <c r="U838" s="38">
        <v>127.03</v>
      </c>
      <c r="V838" s="38">
        <v>131.25</v>
      </c>
      <c r="W838" s="38">
        <v>134.30000000000001</v>
      </c>
      <c r="X838" s="38">
        <v>136.31</v>
      </c>
      <c r="Y838" s="38">
        <v>137.13</v>
      </c>
      <c r="Z838" s="38">
        <v>136.26</v>
      </c>
      <c r="AA838" s="38">
        <v>126.8</v>
      </c>
      <c r="AB838" s="38">
        <v>113.48</v>
      </c>
      <c r="AC838" s="38">
        <v>103.02</v>
      </c>
      <c r="AD838" s="38">
        <v>93.49</v>
      </c>
      <c r="AE838" s="38">
        <v>94.18</v>
      </c>
      <c r="AF838" s="38">
        <v>96.01</v>
      </c>
      <c r="AG838" s="38">
        <v>100.5</v>
      </c>
      <c r="AH838" s="38">
        <v>105.13</v>
      </c>
      <c r="AI838" s="38">
        <v>110.19</v>
      </c>
      <c r="AJ838" s="38">
        <v>113.48</v>
      </c>
      <c r="AK838" s="38">
        <v>113.17</v>
      </c>
      <c r="AL838" s="38">
        <v>114.08</v>
      </c>
      <c r="AM838" s="38">
        <v>104.44</v>
      </c>
      <c r="AN838" s="38">
        <v>89.6</v>
      </c>
      <c r="AO838" s="38">
        <v>75.31</v>
      </c>
      <c r="AP838" s="38">
        <v>72.709999999999994</v>
      </c>
      <c r="AQ838" s="38">
        <v>70.12</v>
      </c>
      <c r="AR838" s="38">
        <v>67.14</v>
      </c>
      <c r="AS838" s="38">
        <v>69.11</v>
      </c>
      <c r="AT838" s="38">
        <v>74.33</v>
      </c>
      <c r="AU838" s="38">
        <v>80.92</v>
      </c>
      <c r="AV838" s="38">
        <v>87.93</v>
      </c>
      <c r="AW838" s="38">
        <v>95.59</v>
      </c>
      <c r="AX838" s="38">
        <v>96</v>
      </c>
      <c r="AY838" s="38">
        <v>89.42</v>
      </c>
      <c r="BA838" s="37">
        <v>81</v>
      </c>
      <c r="BB838" s="38">
        <v>1.1892</v>
      </c>
    </row>
    <row r="839" spans="1:54" x14ac:dyDescent="0.35">
      <c r="A839" s="2">
        <f t="shared" si="12"/>
        <v>44995</v>
      </c>
      <c r="B839" t="s">
        <v>881</v>
      </c>
      <c r="C839" s="32">
        <v>44995</v>
      </c>
      <c r="D839" s="38">
        <v>133.56</v>
      </c>
      <c r="E839" s="38">
        <v>134.51</v>
      </c>
      <c r="F839" s="38">
        <v>135.16</v>
      </c>
      <c r="G839" s="38">
        <v>134.36000000000001</v>
      </c>
      <c r="H839" s="38">
        <v>136.66</v>
      </c>
      <c r="I839" s="38">
        <v>139.16</v>
      </c>
      <c r="J839" s="38">
        <v>140.66</v>
      </c>
      <c r="K839" s="38">
        <v>151.96</v>
      </c>
      <c r="L839" s="38">
        <v>162.66</v>
      </c>
      <c r="M839" s="38">
        <v>164.78</v>
      </c>
      <c r="N839" s="38">
        <v>164.85</v>
      </c>
      <c r="O839" s="38">
        <v>158.80000000000001</v>
      </c>
      <c r="P839" s="38">
        <v>148.49</v>
      </c>
      <c r="Q839" s="38">
        <v>143.59</v>
      </c>
      <c r="R839" s="38">
        <v>139.71</v>
      </c>
      <c r="S839" s="38">
        <v>137.69</v>
      </c>
      <c r="T839" s="38">
        <v>140.88999999999999</v>
      </c>
      <c r="U839" s="38">
        <v>144.88999999999999</v>
      </c>
      <c r="V839" s="38">
        <v>149.11000000000001</v>
      </c>
      <c r="W839" s="38">
        <v>152.16</v>
      </c>
      <c r="X839" s="38">
        <v>154.16999999999999</v>
      </c>
      <c r="Y839" s="38">
        <v>154.99</v>
      </c>
      <c r="Z839" s="38">
        <v>154.11000000000001</v>
      </c>
      <c r="AA839" s="38">
        <v>144.65</v>
      </c>
      <c r="AB839" s="38">
        <v>127.3</v>
      </c>
      <c r="AC839" s="38">
        <v>115.84</v>
      </c>
      <c r="AD839" s="38">
        <v>106.31</v>
      </c>
      <c r="AE839" s="38">
        <v>107</v>
      </c>
      <c r="AF839" s="38">
        <v>108.82</v>
      </c>
      <c r="AG839" s="38">
        <v>112.31</v>
      </c>
      <c r="AH839" s="38">
        <v>115.94</v>
      </c>
      <c r="AI839" s="38">
        <v>119</v>
      </c>
      <c r="AJ839" s="38">
        <v>122.29</v>
      </c>
      <c r="AK839" s="38">
        <v>121.98</v>
      </c>
      <c r="AL839" s="38">
        <v>122.89</v>
      </c>
      <c r="AM839" s="38">
        <v>113.25</v>
      </c>
      <c r="AN839" s="38">
        <v>97.41</v>
      </c>
      <c r="AO839" s="38">
        <v>82.12</v>
      </c>
      <c r="AP839" s="38">
        <v>79.52</v>
      </c>
      <c r="AQ839" s="38">
        <v>76.930000000000007</v>
      </c>
      <c r="AR839" s="38">
        <v>73.95</v>
      </c>
      <c r="AS839" s="38">
        <v>75.92</v>
      </c>
      <c r="AT839" s="38">
        <v>81.14</v>
      </c>
      <c r="AU839" s="38">
        <v>87.73</v>
      </c>
      <c r="AV839" s="38">
        <v>94.74</v>
      </c>
      <c r="AW839" s="38">
        <v>102.4</v>
      </c>
      <c r="AX839" s="38">
        <v>102.81</v>
      </c>
      <c r="AY839" s="38">
        <v>96.23</v>
      </c>
      <c r="BA839" s="37">
        <v>82.3</v>
      </c>
      <c r="BB839" s="38">
        <v>1.2101999999999999</v>
      </c>
    </row>
    <row r="840" spans="1:54" x14ac:dyDescent="0.35">
      <c r="A840" s="2">
        <f t="shared" si="12"/>
        <v>44998</v>
      </c>
      <c r="B840" t="s">
        <v>882</v>
      </c>
      <c r="C840" s="32">
        <v>44998</v>
      </c>
      <c r="D840" s="38">
        <v>125.08</v>
      </c>
      <c r="E840" s="38">
        <v>126.32</v>
      </c>
      <c r="F840" s="38">
        <v>127.32</v>
      </c>
      <c r="G840" s="38">
        <v>126.52</v>
      </c>
      <c r="H840" s="38">
        <v>128.84</v>
      </c>
      <c r="I840" s="38">
        <v>130.9</v>
      </c>
      <c r="J840" s="38">
        <v>133.77000000000001</v>
      </c>
      <c r="K840" s="38">
        <v>145.07</v>
      </c>
      <c r="L840" s="38">
        <v>155.65</v>
      </c>
      <c r="M840" s="38">
        <v>157.52000000000001</v>
      </c>
      <c r="N840" s="38">
        <v>156.79</v>
      </c>
      <c r="O840" s="38">
        <v>147.62</v>
      </c>
      <c r="P840" s="38">
        <v>141.02000000000001</v>
      </c>
      <c r="Q840" s="38">
        <v>141</v>
      </c>
      <c r="R840" s="38">
        <v>134.06</v>
      </c>
      <c r="S840" s="38">
        <v>131.61000000000001</v>
      </c>
      <c r="T840" s="38">
        <v>134.78</v>
      </c>
      <c r="U840" s="38">
        <v>138.46</v>
      </c>
      <c r="V840" s="38">
        <v>143.30000000000001</v>
      </c>
      <c r="W840" s="38">
        <v>146.35</v>
      </c>
      <c r="X840" s="38">
        <v>148.46</v>
      </c>
      <c r="Y840" s="38">
        <v>149.43</v>
      </c>
      <c r="Z840" s="38">
        <v>148.55000000000001</v>
      </c>
      <c r="AA840" s="38">
        <v>139.09</v>
      </c>
      <c r="AB840" s="38">
        <v>122.8</v>
      </c>
      <c r="AC840" s="38">
        <v>112.15</v>
      </c>
      <c r="AD840" s="38">
        <v>102.62</v>
      </c>
      <c r="AE840" s="38">
        <v>103.31</v>
      </c>
      <c r="AF840" s="38">
        <v>105.13</v>
      </c>
      <c r="AG840" s="38">
        <v>108.51</v>
      </c>
      <c r="AH840" s="38">
        <v>111.93</v>
      </c>
      <c r="AI840" s="38">
        <v>114.99</v>
      </c>
      <c r="AJ840" s="38">
        <v>118.28</v>
      </c>
      <c r="AK840" s="38">
        <v>118.2</v>
      </c>
      <c r="AL840" s="38">
        <v>119.11</v>
      </c>
      <c r="AM840" s="38">
        <v>108.98</v>
      </c>
      <c r="AN840" s="38">
        <v>92.7</v>
      </c>
      <c r="AO840" s="38">
        <v>77.41</v>
      </c>
      <c r="AP840" s="38">
        <v>74.81</v>
      </c>
      <c r="AQ840" s="38">
        <v>72.22</v>
      </c>
      <c r="AR840" s="38">
        <v>69.25</v>
      </c>
      <c r="AS840" s="38">
        <v>71.22</v>
      </c>
      <c r="AT840" s="38">
        <v>75.73</v>
      </c>
      <c r="AU840" s="38">
        <v>82.31</v>
      </c>
      <c r="AV840" s="38">
        <v>89.35</v>
      </c>
      <c r="AW840" s="38">
        <v>95.67</v>
      </c>
      <c r="AX840" s="38">
        <v>96.08</v>
      </c>
      <c r="AY840" s="38">
        <v>89.5</v>
      </c>
      <c r="BA840" s="37">
        <v>79.67</v>
      </c>
      <c r="BB840" s="38">
        <v>1.2159</v>
      </c>
    </row>
    <row r="841" spans="1:54" x14ac:dyDescent="0.35">
      <c r="A841" s="2">
        <f t="shared" si="12"/>
        <v>44999</v>
      </c>
      <c r="B841" t="s">
        <v>883</v>
      </c>
      <c r="C841" s="32">
        <v>44999</v>
      </c>
      <c r="D841" s="38">
        <v>110.52</v>
      </c>
      <c r="E841" s="38">
        <v>111.92</v>
      </c>
      <c r="F841" s="38">
        <v>113.13</v>
      </c>
      <c r="G841" s="38">
        <v>112.52</v>
      </c>
      <c r="H841" s="38">
        <v>114.72</v>
      </c>
      <c r="I841" s="38">
        <v>117.2</v>
      </c>
      <c r="J841" s="38">
        <v>118.96</v>
      </c>
      <c r="K841" s="38">
        <v>130.22</v>
      </c>
      <c r="L841" s="38">
        <v>141.12</v>
      </c>
      <c r="M841" s="38">
        <v>143.25</v>
      </c>
      <c r="N841" s="38">
        <v>143.5</v>
      </c>
      <c r="O841" s="38">
        <v>137.30000000000001</v>
      </c>
      <c r="P841" s="38">
        <v>131.71</v>
      </c>
      <c r="Q841" s="38">
        <v>126.6</v>
      </c>
      <c r="R841" s="38">
        <v>122.04</v>
      </c>
      <c r="S841" s="38">
        <v>119.75</v>
      </c>
      <c r="T841" s="38">
        <v>123.14</v>
      </c>
      <c r="U841" s="38">
        <v>126.64</v>
      </c>
      <c r="V841" s="38">
        <v>131.08000000000001</v>
      </c>
      <c r="W841" s="38">
        <v>134</v>
      </c>
      <c r="X841" s="38">
        <v>136.11000000000001</v>
      </c>
      <c r="Y841" s="38">
        <v>137.05000000000001</v>
      </c>
      <c r="Z841" s="38">
        <v>136.16</v>
      </c>
      <c r="AA841" s="38">
        <v>127.33</v>
      </c>
      <c r="AB841" s="38">
        <v>113.66</v>
      </c>
      <c r="AC841" s="38">
        <v>104.26</v>
      </c>
      <c r="AD841" s="38">
        <v>94.73</v>
      </c>
      <c r="AE841" s="38">
        <v>95.42</v>
      </c>
      <c r="AF841" s="38">
        <v>97.24</v>
      </c>
      <c r="AG841" s="38">
        <v>100.62</v>
      </c>
      <c r="AH841" s="38">
        <v>104.72</v>
      </c>
      <c r="AI841" s="38">
        <v>108.35</v>
      </c>
      <c r="AJ841" s="38">
        <v>111.64</v>
      </c>
      <c r="AK841" s="38">
        <v>111.57</v>
      </c>
      <c r="AL841" s="38">
        <v>112.48</v>
      </c>
      <c r="AM841" s="38">
        <v>102.35</v>
      </c>
      <c r="AN841" s="38">
        <v>86.57</v>
      </c>
      <c r="AO841" s="38">
        <v>71.28</v>
      </c>
      <c r="AP841" s="38">
        <v>68.680000000000007</v>
      </c>
      <c r="AQ841" s="38">
        <v>66.09</v>
      </c>
      <c r="AR841" s="38">
        <v>63.12</v>
      </c>
      <c r="AS841" s="38">
        <v>65.09</v>
      </c>
      <c r="AT841" s="38">
        <v>69.22</v>
      </c>
      <c r="AU841" s="38">
        <v>75.8</v>
      </c>
      <c r="AV841" s="38">
        <v>82.83</v>
      </c>
      <c r="AW841" s="38">
        <v>89.5</v>
      </c>
      <c r="AX841" s="38">
        <v>89.91</v>
      </c>
      <c r="AY841" s="38">
        <v>83.31</v>
      </c>
      <c r="BA841" s="37">
        <v>76.77</v>
      </c>
      <c r="BB841" s="38">
        <v>1.2145999999999999</v>
      </c>
    </row>
    <row r="842" spans="1:54" x14ac:dyDescent="0.35">
      <c r="A842" s="2">
        <f t="shared" si="12"/>
        <v>45000</v>
      </c>
      <c r="B842" t="s">
        <v>884</v>
      </c>
      <c r="C842" s="32">
        <v>45000</v>
      </c>
      <c r="D842" s="38">
        <v>106.3</v>
      </c>
      <c r="E842" s="38">
        <v>107.74</v>
      </c>
      <c r="F842" s="38">
        <v>109.33</v>
      </c>
      <c r="G842" s="38">
        <v>108.93</v>
      </c>
      <c r="H842" s="38">
        <v>110.95</v>
      </c>
      <c r="I842" s="38">
        <v>113.41</v>
      </c>
      <c r="J842" s="38">
        <v>115.41</v>
      </c>
      <c r="K842" s="38">
        <v>126.5</v>
      </c>
      <c r="L842" s="38">
        <v>137.6</v>
      </c>
      <c r="M842" s="38">
        <v>139.5</v>
      </c>
      <c r="N842" s="38">
        <v>139.91</v>
      </c>
      <c r="O842" s="38">
        <v>134.01</v>
      </c>
      <c r="P842" s="38">
        <v>127.63</v>
      </c>
      <c r="Q842" s="38">
        <v>121.46</v>
      </c>
      <c r="R842" s="38">
        <v>116.85</v>
      </c>
      <c r="S842" s="38">
        <v>114.71</v>
      </c>
      <c r="T842" s="38">
        <v>118.11</v>
      </c>
      <c r="U842" s="38">
        <v>121.22</v>
      </c>
      <c r="V842" s="38">
        <v>126.05</v>
      </c>
      <c r="W842" s="38">
        <v>128.97</v>
      </c>
      <c r="X842" s="38">
        <v>131.09</v>
      </c>
      <c r="Y842" s="38">
        <v>132.24</v>
      </c>
      <c r="Z842" s="38">
        <v>131.36000000000001</v>
      </c>
      <c r="AA842" s="38">
        <v>122.54</v>
      </c>
      <c r="AB842" s="38">
        <v>111.14</v>
      </c>
      <c r="AC842" s="38">
        <v>101.75</v>
      </c>
      <c r="AD842" s="38">
        <v>92.25</v>
      </c>
      <c r="AE842" s="38">
        <v>93.03</v>
      </c>
      <c r="AF842" s="38">
        <v>94.86</v>
      </c>
      <c r="AG842" s="38">
        <v>98.26</v>
      </c>
      <c r="AH842" s="38">
        <v>103.88</v>
      </c>
      <c r="AI842" s="38">
        <v>107.52</v>
      </c>
      <c r="AJ842" s="38">
        <v>110.82</v>
      </c>
      <c r="AK842" s="38">
        <v>109.76</v>
      </c>
      <c r="AL842" s="38">
        <v>110.68</v>
      </c>
      <c r="AM842" s="38">
        <v>100.57</v>
      </c>
      <c r="AN842" s="38">
        <v>86.87</v>
      </c>
      <c r="AO842" s="38">
        <v>74.88</v>
      </c>
      <c r="AP842" s="38">
        <v>72.28</v>
      </c>
      <c r="AQ842" s="38">
        <v>69.69</v>
      </c>
      <c r="AR842" s="38">
        <v>66.72</v>
      </c>
      <c r="AS842" s="38">
        <v>68.69</v>
      </c>
      <c r="AT842" s="38">
        <v>73.62</v>
      </c>
      <c r="AU842" s="38">
        <v>80.2</v>
      </c>
      <c r="AV842" s="38">
        <v>87.23</v>
      </c>
      <c r="AW842" s="38">
        <v>93.48</v>
      </c>
      <c r="AX842" s="38">
        <v>93.89</v>
      </c>
      <c r="AY842" s="38">
        <v>87.29</v>
      </c>
      <c r="BA842" s="37">
        <v>74.3</v>
      </c>
      <c r="BB842" s="38">
        <v>1.2028000000000001</v>
      </c>
    </row>
    <row r="843" spans="1:54" x14ac:dyDescent="0.35">
      <c r="A843" s="2">
        <f t="shared" si="12"/>
        <v>45001</v>
      </c>
      <c r="B843" t="s">
        <v>885</v>
      </c>
      <c r="C843" s="32">
        <v>45001</v>
      </c>
      <c r="D843" s="38">
        <v>109.19</v>
      </c>
      <c r="E843" s="38">
        <v>111.12</v>
      </c>
      <c r="F843" s="38">
        <v>113.58</v>
      </c>
      <c r="G843" s="38">
        <v>112.91</v>
      </c>
      <c r="H843" s="38">
        <v>114.91</v>
      </c>
      <c r="I843" s="38">
        <v>117.41</v>
      </c>
      <c r="J843" s="38">
        <v>119.9</v>
      </c>
      <c r="K843" s="38">
        <v>131.1</v>
      </c>
      <c r="L843" s="38">
        <v>142.19999999999999</v>
      </c>
      <c r="M843" s="38">
        <v>144.1</v>
      </c>
      <c r="N843" s="38">
        <v>144.51</v>
      </c>
      <c r="O843" s="38">
        <v>138.62</v>
      </c>
      <c r="P843" s="38">
        <v>132.56</v>
      </c>
      <c r="Q843" s="38">
        <v>127.14</v>
      </c>
      <c r="R843" s="38">
        <v>122.53</v>
      </c>
      <c r="S843" s="38">
        <v>120.39</v>
      </c>
      <c r="T843" s="38">
        <v>123.8</v>
      </c>
      <c r="U843" s="38">
        <v>126.91</v>
      </c>
      <c r="V843" s="38">
        <v>131.74</v>
      </c>
      <c r="W843" s="38">
        <v>134.66</v>
      </c>
      <c r="X843" s="38">
        <v>136.79</v>
      </c>
      <c r="Y843" s="38">
        <v>137.94999999999999</v>
      </c>
      <c r="Z843" s="38">
        <v>136.94</v>
      </c>
      <c r="AA843" s="38">
        <v>126.79</v>
      </c>
      <c r="AB843" s="38">
        <v>114.06</v>
      </c>
      <c r="AC843" s="38">
        <v>103.89</v>
      </c>
      <c r="AD843" s="38">
        <v>94.2</v>
      </c>
      <c r="AE843" s="38">
        <v>94.53</v>
      </c>
      <c r="AF843" s="38">
        <v>96.43</v>
      </c>
      <c r="AG843" s="38">
        <v>99.95</v>
      </c>
      <c r="AH843" s="38">
        <v>106.73</v>
      </c>
      <c r="AI843" s="38">
        <v>110.37</v>
      </c>
      <c r="AJ843" s="38">
        <v>113.67</v>
      </c>
      <c r="AK843" s="38">
        <v>112.61</v>
      </c>
      <c r="AL843" s="38">
        <v>113.53</v>
      </c>
      <c r="AM843" s="38">
        <v>103.42</v>
      </c>
      <c r="AN843" s="38">
        <v>89.72</v>
      </c>
      <c r="AO843" s="38">
        <v>77.73</v>
      </c>
      <c r="AP843" s="38">
        <v>75.13</v>
      </c>
      <c r="AQ843" s="38">
        <v>72.540000000000006</v>
      </c>
      <c r="AR843" s="38">
        <v>69.569999999999993</v>
      </c>
      <c r="AS843" s="38">
        <v>71.540000000000006</v>
      </c>
      <c r="AT843" s="38">
        <v>76.47</v>
      </c>
      <c r="AU843" s="38">
        <v>83.05</v>
      </c>
      <c r="AV843" s="38">
        <v>90.08</v>
      </c>
      <c r="AW843" s="38">
        <v>96.33</v>
      </c>
      <c r="AX843" s="38">
        <v>96.74</v>
      </c>
      <c r="AY843" s="38">
        <v>90.14</v>
      </c>
      <c r="BA843" s="37">
        <v>73.12</v>
      </c>
      <c r="BB843" s="38">
        <v>1.2109000000000001</v>
      </c>
    </row>
    <row r="844" spans="1:54" x14ac:dyDescent="0.35">
      <c r="A844" s="2">
        <f t="shared" si="12"/>
        <v>45002</v>
      </c>
      <c r="B844" t="s">
        <v>886</v>
      </c>
      <c r="C844" s="32">
        <v>45002</v>
      </c>
      <c r="D844" s="38">
        <v>103.97</v>
      </c>
      <c r="E844" s="38">
        <v>106.62</v>
      </c>
      <c r="F844" s="38">
        <v>108.99</v>
      </c>
      <c r="G844" s="38">
        <v>108.53</v>
      </c>
      <c r="H844" s="38">
        <v>110.25</v>
      </c>
      <c r="I844" s="38">
        <v>112.75</v>
      </c>
      <c r="J844" s="38">
        <v>116.25</v>
      </c>
      <c r="K844" s="38">
        <v>127.52</v>
      </c>
      <c r="L844" s="38">
        <v>138.62</v>
      </c>
      <c r="M844" s="38">
        <v>140.83000000000001</v>
      </c>
      <c r="N844" s="38">
        <v>141.43</v>
      </c>
      <c r="O844" s="38">
        <v>136.18</v>
      </c>
      <c r="P844" s="38">
        <v>130.56</v>
      </c>
      <c r="Q844" s="38">
        <v>125.43</v>
      </c>
      <c r="R844" s="38">
        <v>120.82</v>
      </c>
      <c r="S844" s="38">
        <v>118.68</v>
      </c>
      <c r="T844" s="38">
        <v>122.09</v>
      </c>
      <c r="U844" s="38">
        <v>125.2</v>
      </c>
      <c r="V844" s="38">
        <v>130.9</v>
      </c>
      <c r="W844" s="38">
        <v>134.22</v>
      </c>
      <c r="X844" s="38">
        <v>136.35</v>
      </c>
      <c r="Y844" s="38">
        <v>137.51</v>
      </c>
      <c r="Z844" s="38">
        <v>136.5</v>
      </c>
      <c r="AA844" s="38">
        <v>126.35</v>
      </c>
      <c r="AB844" s="38">
        <v>113.17</v>
      </c>
      <c r="AC844" s="38">
        <v>102.74</v>
      </c>
      <c r="AD844" s="38">
        <v>93.05</v>
      </c>
      <c r="AE844" s="38">
        <v>93.38</v>
      </c>
      <c r="AF844" s="38">
        <v>95.28</v>
      </c>
      <c r="AG844" s="38">
        <v>98.8</v>
      </c>
      <c r="AH844" s="38">
        <v>105.47</v>
      </c>
      <c r="AI844" s="38">
        <v>109.06</v>
      </c>
      <c r="AJ844" s="38">
        <v>112.36</v>
      </c>
      <c r="AK844" s="38">
        <v>111.3</v>
      </c>
      <c r="AL844" s="38">
        <v>112.22</v>
      </c>
      <c r="AM844" s="38">
        <v>102.11</v>
      </c>
      <c r="AN844" s="38">
        <v>88.41</v>
      </c>
      <c r="AO844" s="38">
        <v>76.42</v>
      </c>
      <c r="AP844" s="38">
        <v>73.819999999999993</v>
      </c>
      <c r="AQ844" s="38">
        <v>71.23</v>
      </c>
      <c r="AR844" s="38">
        <v>68.260000000000005</v>
      </c>
      <c r="AS844" s="38">
        <v>70.23</v>
      </c>
      <c r="AT844" s="38">
        <v>75.16</v>
      </c>
      <c r="AU844" s="38">
        <v>81.739999999999995</v>
      </c>
      <c r="AV844" s="38">
        <v>88.77</v>
      </c>
      <c r="AW844" s="38">
        <v>95.02</v>
      </c>
      <c r="AX844" s="38">
        <v>95.43</v>
      </c>
      <c r="AY844" s="38">
        <v>88.83</v>
      </c>
      <c r="BA844" s="37">
        <v>71.03</v>
      </c>
      <c r="BB844" s="38">
        <v>1.214</v>
      </c>
    </row>
    <row r="845" spans="1:54" x14ac:dyDescent="0.35">
      <c r="A845" s="2">
        <f t="shared" ref="A845:A908" si="13">+A840+7</f>
        <v>45005</v>
      </c>
      <c r="B845" t="s">
        <v>887</v>
      </c>
      <c r="C845" s="32">
        <v>45005</v>
      </c>
      <c r="D845" s="38">
        <v>94.28</v>
      </c>
      <c r="E845" s="38">
        <v>96.87</v>
      </c>
      <c r="F845" s="38">
        <v>99.2</v>
      </c>
      <c r="G845" s="38">
        <v>99</v>
      </c>
      <c r="H845" s="38">
        <v>101.18</v>
      </c>
      <c r="I845" s="38">
        <v>104.15</v>
      </c>
      <c r="J845" s="38">
        <v>107.65</v>
      </c>
      <c r="K845" s="38">
        <v>119.37</v>
      </c>
      <c r="L845" s="38">
        <v>130.37</v>
      </c>
      <c r="M845" s="38">
        <v>132.69999999999999</v>
      </c>
      <c r="N845" s="38">
        <v>132.69999999999999</v>
      </c>
      <c r="O845" s="38">
        <v>127.52</v>
      </c>
      <c r="P845" s="38">
        <v>122.61</v>
      </c>
      <c r="Q845" s="38">
        <v>118.34</v>
      </c>
      <c r="R845" s="38">
        <v>114.24</v>
      </c>
      <c r="S845" s="38">
        <v>111.98</v>
      </c>
      <c r="T845" s="38">
        <v>114.98</v>
      </c>
      <c r="U845" s="38">
        <v>116.58</v>
      </c>
      <c r="V845" s="38">
        <v>119.18</v>
      </c>
      <c r="W845" s="38">
        <v>128.18</v>
      </c>
      <c r="X845" s="38">
        <v>129.99</v>
      </c>
      <c r="Y845" s="38">
        <v>131.02000000000001</v>
      </c>
      <c r="Z845" s="38">
        <v>130.01</v>
      </c>
      <c r="AA845" s="38">
        <v>120.01</v>
      </c>
      <c r="AB845" s="38">
        <v>108.6</v>
      </c>
      <c r="AC845" s="38">
        <v>99.03</v>
      </c>
      <c r="AD845" s="38">
        <v>89.8</v>
      </c>
      <c r="AE845" s="38">
        <v>90.95</v>
      </c>
      <c r="AF845" s="38">
        <v>92.85</v>
      </c>
      <c r="AG845" s="38">
        <v>96.39</v>
      </c>
      <c r="AH845" s="38">
        <v>103.1</v>
      </c>
      <c r="AI845" s="38">
        <v>108.6</v>
      </c>
      <c r="AJ845" s="38">
        <v>111.9</v>
      </c>
      <c r="AK845" s="38">
        <v>110.01</v>
      </c>
      <c r="AL845" s="38">
        <v>110.93</v>
      </c>
      <c r="AM845" s="38">
        <v>100.82</v>
      </c>
      <c r="AN845" s="38">
        <v>88.44</v>
      </c>
      <c r="AO845" s="38">
        <v>78.44</v>
      </c>
      <c r="AP845" s="38">
        <v>75.84</v>
      </c>
      <c r="AQ845" s="38">
        <v>73.260000000000005</v>
      </c>
      <c r="AR845" s="38">
        <v>70.28</v>
      </c>
      <c r="AS845" s="38">
        <v>72.25</v>
      </c>
      <c r="AT845" s="38">
        <v>77.489999999999995</v>
      </c>
      <c r="AU845" s="38">
        <v>84.07</v>
      </c>
      <c r="AV845" s="38">
        <v>91.1</v>
      </c>
      <c r="AW845" s="38">
        <v>97.34</v>
      </c>
      <c r="AX845" s="38">
        <v>97.75</v>
      </c>
      <c r="AY845" s="38">
        <v>91.15</v>
      </c>
      <c r="BA845" s="37">
        <v>72.42</v>
      </c>
      <c r="BB845" s="38">
        <v>1.2255</v>
      </c>
    </row>
    <row r="846" spans="1:54" x14ac:dyDescent="0.35">
      <c r="A846" s="2">
        <f t="shared" si="13"/>
        <v>45006</v>
      </c>
      <c r="B846" t="s">
        <v>888</v>
      </c>
      <c r="C846" s="32">
        <v>45006</v>
      </c>
      <c r="D846" s="38">
        <v>103.37</v>
      </c>
      <c r="E846" s="38">
        <v>105.64</v>
      </c>
      <c r="F846" s="38">
        <v>107.34</v>
      </c>
      <c r="G846" s="38">
        <v>107.14</v>
      </c>
      <c r="H846" s="38">
        <v>110.31</v>
      </c>
      <c r="I846" s="38">
        <v>113.25</v>
      </c>
      <c r="J846" s="38">
        <v>116.45</v>
      </c>
      <c r="K846" s="38">
        <v>128</v>
      </c>
      <c r="L846" s="38">
        <v>139.05000000000001</v>
      </c>
      <c r="M846" s="38">
        <v>141.09</v>
      </c>
      <c r="N846" s="38">
        <v>140.66999999999999</v>
      </c>
      <c r="O846" s="38">
        <v>134.88999999999999</v>
      </c>
      <c r="P846" s="38">
        <v>129.19999999999999</v>
      </c>
      <c r="Q846" s="38">
        <v>124.94</v>
      </c>
      <c r="R846" s="38">
        <v>121.35</v>
      </c>
      <c r="S846" s="38">
        <v>119.39</v>
      </c>
      <c r="T846" s="38">
        <v>122.37</v>
      </c>
      <c r="U846" s="38">
        <v>123.88</v>
      </c>
      <c r="V846" s="38">
        <v>126.81</v>
      </c>
      <c r="W846" s="38">
        <v>135.27000000000001</v>
      </c>
      <c r="X846" s="38">
        <v>137.07</v>
      </c>
      <c r="Y846" s="38">
        <v>138.1</v>
      </c>
      <c r="Z846" s="38">
        <v>137.09</v>
      </c>
      <c r="AA846" s="38">
        <v>127.09</v>
      </c>
      <c r="AB846" s="38">
        <v>113.58</v>
      </c>
      <c r="AC846" s="38">
        <v>102.55</v>
      </c>
      <c r="AD846" s="38">
        <v>93.32</v>
      </c>
      <c r="AE846" s="38">
        <v>94.47</v>
      </c>
      <c r="AF846" s="38">
        <v>96.37</v>
      </c>
      <c r="AG846" s="38">
        <v>99.91</v>
      </c>
      <c r="AH846" s="38">
        <v>105.49</v>
      </c>
      <c r="AI846" s="38">
        <v>110.99</v>
      </c>
      <c r="AJ846" s="38">
        <v>114.29</v>
      </c>
      <c r="AK846" s="38">
        <v>113.68</v>
      </c>
      <c r="AL846" s="38">
        <v>114.6</v>
      </c>
      <c r="AM846" s="38">
        <v>104.49</v>
      </c>
      <c r="AN846" s="38">
        <v>91.43</v>
      </c>
      <c r="AO846" s="38">
        <v>81.430000000000007</v>
      </c>
      <c r="AP846" s="38">
        <v>78.83</v>
      </c>
      <c r="AQ846" s="38">
        <v>76.25</v>
      </c>
      <c r="AR846" s="38">
        <v>73.27</v>
      </c>
      <c r="AS846" s="38">
        <v>75.239999999999995</v>
      </c>
      <c r="AT846" s="38">
        <v>80.599999999999994</v>
      </c>
      <c r="AU846" s="38">
        <v>87.18</v>
      </c>
      <c r="AV846" s="38">
        <v>94.21</v>
      </c>
      <c r="AW846" s="38">
        <v>100.49</v>
      </c>
      <c r="AX846" s="38">
        <v>100.9</v>
      </c>
      <c r="AY846" s="38">
        <v>94.3</v>
      </c>
      <c r="BA846" s="37">
        <v>74.78</v>
      </c>
      <c r="BB846" s="38">
        <v>1.2196</v>
      </c>
    </row>
    <row r="847" spans="1:54" x14ac:dyDescent="0.35">
      <c r="A847" s="2">
        <f t="shared" si="13"/>
        <v>45007</v>
      </c>
      <c r="B847" t="s">
        <v>889</v>
      </c>
      <c r="C847" s="32">
        <v>45007</v>
      </c>
      <c r="D847" s="38">
        <v>97.72</v>
      </c>
      <c r="E847" s="38">
        <v>100.33</v>
      </c>
      <c r="F847" s="38">
        <v>102.33</v>
      </c>
      <c r="G847" s="38">
        <v>102.11</v>
      </c>
      <c r="H847" s="38">
        <v>104.69</v>
      </c>
      <c r="I847" s="38">
        <v>108.31</v>
      </c>
      <c r="J847" s="38">
        <v>111.11</v>
      </c>
      <c r="K847" s="38">
        <v>121.99</v>
      </c>
      <c r="L847" s="38">
        <v>133.38</v>
      </c>
      <c r="M847" s="38">
        <v>135.58000000000001</v>
      </c>
      <c r="N847" s="38">
        <v>135.57</v>
      </c>
      <c r="O847" s="38">
        <v>130.44</v>
      </c>
      <c r="P847" s="38">
        <v>126.22</v>
      </c>
      <c r="Q847" s="38">
        <v>122.43</v>
      </c>
      <c r="R847" s="38">
        <v>118.86</v>
      </c>
      <c r="S847" s="38">
        <v>116.53</v>
      </c>
      <c r="T847" s="38">
        <v>119.88</v>
      </c>
      <c r="U847" s="38">
        <v>122.19</v>
      </c>
      <c r="V847" s="38">
        <v>124.33</v>
      </c>
      <c r="W847" s="38">
        <v>132.19999999999999</v>
      </c>
      <c r="X847" s="38">
        <v>133.97999999999999</v>
      </c>
      <c r="Y847" s="38">
        <v>134.96</v>
      </c>
      <c r="Z847" s="38">
        <v>133.94</v>
      </c>
      <c r="AA847" s="38">
        <v>123.94</v>
      </c>
      <c r="AB847" s="38">
        <v>110.8</v>
      </c>
      <c r="AC847" s="38">
        <v>99.77</v>
      </c>
      <c r="AD847" s="38">
        <v>90.54</v>
      </c>
      <c r="AE847" s="38">
        <v>91.6</v>
      </c>
      <c r="AF847" s="38">
        <v>93.49</v>
      </c>
      <c r="AG847" s="38">
        <v>97.03</v>
      </c>
      <c r="AH847" s="38">
        <v>102.49</v>
      </c>
      <c r="AI847" s="38">
        <v>107.92</v>
      </c>
      <c r="AJ847" s="38">
        <v>111.23</v>
      </c>
      <c r="AK847" s="38">
        <v>110.62</v>
      </c>
      <c r="AL847" s="38">
        <v>111.55</v>
      </c>
      <c r="AM847" s="38">
        <v>101.64</v>
      </c>
      <c r="AN847" s="38">
        <v>89.2</v>
      </c>
      <c r="AO847" s="38">
        <v>79.2</v>
      </c>
      <c r="AP847" s="38">
        <v>76.599999999999994</v>
      </c>
      <c r="AQ847" s="38">
        <v>74.02</v>
      </c>
      <c r="AR847" s="38">
        <v>71.040000000000006</v>
      </c>
      <c r="AS847" s="38">
        <v>73.010000000000005</v>
      </c>
      <c r="AT847" s="38">
        <v>78.45</v>
      </c>
      <c r="AU847" s="38">
        <v>85.03</v>
      </c>
      <c r="AV847" s="38">
        <v>92.06</v>
      </c>
      <c r="AW847" s="38">
        <v>98.65</v>
      </c>
      <c r="AX847" s="38">
        <v>99.06</v>
      </c>
      <c r="AY847" s="38">
        <v>92.46</v>
      </c>
      <c r="BA847" s="37">
        <v>76.08</v>
      </c>
      <c r="BB847" s="38">
        <v>1.2232000000000001</v>
      </c>
    </row>
    <row r="848" spans="1:54" x14ac:dyDescent="0.35">
      <c r="A848" s="2">
        <f t="shared" si="13"/>
        <v>45008</v>
      </c>
      <c r="B848" t="s">
        <v>890</v>
      </c>
      <c r="C848" s="32">
        <v>45008</v>
      </c>
      <c r="D848" s="38">
        <v>106.54</v>
      </c>
      <c r="E848" s="38">
        <v>108.6</v>
      </c>
      <c r="F848" s="38">
        <v>110.05</v>
      </c>
      <c r="G848" s="38">
        <v>109.19</v>
      </c>
      <c r="H848" s="38">
        <v>111.1</v>
      </c>
      <c r="I848" s="38">
        <v>114.51</v>
      </c>
      <c r="J848" s="38">
        <v>117.71</v>
      </c>
      <c r="K848" s="38">
        <v>129.41</v>
      </c>
      <c r="L848" s="38">
        <v>141.07</v>
      </c>
      <c r="M848" s="38">
        <v>143.07</v>
      </c>
      <c r="N848" s="38">
        <v>142.91999999999999</v>
      </c>
      <c r="O848" s="38">
        <v>137.91999999999999</v>
      </c>
      <c r="P848" s="38">
        <v>132.33000000000001</v>
      </c>
      <c r="Q848" s="38">
        <v>127.62</v>
      </c>
      <c r="R848" s="38">
        <v>123.77</v>
      </c>
      <c r="S848" s="38">
        <v>121.77</v>
      </c>
      <c r="T848" s="38">
        <v>124.64</v>
      </c>
      <c r="U848" s="38">
        <v>126.95</v>
      </c>
      <c r="V848" s="38">
        <v>129.69999999999999</v>
      </c>
      <c r="W848" s="38">
        <v>137.69999999999999</v>
      </c>
      <c r="X848" s="38">
        <v>139.47999999999999</v>
      </c>
      <c r="Y848" s="38">
        <v>140.47999999999999</v>
      </c>
      <c r="Z848" s="38">
        <v>139.46</v>
      </c>
      <c r="AA848" s="38">
        <v>129.46</v>
      </c>
      <c r="AB848" s="38">
        <v>114.96</v>
      </c>
      <c r="AC848" s="38">
        <v>103.02</v>
      </c>
      <c r="AD848" s="38">
        <v>93.79</v>
      </c>
      <c r="AE848" s="38">
        <v>94.89</v>
      </c>
      <c r="AF848" s="38">
        <v>96.78</v>
      </c>
      <c r="AG848" s="38">
        <v>100.32</v>
      </c>
      <c r="AH848" s="38">
        <v>105.61</v>
      </c>
      <c r="AI848" s="38">
        <v>111.31</v>
      </c>
      <c r="AJ848" s="38">
        <v>114.62</v>
      </c>
      <c r="AK848" s="38">
        <v>114.01</v>
      </c>
      <c r="AL848" s="38">
        <v>114.94</v>
      </c>
      <c r="AM848" s="38">
        <v>105.03</v>
      </c>
      <c r="AN848" s="38">
        <v>92.54</v>
      </c>
      <c r="AO848" s="38">
        <v>82.54</v>
      </c>
      <c r="AP848" s="38">
        <v>79.95</v>
      </c>
      <c r="AQ848" s="38">
        <v>77.37</v>
      </c>
      <c r="AR848" s="38">
        <v>74.38</v>
      </c>
      <c r="AS848" s="38">
        <v>76.349999999999994</v>
      </c>
      <c r="AT848" s="38">
        <v>81.77</v>
      </c>
      <c r="AU848" s="38">
        <v>88.35</v>
      </c>
      <c r="AV848" s="38">
        <v>95.38</v>
      </c>
      <c r="AW848" s="38">
        <v>101.9</v>
      </c>
      <c r="AX848" s="38">
        <v>102.31</v>
      </c>
      <c r="AY848" s="38">
        <v>95.71</v>
      </c>
      <c r="BA848" s="37">
        <v>74.31</v>
      </c>
      <c r="BB848" s="38">
        <v>1.2316</v>
      </c>
    </row>
    <row r="849" spans="1:54" x14ac:dyDescent="0.35">
      <c r="A849" s="2">
        <f t="shared" si="13"/>
        <v>45009</v>
      </c>
      <c r="B849" t="s">
        <v>891</v>
      </c>
      <c r="C849" s="32">
        <v>45009</v>
      </c>
      <c r="D849" s="38">
        <v>100.71</v>
      </c>
      <c r="E849" s="38">
        <v>102.7</v>
      </c>
      <c r="F849" s="38">
        <v>104.45</v>
      </c>
      <c r="G849" s="38">
        <v>104.12</v>
      </c>
      <c r="H849" s="38">
        <v>106.62</v>
      </c>
      <c r="I849" s="38">
        <v>110.42</v>
      </c>
      <c r="J849" s="38">
        <v>114.11</v>
      </c>
      <c r="K849" s="38">
        <v>126.34</v>
      </c>
      <c r="L849" s="38">
        <v>137.38</v>
      </c>
      <c r="M849" s="38">
        <v>139.58000000000001</v>
      </c>
      <c r="N849" s="38">
        <v>139.43</v>
      </c>
      <c r="O849" s="38">
        <v>134.55000000000001</v>
      </c>
      <c r="P849" s="38">
        <v>129.22</v>
      </c>
      <c r="Q849" s="38">
        <v>124.6</v>
      </c>
      <c r="R849" s="38">
        <v>121.05</v>
      </c>
      <c r="S849" s="38">
        <v>119.55</v>
      </c>
      <c r="T849" s="38">
        <v>122.41</v>
      </c>
      <c r="U849" s="38">
        <v>124.72</v>
      </c>
      <c r="V849" s="38">
        <v>126.94</v>
      </c>
      <c r="W849" s="38">
        <v>134.66</v>
      </c>
      <c r="X849" s="38">
        <v>136.44</v>
      </c>
      <c r="Y849" s="38">
        <v>137.49</v>
      </c>
      <c r="Z849" s="38">
        <v>136.47</v>
      </c>
      <c r="AA849" s="38">
        <v>126.49</v>
      </c>
      <c r="AB849" s="38">
        <v>112.86</v>
      </c>
      <c r="AC849" s="38">
        <v>101.33</v>
      </c>
      <c r="AD849" s="38">
        <v>92.1</v>
      </c>
      <c r="AE849" s="38">
        <v>93.2</v>
      </c>
      <c r="AF849" s="38">
        <v>95.09</v>
      </c>
      <c r="AG849" s="38">
        <v>98.63</v>
      </c>
      <c r="AH849" s="38">
        <v>103.13</v>
      </c>
      <c r="AI849" s="38">
        <v>108.83</v>
      </c>
      <c r="AJ849" s="38">
        <v>112.14</v>
      </c>
      <c r="AK849" s="38">
        <v>111.53</v>
      </c>
      <c r="AL849" s="38">
        <v>112.46</v>
      </c>
      <c r="AM849" s="38">
        <v>102.55</v>
      </c>
      <c r="AN849" s="38">
        <v>91.36</v>
      </c>
      <c r="AO849" s="38">
        <v>81.36</v>
      </c>
      <c r="AP849" s="38">
        <v>78.77</v>
      </c>
      <c r="AQ849" s="38">
        <v>76.19</v>
      </c>
      <c r="AR849" s="38">
        <v>73.209999999999994</v>
      </c>
      <c r="AS849" s="38">
        <v>75.180000000000007</v>
      </c>
      <c r="AT849" s="38">
        <v>80.58</v>
      </c>
      <c r="AU849" s="38">
        <v>87.16</v>
      </c>
      <c r="AV849" s="38">
        <v>94.19</v>
      </c>
      <c r="AW849" s="38">
        <v>100.62</v>
      </c>
      <c r="AX849" s="38">
        <v>101.03</v>
      </c>
      <c r="AY849" s="38">
        <v>94.43</v>
      </c>
      <c r="BA849" s="37">
        <v>73.63</v>
      </c>
      <c r="BB849" s="38">
        <v>1.2223999999999999</v>
      </c>
    </row>
    <row r="850" spans="1:54" x14ac:dyDescent="0.35">
      <c r="A850" s="2">
        <f t="shared" si="13"/>
        <v>45012</v>
      </c>
      <c r="B850" t="s">
        <v>892</v>
      </c>
      <c r="C850" s="32">
        <v>45012</v>
      </c>
      <c r="D850" s="38">
        <v>104.75</v>
      </c>
      <c r="E850" s="38">
        <v>105.54</v>
      </c>
      <c r="F850" s="38">
        <v>106.55</v>
      </c>
      <c r="G850" s="38">
        <v>106.1</v>
      </c>
      <c r="H850" s="38">
        <v>108.49</v>
      </c>
      <c r="I850" s="38">
        <v>112.29</v>
      </c>
      <c r="J850" s="38">
        <v>115.97</v>
      </c>
      <c r="K850" s="38">
        <v>127.95</v>
      </c>
      <c r="L850" s="38">
        <v>138.99</v>
      </c>
      <c r="M850" s="38">
        <v>141.19</v>
      </c>
      <c r="N850" s="38">
        <v>141.04</v>
      </c>
      <c r="O850" s="38">
        <v>136.16</v>
      </c>
      <c r="P850" s="38">
        <v>130.54</v>
      </c>
      <c r="Q850" s="38">
        <v>126.07</v>
      </c>
      <c r="R850" s="38">
        <v>122.59</v>
      </c>
      <c r="S850" s="38">
        <v>121.13</v>
      </c>
      <c r="T850" s="38">
        <v>124.03</v>
      </c>
      <c r="U850" s="38">
        <v>126.37</v>
      </c>
      <c r="V850" s="38">
        <v>128.43</v>
      </c>
      <c r="W850" s="38">
        <v>136.15</v>
      </c>
      <c r="X850" s="38">
        <v>137.93</v>
      </c>
      <c r="Y850" s="38">
        <v>138.97999999999999</v>
      </c>
      <c r="Z850" s="38">
        <v>137.96</v>
      </c>
      <c r="AA850" s="38">
        <v>127.98</v>
      </c>
      <c r="AB850" s="38">
        <v>114.28</v>
      </c>
      <c r="AC850" s="38">
        <v>102.75</v>
      </c>
      <c r="AD850" s="38">
        <v>93.52</v>
      </c>
      <c r="AE850" s="38">
        <v>94.62</v>
      </c>
      <c r="AF850" s="38">
        <v>96.51</v>
      </c>
      <c r="AG850" s="38">
        <v>100.05</v>
      </c>
      <c r="AH850" s="38">
        <v>104.55</v>
      </c>
      <c r="AI850" s="38">
        <v>110.25</v>
      </c>
      <c r="AJ850" s="38">
        <v>113.56</v>
      </c>
      <c r="AK850" s="38">
        <v>112.95</v>
      </c>
      <c r="AL850" s="38">
        <v>113.88</v>
      </c>
      <c r="AM850" s="38">
        <v>103.97</v>
      </c>
      <c r="AN850" s="38">
        <v>92.28</v>
      </c>
      <c r="AO850" s="38">
        <v>82.28</v>
      </c>
      <c r="AP850" s="38">
        <v>79.69</v>
      </c>
      <c r="AQ850" s="38">
        <v>77.11</v>
      </c>
      <c r="AR850" s="38">
        <v>74.13</v>
      </c>
      <c r="AS850" s="38">
        <v>76.099999999999994</v>
      </c>
      <c r="AT850" s="38">
        <v>83</v>
      </c>
      <c r="AU850" s="38">
        <v>90.58</v>
      </c>
      <c r="AV850" s="38">
        <v>97.61</v>
      </c>
      <c r="AW850" s="38">
        <v>104.04</v>
      </c>
      <c r="AX850" s="38">
        <v>104.45</v>
      </c>
      <c r="AY850" s="38">
        <v>97.85</v>
      </c>
      <c r="BA850" s="37">
        <v>76.8</v>
      </c>
      <c r="BB850" s="38">
        <v>1.2274</v>
      </c>
    </row>
    <row r="851" spans="1:54" x14ac:dyDescent="0.35">
      <c r="A851" s="2">
        <f t="shared" si="13"/>
        <v>45013</v>
      </c>
      <c r="B851" t="s">
        <v>893</v>
      </c>
      <c r="C851" s="32">
        <v>45013</v>
      </c>
      <c r="D851" s="38">
        <v>105.88</v>
      </c>
      <c r="E851" s="38">
        <v>106.57</v>
      </c>
      <c r="F851" s="38">
        <v>107.63</v>
      </c>
      <c r="G851" s="38">
        <v>107.3</v>
      </c>
      <c r="H851" s="38">
        <v>109.85</v>
      </c>
      <c r="I851" s="38">
        <v>113.64</v>
      </c>
      <c r="J851" s="38">
        <v>117.1</v>
      </c>
      <c r="K851" s="38">
        <v>129.01</v>
      </c>
      <c r="L851" s="38">
        <v>140.44999999999999</v>
      </c>
      <c r="M851" s="38">
        <v>142.30000000000001</v>
      </c>
      <c r="N851" s="38">
        <v>142.26</v>
      </c>
      <c r="O851" s="38">
        <v>137.38</v>
      </c>
      <c r="P851" s="38">
        <v>132.13</v>
      </c>
      <c r="Q851" s="38">
        <v>127.7</v>
      </c>
      <c r="R851" s="38">
        <v>124.24</v>
      </c>
      <c r="S851" s="38">
        <v>122.8</v>
      </c>
      <c r="T851" s="38">
        <v>125.71</v>
      </c>
      <c r="U851" s="38">
        <v>128.06</v>
      </c>
      <c r="V851" s="38">
        <v>129.77000000000001</v>
      </c>
      <c r="W851" s="38">
        <v>137.49</v>
      </c>
      <c r="X851" s="38">
        <v>139.27000000000001</v>
      </c>
      <c r="Y851" s="38">
        <v>140.32</v>
      </c>
      <c r="Z851" s="38">
        <v>139.30000000000001</v>
      </c>
      <c r="AA851" s="38">
        <v>129.32</v>
      </c>
      <c r="AB851" s="38">
        <v>115.07</v>
      </c>
      <c r="AC851" s="38">
        <v>103.54</v>
      </c>
      <c r="AD851" s="38">
        <v>94.31</v>
      </c>
      <c r="AE851" s="38">
        <v>95.41</v>
      </c>
      <c r="AF851" s="38">
        <v>97.3</v>
      </c>
      <c r="AG851" s="38">
        <v>100.84</v>
      </c>
      <c r="AH851" s="38">
        <v>105.36</v>
      </c>
      <c r="AI851" s="38">
        <v>111.06</v>
      </c>
      <c r="AJ851" s="38">
        <v>114.37</v>
      </c>
      <c r="AK851" s="38">
        <v>113.76</v>
      </c>
      <c r="AL851" s="38">
        <v>114.69</v>
      </c>
      <c r="AM851" s="38">
        <v>104.78</v>
      </c>
      <c r="AN851" s="38">
        <v>93.09</v>
      </c>
      <c r="AO851" s="38">
        <v>83.09</v>
      </c>
      <c r="AP851" s="38">
        <v>80.5</v>
      </c>
      <c r="AQ851" s="38">
        <v>77.92</v>
      </c>
      <c r="AR851" s="38">
        <v>74.94</v>
      </c>
      <c r="AS851" s="38">
        <v>76.91</v>
      </c>
      <c r="AT851" s="38">
        <v>83.81</v>
      </c>
      <c r="AU851" s="38">
        <v>91.39</v>
      </c>
      <c r="AV851" s="38">
        <v>98.42</v>
      </c>
      <c r="AW851" s="38">
        <v>104.85</v>
      </c>
      <c r="AX851" s="38">
        <v>105.26</v>
      </c>
      <c r="AY851" s="38">
        <v>98.66</v>
      </c>
      <c r="BA851" s="37">
        <v>78.069999999999993</v>
      </c>
      <c r="BB851" s="38">
        <v>1.2326999999999999</v>
      </c>
    </row>
    <row r="852" spans="1:54" x14ac:dyDescent="0.35">
      <c r="A852" s="2">
        <f t="shared" si="13"/>
        <v>45014</v>
      </c>
      <c r="B852" t="s">
        <v>894</v>
      </c>
      <c r="C852" s="32">
        <v>45014</v>
      </c>
      <c r="D852" s="38">
        <v>105.63</v>
      </c>
      <c r="E852" s="38">
        <v>105.72</v>
      </c>
      <c r="F852" s="38">
        <v>107.28</v>
      </c>
      <c r="G852" s="38">
        <v>106.92</v>
      </c>
      <c r="H852" s="38">
        <v>109.57</v>
      </c>
      <c r="I852" s="38">
        <v>113.47</v>
      </c>
      <c r="J852" s="38">
        <v>117.5</v>
      </c>
      <c r="K852" s="38">
        <v>129.25</v>
      </c>
      <c r="L852" s="38">
        <v>140.63</v>
      </c>
      <c r="M852" s="38">
        <v>142.66</v>
      </c>
      <c r="N852" s="38">
        <v>142.58000000000001</v>
      </c>
      <c r="O852" s="38">
        <v>137.63</v>
      </c>
      <c r="P852" s="38">
        <v>131.46</v>
      </c>
      <c r="Q852" s="38">
        <v>126.03</v>
      </c>
      <c r="R852" s="38">
        <v>122.57</v>
      </c>
      <c r="S852" s="38">
        <v>121.13</v>
      </c>
      <c r="T852" s="38">
        <v>124.04</v>
      </c>
      <c r="U852" s="38">
        <v>126.39</v>
      </c>
      <c r="V852" s="38">
        <v>128.16</v>
      </c>
      <c r="W852" s="38">
        <v>135.88</v>
      </c>
      <c r="X852" s="38">
        <v>137.66</v>
      </c>
      <c r="Y852" s="38">
        <v>138.69999999999999</v>
      </c>
      <c r="Z852" s="38">
        <v>137.69</v>
      </c>
      <c r="AA852" s="38">
        <v>127.71</v>
      </c>
      <c r="AB852" s="38">
        <v>114.71</v>
      </c>
      <c r="AC852" s="38">
        <v>104.18</v>
      </c>
      <c r="AD852" s="38">
        <v>94.94</v>
      </c>
      <c r="AE852" s="38">
        <v>96.04</v>
      </c>
      <c r="AF852" s="38">
        <v>97.93</v>
      </c>
      <c r="AG852" s="38">
        <v>101.47</v>
      </c>
      <c r="AH852" s="38">
        <v>106.15</v>
      </c>
      <c r="AI852" s="38">
        <v>111.85</v>
      </c>
      <c r="AJ852" s="38">
        <v>115.16</v>
      </c>
      <c r="AK852" s="38">
        <v>114.55</v>
      </c>
      <c r="AL852" s="38">
        <v>115.48</v>
      </c>
      <c r="AM852" s="38">
        <v>105.57</v>
      </c>
      <c r="AN852" s="38">
        <v>93.88</v>
      </c>
      <c r="AO852" s="38">
        <v>83.88</v>
      </c>
      <c r="AP852" s="38">
        <v>81.290000000000006</v>
      </c>
      <c r="AQ852" s="38">
        <v>78.709999999999994</v>
      </c>
      <c r="AR852" s="38">
        <v>75.73</v>
      </c>
      <c r="AS852" s="38">
        <v>77.7</v>
      </c>
      <c r="AT852" s="38">
        <v>84.6</v>
      </c>
      <c r="AU852" s="38">
        <v>92.18</v>
      </c>
      <c r="AV852" s="38">
        <v>99.21</v>
      </c>
      <c r="AW852" s="38">
        <v>105.64</v>
      </c>
      <c r="AX852" s="38">
        <v>106.05</v>
      </c>
      <c r="AY852" s="38">
        <v>99.45</v>
      </c>
      <c r="BA852" s="37">
        <v>77.510000000000005</v>
      </c>
      <c r="BB852" s="38">
        <v>1.2311000000000001</v>
      </c>
    </row>
    <row r="853" spans="1:54" x14ac:dyDescent="0.35">
      <c r="A853" s="2">
        <f t="shared" si="13"/>
        <v>45015</v>
      </c>
      <c r="B853" t="s">
        <v>895</v>
      </c>
      <c r="C853" s="32">
        <v>45015</v>
      </c>
      <c r="D853" s="38">
        <v>107.41</v>
      </c>
      <c r="E853" s="38">
        <v>108.1</v>
      </c>
      <c r="F853" s="38">
        <v>109.94</v>
      </c>
      <c r="G853" s="38">
        <v>109.59</v>
      </c>
      <c r="H853" s="38">
        <v>112.22</v>
      </c>
      <c r="I853" s="38">
        <v>116.12</v>
      </c>
      <c r="J853" s="38">
        <v>121.62</v>
      </c>
      <c r="K853" s="38">
        <v>135.44</v>
      </c>
      <c r="L853" s="38">
        <v>146.82</v>
      </c>
      <c r="M853" s="38">
        <v>148.79</v>
      </c>
      <c r="N853" s="38">
        <v>148.71</v>
      </c>
      <c r="O853" s="38">
        <v>143.76</v>
      </c>
      <c r="P853" s="38">
        <v>136.59</v>
      </c>
      <c r="Q853" s="38">
        <v>131.16</v>
      </c>
      <c r="R853" s="38">
        <v>127.7</v>
      </c>
      <c r="S853" s="38">
        <v>126.26</v>
      </c>
      <c r="T853" s="38">
        <v>129.16999999999999</v>
      </c>
      <c r="U853" s="38">
        <v>131.52000000000001</v>
      </c>
      <c r="V853" s="38">
        <v>134.03</v>
      </c>
      <c r="W853" s="38">
        <v>141.75</v>
      </c>
      <c r="X853" s="38">
        <v>143.53</v>
      </c>
      <c r="Y853" s="38">
        <v>144.57</v>
      </c>
      <c r="Z853" s="38">
        <v>143.56</v>
      </c>
      <c r="AA853" s="38">
        <v>133.58000000000001</v>
      </c>
      <c r="AB853" s="38">
        <v>120.61</v>
      </c>
      <c r="AC853" s="38">
        <v>110.08</v>
      </c>
      <c r="AD853" s="38">
        <v>100.84</v>
      </c>
      <c r="AE853" s="38">
        <v>101.94</v>
      </c>
      <c r="AF853" s="38">
        <v>103.83</v>
      </c>
      <c r="AG853" s="38">
        <v>107.37</v>
      </c>
      <c r="AH853" s="38">
        <v>111.85</v>
      </c>
      <c r="AI853" s="38">
        <v>117.55</v>
      </c>
      <c r="AJ853" s="38">
        <v>120.86</v>
      </c>
      <c r="AK853" s="38">
        <v>120.25</v>
      </c>
      <c r="AL853" s="38">
        <v>121.18</v>
      </c>
      <c r="AM853" s="38">
        <v>111.27</v>
      </c>
      <c r="AN853" s="38">
        <v>99.58</v>
      </c>
      <c r="AO853" s="38">
        <v>89.58</v>
      </c>
      <c r="AP853" s="38">
        <v>86.99</v>
      </c>
      <c r="AQ853" s="38">
        <v>84.41</v>
      </c>
      <c r="AR853" s="38">
        <v>81.430000000000007</v>
      </c>
      <c r="AS853" s="38">
        <v>83.4</v>
      </c>
      <c r="AT853" s="38">
        <v>90.3</v>
      </c>
      <c r="AU853" s="38">
        <v>97.88</v>
      </c>
      <c r="AV853" s="38">
        <v>104.91</v>
      </c>
      <c r="AW853" s="38">
        <v>111.34</v>
      </c>
      <c r="AX853" s="38">
        <v>111.75</v>
      </c>
      <c r="AY853" s="38">
        <v>105.15</v>
      </c>
      <c r="BA853" s="37">
        <v>78.45</v>
      </c>
      <c r="BB853" s="38">
        <v>1.238</v>
      </c>
    </row>
    <row r="854" spans="1:54" x14ac:dyDescent="0.35">
      <c r="A854" s="2">
        <f t="shared" si="13"/>
        <v>45016</v>
      </c>
      <c r="B854" t="s">
        <v>896</v>
      </c>
      <c r="C854" s="32">
        <v>45016</v>
      </c>
      <c r="D854" s="38">
        <v>118.03</v>
      </c>
      <c r="E854" s="38">
        <v>119.4</v>
      </c>
      <c r="F854" s="38">
        <v>119.14</v>
      </c>
      <c r="G854" s="38">
        <v>121.88</v>
      </c>
      <c r="H854" s="38">
        <v>126.06</v>
      </c>
      <c r="I854" s="38">
        <v>132.66999999999999</v>
      </c>
      <c r="J854" s="38">
        <v>146.36000000000001</v>
      </c>
      <c r="K854" s="38">
        <v>157.58000000000001</v>
      </c>
      <c r="L854" s="38">
        <v>159.91999999999999</v>
      </c>
      <c r="M854" s="38">
        <v>159.84</v>
      </c>
      <c r="N854" s="38">
        <v>154.88999999999999</v>
      </c>
      <c r="O854" s="38">
        <v>146.57</v>
      </c>
      <c r="P854" s="38">
        <v>141.13999999999999</v>
      </c>
      <c r="Q854" s="38">
        <v>137.68</v>
      </c>
      <c r="R854" s="38">
        <v>136.24</v>
      </c>
      <c r="S854" s="38">
        <v>139.15</v>
      </c>
      <c r="T854" s="38">
        <v>141.5</v>
      </c>
      <c r="U854" s="38">
        <v>143.91999999999999</v>
      </c>
      <c r="V854" s="38">
        <v>151.63999999999999</v>
      </c>
      <c r="W854" s="38">
        <v>153.41999999999999</v>
      </c>
      <c r="X854" s="38">
        <v>154.46</v>
      </c>
      <c r="Y854" s="38">
        <v>153.44999999999999</v>
      </c>
      <c r="Z854" s="38">
        <v>143.47</v>
      </c>
      <c r="AA854" s="38">
        <v>129.1</v>
      </c>
      <c r="AB854" s="38">
        <v>118.17</v>
      </c>
      <c r="AC854" s="38">
        <v>108.93</v>
      </c>
      <c r="AD854" s="38">
        <v>110.03</v>
      </c>
      <c r="AE854" s="38">
        <v>111.92</v>
      </c>
      <c r="AF854" s="38">
        <v>115.46</v>
      </c>
      <c r="AG854" s="38">
        <v>118.94</v>
      </c>
      <c r="AH854" s="38">
        <v>123.64</v>
      </c>
      <c r="AI854" s="38">
        <v>126.95</v>
      </c>
      <c r="AJ854" s="38">
        <v>126.34</v>
      </c>
      <c r="AK854" s="38">
        <v>127.27</v>
      </c>
      <c r="AL854" s="38">
        <v>117.36</v>
      </c>
      <c r="AM854" s="38">
        <v>104.67</v>
      </c>
      <c r="AN854" s="38">
        <v>93.67</v>
      </c>
      <c r="AO854" s="38">
        <v>91.08</v>
      </c>
      <c r="AP854" s="38">
        <v>88.5</v>
      </c>
      <c r="AQ854" s="38">
        <v>85.52</v>
      </c>
      <c r="AR854" s="38">
        <v>87.49</v>
      </c>
      <c r="AS854" s="38">
        <v>94.39</v>
      </c>
      <c r="AT854" s="38">
        <v>101.97</v>
      </c>
      <c r="AU854" s="38">
        <v>109</v>
      </c>
      <c r="AV854" s="38">
        <v>115.43</v>
      </c>
      <c r="AW854" s="38">
        <v>115.84</v>
      </c>
      <c r="AX854" s="38">
        <v>109.24</v>
      </c>
      <c r="AY854" s="38">
        <v>98.85</v>
      </c>
      <c r="BA854" s="37">
        <v>79.19</v>
      </c>
      <c r="BB854" s="38">
        <v>1.2363999999999999</v>
      </c>
    </row>
    <row r="855" spans="1:54" x14ac:dyDescent="0.35">
      <c r="A855" s="2">
        <f t="shared" si="13"/>
        <v>45019</v>
      </c>
      <c r="B855" t="s">
        <v>897</v>
      </c>
      <c r="C855" s="32">
        <v>45019</v>
      </c>
      <c r="D855" s="38">
        <v>128.27000000000001</v>
      </c>
      <c r="E855" s="38">
        <v>130.09</v>
      </c>
      <c r="F855" s="38">
        <v>129.79</v>
      </c>
      <c r="G855" s="38">
        <v>133.11000000000001</v>
      </c>
      <c r="H855" s="38">
        <v>137.01</v>
      </c>
      <c r="I855" s="38">
        <v>143.51</v>
      </c>
      <c r="J855" s="38">
        <v>159.30000000000001</v>
      </c>
      <c r="K855" s="38">
        <v>172.47</v>
      </c>
      <c r="L855" s="38">
        <v>174.53</v>
      </c>
      <c r="M855" s="38">
        <v>173.69</v>
      </c>
      <c r="N855" s="38">
        <v>168.54</v>
      </c>
      <c r="O855" s="38">
        <v>159.52000000000001</v>
      </c>
      <c r="P855" s="38">
        <v>153.87</v>
      </c>
      <c r="Q855" s="38">
        <v>150.4</v>
      </c>
      <c r="R855" s="38">
        <v>149.91999999999999</v>
      </c>
      <c r="S855" s="38">
        <v>151.27000000000001</v>
      </c>
      <c r="T855" s="38">
        <v>153.6</v>
      </c>
      <c r="U855" s="38">
        <v>156.97</v>
      </c>
      <c r="V855" s="38">
        <v>164.68</v>
      </c>
      <c r="W855" s="38">
        <v>166.04</v>
      </c>
      <c r="X855" s="38">
        <v>166.66</v>
      </c>
      <c r="Y855" s="38">
        <v>165.35</v>
      </c>
      <c r="Z855" s="38">
        <v>155.35</v>
      </c>
      <c r="AA855" s="38">
        <v>139.54</v>
      </c>
      <c r="AB855" s="38">
        <v>127.52</v>
      </c>
      <c r="AC855" s="38">
        <v>117.51</v>
      </c>
      <c r="AD855" s="38">
        <v>118.5</v>
      </c>
      <c r="AE855" s="38">
        <v>120.28</v>
      </c>
      <c r="AF855" s="38">
        <v>123.79</v>
      </c>
      <c r="AG855" s="38">
        <v>126.3</v>
      </c>
      <c r="AH855" s="38">
        <v>130.12</v>
      </c>
      <c r="AI855" s="38">
        <v>133.09</v>
      </c>
      <c r="AJ855" s="38">
        <v>133.29</v>
      </c>
      <c r="AK855" s="38">
        <v>134.09</v>
      </c>
      <c r="AL855" s="38">
        <v>123.54</v>
      </c>
      <c r="AM855" s="38">
        <v>109.52</v>
      </c>
      <c r="AN855" s="38">
        <v>98.52</v>
      </c>
      <c r="AO855" s="38">
        <v>92.92</v>
      </c>
      <c r="AP855" s="38">
        <v>89.91</v>
      </c>
      <c r="AQ855" s="38">
        <v>86.93</v>
      </c>
      <c r="AR855" s="38">
        <v>88.9</v>
      </c>
      <c r="AS855" s="38">
        <v>95.8</v>
      </c>
      <c r="AT855" s="38">
        <v>103.38</v>
      </c>
      <c r="AU855" s="38">
        <v>110.41</v>
      </c>
      <c r="AV855" s="38">
        <v>117.08</v>
      </c>
      <c r="AW855" s="38">
        <v>117.49</v>
      </c>
      <c r="AX855" s="38">
        <v>110.89</v>
      </c>
      <c r="AY855" s="38">
        <v>100.5</v>
      </c>
      <c r="BA855" s="37">
        <v>85.81</v>
      </c>
      <c r="BB855" s="38">
        <v>1.2397</v>
      </c>
    </row>
    <row r="856" spans="1:54" x14ac:dyDescent="0.35">
      <c r="A856" s="2">
        <f t="shared" si="13"/>
        <v>45020</v>
      </c>
      <c r="B856" t="s">
        <v>898</v>
      </c>
      <c r="C856" s="32">
        <v>45020</v>
      </c>
      <c r="D856" s="38">
        <v>114.86</v>
      </c>
      <c r="E856" s="38">
        <v>117.37</v>
      </c>
      <c r="F856" s="38">
        <v>116.97</v>
      </c>
      <c r="G856" s="38">
        <v>120.9</v>
      </c>
      <c r="H856" s="38">
        <v>125</v>
      </c>
      <c r="I856" s="38">
        <v>132.86000000000001</v>
      </c>
      <c r="J856" s="38">
        <v>150.05000000000001</v>
      </c>
      <c r="K856" s="38">
        <v>162.30000000000001</v>
      </c>
      <c r="L856" s="38">
        <v>164.67</v>
      </c>
      <c r="M856" s="38">
        <v>163.72</v>
      </c>
      <c r="N856" s="38">
        <v>158.44</v>
      </c>
      <c r="O856" s="38">
        <v>150.72999999999999</v>
      </c>
      <c r="P856" s="38">
        <v>144.53</v>
      </c>
      <c r="Q856" s="38">
        <v>141.06</v>
      </c>
      <c r="R856" s="38">
        <v>140.69999999999999</v>
      </c>
      <c r="S856" s="38">
        <v>142.36000000000001</v>
      </c>
      <c r="T856" s="38">
        <v>144.80000000000001</v>
      </c>
      <c r="U856" s="38">
        <v>148.91999999999999</v>
      </c>
      <c r="V856" s="38">
        <v>155.08000000000001</v>
      </c>
      <c r="W856" s="38">
        <v>156.36000000000001</v>
      </c>
      <c r="X856" s="38">
        <v>157.4</v>
      </c>
      <c r="Y856" s="38">
        <v>156.09</v>
      </c>
      <c r="Z856" s="38">
        <v>146.21</v>
      </c>
      <c r="AA856" s="38">
        <v>133.11000000000001</v>
      </c>
      <c r="AB856" s="38">
        <v>121.36</v>
      </c>
      <c r="AC856" s="38">
        <v>111.35</v>
      </c>
      <c r="AD856" s="38">
        <v>112.41</v>
      </c>
      <c r="AE856" s="38">
        <v>114.19</v>
      </c>
      <c r="AF856" s="38">
        <v>116.97</v>
      </c>
      <c r="AG856" s="38">
        <v>120.45</v>
      </c>
      <c r="AH856" s="38">
        <v>124.34</v>
      </c>
      <c r="AI856" s="38">
        <v>127.31</v>
      </c>
      <c r="AJ856" s="38">
        <v>129.08000000000001</v>
      </c>
      <c r="AK856" s="38">
        <v>129.88</v>
      </c>
      <c r="AL856" s="38">
        <v>119.33</v>
      </c>
      <c r="AM856" s="38">
        <v>104.31</v>
      </c>
      <c r="AN856" s="38">
        <v>93.3</v>
      </c>
      <c r="AO856" s="38">
        <v>87.72</v>
      </c>
      <c r="AP856" s="38">
        <v>84.7</v>
      </c>
      <c r="AQ856" s="38">
        <v>81.72</v>
      </c>
      <c r="AR856" s="38">
        <v>83.69</v>
      </c>
      <c r="AS856" s="38">
        <v>90.59</v>
      </c>
      <c r="AT856" s="38">
        <v>98.17</v>
      </c>
      <c r="AU856" s="38">
        <v>105.2</v>
      </c>
      <c r="AV856" s="38">
        <v>111.13</v>
      </c>
      <c r="AW856" s="38">
        <v>111.54</v>
      </c>
      <c r="AX856" s="38">
        <v>104.94</v>
      </c>
      <c r="AY856" s="38">
        <v>93.49</v>
      </c>
      <c r="BA856" s="37">
        <v>85.7</v>
      </c>
      <c r="BB856" s="38">
        <v>1.2516</v>
      </c>
    </row>
    <row r="857" spans="1:54" x14ac:dyDescent="0.35">
      <c r="A857" s="2">
        <f t="shared" si="13"/>
        <v>45021</v>
      </c>
      <c r="B857" t="s">
        <v>899</v>
      </c>
      <c r="C857" s="32">
        <v>45021</v>
      </c>
      <c r="D857" s="38">
        <v>106.64</v>
      </c>
      <c r="E857" s="38">
        <v>109.64</v>
      </c>
      <c r="F857" s="38">
        <v>109.64</v>
      </c>
      <c r="G857" s="38">
        <v>114.53</v>
      </c>
      <c r="H857" s="38">
        <v>119.27</v>
      </c>
      <c r="I857" s="38">
        <v>125.78</v>
      </c>
      <c r="J857" s="38">
        <v>142.31</v>
      </c>
      <c r="K857" s="38">
        <v>154.30000000000001</v>
      </c>
      <c r="L857" s="38">
        <v>156.66</v>
      </c>
      <c r="M857" s="38">
        <v>155.69999999999999</v>
      </c>
      <c r="N857" s="38">
        <v>151.09</v>
      </c>
      <c r="O857" s="38">
        <v>143.4</v>
      </c>
      <c r="P857" s="38">
        <v>136.4</v>
      </c>
      <c r="Q857" s="38">
        <v>132.91999999999999</v>
      </c>
      <c r="R857" s="38">
        <v>132.56</v>
      </c>
      <c r="S857" s="38">
        <v>134.22</v>
      </c>
      <c r="T857" s="38">
        <v>136.66</v>
      </c>
      <c r="U857" s="38">
        <v>140.52000000000001</v>
      </c>
      <c r="V857" s="38">
        <v>146.68</v>
      </c>
      <c r="W857" s="38">
        <v>147.96</v>
      </c>
      <c r="X857" s="38">
        <v>149</v>
      </c>
      <c r="Y857" s="38">
        <v>147.69</v>
      </c>
      <c r="Z857" s="38">
        <v>138.47</v>
      </c>
      <c r="AA857" s="38">
        <v>126.5</v>
      </c>
      <c r="AB857" s="38">
        <v>114.76</v>
      </c>
      <c r="AC857" s="38">
        <v>104.77</v>
      </c>
      <c r="AD857" s="38">
        <v>105.84</v>
      </c>
      <c r="AE857" s="38">
        <v>107.62</v>
      </c>
      <c r="AF857" s="38">
        <v>111.01</v>
      </c>
      <c r="AG857" s="38">
        <v>115.18</v>
      </c>
      <c r="AH857" s="38">
        <v>119.63</v>
      </c>
      <c r="AI857" s="38">
        <v>122.6</v>
      </c>
      <c r="AJ857" s="38">
        <v>124.38</v>
      </c>
      <c r="AK857" s="38">
        <v>125.19</v>
      </c>
      <c r="AL857" s="38">
        <v>114.64</v>
      </c>
      <c r="AM857" s="38">
        <v>99.63</v>
      </c>
      <c r="AN857" s="38">
        <v>88.62</v>
      </c>
      <c r="AO857" s="38">
        <v>83.05</v>
      </c>
      <c r="AP857" s="38">
        <v>80.03</v>
      </c>
      <c r="AQ857" s="38">
        <v>77.06</v>
      </c>
      <c r="AR857" s="38">
        <v>79.03</v>
      </c>
      <c r="AS857" s="38">
        <v>85.93</v>
      </c>
      <c r="AT857" s="38">
        <v>93.52</v>
      </c>
      <c r="AU857" s="38">
        <v>100.55</v>
      </c>
      <c r="AV857" s="38">
        <v>106.48</v>
      </c>
      <c r="AW857" s="38">
        <v>107.36</v>
      </c>
      <c r="AX857" s="38">
        <v>101.91</v>
      </c>
      <c r="AY857" s="38">
        <v>92.14</v>
      </c>
      <c r="BA857" s="37">
        <v>85.89</v>
      </c>
      <c r="BB857" s="38">
        <v>1.2450000000000001</v>
      </c>
    </row>
    <row r="858" spans="1:54" x14ac:dyDescent="0.35">
      <c r="A858" s="2">
        <f t="shared" si="13"/>
        <v>45022</v>
      </c>
      <c r="B858" t="s">
        <v>900</v>
      </c>
      <c r="C858" s="32">
        <v>45022</v>
      </c>
      <c r="D858" s="38">
        <v>102.31</v>
      </c>
      <c r="E858" s="38">
        <v>105.31</v>
      </c>
      <c r="F858" s="38">
        <v>104.91</v>
      </c>
      <c r="G858" s="38">
        <v>110.34</v>
      </c>
      <c r="H858" s="38">
        <v>114.57</v>
      </c>
      <c r="I858" s="38">
        <v>120.97</v>
      </c>
      <c r="J858" s="38">
        <v>137.97</v>
      </c>
      <c r="K858" s="38">
        <v>150.16999999999999</v>
      </c>
      <c r="L858" s="38">
        <v>152.63</v>
      </c>
      <c r="M858" s="38">
        <v>151.66999999999999</v>
      </c>
      <c r="N858" s="38">
        <v>147.56</v>
      </c>
      <c r="O858" s="38">
        <v>140.93</v>
      </c>
      <c r="P858" s="38">
        <v>134.44</v>
      </c>
      <c r="Q858" s="38">
        <v>130.96</v>
      </c>
      <c r="R858" s="38">
        <v>130.37</v>
      </c>
      <c r="S858" s="38">
        <v>131.99</v>
      </c>
      <c r="T858" s="38">
        <v>134.56</v>
      </c>
      <c r="U858" s="38">
        <v>139.13999999999999</v>
      </c>
      <c r="V858" s="38">
        <v>145.30000000000001</v>
      </c>
      <c r="W858" s="38">
        <v>146.78</v>
      </c>
      <c r="X858" s="38">
        <v>148.02000000000001</v>
      </c>
      <c r="Y858" s="38">
        <v>146.71</v>
      </c>
      <c r="Z858" s="38">
        <v>137.49</v>
      </c>
      <c r="AA858" s="38">
        <v>125.69</v>
      </c>
      <c r="AB858" s="38">
        <v>114.06</v>
      </c>
      <c r="AC858" s="38">
        <v>104.07</v>
      </c>
      <c r="AD858" s="38">
        <v>105.14</v>
      </c>
      <c r="AE858" s="38">
        <v>106.92</v>
      </c>
      <c r="AF858" s="38">
        <v>110.1</v>
      </c>
      <c r="AG858" s="38">
        <v>113.39</v>
      </c>
      <c r="AH858" s="38">
        <v>116.88</v>
      </c>
      <c r="AI858" s="38">
        <v>119.85</v>
      </c>
      <c r="AJ858" s="38">
        <v>121.63</v>
      </c>
      <c r="AK858" s="38">
        <v>122.44</v>
      </c>
      <c r="AL858" s="38">
        <v>111.89</v>
      </c>
      <c r="AM858" s="38">
        <v>96.88</v>
      </c>
      <c r="AN858" s="38">
        <v>85.87</v>
      </c>
      <c r="AO858" s="38">
        <v>80.3</v>
      </c>
      <c r="AP858" s="38">
        <v>77.28</v>
      </c>
      <c r="AQ858" s="38">
        <v>74.31</v>
      </c>
      <c r="AR858" s="38">
        <v>76.28</v>
      </c>
      <c r="AS858" s="38">
        <v>83.18</v>
      </c>
      <c r="AT858" s="38">
        <v>90.77</v>
      </c>
      <c r="AU858" s="38">
        <v>97.8</v>
      </c>
      <c r="AV858" s="38">
        <v>103.73</v>
      </c>
      <c r="AW858" s="38">
        <v>104.61</v>
      </c>
      <c r="AX858" s="38">
        <v>99.16</v>
      </c>
      <c r="AY858" s="38">
        <v>89.39</v>
      </c>
      <c r="BA858" s="37">
        <v>86.56</v>
      </c>
      <c r="BB858" s="38">
        <v>1.2434000000000001</v>
      </c>
    </row>
    <row r="859" spans="1:54" x14ac:dyDescent="0.35">
      <c r="A859" s="2">
        <f t="shared" si="13"/>
        <v>45023</v>
      </c>
      <c r="B859" t="s">
        <v>901</v>
      </c>
      <c r="C859" s="32">
        <v>45023</v>
      </c>
      <c r="D859" s="38" t="e">
        <v>#N/A</v>
      </c>
      <c r="E859" s="38" t="e">
        <v>#N/A</v>
      </c>
      <c r="F859" s="38" t="e">
        <v>#N/A</v>
      </c>
      <c r="G859" s="38" t="e">
        <v>#N/A</v>
      </c>
      <c r="H859" s="38" t="e">
        <v>#N/A</v>
      </c>
      <c r="I859" s="38" t="e">
        <v>#N/A</v>
      </c>
      <c r="J859" s="38" t="e">
        <v>#N/A</v>
      </c>
      <c r="K859" s="38" t="e">
        <v>#N/A</v>
      </c>
      <c r="L859" s="38" t="e">
        <v>#N/A</v>
      </c>
      <c r="M859" s="38" t="e">
        <v>#N/A</v>
      </c>
      <c r="N859" s="38" t="e">
        <v>#N/A</v>
      </c>
      <c r="O859" s="38" t="e">
        <v>#N/A</v>
      </c>
      <c r="P859" s="38" t="e">
        <v>#N/A</v>
      </c>
      <c r="Q859" s="38" t="e">
        <v>#N/A</v>
      </c>
      <c r="R859" s="38" t="e">
        <v>#N/A</v>
      </c>
      <c r="S859" s="38" t="e">
        <v>#N/A</v>
      </c>
      <c r="T859" s="38" t="e">
        <v>#N/A</v>
      </c>
      <c r="U859" s="38" t="e">
        <v>#N/A</v>
      </c>
      <c r="V859" s="38" t="e">
        <v>#N/A</v>
      </c>
      <c r="W859" s="38" t="e">
        <v>#N/A</v>
      </c>
      <c r="X859" s="38" t="e">
        <v>#N/A</v>
      </c>
      <c r="Y859" s="38" t="e">
        <v>#N/A</v>
      </c>
      <c r="Z859" s="38" t="e">
        <v>#N/A</v>
      </c>
      <c r="AA859" s="38" t="e">
        <v>#N/A</v>
      </c>
      <c r="AB859" s="38" t="e">
        <v>#N/A</v>
      </c>
      <c r="AC859" s="38" t="e">
        <v>#N/A</v>
      </c>
      <c r="AD859" s="38" t="e">
        <v>#N/A</v>
      </c>
      <c r="AE859" s="38" t="e">
        <v>#N/A</v>
      </c>
      <c r="AF859" s="38" t="e">
        <v>#N/A</v>
      </c>
      <c r="AG859" s="38" t="e">
        <v>#N/A</v>
      </c>
      <c r="AH859" s="38" t="e">
        <v>#N/A</v>
      </c>
      <c r="AI859" s="38" t="e">
        <v>#N/A</v>
      </c>
      <c r="AJ859" s="38" t="e">
        <v>#N/A</v>
      </c>
      <c r="AK859" s="38" t="e">
        <v>#N/A</v>
      </c>
      <c r="AL859" s="38" t="e">
        <v>#N/A</v>
      </c>
      <c r="AM859" s="38" t="e">
        <v>#N/A</v>
      </c>
      <c r="AN859" s="38" t="e">
        <v>#N/A</v>
      </c>
      <c r="AO859" s="38" t="e">
        <v>#N/A</v>
      </c>
      <c r="AP859" s="38" t="e">
        <v>#N/A</v>
      </c>
      <c r="AQ859" s="38" t="e">
        <v>#N/A</v>
      </c>
      <c r="AR859" s="38" t="e">
        <v>#N/A</v>
      </c>
      <c r="AS859" s="38" t="e">
        <v>#N/A</v>
      </c>
      <c r="AT859" s="38" t="e">
        <v>#N/A</v>
      </c>
      <c r="AU859" s="38" t="e">
        <v>#N/A</v>
      </c>
      <c r="AV859" s="38" t="e">
        <v>#N/A</v>
      </c>
      <c r="AW859" s="38" t="e">
        <v>#N/A</v>
      </c>
      <c r="AX859" s="38" t="e">
        <v>#N/A</v>
      </c>
      <c r="AY859" s="38" t="e">
        <v>#N/A</v>
      </c>
      <c r="BA859" s="37" t="e">
        <v>#N/A</v>
      </c>
      <c r="BB859" s="38" t="e">
        <v>#N/A</v>
      </c>
    </row>
    <row r="860" spans="1:54" x14ac:dyDescent="0.35">
      <c r="A860" s="2">
        <f t="shared" si="13"/>
        <v>45026</v>
      </c>
      <c r="B860" t="s">
        <v>902</v>
      </c>
      <c r="C860" s="32">
        <v>45026</v>
      </c>
      <c r="D860" s="38">
        <v>102.31</v>
      </c>
      <c r="E860" s="38">
        <v>105.31</v>
      </c>
      <c r="F860" s="38">
        <v>104.91</v>
      </c>
      <c r="G860" s="38">
        <v>110.34</v>
      </c>
      <c r="H860" s="38">
        <v>114.57</v>
      </c>
      <c r="I860" s="38">
        <v>120.97</v>
      </c>
      <c r="J860" s="38">
        <v>137.97</v>
      </c>
      <c r="K860" s="38">
        <v>150.16999999999999</v>
      </c>
      <c r="L860" s="38">
        <v>152.63</v>
      </c>
      <c r="M860" s="38">
        <v>151.66999999999999</v>
      </c>
      <c r="N860" s="38">
        <v>147.56</v>
      </c>
      <c r="O860" s="38">
        <v>140.93</v>
      </c>
      <c r="P860" s="38">
        <v>134.44</v>
      </c>
      <c r="Q860" s="38">
        <v>130.96</v>
      </c>
      <c r="R860" s="38">
        <v>130.37</v>
      </c>
      <c r="S860" s="38">
        <v>131.99</v>
      </c>
      <c r="T860" s="38">
        <v>134.56</v>
      </c>
      <c r="U860" s="38">
        <v>139.13999999999999</v>
      </c>
      <c r="V860" s="38">
        <v>145.30000000000001</v>
      </c>
      <c r="W860" s="38">
        <v>146.78</v>
      </c>
      <c r="X860" s="38">
        <v>148.02000000000001</v>
      </c>
      <c r="Y860" s="38">
        <v>146.71</v>
      </c>
      <c r="Z860" s="38">
        <v>137.49</v>
      </c>
      <c r="AA860" s="38">
        <v>125.69</v>
      </c>
      <c r="AB860" s="38">
        <v>114.06</v>
      </c>
      <c r="AC860" s="38">
        <v>104.07</v>
      </c>
      <c r="AD860" s="38">
        <v>105.14</v>
      </c>
      <c r="AE860" s="38">
        <v>106.92</v>
      </c>
      <c r="AF860" s="38">
        <v>110.1</v>
      </c>
      <c r="AG860" s="38">
        <v>113.39</v>
      </c>
      <c r="AH860" s="38">
        <v>116.88</v>
      </c>
      <c r="AI860" s="38">
        <v>119.85</v>
      </c>
      <c r="AJ860" s="38">
        <v>121.63</v>
      </c>
      <c r="AK860" s="38">
        <v>122.44</v>
      </c>
      <c r="AL860" s="38">
        <v>111.89</v>
      </c>
      <c r="AM860" s="38">
        <v>96.88</v>
      </c>
      <c r="AN860" s="38">
        <v>85.87</v>
      </c>
      <c r="AO860" s="38">
        <v>80.3</v>
      </c>
      <c r="AP860" s="38">
        <v>77.28</v>
      </c>
      <c r="AQ860" s="38">
        <v>74.31</v>
      </c>
      <c r="AR860" s="38">
        <v>76.28</v>
      </c>
      <c r="AS860" s="38">
        <v>83.18</v>
      </c>
      <c r="AT860" s="38">
        <v>90.77</v>
      </c>
      <c r="AU860" s="38">
        <v>97.8</v>
      </c>
      <c r="AV860" s="38">
        <v>103.73</v>
      </c>
      <c r="AW860" s="38">
        <v>104.61</v>
      </c>
      <c r="AX860" s="38">
        <v>99.16</v>
      </c>
      <c r="AY860" s="38">
        <v>89.39</v>
      </c>
      <c r="BA860" s="37" t="e">
        <v>#N/A</v>
      </c>
      <c r="BB860" s="38" t="e">
        <v>#N/A</v>
      </c>
    </row>
    <row r="861" spans="1:54" x14ac:dyDescent="0.35">
      <c r="A861" s="2">
        <f t="shared" si="13"/>
        <v>45027</v>
      </c>
      <c r="B861" t="s">
        <v>903</v>
      </c>
      <c r="C861" s="32">
        <v>45027</v>
      </c>
      <c r="D861" s="38">
        <v>102.63</v>
      </c>
      <c r="E861" s="38">
        <v>105.59</v>
      </c>
      <c r="F861" s="38">
        <v>105.3</v>
      </c>
      <c r="G861" s="38">
        <v>112.38</v>
      </c>
      <c r="H861" s="38">
        <v>117.36</v>
      </c>
      <c r="I861" s="38">
        <v>124.27</v>
      </c>
      <c r="J861" s="38">
        <v>141.77000000000001</v>
      </c>
      <c r="K861" s="38">
        <v>154.47</v>
      </c>
      <c r="L861" s="38">
        <v>157.62</v>
      </c>
      <c r="M861" s="38">
        <v>156.81</v>
      </c>
      <c r="N861" s="38">
        <v>152.68</v>
      </c>
      <c r="O861" s="38">
        <v>146.66</v>
      </c>
      <c r="P861" s="38">
        <v>140.06</v>
      </c>
      <c r="Q861" s="38">
        <v>136.61000000000001</v>
      </c>
      <c r="R861" s="38">
        <v>135.26</v>
      </c>
      <c r="S861" s="38">
        <v>136.88999999999999</v>
      </c>
      <c r="T861" s="38">
        <v>139.47</v>
      </c>
      <c r="U861" s="38">
        <v>144.38</v>
      </c>
      <c r="V861" s="38">
        <v>150.66999999999999</v>
      </c>
      <c r="W861" s="38">
        <v>152.15</v>
      </c>
      <c r="X861" s="38">
        <v>153.21</v>
      </c>
      <c r="Y861" s="38">
        <v>151.83000000000001</v>
      </c>
      <c r="Z861" s="38">
        <v>142.56</v>
      </c>
      <c r="AA861" s="38">
        <v>130.41999999999999</v>
      </c>
      <c r="AB861" s="38">
        <v>118.67</v>
      </c>
      <c r="AC861" s="38">
        <v>108.62</v>
      </c>
      <c r="AD861" s="38">
        <v>109.69</v>
      </c>
      <c r="AE861" s="38">
        <v>111.47</v>
      </c>
      <c r="AF861" s="38">
        <v>114.65</v>
      </c>
      <c r="AG861" s="38">
        <v>117.75</v>
      </c>
      <c r="AH861" s="38">
        <v>121.14</v>
      </c>
      <c r="AI861" s="38">
        <v>124.11</v>
      </c>
      <c r="AJ861" s="38">
        <v>126.18</v>
      </c>
      <c r="AK861" s="38">
        <v>127.15</v>
      </c>
      <c r="AL861" s="38">
        <v>116.6</v>
      </c>
      <c r="AM861" s="38">
        <v>101.8</v>
      </c>
      <c r="AN861" s="38">
        <v>90.79</v>
      </c>
      <c r="AO861" s="38">
        <v>85.22</v>
      </c>
      <c r="AP861" s="38">
        <v>82.2</v>
      </c>
      <c r="AQ861" s="38">
        <v>79.23</v>
      </c>
      <c r="AR861" s="38">
        <v>81.2</v>
      </c>
      <c r="AS861" s="38">
        <v>88.01</v>
      </c>
      <c r="AT861" s="38">
        <v>95.6</v>
      </c>
      <c r="AU861" s="38">
        <v>102.63</v>
      </c>
      <c r="AV861" s="38">
        <v>108.74</v>
      </c>
      <c r="AW861" s="38">
        <v>109.62</v>
      </c>
      <c r="AX861" s="38">
        <v>104.17</v>
      </c>
      <c r="AY861" s="38">
        <v>94.16</v>
      </c>
      <c r="BA861" s="37">
        <v>87.32</v>
      </c>
      <c r="BB861" s="38">
        <v>1.2431000000000001</v>
      </c>
    </row>
    <row r="862" spans="1:54" x14ac:dyDescent="0.35">
      <c r="A862" s="2">
        <f t="shared" si="13"/>
        <v>45028</v>
      </c>
      <c r="B862" t="s">
        <v>904</v>
      </c>
      <c r="C862" s="32">
        <v>45028</v>
      </c>
      <c r="D862" s="38">
        <v>100.8</v>
      </c>
      <c r="E862" s="38">
        <v>103.94</v>
      </c>
      <c r="F862" s="38">
        <v>103.62</v>
      </c>
      <c r="G862" s="38">
        <v>110.66</v>
      </c>
      <c r="H862" s="38">
        <v>116.66</v>
      </c>
      <c r="I862" s="38">
        <v>123.87</v>
      </c>
      <c r="J862" s="38">
        <v>142.38</v>
      </c>
      <c r="K862" s="38">
        <v>157.38</v>
      </c>
      <c r="L862" s="38">
        <v>160.51</v>
      </c>
      <c r="M862" s="38">
        <v>159.4</v>
      </c>
      <c r="N862" s="38">
        <v>154.4</v>
      </c>
      <c r="O862" s="38">
        <v>148.62</v>
      </c>
      <c r="P862" s="38">
        <v>142.49</v>
      </c>
      <c r="Q862" s="38">
        <v>139.02000000000001</v>
      </c>
      <c r="R862" s="38">
        <v>137.65</v>
      </c>
      <c r="S862" s="38">
        <v>139.29</v>
      </c>
      <c r="T862" s="38">
        <v>142.16</v>
      </c>
      <c r="U862" s="38">
        <v>147.77000000000001</v>
      </c>
      <c r="V862" s="38">
        <v>153.78</v>
      </c>
      <c r="W862" s="38">
        <v>155.06</v>
      </c>
      <c r="X862" s="38">
        <v>155.97999999999999</v>
      </c>
      <c r="Y862" s="38">
        <v>154.53</v>
      </c>
      <c r="Z862" s="38">
        <v>145.03</v>
      </c>
      <c r="AA862" s="38">
        <v>131.88</v>
      </c>
      <c r="AB862" s="38">
        <v>119.73</v>
      </c>
      <c r="AC862" s="38">
        <v>109.51</v>
      </c>
      <c r="AD862" s="38">
        <v>110.51</v>
      </c>
      <c r="AE862" s="38">
        <v>112.29</v>
      </c>
      <c r="AF862" s="38">
        <v>115.47</v>
      </c>
      <c r="AG862" s="38">
        <v>120.57</v>
      </c>
      <c r="AH862" s="38">
        <v>124.31</v>
      </c>
      <c r="AI862" s="38">
        <v>127.42</v>
      </c>
      <c r="AJ862" s="38">
        <v>129.53</v>
      </c>
      <c r="AK862" s="38">
        <v>130.53</v>
      </c>
      <c r="AL862" s="38">
        <v>120.05</v>
      </c>
      <c r="AM862" s="38">
        <v>104.41</v>
      </c>
      <c r="AN862" s="38">
        <v>92.63</v>
      </c>
      <c r="AO862" s="38">
        <v>87.06</v>
      </c>
      <c r="AP862" s="38">
        <v>84.04</v>
      </c>
      <c r="AQ862" s="38">
        <v>81.02</v>
      </c>
      <c r="AR862" s="38">
        <v>82.99</v>
      </c>
      <c r="AS862" s="38">
        <v>89.25</v>
      </c>
      <c r="AT862" s="38">
        <v>96.65</v>
      </c>
      <c r="AU862" s="38">
        <v>103.63</v>
      </c>
      <c r="AV862" s="38">
        <v>109.72</v>
      </c>
      <c r="AW862" s="38">
        <v>110.64</v>
      </c>
      <c r="AX862" s="38">
        <v>105.18</v>
      </c>
      <c r="AY862" s="38">
        <v>95.12</v>
      </c>
      <c r="BA862" s="37">
        <v>88.31</v>
      </c>
      <c r="BB862" s="38">
        <v>1.2465999999999999</v>
      </c>
    </row>
    <row r="863" spans="1:54" x14ac:dyDescent="0.35">
      <c r="A863" s="2">
        <f t="shared" si="13"/>
        <v>45029</v>
      </c>
      <c r="B863" t="s">
        <v>905</v>
      </c>
      <c r="C863" s="32">
        <v>45029</v>
      </c>
      <c r="D863" s="38">
        <v>99.88</v>
      </c>
      <c r="E863" s="38">
        <v>102.37</v>
      </c>
      <c r="F863" s="38">
        <v>102.23</v>
      </c>
      <c r="G863" s="38">
        <v>108.41</v>
      </c>
      <c r="H863" s="38">
        <v>114.5</v>
      </c>
      <c r="I863" s="38">
        <v>121.28</v>
      </c>
      <c r="J863" s="38">
        <v>141.28</v>
      </c>
      <c r="K863" s="38">
        <v>155.28</v>
      </c>
      <c r="L863" s="38">
        <v>158.63</v>
      </c>
      <c r="M863" s="38">
        <v>157.54</v>
      </c>
      <c r="N863" s="38">
        <v>152.57</v>
      </c>
      <c r="O863" s="38">
        <v>147.02000000000001</v>
      </c>
      <c r="P863" s="38">
        <v>140.88999999999999</v>
      </c>
      <c r="Q863" s="38">
        <v>137.43</v>
      </c>
      <c r="R863" s="38">
        <v>136.07</v>
      </c>
      <c r="S863" s="38">
        <v>137.71</v>
      </c>
      <c r="T863" s="38">
        <v>140.58000000000001</v>
      </c>
      <c r="U863" s="38">
        <v>146.02000000000001</v>
      </c>
      <c r="V863" s="38">
        <v>152.03</v>
      </c>
      <c r="W863" s="38">
        <v>153.30000000000001</v>
      </c>
      <c r="X863" s="38">
        <v>154.49</v>
      </c>
      <c r="Y863" s="38">
        <v>153.30000000000001</v>
      </c>
      <c r="Z863" s="38">
        <v>143.80000000000001</v>
      </c>
      <c r="AA863" s="38">
        <v>130.65</v>
      </c>
      <c r="AB863" s="38">
        <v>118.49</v>
      </c>
      <c r="AC863" s="38">
        <v>108.27</v>
      </c>
      <c r="AD863" s="38">
        <v>109.27</v>
      </c>
      <c r="AE863" s="38">
        <v>111.05</v>
      </c>
      <c r="AF863" s="38">
        <v>114.23</v>
      </c>
      <c r="AG863" s="38">
        <v>119.84</v>
      </c>
      <c r="AH863" s="38">
        <v>123.58</v>
      </c>
      <c r="AI863" s="38">
        <v>126.69</v>
      </c>
      <c r="AJ863" s="38">
        <v>128.80000000000001</v>
      </c>
      <c r="AK863" s="38">
        <v>129.80000000000001</v>
      </c>
      <c r="AL863" s="38">
        <v>119.32</v>
      </c>
      <c r="AM863" s="38">
        <v>104.27</v>
      </c>
      <c r="AN863" s="38">
        <v>92.49</v>
      </c>
      <c r="AO863" s="38">
        <v>86.92</v>
      </c>
      <c r="AP863" s="38">
        <v>83.9</v>
      </c>
      <c r="AQ863" s="38">
        <v>80.88</v>
      </c>
      <c r="AR863" s="38">
        <v>82.85</v>
      </c>
      <c r="AS863" s="38">
        <v>88.95</v>
      </c>
      <c r="AT863" s="38">
        <v>96.35</v>
      </c>
      <c r="AU863" s="38">
        <v>103.33</v>
      </c>
      <c r="AV863" s="38">
        <v>109.42</v>
      </c>
      <c r="AW863" s="38">
        <v>110.34</v>
      </c>
      <c r="AX863" s="38">
        <v>104.88</v>
      </c>
      <c r="AY863" s="38">
        <v>94.98</v>
      </c>
      <c r="BA863" s="37">
        <v>86.51</v>
      </c>
      <c r="BB863" s="38">
        <v>1.2509999999999999</v>
      </c>
    </row>
    <row r="864" spans="1:54" x14ac:dyDescent="0.35">
      <c r="A864" s="2">
        <f t="shared" si="13"/>
        <v>45030</v>
      </c>
      <c r="B864" t="s">
        <v>906</v>
      </c>
      <c r="C864" s="32">
        <v>45030</v>
      </c>
      <c r="D864" s="38">
        <v>98.46</v>
      </c>
      <c r="E864" s="38">
        <v>100</v>
      </c>
      <c r="F864" s="38">
        <v>100.04</v>
      </c>
      <c r="G864" s="38">
        <v>106.82</v>
      </c>
      <c r="H864" s="38">
        <v>112.75</v>
      </c>
      <c r="I864" s="38">
        <v>120.54</v>
      </c>
      <c r="J864" s="38">
        <v>142.04</v>
      </c>
      <c r="K864" s="38">
        <v>155.19</v>
      </c>
      <c r="L864" s="38">
        <v>158.30000000000001</v>
      </c>
      <c r="M864" s="38">
        <v>157.19</v>
      </c>
      <c r="N864" s="38">
        <v>152.22</v>
      </c>
      <c r="O864" s="38">
        <v>146.33000000000001</v>
      </c>
      <c r="P864" s="38">
        <v>140.6</v>
      </c>
      <c r="Q864" s="38">
        <v>137.13999999999999</v>
      </c>
      <c r="R864" s="38">
        <v>135.80000000000001</v>
      </c>
      <c r="S864" s="38">
        <v>137.4</v>
      </c>
      <c r="T864" s="38">
        <v>140.30000000000001</v>
      </c>
      <c r="U864" s="38">
        <v>145.51</v>
      </c>
      <c r="V864" s="38">
        <v>151.51</v>
      </c>
      <c r="W864" s="38">
        <v>152.78</v>
      </c>
      <c r="X864" s="38">
        <v>154.08000000000001</v>
      </c>
      <c r="Y864" s="38">
        <v>152.88999999999999</v>
      </c>
      <c r="Z864" s="38">
        <v>143.56</v>
      </c>
      <c r="AA864" s="38">
        <v>130.59</v>
      </c>
      <c r="AB864" s="38">
        <v>118.61</v>
      </c>
      <c r="AC864" s="38">
        <v>108.39</v>
      </c>
      <c r="AD864" s="38">
        <v>109.39</v>
      </c>
      <c r="AE864" s="38">
        <v>111.17</v>
      </c>
      <c r="AF864" s="38">
        <v>114.35</v>
      </c>
      <c r="AG864" s="38">
        <v>119.35</v>
      </c>
      <c r="AH864" s="38">
        <v>123.09</v>
      </c>
      <c r="AI864" s="38">
        <v>126.2</v>
      </c>
      <c r="AJ864" s="38">
        <v>128.31</v>
      </c>
      <c r="AK864" s="38">
        <v>129.31</v>
      </c>
      <c r="AL864" s="38">
        <v>118.91</v>
      </c>
      <c r="AM864" s="38">
        <v>103.87</v>
      </c>
      <c r="AN864" s="38">
        <v>92.09</v>
      </c>
      <c r="AO864" s="38">
        <v>86.52</v>
      </c>
      <c r="AP864" s="38">
        <v>83.5</v>
      </c>
      <c r="AQ864" s="38">
        <v>80.48</v>
      </c>
      <c r="AR864" s="38">
        <v>82.45</v>
      </c>
      <c r="AS864" s="38">
        <v>88.54</v>
      </c>
      <c r="AT864" s="38">
        <v>95.75</v>
      </c>
      <c r="AU864" s="38">
        <v>102.73</v>
      </c>
      <c r="AV864" s="38">
        <v>108.81</v>
      </c>
      <c r="AW864" s="38">
        <v>109.73</v>
      </c>
      <c r="AX864" s="38">
        <v>104.27</v>
      </c>
      <c r="AY864" s="38">
        <v>94.29</v>
      </c>
      <c r="BA864" s="37">
        <v>87.31</v>
      </c>
      <c r="BB864" s="38">
        <v>1.2444</v>
      </c>
    </row>
    <row r="865" spans="1:54" x14ac:dyDescent="0.35">
      <c r="A865" s="2">
        <f t="shared" si="13"/>
        <v>45033</v>
      </c>
      <c r="B865" t="s">
        <v>907</v>
      </c>
      <c r="C865" s="32">
        <v>45033</v>
      </c>
      <c r="D865" s="38">
        <v>98.76</v>
      </c>
      <c r="E865" s="38">
        <v>100.23</v>
      </c>
      <c r="F865" s="38">
        <v>100</v>
      </c>
      <c r="G865" s="38">
        <v>106.21</v>
      </c>
      <c r="H865" s="38">
        <v>112.04</v>
      </c>
      <c r="I865" s="38">
        <v>119.53</v>
      </c>
      <c r="J865" s="38">
        <v>141.29</v>
      </c>
      <c r="K865" s="38">
        <v>154.44</v>
      </c>
      <c r="L865" s="38">
        <v>157.55000000000001</v>
      </c>
      <c r="M865" s="38">
        <v>156.44</v>
      </c>
      <c r="N865" s="38">
        <v>151.47</v>
      </c>
      <c r="O865" s="38">
        <v>145.58000000000001</v>
      </c>
      <c r="P865" s="38">
        <v>139.85</v>
      </c>
      <c r="Q865" s="38">
        <v>136.38999999999999</v>
      </c>
      <c r="R865" s="38">
        <v>135.05000000000001</v>
      </c>
      <c r="S865" s="38">
        <v>136.65</v>
      </c>
      <c r="T865" s="38">
        <v>139.55000000000001</v>
      </c>
      <c r="U865" s="38">
        <v>144.76</v>
      </c>
      <c r="V865" s="38">
        <v>150.76</v>
      </c>
      <c r="W865" s="38">
        <v>152.03</v>
      </c>
      <c r="X865" s="38">
        <v>153.33000000000001</v>
      </c>
      <c r="Y865" s="38">
        <v>152.13999999999999</v>
      </c>
      <c r="Z865" s="38">
        <v>142.81</v>
      </c>
      <c r="AA865" s="38">
        <v>130.84</v>
      </c>
      <c r="AB865" s="38">
        <v>119.86</v>
      </c>
      <c r="AC865" s="38">
        <v>109.64</v>
      </c>
      <c r="AD865" s="38">
        <v>110.64</v>
      </c>
      <c r="AE865" s="38">
        <v>112.42</v>
      </c>
      <c r="AF865" s="38">
        <v>115.6</v>
      </c>
      <c r="AG865" s="38">
        <v>119.6</v>
      </c>
      <c r="AH865" s="38">
        <v>122.64</v>
      </c>
      <c r="AI865" s="38">
        <v>125.75</v>
      </c>
      <c r="AJ865" s="38">
        <v>127.85</v>
      </c>
      <c r="AK865" s="38">
        <v>128.85</v>
      </c>
      <c r="AL865" s="38">
        <v>118.45</v>
      </c>
      <c r="AM865" s="38">
        <v>103.41</v>
      </c>
      <c r="AN865" s="38">
        <v>91.63</v>
      </c>
      <c r="AO865" s="38">
        <v>86.06</v>
      </c>
      <c r="AP865" s="38">
        <v>83.04</v>
      </c>
      <c r="AQ865" s="38">
        <v>80.02</v>
      </c>
      <c r="AR865" s="38">
        <v>81.99</v>
      </c>
      <c r="AS865" s="38">
        <v>88.08</v>
      </c>
      <c r="AT865" s="38">
        <v>95.29</v>
      </c>
      <c r="AU865" s="38">
        <v>102.27</v>
      </c>
      <c r="AV865" s="38">
        <v>108.35</v>
      </c>
      <c r="AW865" s="38">
        <v>109.27</v>
      </c>
      <c r="AX865" s="38">
        <v>103.81</v>
      </c>
      <c r="AY865" s="38">
        <v>93.83</v>
      </c>
      <c r="BA865" s="37">
        <v>85.63</v>
      </c>
      <c r="BB865" s="38">
        <v>1.2364999999999999</v>
      </c>
    </row>
    <row r="866" spans="1:54" x14ac:dyDescent="0.35">
      <c r="A866" s="2">
        <f t="shared" si="13"/>
        <v>45034</v>
      </c>
      <c r="B866" t="s">
        <v>908</v>
      </c>
      <c r="C866" s="32">
        <v>45034</v>
      </c>
      <c r="D866" s="38">
        <v>101.92</v>
      </c>
      <c r="E866" s="38">
        <v>103.28</v>
      </c>
      <c r="F866" s="38">
        <v>103.18</v>
      </c>
      <c r="G866" s="38">
        <v>109.6</v>
      </c>
      <c r="H866" s="38">
        <v>115.21</v>
      </c>
      <c r="I866" s="38">
        <v>121.44</v>
      </c>
      <c r="J866" s="38">
        <v>143.19</v>
      </c>
      <c r="K866" s="38">
        <v>156.38</v>
      </c>
      <c r="L866" s="38">
        <v>158.80000000000001</v>
      </c>
      <c r="M866" s="38">
        <v>157.69</v>
      </c>
      <c r="N866" s="38">
        <v>152.71</v>
      </c>
      <c r="O866" s="38">
        <v>147.02000000000001</v>
      </c>
      <c r="P866" s="38">
        <v>141.38999999999999</v>
      </c>
      <c r="Q866" s="38">
        <v>137.93</v>
      </c>
      <c r="R866" s="38">
        <v>136.59</v>
      </c>
      <c r="S866" s="38">
        <v>138.19</v>
      </c>
      <c r="T866" s="38">
        <v>141.09</v>
      </c>
      <c r="U866" s="38">
        <v>146.30000000000001</v>
      </c>
      <c r="V866" s="38">
        <v>152.29</v>
      </c>
      <c r="W866" s="38">
        <v>153.56</v>
      </c>
      <c r="X866" s="38">
        <v>154.86000000000001</v>
      </c>
      <c r="Y866" s="38">
        <v>153.66999999999999</v>
      </c>
      <c r="Z866" s="38">
        <v>144.34</v>
      </c>
      <c r="AA866" s="38">
        <v>131.37</v>
      </c>
      <c r="AB866" s="38">
        <v>119.39</v>
      </c>
      <c r="AC866" s="38">
        <v>109.17</v>
      </c>
      <c r="AD866" s="38">
        <v>110.16</v>
      </c>
      <c r="AE866" s="38">
        <v>111.94</v>
      </c>
      <c r="AF866" s="38">
        <v>115.12</v>
      </c>
      <c r="AG866" s="38">
        <v>119.42</v>
      </c>
      <c r="AH866" s="38">
        <v>122.46</v>
      </c>
      <c r="AI866" s="38">
        <v>125.57</v>
      </c>
      <c r="AJ866" s="38">
        <v>127.67</v>
      </c>
      <c r="AK866" s="38">
        <v>128.66999999999999</v>
      </c>
      <c r="AL866" s="38">
        <v>118.27</v>
      </c>
      <c r="AM866" s="38">
        <v>105.13</v>
      </c>
      <c r="AN866" s="38">
        <v>93.35</v>
      </c>
      <c r="AO866" s="38">
        <v>87.78</v>
      </c>
      <c r="AP866" s="38">
        <v>84.76</v>
      </c>
      <c r="AQ866" s="38">
        <v>81.739999999999995</v>
      </c>
      <c r="AR866" s="38">
        <v>83.71</v>
      </c>
      <c r="AS866" s="38">
        <v>88.8</v>
      </c>
      <c r="AT866" s="38">
        <v>95.01</v>
      </c>
      <c r="AU866" s="38">
        <v>100.99</v>
      </c>
      <c r="AV866" s="38">
        <v>107.07</v>
      </c>
      <c r="AW866" s="38">
        <v>107.99</v>
      </c>
      <c r="AX866" s="38">
        <v>102.53</v>
      </c>
      <c r="AY866" s="38">
        <v>92.55</v>
      </c>
      <c r="BA866" s="37">
        <v>85.48</v>
      </c>
      <c r="BB866" s="38">
        <v>1.2427999999999999</v>
      </c>
    </row>
    <row r="867" spans="1:54" x14ac:dyDescent="0.35">
      <c r="A867" s="2">
        <f t="shared" si="13"/>
        <v>45035</v>
      </c>
      <c r="B867" t="s">
        <v>909</v>
      </c>
      <c r="C867" s="32">
        <v>45035</v>
      </c>
      <c r="D867" s="38">
        <v>96.11</v>
      </c>
      <c r="E867" s="38">
        <v>97.69</v>
      </c>
      <c r="F867" s="38">
        <v>97.41</v>
      </c>
      <c r="G867" s="38">
        <v>103.78</v>
      </c>
      <c r="H867" s="38">
        <v>110.11</v>
      </c>
      <c r="I867" s="38">
        <v>116.36</v>
      </c>
      <c r="J867" s="38">
        <v>138.86000000000001</v>
      </c>
      <c r="K867" s="38">
        <v>152.16</v>
      </c>
      <c r="L867" s="38">
        <v>154.88</v>
      </c>
      <c r="M867" s="38">
        <v>153.77000000000001</v>
      </c>
      <c r="N867" s="38">
        <v>148.79</v>
      </c>
      <c r="O867" s="38">
        <v>143.1</v>
      </c>
      <c r="P867" s="38">
        <v>137.47</v>
      </c>
      <c r="Q867" s="38">
        <v>134.01</v>
      </c>
      <c r="R867" s="38">
        <v>133.66999999999999</v>
      </c>
      <c r="S867" s="38">
        <v>135.27000000000001</v>
      </c>
      <c r="T867" s="38">
        <v>138.16999999999999</v>
      </c>
      <c r="U867" s="38">
        <v>143.38</v>
      </c>
      <c r="V867" s="38">
        <v>149.37</v>
      </c>
      <c r="W867" s="38">
        <v>150.63999999999999</v>
      </c>
      <c r="X867" s="38">
        <v>151.94</v>
      </c>
      <c r="Y867" s="38">
        <v>150.75</v>
      </c>
      <c r="Z867" s="38">
        <v>141.41999999999999</v>
      </c>
      <c r="AA867" s="38">
        <v>129.94999999999999</v>
      </c>
      <c r="AB867" s="38">
        <v>118.97</v>
      </c>
      <c r="AC867" s="38">
        <v>108.75</v>
      </c>
      <c r="AD867" s="38">
        <v>109.74</v>
      </c>
      <c r="AE867" s="38">
        <v>111.52</v>
      </c>
      <c r="AF867" s="38">
        <v>114.7</v>
      </c>
      <c r="AG867" s="38">
        <v>119.76</v>
      </c>
      <c r="AH867" s="38">
        <v>122.8</v>
      </c>
      <c r="AI867" s="38">
        <v>125.91</v>
      </c>
      <c r="AJ867" s="38">
        <v>128.01</v>
      </c>
      <c r="AK867" s="38">
        <v>129.01</v>
      </c>
      <c r="AL867" s="38">
        <v>118.61</v>
      </c>
      <c r="AM867" s="38">
        <v>105.47</v>
      </c>
      <c r="AN867" s="38">
        <v>93.69</v>
      </c>
      <c r="AO867" s="38">
        <v>88.12</v>
      </c>
      <c r="AP867" s="38">
        <v>85.1</v>
      </c>
      <c r="AQ867" s="38">
        <v>82.08</v>
      </c>
      <c r="AR867" s="38">
        <v>84.05</v>
      </c>
      <c r="AS867" s="38">
        <v>89.14</v>
      </c>
      <c r="AT867" s="38">
        <v>95.35</v>
      </c>
      <c r="AU867" s="38">
        <v>101.33</v>
      </c>
      <c r="AV867" s="38">
        <v>107.41</v>
      </c>
      <c r="AW867" s="38">
        <v>108.33</v>
      </c>
      <c r="AX867" s="38">
        <v>102.87</v>
      </c>
      <c r="AY867" s="38">
        <v>92.89</v>
      </c>
      <c r="BA867" s="37">
        <v>85.34</v>
      </c>
      <c r="BB867" s="38">
        <v>1.2450000000000001</v>
      </c>
    </row>
    <row r="868" spans="1:54" x14ac:dyDescent="0.35">
      <c r="A868" s="2">
        <f t="shared" si="13"/>
        <v>45036</v>
      </c>
      <c r="B868" t="s">
        <v>910</v>
      </c>
      <c r="C868" s="32">
        <v>45036</v>
      </c>
      <c r="D868" s="38">
        <v>95.6</v>
      </c>
      <c r="E868" s="38">
        <v>97.16</v>
      </c>
      <c r="F868" s="38">
        <v>97.16</v>
      </c>
      <c r="G868" s="38">
        <v>103.79</v>
      </c>
      <c r="H868" s="38">
        <v>110.29</v>
      </c>
      <c r="I868" s="38">
        <v>116.12</v>
      </c>
      <c r="J868" s="38">
        <v>138.55000000000001</v>
      </c>
      <c r="K868" s="38">
        <v>151.79</v>
      </c>
      <c r="L868" s="38">
        <v>153.91999999999999</v>
      </c>
      <c r="M868" s="38">
        <v>152.80000000000001</v>
      </c>
      <c r="N868" s="38">
        <v>147.82</v>
      </c>
      <c r="O868" s="38">
        <v>142.33000000000001</v>
      </c>
      <c r="P868" s="38">
        <v>136.69999999999999</v>
      </c>
      <c r="Q868" s="38">
        <v>133.22999999999999</v>
      </c>
      <c r="R868" s="38">
        <v>132.88999999999999</v>
      </c>
      <c r="S868" s="38">
        <v>134.47999999999999</v>
      </c>
      <c r="T868" s="38">
        <v>137.37</v>
      </c>
      <c r="U868" s="38">
        <v>142.01</v>
      </c>
      <c r="V868" s="38">
        <v>147</v>
      </c>
      <c r="W868" s="38">
        <v>148.27000000000001</v>
      </c>
      <c r="X868" s="38">
        <v>149.97</v>
      </c>
      <c r="Y868" s="38">
        <v>148.78</v>
      </c>
      <c r="Z868" s="38">
        <v>139.44999999999999</v>
      </c>
      <c r="AA868" s="38">
        <v>127.98</v>
      </c>
      <c r="AB868" s="38">
        <v>118</v>
      </c>
      <c r="AC868" s="38">
        <v>108.78</v>
      </c>
      <c r="AD868" s="38">
        <v>109.77</v>
      </c>
      <c r="AE868" s="38">
        <v>111.55</v>
      </c>
      <c r="AF868" s="38">
        <v>114.73</v>
      </c>
      <c r="AG868" s="38">
        <v>119.79</v>
      </c>
      <c r="AH868" s="38">
        <v>122.83</v>
      </c>
      <c r="AI868" s="38">
        <v>125.94</v>
      </c>
      <c r="AJ868" s="38">
        <v>128.04</v>
      </c>
      <c r="AK868" s="38">
        <v>129.04</v>
      </c>
      <c r="AL868" s="38">
        <v>118.64</v>
      </c>
      <c r="AM868" s="38">
        <v>105.5</v>
      </c>
      <c r="AN868" s="38">
        <v>93.72</v>
      </c>
      <c r="AO868" s="38">
        <v>88.15</v>
      </c>
      <c r="AP868" s="38">
        <v>85.13</v>
      </c>
      <c r="AQ868" s="38">
        <v>82.11</v>
      </c>
      <c r="AR868" s="38">
        <v>84.08</v>
      </c>
      <c r="AS868" s="38">
        <v>89.17</v>
      </c>
      <c r="AT868" s="38">
        <v>95.38</v>
      </c>
      <c r="AU868" s="38">
        <v>101.36</v>
      </c>
      <c r="AV868" s="38">
        <v>107.44</v>
      </c>
      <c r="AW868" s="38">
        <v>108.36</v>
      </c>
      <c r="AX868" s="38">
        <v>102.9</v>
      </c>
      <c r="AY868" s="38">
        <v>92.92</v>
      </c>
      <c r="BA868" s="37">
        <v>83.29</v>
      </c>
      <c r="BB868" s="38">
        <v>1.2458</v>
      </c>
    </row>
    <row r="869" spans="1:54" x14ac:dyDescent="0.35">
      <c r="A869" s="2">
        <f t="shared" si="13"/>
        <v>45037</v>
      </c>
      <c r="B869" t="s">
        <v>911</v>
      </c>
      <c r="C869" s="32">
        <v>45037</v>
      </c>
      <c r="D869" s="38">
        <v>96.09</v>
      </c>
      <c r="E869" s="38">
        <v>97.53</v>
      </c>
      <c r="F869" s="38">
        <v>97.52</v>
      </c>
      <c r="G869" s="38">
        <v>103.87</v>
      </c>
      <c r="H869" s="38">
        <v>109.67</v>
      </c>
      <c r="I869" s="38">
        <v>116.27</v>
      </c>
      <c r="J869" s="38">
        <v>138.87</v>
      </c>
      <c r="K869" s="38">
        <v>152.11000000000001</v>
      </c>
      <c r="L869" s="38">
        <v>154.24</v>
      </c>
      <c r="M869" s="38">
        <v>153.12</v>
      </c>
      <c r="N869" s="38">
        <v>148.13999999999999</v>
      </c>
      <c r="O869" s="38">
        <v>140.52000000000001</v>
      </c>
      <c r="P869" s="38">
        <v>134.88999999999999</v>
      </c>
      <c r="Q869" s="38">
        <v>131.41999999999999</v>
      </c>
      <c r="R869" s="38">
        <v>131.08000000000001</v>
      </c>
      <c r="S869" s="38">
        <v>132.66999999999999</v>
      </c>
      <c r="T869" s="38">
        <v>136.06</v>
      </c>
      <c r="U869" s="38">
        <v>141</v>
      </c>
      <c r="V869" s="38">
        <v>145.99</v>
      </c>
      <c r="W869" s="38">
        <v>147.26</v>
      </c>
      <c r="X869" s="38">
        <v>148.96</v>
      </c>
      <c r="Y869" s="38">
        <v>147.77000000000001</v>
      </c>
      <c r="Z869" s="38">
        <v>138.44</v>
      </c>
      <c r="AA869" s="38">
        <v>127.97</v>
      </c>
      <c r="AB869" s="38">
        <v>117.99</v>
      </c>
      <c r="AC869" s="38">
        <v>108.77</v>
      </c>
      <c r="AD869" s="38">
        <v>109.76</v>
      </c>
      <c r="AE869" s="38">
        <v>111.54</v>
      </c>
      <c r="AF869" s="38">
        <v>114.72</v>
      </c>
      <c r="AG869" s="38">
        <v>118.78</v>
      </c>
      <c r="AH869" s="38">
        <v>121.82</v>
      </c>
      <c r="AI869" s="38">
        <v>124.93</v>
      </c>
      <c r="AJ869" s="38">
        <v>127.03</v>
      </c>
      <c r="AK869" s="38">
        <v>128.03</v>
      </c>
      <c r="AL869" s="38">
        <v>117.63</v>
      </c>
      <c r="AM869" s="38">
        <v>104.49</v>
      </c>
      <c r="AN869" s="38">
        <v>92.71</v>
      </c>
      <c r="AO869" s="38">
        <v>87.14</v>
      </c>
      <c r="AP869" s="38">
        <v>84.12</v>
      </c>
      <c r="AQ869" s="38">
        <v>81.099999999999994</v>
      </c>
      <c r="AR869" s="38">
        <v>83.07</v>
      </c>
      <c r="AS869" s="38">
        <v>88.16</v>
      </c>
      <c r="AT869" s="38">
        <v>94.37</v>
      </c>
      <c r="AU869" s="38">
        <v>100.35</v>
      </c>
      <c r="AV869" s="38">
        <v>106.43</v>
      </c>
      <c r="AW869" s="38">
        <v>107.35</v>
      </c>
      <c r="AX869" s="38">
        <v>101.89</v>
      </c>
      <c r="AY869" s="38">
        <v>91.91</v>
      </c>
      <c r="BA869" s="37">
        <v>83.36</v>
      </c>
      <c r="BB869" s="38">
        <v>1.2398</v>
      </c>
    </row>
    <row r="870" spans="1:54" x14ac:dyDescent="0.35">
      <c r="A870" s="2">
        <f t="shared" si="13"/>
        <v>45040</v>
      </c>
      <c r="B870" t="s">
        <v>912</v>
      </c>
      <c r="C870" s="32">
        <v>45040</v>
      </c>
      <c r="D870" s="38">
        <v>95.3</v>
      </c>
      <c r="E870" s="38">
        <v>96.5</v>
      </c>
      <c r="F870" s="38">
        <v>96.37</v>
      </c>
      <c r="G870" s="38">
        <v>102.25</v>
      </c>
      <c r="H870" s="38">
        <v>108.51</v>
      </c>
      <c r="I870" s="38">
        <v>114.56</v>
      </c>
      <c r="J870" s="38">
        <v>137.66</v>
      </c>
      <c r="K870" s="38">
        <v>151.06</v>
      </c>
      <c r="L870" s="38">
        <v>153.26</v>
      </c>
      <c r="M870" s="38">
        <v>152.58000000000001</v>
      </c>
      <c r="N870" s="38">
        <v>147.63</v>
      </c>
      <c r="O870" s="38">
        <v>139.51</v>
      </c>
      <c r="P870" s="38">
        <v>133.88</v>
      </c>
      <c r="Q870" s="38">
        <v>130.41</v>
      </c>
      <c r="R870" s="38">
        <v>129.68</v>
      </c>
      <c r="S870" s="38">
        <v>131.27000000000001</v>
      </c>
      <c r="T870" s="38">
        <v>134.66</v>
      </c>
      <c r="U870" s="38">
        <v>139.24</v>
      </c>
      <c r="V870" s="38">
        <v>144.22999999999999</v>
      </c>
      <c r="W870" s="38">
        <v>145.5</v>
      </c>
      <c r="X870" s="38">
        <v>148.4</v>
      </c>
      <c r="Y870" s="38">
        <v>147.21</v>
      </c>
      <c r="Z870" s="38">
        <v>137.88</v>
      </c>
      <c r="AA870" s="38">
        <v>126.56</v>
      </c>
      <c r="AB870" s="38">
        <v>116.58</v>
      </c>
      <c r="AC870" s="38">
        <v>107.36</v>
      </c>
      <c r="AD870" s="38">
        <v>108.35</v>
      </c>
      <c r="AE870" s="38">
        <v>110.13</v>
      </c>
      <c r="AF870" s="38">
        <v>113.31</v>
      </c>
      <c r="AG870" s="38">
        <v>118.37</v>
      </c>
      <c r="AH870" s="38">
        <v>121.41</v>
      </c>
      <c r="AI870" s="38">
        <v>124.52</v>
      </c>
      <c r="AJ870" s="38">
        <v>126.62</v>
      </c>
      <c r="AK870" s="38">
        <v>127.62</v>
      </c>
      <c r="AL870" s="38">
        <v>117.22</v>
      </c>
      <c r="AM870" s="38">
        <v>106.08</v>
      </c>
      <c r="AN870" s="38">
        <v>95.8</v>
      </c>
      <c r="AO870" s="38">
        <v>90.23</v>
      </c>
      <c r="AP870" s="38">
        <v>87.21</v>
      </c>
      <c r="AQ870" s="38">
        <v>84.19</v>
      </c>
      <c r="AR870" s="38">
        <v>86.16</v>
      </c>
      <c r="AS870" s="38">
        <v>92.25</v>
      </c>
      <c r="AT870" s="38">
        <v>98.46</v>
      </c>
      <c r="AU870" s="38">
        <v>104.44</v>
      </c>
      <c r="AV870" s="38">
        <v>110.52</v>
      </c>
      <c r="AW870" s="38">
        <v>111.44</v>
      </c>
      <c r="AX870" s="38">
        <v>105.98</v>
      </c>
      <c r="AY870" s="38">
        <v>96</v>
      </c>
      <c r="BA870" s="37">
        <v>84.23</v>
      </c>
      <c r="BB870" s="38">
        <v>1.2456</v>
      </c>
    </row>
    <row r="871" spans="1:54" x14ac:dyDescent="0.35">
      <c r="A871" s="2">
        <f t="shared" si="13"/>
        <v>45041</v>
      </c>
      <c r="B871" t="s">
        <v>913</v>
      </c>
      <c r="C871" s="32">
        <v>45041</v>
      </c>
      <c r="D871" s="38">
        <v>94.84</v>
      </c>
      <c r="E871" s="38">
        <v>96.53</v>
      </c>
      <c r="F871" s="38">
        <v>96.27</v>
      </c>
      <c r="G871" s="38">
        <v>101.57</v>
      </c>
      <c r="H871" s="38">
        <v>107.87</v>
      </c>
      <c r="I871" s="38">
        <v>113.97</v>
      </c>
      <c r="J871" s="38">
        <v>138.16999999999999</v>
      </c>
      <c r="K871" s="38">
        <v>152.81</v>
      </c>
      <c r="L871" s="38">
        <v>155.21</v>
      </c>
      <c r="M871" s="38">
        <v>154.53</v>
      </c>
      <c r="N871" s="38">
        <v>149.57</v>
      </c>
      <c r="O871" s="38">
        <v>142.11000000000001</v>
      </c>
      <c r="P871" s="38">
        <v>136.41999999999999</v>
      </c>
      <c r="Q871" s="38">
        <v>132.94999999999999</v>
      </c>
      <c r="R871" s="38">
        <v>131.71</v>
      </c>
      <c r="S871" s="38">
        <v>133.30000000000001</v>
      </c>
      <c r="T871" s="38">
        <v>136.69</v>
      </c>
      <c r="U871" s="38">
        <v>141.32</v>
      </c>
      <c r="V871" s="38">
        <v>146.11000000000001</v>
      </c>
      <c r="W871" s="38">
        <v>147.38</v>
      </c>
      <c r="X871" s="38">
        <v>150.85</v>
      </c>
      <c r="Y871" s="38">
        <v>149.66</v>
      </c>
      <c r="Z871" s="38">
        <v>140.33000000000001</v>
      </c>
      <c r="AA871" s="38">
        <v>128.91</v>
      </c>
      <c r="AB871" s="38">
        <v>118.93</v>
      </c>
      <c r="AC871" s="38">
        <v>109.71</v>
      </c>
      <c r="AD871" s="38">
        <v>110.7</v>
      </c>
      <c r="AE871" s="38">
        <v>112.48</v>
      </c>
      <c r="AF871" s="38">
        <v>115.66</v>
      </c>
      <c r="AG871" s="38">
        <v>119.72</v>
      </c>
      <c r="AH871" s="38">
        <v>122.76</v>
      </c>
      <c r="AI871" s="38">
        <v>125.87</v>
      </c>
      <c r="AJ871" s="38">
        <v>127.97</v>
      </c>
      <c r="AK871" s="38">
        <v>128.97</v>
      </c>
      <c r="AL871" s="38">
        <v>118.57</v>
      </c>
      <c r="AM871" s="38">
        <v>107.43</v>
      </c>
      <c r="AN871" s="38">
        <v>97.15</v>
      </c>
      <c r="AO871" s="38">
        <v>91.58</v>
      </c>
      <c r="AP871" s="38">
        <v>88.56</v>
      </c>
      <c r="AQ871" s="38">
        <v>85.54</v>
      </c>
      <c r="AR871" s="38">
        <v>87.51</v>
      </c>
      <c r="AS871" s="38">
        <v>93.6</v>
      </c>
      <c r="AT871" s="38">
        <v>99.81</v>
      </c>
      <c r="AU871" s="38">
        <v>105.79</v>
      </c>
      <c r="AV871" s="38">
        <v>111.87</v>
      </c>
      <c r="AW871" s="38">
        <v>112.79</v>
      </c>
      <c r="AX871" s="38">
        <v>107.33</v>
      </c>
      <c r="AY871" s="38">
        <v>97.35</v>
      </c>
      <c r="BA871" s="37">
        <v>82.13</v>
      </c>
      <c r="BB871" s="38">
        <v>1.2402</v>
      </c>
    </row>
    <row r="872" spans="1:54" x14ac:dyDescent="0.35">
      <c r="A872" s="2">
        <f t="shared" si="13"/>
        <v>45042</v>
      </c>
      <c r="B872" t="s">
        <v>914</v>
      </c>
      <c r="C872" s="32">
        <v>45042</v>
      </c>
      <c r="D872" s="38">
        <v>90.41</v>
      </c>
      <c r="E872" s="38">
        <v>90.82</v>
      </c>
      <c r="F872" s="38">
        <v>90.81</v>
      </c>
      <c r="G872" s="38">
        <v>96.7</v>
      </c>
      <c r="H872" s="38">
        <v>104.1</v>
      </c>
      <c r="I872" s="38">
        <v>112.35</v>
      </c>
      <c r="J872" s="38">
        <v>137.35</v>
      </c>
      <c r="K872" s="38">
        <v>152.30000000000001</v>
      </c>
      <c r="L872" s="38">
        <v>155.56</v>
      </c>
      <c r="M872" s="38">
        <v>154.88</v>
      </c>
      <c r="N872" s="38">
        <v>149.91999999999999</v>
      </c>
      <c r="O872" s="38">
        <v>141.9</v>
      </c>
      <c r="P872" s="38">
        <v>136.21</v>
      </c>
      <c r="Q872" s="38">
        <v>132.74</v>
      </c>
      <c r="R872" s="38">
        <v>132.5</v>
      </c>
      <c r="S872" s="38">
        <v>134.09</v>
      </c>
      <c r="T872" s="38">
        <v>137.47999999999999</v>
      </c>
      <c r="U872" s="38">
        <v>140.79</v>
      </c>
      <c r="V872" s="38">
        <v>145.58000000000001</v>
      </c>
      <c r="W872" s="38">
        <v>146.85</v>
      </c>
      <c r="X872" s="38">
        <v>151.02000000000001</v>
      </c>
      <c r="Y872" s="38">
        <v>149.83000000000001</v>
      </c>
      <c r="Z872" s="38">
        <v>140.5</v>
      </c>
      <c r="AA872" s="38">
        <v>129.01</v>
      </c>
      <c r="AB872" s="38">
        <v>119.03</v>
      </c>
      <c r="AC872" s="38">
        <v>109.81</v>
      </c>
      <c r="AD872" s="38">
        <v>110.8</v>
      </c>
      <c r="AE872" s="38">
        <v>112.58</v>
      </c>
      <c r="AF872" s="38">
        <v>115.76</v>
      </c>
      <c r="AG872" s="38">
        <v>118.96</v>
      </c>
      <c r="AH872" s="38">
        <v>122</v>
      </c>
      <c r="AI872" s="38">
        <v>125.11</v>
      </c>
      <c r="AJ872" s="38">
        <v>127.21</v>
      </c>
      <c r="AK872" s="38">
        <v>128.21</v>
      </c>
      <c r="AL872" s="38">
        <v>117.81</v>
      </c>
      <c r="AM872" s="38">
        <v>106.67</v>
      </c>
      <c r="AN872" s="38">
        <v>96.39</v>
      </c>
      <c r="AO872" s="38">
        <v>90.82</v>
      </c>
      <c r="AP872" s="38">
        <v>87.8</v>
      </c>
      <c r="AQ872" s="38">
        <v>84.78</v>
      </c>
      <c r="AR872" s="38">
        <v>86.75</v>
      </c>
      <c r="AS872" s="38">
        <v>92.84</v>
      </c>
      <c r="AT872" s="38">
        <v>99.05</v>
      </c>
      <c r="AU872" s="38">
        <v>105.03</v>
      </c>
      <c r="AV872" s="38">
        <v>111.11</v>
      </c>
      <c r="AW872" s="38">
        <v>112.03</v>
      </c>
      <c r="AX872" s="38">
        <v>106.57</v>
      </c>
      <c r="AY872" s="38">
        <v>96.59</v>
      </c>
      <c r="BA872" s="37">
        <v>79.19</v>
      </c>
      <c r="BB872" s="38">
        <v>1.2472000000000001</v>
      </c>
    </row>
    <row r="873" spans="1:54" x14ac:dyDescent="0.35">
      <c r="A873" s="2">
        <f t="shared" si="13"/>
        <v>45043</v>
      </c>
      <c r="B873" t="s">
        <v>915</v>
      </c>
      <c r="C873" s="32">
        <v>45043</v>
      </c>
      <c r="D873" s="38">
        <v>90.53</v>
      </c>
      <c r="E873" s="38">
        <v>91.76</v>
      </c>
      <c r="F873" s="38">
        <v>92</v>
      </c>
      <c r="G873" s="38">
        <v>98.7</v>
      </c>
      <c r="H873" s="38">
        <v>105.95</v>
      </c>
      <c r="I873" s="38">
        <v>114.75</v>
      </c>
      <c r="J873" s="38">
        <v>141.16999999999999</v>
      </c>
      <c r="K873" s="38">
        <v>156.66999999999999</v>
      </c>
      <c r="L873" s="38">
        <v>159.9</v>
      </c>
      <c r="M873" s="38">
        <v>159.41999999999999</v>
      </c>
      <c r="N873" s="38">
        <v>154.46</v>
      </c>
      <c r="O873" s="38">
        <v>146.91</v>
      </c>
      <c r="P873" s="38">
        <v>141.22</v>
      </c>
      <c r="Q873" s="38">
        <v>137.75</v>
      </c>
      <c r="R873" s="38">
        <v>137.51</v>
      </c>
      <c r="S873" s="38">
        <v>139.1</v>
      </c>
      <c r="T873" s="38">
        <v>142.49</v>
      </c>
      <c r="U873" s="38">
        <v>144.97</v>
      </c>
      <c r="V873" s="38">
        <v>149.76</v>
      </c>
      <c r="W873" s="38">
        <v>151.03</v>
      </c>
      <c r="X873" s="38">
        <v>156.19999999999999</v>
      </c>
      <c r="Y873" s="38">
        <v>155.41</v>
      </c>
      <c r="Z873" s="38">
        <v>146.08000000000001</v>
      </c>
      <c r="AA873" s="38">
        <v>133.22999999999999</v>
      </c>
      <c r="AB873" s="38">
        <v>123.15</v>
      </c>
      <c r="AC873" s="38">
        <v>113.93</v>
      </c>
      <c r="AD873" s="38">
        <v>114.92</v>
      </c>
      <c r="AE873" s="38">
        <v>116.7</v>
      </c>
      <c r="AF873" s="38">
        <v>119.88</v>
      </c>
      <c r="AG873" s="38">
        <v>123.08</v>
      </c>
      <c r="AH873" s="38">
        <v>126.12</v>
      </c>
      <c r="AI873" s="38">
        <v>129.22999999999999</v>
      </c>
      <c r="AJ873" s="38">
        <v>131.33000000000001</v>
      </c>
      <c r="AK873" s="38">
        <v>132.33000000000001</v>
      </c>
      <c r="AL873" s="38">
        <v>121.93</v>
      </c>
      <c r="AM873" s="38">
        <v>108.79</v>
      </c>
      <c r="AN873" s="38">
        <v>97.51</v>
      </c>
      <c r="AO873" s="38">
        <v>91.94</v>
      </c>
      <c r="AP873" s="38">
        <v>88.92</v>
      </c>
      <c r="AQ873" s="38">
        <v>85.9</v>
      </c>
      <c r="AR873" s="38">
        <v>87.87</v>
      </c>
      <c r="AS873" s="38">
        <v>92.96</v>
      </c>
      <c r="AT873" s="38">
        <v>98.17</v>
      </c>
      <c r="AU873" s="38">
        <v>104.15</v>
      </c>
      <c r="AV873" s="38">
        <v>110.23</v>
      </c>
      <c r="AW873" s="38">
        <v>111.15</v>
      </c>
      <c r="AX873" s="38">
        <v>105.69</v>
      </c>
      <c r="AY873" s="38">
        <v>95.71</v>
      </c>
      <c r="BA873" s="37">
        <v>80.11</v>
      </c>
      <c r="BB873" s="38">
        <v>1.2494000000000001</v>
      </c>
    </row>
    <row r="874" spans="1:54" x14ac:dyDescent="0.35">
      <c r="A874" s="2">
        <f t="shared" si="13"/>
        <v>45044</v>
      </c>
      <c r="B874" t="s">
        <v>916</v>
      </c>
      <c r="C874" s="32">
        <v>45044</v>
      </c>
      <c r="D874" s="38">
        <v>88.53</v>
      </c>
      <c r="E874" s="38">
        <v>88.87</v>
      </c>
      <c r="F874" s="38">
        <v>97.62</v>
      </c>
      <c r="G874" s="38">
        <v>105.62</v>
      </c>
      <c r="H874" s="38">
        <v>113.67</v>
      </c>
      <c r="I874" s="38">
        <v>139.33000000000001</v>
      </c>
      <c r="J874" s="38">
        <v>154.82</v>
      </c>
      <c r="K874" s="38">
        <v>158.35</v>
      </c>
      <c r="L874" s="38">
        <v>157.87</v>
      </c>
      <c r="M874" s="38">
        <v>152.9</v>
      </c>
      <c r="N874" s="38">
        <v>146.16999999999999</v>
      </c>
      <c r="O874" s="38">
        <v>140.47999999999999</v>
      </c>
      <c r="P874" s="38">
        <v>137.01</v>
      </c>
      <c r="Q874" s="38">
        <v>136.77000000000001</v>
      </c>
      <c r="R874" s="38">
        <v>138.36000000000001</v>
      </c>
      <c r="S874" s="38">
        <v>141.75</v>
      </c>
      <c r="T874" s="38">
        <v>145.16999999999999</v>
      </c>
      <c r="U874" s="38">
        <v>149.96</v>
      </c>
      <c r="V874" s="38">
        <v>151.22999999999999</v>
      </c>
      <c r="W874" s="38">
        <v>156.4</v>
      </c>
      <c r="X874" s="38">
        <v>155.61000000000001</v>
      </c>
      <c r="Y874" s="38">
        <v>146.28</v>
      </c>
      <c r="Z874" s="38">
        <v>132.53</v>
      </c>
      <c r="AA874" s="38">
        <v>121.95</v>
      </c>
      <c r="AB874" s="38">
        <v>112.73</v>
      </c>
      <c r="AC874" s="38">
        <v>113.72</v>
      </c>
      <c r="AD874" s="38">
        <v>115.5</v>
      </c>
      <c r="AE874" s="38">
        <v>118.68</v>
      </c>
      <c r="AF874" s="38">
        <v>122.38</v>
      </c>
      <c r="AG874" s="38">
        <v>125.42</v>
      </c>
      <c r="AH874" s="38">
        <v>128.53</v>
      </c>
      <c r="AI874" s="38">
        <v>130.63</v>
      </c>
      <c r="AJ874" s="38">
        <v>131.63</v>
      </c>
      <c r="AK874" s="38">
        <v>121.23</v>
      </c>
      <c r="AL874" s="38">
        <v>108.09</v>
      </c>
      <c r="AM874" s="38">
        <v>96.81</v>
      </c>
      <c r="AN874" s="38">
        <v>91.24</v>
      </c>
      <c r="AO874" s="38">
        <v>88.22</v>
      </c>
      <c r="AP874" s="38">
        <v>85.2</v>
      </c>
      <c r="AQ874" s="38">
        <v>87.17</v>
      </c>
      <c r="AR874" s="38">
        <v>92.26</v>
      </c>
      <c r="AS874" s="38">
        <v>97.47</v>
      </c>
      <c r="AT874" s="38">
        <v>103.45</v>
      </c>
      <c r="AU874" s="38">
        <v>109.53</v>
      </c>
      <c r="AV874" s="38">
        <v>110.45</v>
      </c>
      <c r="AW874" s="38">
        <v>104.99</v>
      </c>
      <c r="AX874" s="38">
        <v>95.01</v>
      </c>
      <c r="AY874" s="38">
        <v>89.12</v>
      </c>
      <c r="BA874" s="37">
        <v>81.319999999999993</v>
      </c>
      <c r="BB874" s="38">
        <v>1.2565999999999999</v>
      </c>
    </row>
    <row r="875" spans="1:54" x14ac:dyDescent="0.35">
      <c r="A875" s="2">
        <f t="shared" si="13"/>
        <v>45047</v>
      </c>
      <c r="B875" t="s">
        <v>917</v>
      </c>
      <c r="C875" s="32">
        <v>45047</v>
      </c>
      <c r="D875" s="38">
        <v>88.53</v>
      </c>
      <c r="E875" s="38">
        <v>88.87</v>
      </c>
      <c r="F875" s="38">
        <v>97.62</v>
      </c>
      <c r="G875" s="38">
        <v>105.62</v>
      </c>
      <c r="H875" s="38">
        <v>113.67</v>
      </c>
      <c r="I875" s="38">
        <v>139.33000000000001</v>
      </c>
      <c r="J875" s="38">
        <v>154.82</v>
      </c>
      <c r="K875" s="38">
        <v>158.35</v>
      </c>
      <c r="L875" s="38">
        <v>157.87</v>
      </c>
      <c r="M875" s="38">
        <v>152.9</v>
      </c>
      <c r="N875" s="38">
        <v>146.16999999999999</v>
      </c>
      <c r="O875" s="38">
        <v>140.47999999999999</v>
      </c>
      <c r="P875" s="38">
        <v>137.01</v>
      </c>
      <c r="Q875" s="38">
        <v>136.77000000000001</v>
      </c>
      <c r="R875" s="38">
        <v>138.36000000000001</v>
      </c>
      <c r="S875" s="38">
        <v>141.75</v>
      </c>
      <c r="T875" s="38">
        <v>145.16999999999999</v>
      </c>
      <c r="U875" s="38">
        <v>149.96</v>
      </c>
      <c r="V875" s="38">
        <v>151.22999999999999</v>
      </c>
      <c r="W875" s="38">
        <v>156.4</v>
      </c>
      <c r="X875" s="38">
        <v>155.61000000000001</v>
      </c>
      <c r="Y875" s="38">
        <v>146.28</v>
      </c>
      <c r="Z875" s="38">
        <v>132.53</v>
      </c>
      <c r="AA875" s="38">
        <v>121.95</v>
      </c>
      <c r="AB875" s="38">
        <v>112.73</v>
      </c>
      <c r="AC875" s="38">
        <v>113.72</v>
      </c>
      <c r="AD875" s="38">
        <v>115.5</v>
      </c>
      <c r="AE875" s="38">
        <v>118.68</v>
      </c>
      <c r="AF875" s="38">
        <v>122.38</v>
      </c>
      <c r="AG875" s="38">
        <v>125.42</v>
      </c>
      <c r="AH875" s="38">
        <v>128.53</v>
      </c>
      <c r="AI875" s="38">
        <v>130.63</v>
      </c>
      <c r="AJ875" s="38">
        <v>131.63</v>
      </c>
      <c r="AK875" s="38">
        <v>121.23</v>
      </c>
      <c r="AL875" s="38">
        <v>108.09</v>
      </c>
      <c r="AM875" s="38">
        <v>96.81</v>
      </c>
      <c r="AN875" s="38">
        <v>91.24</v>
      </c>
      <c r="AO875" s="38">
        <v>88.22</v>
      </c>
      <c r="AP875" s="38">
        <v>85.2</v>
      </c>
      <c r="AQ875" s="38">
        <v>87.17</v>
      </c>
      <c r="AR875" s="38">
        <v>92.26</v>
      </c>
      <c r="AS875" s="38">
        <v>97.47</v>
      </c>
      <c r="AT875" s="38">
        <v>103.45</v>
      </c>
      <c r="AU875" s="38">
        <v>109.53</v>
      </c>
      <c r="AV875" s="38">
        <v>110.45</v>
      </c>
      <c r="AW875" s="38">
        <v>104.99</v>
      </c>
      <c r="AX875" s="38">
        <v>95.01</v>
      </c>
      <c r="AY875" s="38">
        <v>89.12</v>
      </c>
      <c r="BA875" s="37" t="e">
        <v>#N/A</v>
      </c>
      <c r="BB875" s="38" t="e">
        <v>#N/A</v>
      </c>
    </row>
    <row r="876" spans="1:54" x14ac:dyDescent="0.35">
      <c r="A876" s="2">
        <f t="shared" si="13"/>
        <v>45048</v>
      </c>
      <c r="B876" t="s">
        <v>918</v>
      </c>
      <c r="C876" s="32">
        <v>45048</v>
      </c>
      <c r="D876" s="38">
        <v>85.36</v>
      </c>
      <c r="E876" s="38">
        <v>85.53</v>
      </c>
      <c r="F876" s="38">
        <v>93.49</v>
      </c>
      <c r="G876" s="38">
        <v>101.49</v>
      </c>
      <c r="H876" s="38">
        <v>110.79</v>
      </c>
      <c r="I876" s="38">
        <v>139.44999999999999</v>
      </c>
      <c r="J876" s="38">
        <v>154.94</v>
      </c>
      <c r="K876" s="38">
        <v>158.37</v>
      </c>
      <c r="L876" s="38">
        <v>157.49</v>
      </c>
      <c r="M876" s="38">
        <v>152.52000000000001</v>
      </c>
      <c r="N876" s="38">
        <v>144.19</v>
      </c>
      <c r="O876" s="38">
        <v>137.82</v>
      </c>
      <c r="P876" s="38">
        <v>134.31</v>
      </c>
      <c r="Q876" s="38">
        <v>134.05000000000001</v>
      </c>
      <c r="R876" s="38">
        <v>135.63</v>
      </c>
      <c r="S876" s="38">
        <v>139.01</v>
      </c>
      <c r="T876" s="38">
        <v>143.91999999999999</v>
      </c>
      <c r="U876" s="38">
        <v>148.71</v>
      </c>
      <c r="V876" s="38">
        <v>149.97999999999999</v>
      </c>
      <c r="W876" s="38">
        <v>154.65</v>
      </c>
      <c r="X876" s="38">
        <v>153.86000000000001</v>
      </c>
      <c r="Y876" s="38">
        <v>144.53</v>
      </c>
      <c r="Z876" s="38">
        <v>130.78</v>
      </c>
      <c r="AA876" s="38">
        <v>119.2</v>
      </c>
      <c r="AB876" s="38">
        <v>109.98</v>
      </c>
      <c r="AC876" s="38">
        <v>110.97</v>
      </c>
      <c r="AD876" s="38">
        <v>112.75</v>
      </c>
      <c r="AE876" s="38">
        <v>115.93</v>
      </c>
      <c r="AF876" s="38">
        <v>120.88</v>
      </c>
      <c r="AG876" s="38">
        <v>124.52</v>
      </c>
      <c r="AH876" s="38">
        <v>127.63</v>
      </c>
      <c r="AI876" s="38">
        <v>129.72999999999999</v>
      </c>
      <c r="AJ876" s="38">
        <v>130.72999999999999</v>
      </c>
      <c r="AK876" s="38">
        <v>120.33</v>
      </c>
      <c r="AL876" s="38">
        <v>107.19</v>
      </c>
      <c r="AM876" s="38">
        <v>95.91</v>
      </c>
      <c r="AN876" s="38">
        <v>90.34</v>
      </c>
      <c r="AO876" s="38">
        <v>87.32</v>
      </c>
      <c r="AP876" s="38">
        <v>84.3</v>
      </c>
      <c r="AQ876" s="38">
        <v>86.27</v>
      </c>
      <c r="AR876" s="38">
        <v>91.36</v>
      </c>
      <c r="AS876" s="38">
        <v>96.57</v>
      </c>
      <c r="AT876" s="38">
        <v>102.55</v>
      </c>
      <c r="AU876" s="38">
        <v>108.63</v>
      </c>
      <c r="AV876" s="38">
        <v>109.55</v>
      </c>
      <c r="AW876" s="38">
        <v>104.09</v>
      </c>
      <c r="AX876" s="38">
        <v>94.11</v>
      </c>
      <c r="AY876" s="38">
        <v>88.22</v>
      </c>
      <c r="BA876" s="37">
        <v>76.709999999999994</v>
      </c>
      <c r="BB876" s="38">
        <v>1.2472000000000001</v>
      </c>
    </row>
    <row r="877" spans="1:54" x14ac:dyDescent="0.35">
      <c r="A877" s="2">
        <f t="shared" si="13"/>
        <v>45049</v>
      </c>
      <c r="B877" t="s">
        <v>919</v>
      </c>
      <c r="C877" s="32">
        <v>45049</v>
      </c>
      <c r="D877" s="38">
        <v>83.6</v>
      </c>
      <c r="E877" s="38">
        <v>83.85</v>
      </c>
      <c r="F877" s="38">
        <v>91.83</v>
      </c>
      <c r="G877" s="38">
        <v>99.83</v>
      </c>
      <c r="H877" s="38">
        <v>108.63</v>
      </c>
      <c r="I877" s="38">
        <v>138.33000000000001</v>
      </c>
      <c r="J877" s="38">
        <v>153.56</v>
      </c>
      <c r="K877" s="38">
        <v>156.61000000000001</v>
      </c>
      <c r="L877" s="38">
        <v>155.72999999999999</v>
      </c>
      <c r="M877" s="38">
        <v>150.72999999999999</v>
      </c>
      <c r="N877" s="38">
        <v>142.09</v>
      </c>
      <c r="O877" s="38">
        <v>135.68</v>
      </c>
      <c r="P877" s="38">
        <v>132.09</v>
      </c>
      <c r="Q877" s="38">
        <v>131.79</v>
      </c>
      <c r="R877" s="38">
        <v>133.32</v>
      </c>
      <c r="S877" s="38">
        <v>136.66</v>
      </c>
      <c r="T877" s="38">
        <v>141.52000000000001</v>
      </c>
      <c r="U877" s="38">
        <v>146.27000000000001</v>
      </c>
      <c r="V877" s="38">
        <v>147.5</v>
      </c>
      <c r="W877" s="38">
        <v>152.13</v>
      </c>
      <c r="X877" s="38">
        <v>151.30000000000001</v>
      </c>
      <c r="Y877" s="38">
        <v>141.91999999999999</v>
      </c>
      <c r="Z877" s="38">
        <v>129.22</v>
      </c>
      <c r="AA877" s="38">
        <v>117.64</v>
      </c>
      <c r="AB877" s="38">
        <v>108.42</v>
      </c>
      <c r="AC877" s="38">
        <v>109.41</v>
      </c>
      <c r="AD877" s="38">
        <v>111.19</v>
      </c>
      <c r="AE877" s="38">
        <v>114.37</v>
      </c>
      <c r="AF877" s="38">
        <v>119.32</v>
      </c>
      <c r="AG877" s="38">
        <v>122.96</v>
      </c>
      <c r="AH877" s="38">
        <v>126.07</v>
      </c>
      <c r="AI877" s="38">
        <v>128.16999999999999</v>
      </c>
      <c r="AJ877" s="38">
        <v>129.16999999999999</v>
      </c>
      <c r="AK877" s="38">
        <v>118.77</v>
      </c>
      <c r="AL877" s="38">
        <v>105.63</v>
      </c>
      <c r="AM877" s="38">
        <v>94.35</v>
      </c>
      <c r="AN877" s="38">
        <v>88.78</v>
      </c>
      <c r="AO877" s="38">
        <v>85.76</v>
      </c>
      <c r="AP877" s="38">
        <v>82.74</v>
      </c>
      <c r="AQ877" s="38">
        <v>84.71</v>
      </c>
      <c r="AR877" s="38">
        <v>89.8</v>
      </c>
      <c r="AS877" s="38">
        <v>95.01</v>
      </c>
      <c r="AT877" s="38">
        <v>100.99</v>
      </c>
      <c r="AU877" s="38">
        <v>107.07</v>
      </c>
      <c r="AV877" s="38">
        <v>107.99</v>
      </c>
      <c r="AW877" s="38">
        <v>102.53</v>
      </c>
      <c r="AX877" s="38">
        <v>92.55</v>
      </c>
      <c r="AY877" s="38">
        <v>86.66</v>
      </c>
      <c r="BA877" s="37">
        <v>72.91</v>
      </c>
      <c r="BB877" s="38">
        <v>1.2533000000000001</v>
      </c>
    </row>
    <row r="878" spans="1:54" x14ac:dyDescent="0.35">
      <c r="A878" s="2">
        <f t="shared" si="13"/>
        <v>45050</v>
      </c>
      <c r="B878" t="s">
        <v>920</v>
      </c>
      <c r="C878" s="32">
        <v>45050</v>
      </c>
      <c r="D878" s="38">
        <v>80.510000000000005</v>
      </c>
      <c r="E878" s="38">
        <v>80.7</v>
      </c>
      <c r="F878" s="38">
        <v>88.84</v>
      </c>
      <c r="G878" s="38">
        <v>96.98</v>
      </c>
      <c r="H878" s="38">
        <v>104.78</v>
      </c>
      <c r="I878" s="38">
        <v>134.28</v>
      </c>
      <c r="J878" s="38">
        <v>150.28</v>
      </c>
      <c r="K878" s="38">
        <v>153.08000000000001</v>
      </c>
      <c r="L878" s="38">
        <v>152.41999999999999</v>
      </c>
      <c r="M878" s="38">
        <v>146.41999999999999</v>
      </c>
      <c r="N878" s="38">
        <v>138.5</v>
      </c>
      <c r="O878" s="38">
        <v>132.49</v>
      </c>
      <c r="P878" s="38">
        <v>128.9</v>
      </c>
      <c r="Q878" s="38">
        <v>128.6</v>
      </c>
      <c r="R878" s="38">
        <v>130.13</v>
      </c>
      <c r="S878" s="38">
        <v>133.47</v>
      </c>
      <c r="T878" s="38">
        <v>139.03</v>
      </c>
      <c r="U878" s="38">
        <v>143.78</v>
      </c>
      <c r="V878" s="38">
        <v>145.01</v>
      </c>
      <c r="W878" s="38">
        <v>149.63999999999999</v>
      </c>
      <c r="X878" s="38">
        <v>148.81</v>
      </c>
      <c r="Y878" s="38">
        <v>139.43</v>
      </c>
      <c r="Z878" s="38">
        <v>127.77</v>
      </c>
      <c r="AA878" s="38">
        <v>116.19</v>
      </c>
      <c r="AB878" s="38">
        <v>106.98</v>
      </c>
      <c r="AC878" s="38">
        <v>107.97</v>
      </c>
      <c r="AD878" s="38">
        <v>109.75</v>
      </c>
      <c r="AE878" s="38">
        <v>112.93</v>
      </c>
      <c r="AF878" s="38">
        <v>117.38</v>
      </c>
      <c r="AG878" s="38">
        <v>121.02</v>
      </c>
      <c r="AH878" s="38">
        <v>124.13</v>
      </c>
      <c r="AI878" s="38">
        <v>126.23</v>
      </c>
      <c r="AJ878" s="38">
        <v>127.23</v>
      </c>
      <c r="AK878" s="38">
        <v>116.83</v>
      </c>
      <c r="AL878" s="38">
        <v>104.69</v>
      </c>
      <c r="AM878" s="38">
        <v>94.41</v>
      </c>
      <c r="AN878" s="38">
        <v>88.84</v>
      </c>
      <c r="AO878" s="38">
        <v>85.82</v>
      </c>
      <c r="AP878" s="38">
        <v>82.8</v>
      </c>
      <c r="AQ878" s="38">
        <v>84.77</v>
      </c>
      <c r="AR878" s="38">
        <v>89.86</v>
      </c>
      <c r="AS878" s="38">
        <v>95.07</v>
      </c>
      <c r="AT878" s="38">
        <v>101.05</v>
      </c>
      <c r="AU878" s="38">
        <v>107.13</v>
      </c>
      <c r="AV878" s="38">
        <v>108.05</v>
      </c>
      <c r="AW878" s="38">
        <v>102.59</v>
      </c>
      <c r="AX878" s="38">
        <v>92.61</v>
      </c>
      <c r="AY878" s="38">
        <v>86.72</v>
      </c>
      <c r="BA878" s="37">
        <v>73</v>
      </c>
      <c r="BB878" s="38">
        <v>1.2572000000000001</v>
      </c>
    </row>
    <row r="879" spans="1:54" x14ac:dyDescent="0.35">
      <c r="A879" s="2">
        <f t="shared" si="13"/>
        <v>45051</v>
      </c>
      <c r="B879" t="s">
        <v>921</v>
      </c>
      <c r="C879" s="32">
        <v>45051</v>
      </c>
      <c r="D879" s="38">
        <v>83.35</v>
      </c>
      <c r="E879" s="38">
        <v>83</v>
      </c>
      <c r="F879" s="38">
        <v>90.53</v>
      </c>
      <c r="G879" s="38">
        <v>98.43</v>
      </c>
      <c r="H879" s="38">
        <v>106.03</v>
      </c>
      <c r="I879" s="38">
        <v>135.83000000000001</v>
      </c>
      <c r="J879" s="38">
        <v>151.53</v>
      </c>
      <c r="K879" s="38">
        <v>154.63999999999999</v>
      </c>
      <c r="L879" s="38">
        <v>153.97999999999999</v>
      </c>
      <c r="M879" s="38">
        <v>146.97999999999999</v>
      </c>
      <c r="N879" s="38">
        <v>139.06</v>
      </c>
      <c r="O879" s="38">
        <v>133.35</v>
      </c>
      <c r="P879" s="38">
        <v>129.76</v>
      </c>
      <c r="Q879" s="38">
        <v>129.46</v>
      </c>
      <c r="R879" s="38">
        <v>130.99</v>
      </c>
      <c r="S879" s="38">
        <v>134.33000000000001</v>
      </c>
      <c r="T879" s="38">
        <v>139.88999999999999</v>
      </c>
      <c r="U879" s="38">
        <v>144.63999999999999</v>
      </c>
      <c r="V879" s="38">
        <v>145.87</v>
      </c>
      <c r="W879" s="38">
        <v>150.5</v>
      </c>
      <c r="X879" s="38">
        <v>149.66999999999999</v>
      </c>
      <c r="Y879" s="38">
        <v>140.29</v>
      </c>
      <c r="Z879" s="38">
        <v>128.63</v>
      </c>
      <c r="AA879" s="38">
        <v>117.05</v>
      </c>
      <c r="AB879" s="38">
        <v>107.84</v>
      </c>
      <c r="AC879" s="38">
        <v>108.83</v>
      </c>
      <c r="AD879" s="38">
        <v>110.61</v>
      </c>
      <c r="AE879" s="38">
        <v>113.79</v>
      </c>
      <c r="AF879" s="38">
        <v>118.84</v>
      </c>
      <c r="AG879" s="38">
        <v>122.48</v>
      </c>
      <c r="AH879" s="38">
        <v>125.59</v>
      </c>
      <c r="AI879" s="38">
        <v>127.69</v>
      </c>
      <c r="AJ879" s="38">
        <v>128.69</v>
      </c>
      <c r="AK879" s="38">
        <v>118.29</v>
      </c>
      <c r="AL879" s="38">
        <v>106.15</v>
      </c>
      <c r="AM879" s="38">
        <v>95.87</v>
      </c>
      <c r="AN879" s="38">
        <v>90.3</v>
      </c>
      <c r="AO879" s="38">
        <v>87.28</v>
      </c>
      <c r="AP879" s="38">
        <v>84.26</v>
      </c>
      <c r="AQ879" s="38">
        <v>86.23</v>
      </c>
      <c r="AR879" s="38">
        <v>91.32</v>
      </c>
      <c r="AS879" s="38">
        <v>96.53</v>
      </c>
      <c r="AT879" s="38">
        <v>102.51</v>
      </c>
      <c r="AU879" s="38">
        <v>108.59</v>
      </c>
      <c r="AV879" s="38">
        <v>109.51</v>
      </c>
      <c r="AW879" s="38">
        <v>104.05</v>
      </c>
      <c r="AX879" s="38">
        <v>94.07</v>
      </c>
      <c r="AY879" s="38">
        <v>88.18</v>
      </c>
      <c r="BA879" s="37">
        <v>75.849999999999994</v>
      </c>
      <c r="BB879" s="38">
        <v>1.2626999999999999</v>
      </c>
    </row>
    <row r="880" spans="1:54" x14ac:dyDescent="0.35">
      <c r="A880" s="2">
        <f t="shared" si="13"/>
        <v>45054</v>
      </c>
      <c r="B880" t="s">
        <v>922</v>
      </c>
      <c r="C880" s="32">
        <v>45054</v>
      </c>
      <c r="D880" s="38">
        <v>83.35</v>
      </c>
      <c r="E880" s="38">
        <v>83</v>
      </c>
      <c r="F880" s="38">
        <v>90.53</v>
      </c>
      <c r="G880" s="38">
        <v>98.43</v>
      </c>
      <c r="H880" s="38">
        <v>106.03</v>
      </c>
      <c r="I880" s="38">
        <v>135.83000000000001</v>
      </c>
      <c r="J880" s="38">
        <v>151.53</v>
      </c>
      <c r="K880" s="38">
        <v>154.63999999999999</v>
      </c>
      <c r="L880" s="38">
        <v>153.97999999999999</v>
      </c>
      <c r="M880" s="38">
        <v>146.97999999999999</v>
      </c>
      <c r="N880" s="38">
        <v>139.06</v>
      </c>
      <c r="O880" s="38">
        <v>133.35</v>
      </c>
      <c r="P880" s="38">
        <v>129.76</v>
      </c>
      <c r="Q880" s="38">
        <v>129.46</v>
      </c>
      <c r="R880" s="38">
        <v>130.99</v>
      </c>
      <c r="S880" s="38">
        <v>134.33000000000001</v>
      </c>
      <c r="T880" s="38">
        <v>139.88999999999999</v>
      </c>
      <c r="U880" s="38">
        <v>144.63999999999999</v>
      </c>
      <c r="V880" s="38">
        <v>145.87</v>
      </c>
      <c r="W880" s="38">
        <v>150.5</v>
      </c>
      <c r="X880" s="38">
        <v>149.66999999999999</v>
      </c>
      <c r="Y880" s="38">
        <v>140.29</v>
      </c>
      <c r="Z880" s="38">
        <v>128.63</v>
      </c>
      <c r="AA880" s="38">
        <v>117.05</v>
      </c>
      <c r="AB880" s="38">
        <v>107.84</v>
      </c>
      <c r="AC880" s="38">
        <v>108.83</v>
      </c>
      <c r="AD880" s="38">
        <v>110.61</v>
      </c>
      <c r="AE880" s="38">
        <v>113.79</v>
      </c>
      <c r="AF880" s="38">
        <v>118.84</v>
      </c>
      <c r="AG880" s="38">
        <v>122.48</v>
      </c>
      <c r="AH880" s="38">
        <v>125.59</v>
      </c>
      <c r="AI880" s="38">
        <v>127.69</v>
      </c>
      <c r="AJ880" s="38">
        <v>128.69</v>
      </c>
      <c r="AK880" s="38">
        <v>118.29</v>
      </c>
      <c r="AL880" s="38">
        <v>106.15</v>
      </c>
      <c r="AM880" s="38">
        <v>95.87</v>
      </c>
      <c r="AN880" s="38">
        <v>90.3</v>
      </c>
      <c r="AO880" s="38">
        <v>87.28</v>
      </c>
      <c r="AP880" s="38">
        <v>84.26</v>
      </c>
      <c r="AQ880" s="38">
        <v>86.23</v>
      </c>
      <c r="AR880" s="38">
        <v>91.32</v>
      </c>
      <c r="AS880" s="38">
        <v>96.53</v>
      </c>
      <c r="AT880" s="38">
        <v>102.51</v>
      </c>
      <c r="AU880" s="38">
        <v>108.59</v>
      </c>
      <c r="AV880" s="38">
        <v>109.51</v>
      </c>
      <c r="AW880" s="38">
        <v>104.05</v>
      </c>
      <c r="AX880" s="38">
        <v>94.07</v>
      </c>
      <c r="AY880" s="38">
        <v>88.18</v>
      </c>
      <c r="BA880" s="37" t="e">
        <v>#N/A</v>
      </c>
      <c r="BB880" s="38" t="e">
        <v>#N/A</v>
      </c>
    </row>
    <row r="881" spans="1:54" x14ac:dyDescent="0.35">
      <c r="A881" s="2">
        <f t="shared" si="13"/>
        <v>45055</v>
      </c>
      <c r="B881" t="s">
        <v>923</v>
      </c>
      <c r="C881" s="32">
        <v>45055</v>
      </c>
      <c r="D881" s="38">
        <v>82.23</v>
      </c>
      <c r="E881" s="38">
        <v>82.1</v>
      </c>
      <c r="F881" s="38">
        <v>89.22</v>
      </c>
      <c r="G881" s="38">
        <v>97.69</v>
      </c>
      <c r="H881" s="38">
        <v>105.08</v>
      </c>
      <c r="I881" s="38">
        <v>134.88</v>
      </c>
      <c r="J881" s="38">
        <v>153.1</v>
      </c>
      <c r="K881" s="38">
        <v>156.38</v>
      </c>
      <c r="L881" s="38">
        <v>155.71</v>
      </c>
      <c r="M881" s="38">
        <v>148.69999999999999</v>
      </c>
      <c r="N881" s="38">
        <v>140.77000000000001</v>
      </c>
      <c r="O881" s="38">
        <v>135.05000000000001</v>
      </c>
      <c r="P881" s="38">
        <v>131.46</v>
      </c>
      <c r="Q881" s="38">
        <v>131.16</v>
      </c>
      <c r="R881" s="38">
        <v>132.69</v>
      </c>
      <c r="S881" s="38">
        <v>136.03</v>
      </c>
      <c r="T881" s="38">
        <v>141.59</v>
      </c>
      <c r="U881" s="38">
        <v>146.34</v>
      </c>
      <c r="V881" s="38">
        <v>147.57</v>
      </c>
      <c r="W881" s="38">
        <v>152.19999999999999</v>
      </c>
      <c r="X881" s="38">
        <v>151.37</v>
      </c>
      <c r="Y881" s="38">
        <v>141.99</v>
      </c>
      <c r="Z881" s="38">
        <v>130.33000000000001</v>
      </c>
      <c r="AA881" s="38">
        <v>118.75</v>
      </c>
      <c r="AB881" s="38">
        <v>110.16</v>
      </c>
      <c r="AC881" s="38">
        <v>111.59</v>
      </c>
      <c r="AD881" s="38">
        <v>113.7</v>
      </c>
      <c r="AE881" s="38">
        <v>116.88</v>
      </c>
      <c r="AF881" s="38">
        <v>121.93</v>
      </c>
      <c r="AG881" s="38">
        <v>125.57</v>
      </c>
      <c r="AH881" s="38">
        <v>128.68</v>
      </c>
      <c r="AI881" s="38">
        <v>130.78</v>
      </c>
      <c r="AJ881" s="38">
        <v>131.78</v>
      </c>
      <c r="AK881" s="38">
        <v>121.38</v>
      </c>
      <c r="AL881" s="38">
        <v>109.24</v>
      </c>
      <c r="AM881" s="38">
        <v>98.96</v>
      </c>
      <c r="AN881" s="38">
        <v>93.39</v>
      </c>
      <c r="AO881" s="38">
        <v>90.37</v>
      </c>
      <c r="AP881" s="38">
        <v>87.35</v>
      </c>
      <c r="AQ881" s="38">
        <v>89.32</v>
      </c>
      <c r="AR881" s="38">
        <v>94.41</v>
      </c>
      <c r="AS881" s="38">
        <v>99.62</v>
      </c>
      <c r="AT881" s="38">
        <v>105.6</v>
      </c>
      <c r="AU881" s="38">
        <v>111.68</v>
      </c>
      <c r="AV881" s="38">
        <v>112.6</v>
      </c>
      <c r="AW881" s="38">
        <v>107.14</v>
      </c>
      <c r="AX881" s="38">
        <v>97.16</v>
      </c>
      <c r="AY881" s="38">
        <v>91.27</v>
      </c>
      <c r="BA881" s="37">
        <v>77.760000000000005</v>
      </c>
      <c r="BB881" s="38">
        <v>1.2612000000000001</v>
      </c>
    </row>
    <row r="882" spans="1:54" x14ac:dyDescent="0.35">
      <c r="A882" s="2">
        <f t="shared" si="13"/>
        <v>45056</v>
      </c>
      <c r="B882" t="s">
        <v>924</v>
      </c>
      <c r="C882" s="32">
        <v>45056</v>
      </c>
      <c r="D882" s="38">
        <v>80.56</v>
      </c>
      <c r="E882" s="38">
        <v>80.459999999999994</v>
      </c>
      <c r="F882" s="38">
        <v>86.91</v>
      </c>
      <c r="G882" s="38">
        <v>95.38</v>
      </c>
      <c r="H882" s="38">
        <v>102.38</v>
      </c>
      <c r="I882" s="38">
        <v>133.38</v>
      </c>
      <c r="J882" s="38">
        <v>152.38</v>
      </c>
      <c r="K882" s="38">
        <v>156.38</v>
      </c>
      <c r="L882" s="38">
        <v>156.26</v>
      </c>
      <c r="M882" s="38">
        <v>148.66</v>
      </c>
      <c r="N882" s="38">
        <v>141.11000000000001</v>
      </c>
      <c r="O882" s="38">
        <v>136.43</v>
      </c>
      <c r="P882" s="38">
        <v>132.87</v>
      </c>
      <c r="Q882" s="38">
        <v>132.62</v>
      </c>
      <c r="R882" s="38">
        <v>134.19</v>
      </c>
      <c r="S882" s="38">
        <v>137.69</v>
      </c>
      <c r="T882" s="38">
        <v>143.66</v>
      </c>
      <c r="U882" s="38">
        <v>148.41</v>
      </c>
      <c r="V882" s="38">
        <v>149.63</v>
      </c>
      <c r="W882" s="38">
        <v>153.97999999999999</v>
      </c>
      <c r="X882" s="38">
        <v>152.82</v>
      </c>
      <c r="Y882" s="38">
        <v>143.44</v>
      </c>
      <c r="Z882" s="38">
        <v>129.57</v>
      </c>
      <c r="AA882" s="38">
        <v>117.99</v>
      </c>
      <c r="AB882" s="38">
        <v>109.4</v>
      </c>
      <c r="AC882" s="38">
        <v>111.04</v>
      </c>
      <c r="AD882" s="38">
        <v>113.15</v>
      </c>
      <c r="AE882" s="38">
        <v>116.33</v>
      </c>
      <c r="AF882" s="38">
        <v>121.21</v>
      </c>
      <c r="AG882" s="38">
        <v>124.64</v>
      </c>
      <c r="AH882" s="38">
        <v>127.38</v>
      </c>
      <c r="AI882" s="38">
        <v>129.29</v>
      </c>
      <c r="AJ882" s="38">
        <v>130.18</v>
      </c>
      <c r="AK882" s="38">
        <v>119.78</v>
      </c>
      <c r="AL882" s="38">
        <v>107.64</v>
      </c>
      <c r="AM882" s="38">
        <v>97.36</v>
      </c>
      <c r="AN882" s="38">
        <v>91.79</v>
      </c>
      <c r="AO882" s="38">
        <v>88.77</v>
      </c>
      <c r="AP882" s="38">
        <v>85.75</v>
      </c>
      <c r="AQ882" s="38">
        <v>87.72</v>
      </c>
      <c r="AR882" s="38">
        <v>92.81</v>
      </c>
      <c r="AS882" s="38">
        <v>98.02</v>
      </c>
      <c r="AT882" s="38">
        <v>104</v>
      </c>
      <c r="AU882" s="38">
        <v>110.08</v>
      </c>
      <c r="AV882" s="38">
        <v>111</v>
      </c>
      <c r="AW882" s="38">
        <v>105.54</v>
      </c>
      <c r="AX882" s="38">
        <v>95.56</v>
      </c>
      <c r="AY882" s="38">
        <v>89.67</v>
      </c>
      <c r="BA882" s="37">
        <v>76.7</v>
      </c>
      <c r="BB882" s="38">
        <v>1.2618</v>
      </c>
    </row>
    <row r="883" spans="1:54" x14ac:dyDescent="0.35">
      <c r="A883" s="2">
        <f t="shared" si="13"/>
        <v>45057</v>
      </c>
      <c r="B883" t="s">
        <v>925</v>
      </c>
      <c r="C883" s="32">
        <v>45057</v>
      </c>
      <c r="D883" s="38">
        <v>80.75</v>
      </c>
      <c r="E883" s="38">
        <v>80.510000000000005</v>
      </c>
      <c r="F883" s="38">
        <v>86.99</v>
      </c>
      <c r="G883" s="38">
        <v>95.29</v>
      </c>
      <c r="H883" s="38">
        <v>102.09</v>
      </c>
      <c r="I883" s="38">
        <v>131.57</v>
      </c>
      <c r="J883" s="38">
        <v>153.34</v>
      </c>
      <c r="K883" s="38">
        <v>157.28</v>
      </c>
      <c r="L883" s="38">
        <v>157.22999999999999</v>
      </c>
      <c r="M883" s="38">
        <v>150</v>
      </c>
      <c r="N883" s="38">
        <v>142.43</v>
      </c>
      <c r="O883" s="38">
        <v>137.15</v>
      </c>
      <c r="P883" s="38">
        <v>133.59</v>
      </c>
      <c r="Q883" s="38">
        <v>132.54</v>
      </c>
      <c r="R883" s="38">
        <v>134.12</v>
      </c>
      <c r="S883" s="38">
        <v>137.61000000000001</v>
      </c>
      <c r="T883" s="38">
        <v>143.58000000000001</v>
      </c>
      <c r="U883" s="38">
        <v>148.32</v>
      </c>
      <c r="V883" s="38">
        <v>149.76</v>
      </c>
      <c r="W883" s="38">
        <v>154.11000000000001</v>
      </c>
      <c r="X883" s="38">
        <v>153.19999999999999</v>
      </c>
      <c r="Y883" s="38">
        <v>143.80000000000001</v>
      </c>
      <c r="Z883" s="38">
        <v>129.30000000000001</v>
      </c>
      <c r="AA883" s="38">
        <v>117.72</v>
      </c>
      <c r="AB883" s="38">
        <v>109.13</v>
      </c>
      <c r="AC883" s="38">
        <v>110.77</v>
      </c>
      <c r="AD883" s="38">
        <v>112.88</v>
      </c>
      <c r="AE883" s="38">
        <v>116.06</v>
      </c>
      <c r="AF883" s="38">
        <v>120.94</v>
      </c>
      <c r="AG883" s="38">
        <v>124.37</v>
      </c>
      <c r="AH883" s="38">
        <v>127.11</v>
      </c>
      <c r="AI883" s="38">
        <v>129.02000000000001</v>
      </c>
      <c r="AJ883" s="38">
        <v>129.91</v>
      </c>
      <c r="AK883" s="38">
        <v>119.51</v>
      </c>
      <c r="AL883" s="38">
        <v>107.37</v>
      </c>
      <c r="AM883" s="38">
        <v>97.09</v>
      </c>
      <c r="AN883" s="38">
        <v>91.52</v>
      </c>
      <c r="AO883" s="38">
        <v>88.5</v>
      </c>
      <c r="AP883" s="38">
        <v>85.48</v>
      </c>
      <c r="AQ883" s="38">
        <v>87.45</v>
      </c>
      <c r="AR883" s="38">
        <v>92.54</v>
      </c>
      <c r="AS883" s="38">
        <v>97.75</v>
      </c>
      <c r="AT883" s="38">
        <v>103.73</v>
      </c>
      <c r="AU883" s="38">
        <v>109.81</v>
      </c>
      <c r="AV883" s="38">
        <v>110.73</v>
      </c>
      <c r="AW883" s="38">
        <v>105.27</v>
      </c>
      <c r="AX883" s="38">
        <v>95.29</v>
      </c>
      <c r="AY883" s="38">
        <v>89.4</v>
      </c>
      <c r="BA883" s="37">
        <v>75.319999999999993</v>
      </c>
      <c r="BB883" s="38">
        <v>1.2523</v>
      </c>
    </row>
    <row r="884" spans="1:54" x14ac:dyDescent="0.35">
      <c r="A884" s="2">
        <f t="shared" si="13"/>
        <v>45058</v>
      </c>
      <c r="B884" t="s">
        <v>926</v>
      </c>
      <c r="C884" s="32">
        <v>45058</v>
      </c>
      <c r="D884" s="38">
        <v>75.930000000000007</v>
      </c>
      <c r="E884" s="38">
        <v>75.86</v>
      </c>
      <c r="F884" s="38">
        <v>82.14</v>
      </c>
      <c r="G884" s="38">
        <v>88.59</v>
      </c>
      <c r="H884" s="38">
        <v>94.69</v>
      </c>
      <c r="I884" s="38">
        <v>124.69</v>
      </c>
      <c r="J884" s="38">
        <v>146.07</v>
      </c>
      <c r="K884" s="38">
        <v>149.4</v>
      </c>
      <c r="L884" s="38">
        <v>149.35</v>
      </c>
      <c r="M884" s="38">
        <v>142.12</v>
      </c>
      <c r="N884" s="38">
        <v>137.15</v>
      </c>
      <c r="O884" s="38">
        <v>131.9</v>
      </c>
      <c r="P884" s="38">
        <v>129.84</v>
      </c>
      <c r="Q884" s="38">
        <v>128.85</v>
      </c>
      <c r="R884" s="38">
        <v>130.46</v>
      </c>
      <c r="S884" s="38">
        <v>133.97999999999999</v>
      </c>
      <c r="T884" s="38">
        <v>139.99</v>
      </c>
      <c r="U884" s="38">
        <v>144.76</v>
      </c>
      <c r="V884" s="38">
        <v>146.24</v>
      </c>
      <c r="W884" s="38">
        <v>150.63</v>
      </c>
      <c r="X884" s="38">
        <v>149.76</v>
      </c>
      <c r="Y884" s="38">
        <v>140.41</v>
      </c>
      <c r="Z884" s="38">
        <v>125.96</v>
      </c>
      <c r="AA884" s="38">
        <v>114.59</v>
      </c>
      <c r="AB884" s="38">
        <v>106.38</v>
      </c>
      <c r="AC884" s="38">
        <v>108.4</v>
      </c>
      <c r="AD884" s="38">
        <v>110.51</v>
      </c>
      <c r="AE884" s="38">
        <v>113.69</v>
      </c>
      <c r="AF884" s="38">
        <v>118.57</v>
      </c>
      <c r="AG884" s="38">
        <v>122</v>
      </c>
      <c r="AH884" s="38">
        <v>124.74</v>
      </c>
      <c r="AI884" s="38">
        <v>126.65</v>
      </c>
      <c r="AJ884" s="38">
        <v>127.54</v>
      </c>
      <c r="AK884" s="38">
        <v>117.14</v>
      </c>
      <c r="AL884" s="38">
        <v>105</v>
      </c>
      <c r="AM884" s="38">
        <v>94.72</v>
      </c>
      <c r="AN884" s="38">
        <v>89.15</v>
      </c>
      <c r="AO884" s="38">
        <v>86.13</v>
      </c>
      <c r="AP884" s="38">
        <v>83.11</v>
      </c>
      <c r="AQ884" s="38">
        <v>85.08</v>
      </c>
      <c r="AR884" s="38">
        <v>90.17</v>
      </c>
      <c r="AS884" s="38">
        <v>95.38</v>
      </c>
      <c r="AT884" s="38">
        <v>101.36</v>
      </c>
      <c r="AU884" s="38">
        <v>107.44</v>
      </c>
      <c r="AV884" s="38">
        <v>108.36</v>
      </c>
      <c r="AW884" s="38">
        <v>102.9</v>
      </c>
      <c r="AX884" s="38">
        <v>92.92</v>
      </c>
      <c r="AY884" s="38">
        <v>87.03</v>
      </c>
      <c r="BA884" s="37">
        <v>74.540000000000006</v>
      </c>
      <c r="BB884" s="38">
        <v>1.2477</v>
      </c>
    </row>
    <row r="885" spans="1:54" x14ac:dyDescent="0.35">
      <c r="A885" s="2">
        <f t="shared" si="13"/>
        <v>45061</v>
      </c>
      <c r="B885" t="s">
        <v>927</v>
      </c>
      <c r="C885" s="32">
        <v>45061</v>
      </c>
      <c r="D885" s="38">
        <v>74.45</v>
      </c>
      <c r="E885" s="38">
        <v>74.09</v>
      </c>
      <c r="F885" s="38">
        <v>80.83</v>
      </c>
      <c r="G885" s="38">
        <v>86.03</v>
      </c>
      <c r="H885" s="38">
        <v>90.48</v>
      </c>
      <c r="I885" s="38">
        <v>115.48</v>
      </c>
      <c r="J885" s="38">
        <v>135.47999999999999</v>
      </c>
      <c r="K885" s="38">
        <v>139.4</v>
      </c>
      <c r="L885" s="38">
        <v>139.35</v>
      </c>
      <c r="M885" s="38">
        <v>133.12</v>
      </c>
      <c r="N885" s="38">
        <v>128.59</v>
      </c>
      <c r="O885" s="38">
        <v>123.34</v>
      </c>
      <c r="P885" s="38">
        <v>121.28</v>
      </c>
      <c r="Q885" s="38">
        <v>120.59</v>
      </c>
      <c r="R885" s="38">
        <v>122.2</v>
      </c>
      <c r="S885" s="38">
        <v>125.72</v>
      </c>
      <c r="T885" s="38">
        <v>132.72999999999999</v>
      </c>
      <c r="U885" s="38">
        <v>137.5</v>
      </c>
      <c r="V885" s="38">
        <v>138.97999999999999</v>
      </c>
      <c r="W885" s="38">
        <v>143.37</v>
      </c>
      <c r="X885" s="38">
        <v>142.5</v>
      </c>
      <c r="Y885" s="38">
        <v>133.15</v>
      </c>
      <c r="Z885" s="38">
        <v>122.6</v>
      </c>
      <c r="AA885" s="38">
        <v>113.23</v>
      </c>
      <c r="AB885" s="38">
        <v>105.02</v>
      </c>
      <c r="AC885" s="38">
        <v>107.04</v>
      </c>
      <c r="AD885" s="38">
        <v>109.15</v>
      </c>
      <c r="AE885" s="38">
        <v>112.33</v>
      </c>
      <c r="AF885" s="38">
        <v>116.21</v>
      </c>
      <c r="AG885" s="38">
        <v>119.64</v>
      </c>
      <c r="AH885" s="38">
        <v>122.38</v>
      </c>
      <c r="AI885" s="38">
        <v>124.29</v>
      </c>
      <c r="AJ885" s="38">
        <v>125.18</v>
      </c>
      <c r="AK885" s="38">
        <v>114.78</v>
      </c>
      <c r="AL885" s="38">
        <v>103.64</v>
      </c>
      <c r="AM885" s="38">
        <v>93.36</v>
      </c>
      <c r="AN885" s="38">
        <v>87.79</v>
      </c>
      <c r="AO885" s="38">
        <v>84.77</v>
      </c>
      <c r="AP885" s="38">
        <v>81.75</v>
      </c>
      <c r="AQ885" s="38">
        <v>83.72</v>
      </c>
      <c r="AR885" s="38">
        <v>88.81</v>
      </c>
      <c r="AS885" s="38">
        <v>94.02</v>
      </c>
      <c r="AT885" s="38">
        <v>100</v>
      </c>
      <c r="AU885" s="38">
        <v>106.08</v>
      </c>
      <c r="AV885" s="38">
        <v>107</v>
      </c>
      <c r="AW885" s="38">
        <v>101.54</v>
      </c>
      <c r="AX885" s="38">
        <v>91.56</v>
      </c>
      <c r="AY885" s="38">
        <v>85.67</v>
      </c>
      <c r="BA885" s="37">
        <v>75.459999999999994</v>
      </c>
      <c r="BB885" s="38">
        <v>1.2509999999999999</v>
      </c>
    </row>
    <row r="886" spans="1:54" x14ac:dyDescent="0.35">
      <c r="A886" s="2">
        <f t="shared" si="13"/>
        <v>45062</v>
      </c>
      <c r="B886" t="s">
        <v>928</v>
      </c>
      <c r="C886" s="32">
        <v>45062</v>
      </c>
      <c r="D886" s="38">
        <v>73.650000000000006</v>
      </c>
      <c r="E886" s="38">
        <v>73.180000000000007</v>
      </c>
      <c r="F886" s="38">
        <v>79.63</v>
      </c>
      <c r="G886" s="38">
        <v>84.16</v>
      </c>
      <c r="H886" s="38">
        <v>88.46</v>
      </c>
      <c r="I886" s="38">
        <v>111.56</v>
      </c>
      <c r="J886" s="38">
        <v>130.56</v>
      </c>
      <c r="K886" s="38">
        <v>135.41</v>
      </c>
      <c r="L886" s="38">
        <v>135.47</v>
      </c>
      <c r="M886" s="38">
        <v>129.4</v>
      </c>
      <c r="N886" s="38">
        <v>123.74</v>
      </c>
      <c r="O886" s="38">
        <v>118.78</v>
      </c>
      <c r="P886" s="38">
        <v>115.83</v>
      </c>
      <c r="Q886" s="38">
        <v>115.74</v>
      </c>
      <c r="R886" s="38">
        <v>117.36</v>
      </c>
      <c r="S886" s="38">
        <v>120.88</v>
      </c>
      <c r="T886" s="38">
        <v>127.95</v>
      </c>
      <c r="U886" s="38">
        <v>132.72</v>
      </c>
      <c r="V886" s="38">
        <v>134.19999999999999</v>
      </c>
      <c r="W886" s="38">
        <v>138.59</v>
      </c>
      <c r="X886" s="38">
        <v>137.72</v>
      </c>
      <c r="Y886" s="38">
        <v>128.37</v>
      </c>
      <c r="Z886" s="38">
        <v>118.82</v>
      </c>
      <c r="AA886" s="38">
        <v>111.45</v>
      </c>
      <c r="AB886" s="38">
        <v>104.24</v>
      </c>
      <c r="AC886" s="38">
        <v>106.26</v>
      </c>
      <c r="AD886" s="38">
        <v>108.37</v>
      </c>
      <c r="AE886" s="38">
        <v>111.55</v>
      </c>
      <c r="AF886" s="38">
        <v>115.23</v>
      </c>
      <c r="AG886" s="38">
        <v>118.66</v>
      </c>
      <c r="AH886" s="38">
        <v>121.4</v>
      </c>
      <c r="AI886" s="38">
        <v>123.31</v>
      </c>
      <c r="AJ886" s="38">
        <v>124.2</v>
      </c>
      <c r="AK886" s="38">
        <v>113.8</v>
      </c>
      <c r="AL886" s="38">
        <v>102.66</v>
      </c>
      <c r="AM886" s="38">
        <v>92.38</v>
      </c>
      <c r="AN886" s="38">
        <v>86.81</v>
      </c>
      <c r="AO886" s="38">
        <v>83.79</v>
      </c>
      <c r="AP886" s="38">
        <v>80.77</v>
      </c>
      <c r="AQ886" s="38">
        <v>82.74</v>
      </c>
      <c r="AR886" s="38">
        <v>87.83</v>
      </c>
      <c r="AS886" s="38">
        <v>93.04</v>
      </c>
      <c r="AT886" s="38">
        <v>99.02</v>
      </c>
      <c r="AU886" s="38">
        <v>105.1</v>
      </c>
      <c r="AV886" s="38">
        <v>106.02</v>
      </c>
      <c r="AW886" s="38">
        <v>100.56</v>
      </c>
      <c r="AX886" s="38">
        <v>90.58</v>
      </c>
      <c r="AY886" s="38">
        <v>84.69</v>
      </c>
      <c r="BA886" s="37">
        <v>75.150000000000006</v>
      </c>
      <c r="BB886" s="38">
        <v>1.2494000000000001</v>
      </c>
    </row>
    <row r="887" spans="1:54" x14ac:dyDescent="0.35">
      <c r="A887" s="2">
        <f t="shared" si="13"/>
        <v>45063</v>
      </c>
      <c r="B887" t="s">
        <v>929</v>
      </c>
      <c r="C887" s="32">
        <v>45063</v>
      </c>
      <c r="D887" s="38">
        <v>72.95</v>
      </c>
      <c r="E887" s="38">
        <v>72.34</v>
      </c>
      <c r="F887" s="38">
        <v>80.349999999999994</v>
      </c>
      <c r="G887" s="38">
        <v>85.6</v>
      </c>
      <c r="H887" s="38">
        <v>91.5</v>
      </c>
      <c r="I887" s="38">
        <v>115.6</v>
      </c>
      <c r="J887" s="38">
        <v>136.15</v>
      </c>
      <c r="K887" s="38">
        <v>140.19999999999999</v>
      </c>
      <c r="L887" s="38">
        <v>140.26</v>
      </c>
      <c r="M887" s="38">
        <v>134.19</v>
      </c>
      <c r="N887" s="38">
        <v>128.13</v>
      </c>
      <c r="O887" s="38">
        <v>123.17</v>
      </c>
      <c r="P887" s="38">
        <v>120.22</v>
      </c>
      <c r="Q887" s="38">
        <v>120.22</v>
      </c>
      <c r="R887" s="38">
        <v>121.84</v>
      </c>
      <c r="S887" s="38">
        <v>125.36</v>
      </c>
      <c r="T887" s="38">
        <v>130.93</v>
      </c>
      <c r="U887" s="38">
        <v>135.69999999999999</v>
      </c>
      <c r="V887" s="38">
        <v>139.18</v>
      </c>
      <c r="W887" s="38">
        <v>143.57</v>
      </c>
      <c r="X887" s="38">
        <v>142.69999999999999</v>
      </c>
      <c r="Y887" s="38">
        <v>131.35</v>
      </c>
      <c r="Z887" s="38">
        <v>119.6</v>
      </c>
      <c r="AA887" s="38">
        <v>112.23</v>
      </c>
      <c r="AB887" s="38">
        <v>106.02</v>
      </c>
      <c r="AC887" s="38">
        <v>107.54</v>
      </c>
      <c r="AD887" s="38">
        <v>109.65</v>
      </c>
      <c r="AE887" s="38">
        <v>112.83</v>
      </c>
      <c r="AF887" s="38">
        <v>116.51</v>
      </c>
      <c r="AG887" s="38">
        <v>119.94</v>
      </c>
      <c r="AH887" s="38">
        <v>122.68</v>
      </c>
      <c r="AI887" s="38">
        <v>124.59</v>
      </c>
      <c r="AJ887" s="38">
        <v>125.48</v>
      </c>
      <c r="AK887" s="38">
        <v>115.08</v>
      </c>
      <c r="AL887" s="38">
        <v>103.94</v>
      </c>
      <c r="AM887" s="38">
        <v>93.66</v>
      </c>
      <c r="AN887" s="38">
        <v>88.09</v>
      </c>
      <c r="AO887" s="38">
        <v>85.07</v>
      </c>
      <c r="AP887" s="38">
        <v>82.05</v>
      </c>
      <c r="AQ887" s="38">
        <v>84.02</v>
      </c>
      <c r="AR887" s="38">
        <v>89.11</v>
      </c>
      <c r="AS887" s="38">
        <v>94.32</v>
      </c>
      <c r="AT887" s="38">
        <v>100.3</v>
      </c>
      <c r="AU887" s="38">
        <v>106.38</v>
      </c>
      <c r="AV887" s="38">
        <v>107.3</v>
      </c>
      <c r="AW887" s="38">
        <v>101.84</v>
      </c>
      <c r="AX887" s="38">
        <v>91.86</v>
      </c>
      <c r="AY887" s="38">
        <v>85.97</v>
      </c>
      <c r="BA887" s="37">
        <v>76.98</v>
      </c>
      <c r="BB887" s="38">
        <v>1.2465999999999999</v>
      </c>
    </row>
    <row r="888" spans="1:54" x14ac:dyDescent="0.35">
      <c r="A888" s="2">
        <f t="shared" si="13"/>
        <v>45064</v>
      </c>
      <c r="B888" t="s">
        <v>930</v>
      </c>
      <c r="C888" s="32">
        <v>45064</v>
      </c>
      <c r="D888" s="38">
        <v>67.78</v>
      </c>
      <c r="E888" s="38">
        <v>67.12</v>
      </c>
      <c r="F888" s="38">
        <v>74.62</v>
      </c>
      <c r="G888" s="38">
        <v>80.47</v>
      </c>
      <c r="H888" s="38">
        <v>86.67</v>
      </c>
      <c r="I888" s="38">
        <v>112.37</v>
      </c>
      <c r="J888" s="38">
        <v>133.77000000000001</v>
      </c>
      <c r="K888" s="38">
        <v>137.27000000000001</v>
      </c>
      <c r="L888" s="38">
        <v>137.33000000000001</v>
      </c>
      <c r="M888" s="38">
        <v>131.26</v>
      </c>
      <c r="N888" s="38">
        <v>124.98</v>
      </c>
      <c r="O888" s="38">
        <v>120.62</v>
      </c>
      <c r="P888" s="38">
        <v>116.94</v>
      </c>
      <c r="Q888" s="38">
        <v>117.24</v>
      </c>
      <c r="R888" s="38">
        <v>118.86</v>
      </c>
      <c r="S888" s="38">
        <v>122.38</v>
      </c>
      <c r="T888" s="38">
        <v>127.14</v>
      </c>
      <c r="U888" s="38">
        <v>131.94</v>
      </c>
      <c r="V888" s="38">
        <v>135.44</v>
      </c>
      <c r="W888" s="38">
        <v>139.85</v>
      </c>
      <c r="X888" s="38">
        <v>138.99</v>
      </c>
      <c r="Y888" s="38">
        <v>127.55</v>
      </c>
      <c r="Z888" s="38">
        <v>115.41</v>
      </c>
      <c r="AA888" s="38">
        <v>108.05</v>
      </c>
      <c r="AB888" s="38">
        <v>101.85</v>
      </c>
      <c r="AC888" s="38">
        <v>103.37</v>
      </c>
      <c r="AD888" s="38">
        <v>105.49</v>
      </c>
      <c r="AE888" s="38">
        <v>108.68</v>
      </c>
      <c r="AF888" s="38">
        <v>112.66</v>
      </c>
      <c r="AG888" s="38">
        <v>116.09</v>
      </c>
      <c r="AH888" s="38">
        <v>118.83</v>
      </c>
      <c r="AI888" s="38">
        <v>120.74</v>
      </c>
      <c r="AJ888" s="38">
        <v>121.63</v>
      </c>
      <c r="AK888" s="38">
        <v>111.23</v>
      </c>
      <c r="AL888" s="38">
        <v>100.09</v>
      </c>
      <c r="AM888" s="38">
        <v>89.81</v>
      </c>
      <c r="AN888" s="38">
        <v>84.24</v>
      </c>
      <c r="AO888" s="38">
        <v>81.22</v>
      </c>
      <c r="AP888" s="38">
        <v>78.2</v>
      </c>
      <c r="AQ888" s="38">
        <v>80.17</v>
      </c>
      <c r="AR888" s="38">
        <v>85.26</v>
      </c>
      <c r="AS888" s="38">
        <v>90.47</v>
      </c>
      <c r="AT888" s="38">
        <v>96.45</v>
      </c>
      <c r="AU888" s="38">
        <v>102.53</v>
      </c>
      <c r="AV888" s="38">
        <v>103.45</v>
      </c>
      <c r="AW888" s="38">
        <v>97.99</v>
      </c>
      <c r="AX888" s="38">
        <v>88.01</v>
      </c>
      <c r="AY888" s="38">
        <v>82.12</v>
      </c>
      <c r="BA888" s="37">
        <v>75.75</v>
      </c>
      <c r="BB888" s="38">
        <v>1.2408999999999999</v>
      </c>
    </row>
    <row r="889" spans="1:54" x14ac:dyDescent="0.35">
      <c r="A889" s="2">
        <f t="shared" si="13"/>
        <v>45065</v>
      </c>
      <c r="B889" t="s">
        <v>931</v>
      </c>
      <c r="C889" s="32">
        <v>45065</v>
      </c>
      <c r="D889" s="38">
        <v>68.36</v>
      </c>
      <c r="E889" s="38">
        <v>67.63</v>
      </c>
      <c r="F889" s="38">
        <v>74.680000000000007</v>
      </c>
      <c r="G889" s="38">
        <v>81.39</v>
      </c>
      <c r="H889" s="38">
        <v>87.91</v>
      </c>
      <c r="I889" s="38">
        <v>114.41</v>
      </c>
      <c r="J889" s="38">
        <v>135.81</v>
      </c>
      <c r="K889" s="38">
        <v>139.21</v>
      </c>
      <c r="L889" s="38">
        <v>139.27000000000001</v>
      </c>
      <c r="M889" s="38">
        <v>132.87</v>
      </c>
      <c r="N889" s="38">
        <v>126.41</v>
      </c>
      <c r="O889" s="38">
        <v>122.15</v>
      </c>
      <c r="P889" s="38">
        <v>118.37</v>
      </c>
      <c r="Q889" s="38">
        <v>118.97</v>
      </c>
      <c r="R889" s="38">
        <v>120.59</v>
      </c>
      <c r="S889" s="38">
        <v>124.11</v>
      </c>
      <c r="T889" s="38">
        <v>129.88</v>
      </c>
      <c r="U889" s="38">
        <v>134.68</v>
      </c>
      <c r="V889" s="38">
        <v>138.18</v>
      </c>
      <c r="W889" s="38">
        <v>142.59</v>
      </c>
      <c r="X889" s="38">
        <v>141.72999999999999</v>
      </c>
      <c r="Y889" s="38">
        <v>128.29</v>
      </c>
      <c r="Z889" s="38">
        <v>115.15</v>
      </c>
      <c r="AA889" s="38">
        <v>107.79</v>
      </c>
      <c r="AB889" s="38">
        <v>101.59</v>
      </c>
      <c r="AC889" s="38">
        <v>103.11</v>
      </c>
      <c r="AD889" s="38">
        <v>105.23</v>
      </c>
      <c r="AE889" s="38">
        <v>108.42</v>
      </c>
      <c r="AF889" s="38">
        <v>112.4</v>
      </c>
      <c r="AG889" s="38">
        <v>115.83</v>
      </c>
      <c r="AH889" s="38">
        <v>118.57</v>
      </c>
      <c r="AI889" s="38">
        <v>120.48</v>
      </c>
      <c r="AJ889" s="38">
        <v>121.37</v>
      </c>
      <c r="AK889" s="38">
        <v>110.97</v>
      </c>
      <c r="AL889" s="38">
        <v>99.83</v>
      </c>
      <c r="AM889" s="38">
        <v>89.55</v>
      </c>
      <c r="AN889" s="38">
        <v>83.98</v>
      </c>
      <c r="AO889" s="38">
        <v>80.959999999999994</v>
      </c>
      <c r="AP889" s="38">
        <v>77.94</v>
      </c>
      <c r="AQ889" s="38">
        <v>79.91</v>
      </c>
      <c r="AR889" s="38">
        <v>85</v>
      </c>
      <c r="AS889" s="38">
        <v>90.21</v>
      </c>
      <c r="AT889" s="38">
        <v>96.19</v>
      </c>
      <c r="AU889" s="38">
        <v>102.27</v>
      </c>
      <c r="AV889" s="38">
        <v>103.19</v>
      </c>
      <c r="AW889" s="38">
        <v>97.73</v>
      </c>
      <c r="AX889" s="38">
        <v>87.75</v>
      </c>
      <c r="AY889" s="38">
        <v>81.86</v>
      </c>
      <c r="BA889" s="37">
        <v>75.42</v>
      </c>
      <c r="BB889" s="38">
        <v>1.2436</v>
      </c>
    </row>
    <row r="890" spans="1:54" x14ac:dyDescent="0.35">
      <c r="A890" s="2">
        <f t="shared" si="13"/>
        <v>45068</v>
      </c>
      <c r="B890" t="s">
        <v>932</v>
      </c>
      <c r="C890" s="32">
        <v>45068</v>
      </c>
      <c r="D890" s="38">
        <v>66.36</v>
      </c>
      <c r="E890" s="38">
        <v>66.17</v>
      </c>
      <c r="F890" s="38">
        <v>72.36</v>
      </c>
      <c r="G890" s="38">
        <v>80.52</v>
      </c>
      <c r="H890" s="38">
        <v>87.71</v>
      </c>
      <c r="I890" s="38">
        <v>117.37</v>
      </c>
      <c r="J890" s="38">
        <v>137.07</v>
      </c>
      <c r="K890" s="38">
        <v>138.68</v>
      </c>
      <c r="L890" s="38">
        <v>138.97999999999999</v>
      </c>
      <c r="M890" s="38">
        <v>132.58000000000001</v>
      </c>
      <c r="N890" s="38">
        <v>127.59</v>
      </c>
      <c r="O890" s="38">
        <v>123.14</v>
      </c>
      <c r="P890" s="38">
        <v>119.64</v>
      </c>
      <c r="Q890" s="38">
        <v>119.78</v>
      </c>
      <c r="R890" s="38">
        <v>121.4</v>
      </c>
      <c r="S890" s="38">
        <v>124.92</v>
      </c>
      <c r="T890" s="38">
        <v>130.69</v>
      </c>
      <c r="U890" s="38">
        <v>135.49</v>
      </c>
      <c r="V890" s="38">
        <v>138.99</v>
      </c>
      <c r="W890" s="38">
        <v>143.4</v>
      </c>
      <c r="X890" s="38">
        <v>142.54</v>
      </c>
      <c r="Y890" s="38">
        <v>129.1</v>
      </c>
      <c r="Z890" s="38">
        <v>115.96</v>
      </c>
      <c r="AA890" s="38">
        <v>108.6</v>
      </c>
      <c r="AB890" s="38">
        <v>102.4</v>
      </c>
      <c r="AC890" s="38">
        <v>103.92</v>
      </c>
      <c r="AD890" s="38">
        <v>106.04</v>
      </c>
      <c r="AE890" s="38">
        <v>109.23</v>
      </c>
      <c r="AF890" s="38">
        <v>113.21</v>
      </c>
      <c r="AG890" s="38">
        <v>116.64</v>
      </c>
      <c r="AH890" s="38">
        <v>119.38</v>
      </c>
      <c r="AI890" s="38">
        <v>121.29</v>
      </c>
      <c r="AJ890" s="38">
        <v>122.18</v>
      </c>
      <c r="AK890" s="38">
        <v>111.78</v>
      </c>
      <c r="AL890" s="38">
        <v>100.64</v>
      </c>
      <c r="AM890" s="38">
        <v>90.36</v>
      </c>
      <c r="AN890" s="38">
        <v>84.79</v>
      </c>
      <c r="AO890" s="38">
        <v>81.77</v>
      </c>
      <c r="AP890" s="38">
        <v>78.75</v>
      </c>
      <c r="AQ890" s="38">
        <v>80.72</v>
      </c>
      <c r="AR890" s="38">
        <v>85.81</v>
      </c>
      <c r="AS890" s="38">
        <v>91.02</v>
      </c>
      <c r="AT890" s="38">
        <v>97</v>
      </c>
      <c r="AU890" s="38">
        <v>103.08</v>
      </c>
      <c r="AV890" s="38">
        <v>104</v>
      </c>
      <c r="AW890" s="38">
        <v>98.54</v>
      </c>
      <c r="AX890" s="38">
        <v>88.56</v>
      </c>
      <c r="AY890" s="38">
        <v>82.67</v>
      </c>
      <c r="BA890" s="37">
        <v>75.77</v>
      </c>
      <c r="BB890" s="38">
        <v>1.2423</v>
      </c>
    </row>
    <row r="891" spans="1:54" x14ac:dyDescent="0.35">
      <c r="A891" s="2">
        <f t="shared" si="13"/>
        <v>45069</v>
      </c>
      <c r="B891" t="s">
        <v>933</v>
      </c>
      <c r="C891" s="32">
        <v>45069</v>
      </c>
      <c r="D891" s="38">
        <v>66.19</v>
      </c>
      <c r="E891" s="38">
        <v>65.89</v>
      </c>
      <c r="F891" s="38">
        <v>71.760000000000005</v>
      </c>
      <c r="G891" s="38">
        <v>79.86</v>
      </c>
      <c r="H891" s="38">
        <v>87.66</v>
      </c>
      <c r="I891" s="38">
        <v>116.34</v>
      </c>
      <c r="J891" s="38">
        <v>136.36000000000001</v>
      </c>
      <c r="K891" s="38">
        <v>138.19</v>
      </c>
      <c r="L891" s="38">
        <v>138.34</v>
      </c>
      <c r="M891" s="38">
        <v>132.01</v>
      </c>
      <c r="N891" s="38">
        <v>127.52</v>
      </c>
      <c r="O891" s="38">
        <v>123.3</v>
      </c>
      <c r="P891" s="38">
        <v>119.79</v>
      </c>
      <c r="Q891" s="38">
        <v>119.91</v>
      </c>
      <c r="R891" s="38">
        <v>121.51</v>
      </c>
      <c r="S891" s="38">
        <v>125.01</v>
      </c>
      <c r="T891" s="38">
        <v>130.77000000000001</v>
      </c>
      <c r="U891" s="38">
        <v>135.56</v>
      </c>
      <c r="V891" s="38">
        <v>139.05000000000001</v>
      </c>
      <c r="W891" s="38">
        <v>143.44999999999999</v>
      </c>
      <c r="X891" s="38">
        <v>142.58000000000001</v>
      </c>
      <c r="Y891" s="38">
        <v>129.13</v>
      </c>
      <c r="Z891" s="38">
        <v>115.98</v>
      </c>
      <c r="AA891" s="38">
        <v>108.61</v>
      </c>
      <c r="AB891" s="38">
        <v>102.4</v>
      </c>
      <c r="AC891" s="38">
        <v>103.91</v>
      </c>
      <c r="AD891" s="38">
        <v>106.02</v>
      </c>
      <c r="AE891" s="38">
        <v>109.21</v>
      </c>
      <c r="AF891" s="38">
        <v>113.18</v>
      </c>
      <c r="AG891" s="38">
        <v>116.6</v>
      </c>
      <c r="AH891" s="38">
        <v>119.33</v>
      </c>
      <c r="AI891" s="38">
        <v>121.24</v>
      </c>
      <c r="AJ891" s="38">
        <v>122.12</v>
      </c>
      <c r="AK891" s="38">
        <v>111.72</v>
      </c>
      <c r="AL891" s="38">
        <v>100.57</v>
      </c>
      <c r="AM891" s="38">
        <v>90.28</v>
      </c>
      <c r="AN891" s="38">
        <v>84.71</v>
      </c>
      <c r="AO891" s="38">
        <v>81.680000000000007</v>
      </c>
      <c r="AP891" s="38">
        <v>78.66</v>
      </c>
      <c r="AQ891" s="38">
        <v>80.62</v>
      </c>
      <c r="AR891" s="38">
        <v>85.7</v>
      </c>
      <c r="AS891" s="38">
        <v>90.91</v>
      </c>
      <c r="AT891" s="38">
        <v>96.88</v>
      </c>
      <c r="AU891" s="38">
        <v>102.96</v>
      </c>
      <c r="AV891" s="38">
        <v>103.87</v>
      </c>
      <c r="AW891" s="38">
        <v>98.4</v>
      </c>
      <c r="AX891" s="38">
        <v>88.41</v>
      </c>
      <c r="AY891" s="38">
        <v>82.52</v>
      </c>
      <c r="BA891" s="37">
        <v>76.66</v>
      </c>
      <c r="BB891" s="38">
        <v>1.242</v>
      </c>
    </row>
    <row r="892" spans="1:54" x14ac:dyDescent="0.35">
      <c r="A892" s="2">
        <f t="shared" si="13"/>
        <v>45070</v>
      </c>
      <c r="B892" t="s">
        <v>934</v>
      </c>
      <c r="C892" s="32">
        <v>45070</v>
      </c>
      <c r="D892" s="38">
        <v>64.37</v>
      </c>
      <c r="E892" s="38">
        <v>63.96</v>
      </c>
      <c r="F892" s="38">
        <v>70.459999999999994</v>
      </c>
      <c r="G892" s="38">
        <v>78.709999999999994</v>
      </c>
      <c r="H892" s="38">
        <v>88.13</v>
      </c>
      <c r="I892" s="38">
        <v>116.48</v>
      </c>
      <c r="J892" s="38">
        <v>136</v>
      </c>
      <c r="K892" s="38">
        <v>138.30000000000001</v>
      </c>
      <c r="L892" s="38">
        <v>138.38999999999999</v>
      </c>
      <c r="M892" s="38">
        <v>131.86000000000001</v>
      </c>
      <c r="N892" s="38">
        <v>127.52</v>
      </c>
      <c r="O892" s="38">
        <v>123.39</v>
      </c>
      <c r="P892" s="38">
        <v>119.78</v>
      </c>
      <c r="Q892" s="38">
        <v>119.77</v>
      </c>
      <c r="R892" s="38">
        <v>121.25</v>
      </c>
      <c r="S892" s="38">
        <v>124.75</v>
      </c>
      <c r="T892" s="38">
        <v>130.6</v>
      </c>
      <c r="U892" s="38">
        <v>135.47999999999999</v>
      </c>
      <c r="V892" s="38">
        <v>138.88</v>
      </c>
      <c r="W892" s="38">
        <v>143.11000000000001</v>
      </c>
      <c r="X892" s="38">
        <v>142.24</v>
      </c>
      <c r="Y892" s="38">
        <v>128.79</v>
      </c>
      <c r="Z892" s="38">
        <v>115.64</v>
      </c>
      <c r="AA892" s="38">
        <v>108.28</v>
      </c>
      <c r="AB892" s="38">
        <v>102.08</v>
      </c>
      <c r="AC892" s="38">
        <v>103.6</v>
      </c>
      <c r="AD892" s="38">
        <v>105.71</v>
      </c>
      <c r="AE892" s="38">
        <v>108.91</v>
      </c>
      <c r="AF892" s="38">
        <v>113.36</v>
      </c>
      <c r="AG892" s="38">
        <v>116.84</v>
      </c>
      <c r="AH892" s="38">
        <v>119.57</v>
      </c>
      <c r="AI892" s="38">
        <v>121.63</v>
      </c>
      <c r="AJ892" s="38">
        <v>122.51</v>
      </c>
      <c r="AK892" s="38">
        <v>112.05</v>
      </c>
      <c r="AL892" s="38">
        <v>100.54</v>
      </c>
      <c r="AM892" s="38">
        <v>90.25</v>
      </c>
      <c r="AN892" s="38">
        <v>84.68</v>
      </c>
      <c r="AO892" s="38">
        <v>81.650000000000006</v>
      </c>
      <c r="AP892" s="38">
        <v>78.63</v>
      </c>
      <c r="AQ892" s="38">
        <v>80.59</v>
      </c>
      <c r="AR892" s="38">
        <v>85.61</v>
      </c>
      <c r="AS892" s="38">
        <v>90.82</v>
      </c>
      <c r="AT892" s="38">
        <v>96.79</v>
      </c>
      <c r="AU892" s="38">
        <v>101.51</v>
      </c>
      <c r="AV892" s="38">
        <v>102.42</v>
      </c>
      <c r="AW892" s="38">
        <v>96.95</v>
      </c>
      <c r="AX892" s="38">
        <v>86.96</v>
      </c>
      <c r="AY892" s="38">
        <v>81.069999999999993</v>
      </c>
      <c r="BA892" s="37">
        <v>77.989999999999995</v>
      </c>
      <c r="BB892" s="38">
        <v>1.2366999999999999</v>
      </c>
    </row>
    <row r="893" spans="1:54" x14ac:dyDescent="0.35">
      <c r="A893" s="2">
        <f t="shared" si="13"/>
        <v>45071</v>
      </c>
      <c r="B893" t="s">
        <v>935</v>
      </c>
      <c r="C893" s="32">
        <v>45071</v>
      </c>
      <c r="D893" s="38">
        <v>58.58</v>
      </c>
      <c r="E893" s="38">
        <v>57.38</v>
      </c>
      <c r="F893" s="38">
        <v>65.89</v>
      </c>
      <c r="G893" s="38">
        <v>73.38</v>
      </c>
      <c r="H893" s="38">
        <v>81.489999999999995</v>
      </c>
      <c r="I893" s="38">
        <v>106.88</v>
      </c>
      <c r="J893" s="38">
        <v>125.37</v>
      </c>
      <c r="K893" s="38">
        <v>128.57</v>
      </c>
      <c r="L893" s="38">
        <v>128.56</v>
      </c>
      <c r="M893" s="38">
        <v>122.24</v>
      </c>
      <c r="N893" s="38">
        <v>118.04</v>
      </c>
      <c r="O893" s="38">
        <v>114.45</v>
      </c>
      <c r="P893" s="38">
        <v>110.57</v>
      </c>
      <c r="Q893" s="38">
        <v>110.23</v>
      </c>
      <c r="R893" s="38">
        <v>111.71</v>
      </c>
      <c r="S893" s="38">
        <v>115.69</v>
      </c>
      <c r="T893" s="38">
        <v>121.27</v>
      </c>
      <c r="U893" s="38">
        <v>126.98</v>
      </c>
      <c r="V893" s="38">
        <v>130.29</v>
      </c>
      <c r="W893" s="38">
        <v>133.26</v>
      </c>
      <c r="X893" s="38">
        <v>132.32</v>
      </c>
      <c r="Y893" s="38">
        <v>121.15</v>
      </c>
      <c r="Z893" s="38">
        <v>110.14</v>
      </c>
      <c r="AA893" s="38">
        <v>103.54</v>
      </c>
      <c r="AB893" s="38">
        <v>97.63</v>
      </c>
      <c r="AC893" s="38">
        <v>99.15</v>
      </c>
      <c r="AD893" s="38">
        <v>101.26</v>
      </c>
      <c r="AE893" s="38">
        <v>104.46</v>
      </c>
      <c r="AF893" s="38">
        <v>108.91</v>
      </c>
      <c r="AG893" s="38">
        <v>112.99</v>
      </c>
      <c r="AH893" s="38">
        <v>115.72</v>
      </c>
      <c r="AI893" s="38">
        <v>117.79</v>
      </c>
      <c r="AJ893" s="38">
        <v>118.66</v>
      </c>
      <c r="AK893" s="38">
        <v>108.21</v>
      </c>
      <c r="AL893" s="38">
        <v>96.69</v>
      </c>
      <c r="AM893" s="38">
        <v>86.4</v>
      </c>
      <c r="AN893" s="38">
        <v>80.83</v>
      </c>
      <c r="AO893" s="38">
        <v>77.8</v>
      </c>
      <c r="AP893" s="38">
        <v>74.78</v>
      </c>
      <c r="AQ893" s="38">
        <v>77.540000000000006</v>
      </c>
      <c r="AR893" s="38">
        <v>82.78</v>
      </c>
      <c r="AS893" s="38">
        <v>88.52</v>
      </c>
      <c r="AT893" s="38">
        <v>94.49</v>
      </c>
      <c r="AU893" s="38">
        <v>99.21</v>
      </c>
      <c r="AV893" s="38">
        <v>100.99</v>
      </c>
      <c r="AW893" s="38">
        <v>95.52</v>
      </c>
      <c r="AX893" s="38">
        <v>85.53</v>
      </c>
      <c r="AY893" s="38">
        <v>79.64</v>
      </c>
      <c r="BA893" s="37">
        <v>75.66</v>
      </c>
      <c r="BB893" s="38">
        <v>1.2357</v>
      </c>
    </row>
    <row r="894" spans="1:54" x14ac:dyDescent="0.35">
      <c r="A894" s="2">
        <f t="shared" si="13"/>
        <v>45072</v>
      </c>
      <c r="B894" t="s">
        <v>936</v>
      </c>
      <c r="C894" s="32">
        <v>45072</v>
      </c>
      <c r="D894" s="38">
        <v>57.36</v>
      </c>
      <c r="E894" s="38">
        <v>55.34</v>
      </c>
      <c r="F894" s="38">
        <v>63.19</v>
      </c>
      <c r="G894" s="38">
        <v>70.819999999999993</v>
      </c>
      <c r="H894" s="38">
        <v>80.069999999999993</v>
      </c>
      <c r="I894" s="38">
        <v>102.08</v>
      </c>
      <c r="J894" s="38">
        <v>119.88</v>
      </c>
      <c r="K894" s="38">
        <v>122.38</v>
      </c>
      <c r="L894" s="38">
        <v>122.37</v>
      </c>
      <c r="M894" s="38">
        <v>116.43</v>
      </c>
      <c r="N894" s="38">
        <v>111.69</v>
      </c>
      <c r="O894" s="38">
        <v>107.32</v>
      </c>
      <c r="P894" s="38">
        <v>103.57</v>
      </c>
      <c r="Q894" s="38">
        <v>103.02</v>
      </c>
      <c r="R894" s="38">
        <v>104.77</v>
      </c>
      <c r="S894" s="38">
        <v>108.94</v>
      </c>
      <c r="T894" s="38">
        <v>114.7</v>
      </c>
      <c r="U894" s="38">
        <v>120.7</v>
      </c>
      <c r="V894" s="38">
        <v>124.63</v>
      </c>
      <c r="W894" s="38">
        <v>129.21</v>
      </c>
      <c r="X894" s="38">
        <v>129.69</v>
      </c>
      <c r="Y894" s="38">
        <v>118.76</v>
      </c>
      <c r="Z894" s="38">
        <v>107.75</v>
      </c>
      <c r="AA894" s="38">
        <v>101.15</v>
      </c>
      <c r="AB894" s="38">
        <v>95.25</v>
      </c>
      <c r="AC894" s="38">
        <v>96.77</v>
      </c>
      <c r="AD894" s="38">
        <v>98.88</v>
      </c>
      <c r="AE894" s="38">
        <v>102.08</v>
      </c>
      <c r="AF894" s="38">
        <v>106.53</v>
      </c>
      <c r="AG894" s="38">
        <v>110.62</v>
      </c>
      <c r="AH894" s="38">
        <v>113.35</v>
      </c>
      <c r="AI894" s="38">
        <v>115.42</v>
      </c>
      <c r="AJ894" s="38">
        <v>116.29</v>
      </c>
      <c r="AK894" s="38">
        <v>105.84</v>
      </c>
      <c r="AL894" s="38">
        <v>94.32</v>
      </c>
      <c r="AM894" s="38">
        <v>84.03</v>
      </c>
      <c r="AN894" s="38">
        <v>78.47</v>
      </c>
      <c r="AO894" s="38">
        <v>75.44</v>
      </c>
      <c r="AP894" s="38">
        <v>72.42</v>
      </c>
      <c r="AQ894" s="38">
        <v>75.180000000000007</v>
      </c>
      <c r="AR894" s="38">
        <v>80.42</v>
      </c>
      <c r="AS894" s="38">
        <v>86.16</v>
      </c>
      <c r="AT894" s="38">
        <v>92.14</v>
      </c>
      <c r="AU894" s="38">
        <v>96.86</v>
      </c>
      <c r="AV894" s="38">
        <v>98.64</v>
      </c>
      <c r="AW894" s="38">
        <v>93.17</v>
      </c>
      <c r="AX894" s="38">
        <v>83.18</v>
      </c>
      <c r="AY894" s="38">
        <v>77.290000000000006</v>
      </c>
      <c r="BA894" s="37">
        <v>76.33</v>
      </c>
      <c r="BB894" s="38">
        <v>1.2332000000000001</v>
      </c>
    </row>
    <row r="895" spans="1:54" x14ac:dyDescent="0.35">
      <c r="A895" s="2">
        <f t="shared" si="13"/>
        <v>45075</v>
      </c>
      <c r="B895" t="s">
        <v>937</v>
      </c>
      <c r="C895" s="32">
        <v>45075</v>
      </c>
      <c r="D895" s="38">
        <v>57.36</v>
      </c>
      <c r="E895" s="38">
        <v>55.34</v>
      </c>
      <c r="F895" s="38">
        <v>63.19</v>
      </c>
      <c r="G895" s="38">
        <v>70.819999999999993</v>
      </c>
      <c r="H895" s="38">
        <v>80.069999999999993</v>
      </c>
      <c r="I895" s="38">
        <v>102.08</v>
      </c>
      <c r="J895" s="38">
        <v>119.88</v>
      </c>
      <c r="K895" s="38">
        <v>122.38</v>
      </c>
      <c r="L895" s="38">
        <v>122.37</v>
      </c>
      <c r="M895" s="38">
        <v>116.43</v>
      </c>
      <c r="N895" s="38">
        <v>111.69</v>
      </c>
      <c r="O895" s="38">
        <v>107.32</v>
      </c>
      <c r="P895" s="38">
        <v>103.57</v>
      </c>
      <c r="Q895" s="38">
        <v>103.02</v>
      </c>
      <c r="R895" s="38">
        <v>104.77</v>
      </c>
      <c r="S895" s="38">
        <v>108.94</v>
      </c>
      <c r="T895" s="38">
        <v>114.7</v>
      </c>
      <c r="U895" s="38">
        <v>120.7</v>
      </c>
      <c r="V895" s="38">
        <v>124.63</v>
      </c>
      <c r="W895" s="38">
        <v>129.21</v>
      </c>
      <c r="X895" s="38">
        <v>129.69</v>
      </c>
      <c r="Y895" s="38">
        <v>118.76</v>
      </c>
      <c r="Z895" s="38">
        <v>107.75</v>
      </c>
      <c r="AA895" s="38">
        <v>101.15</v>
      </c>
      <c r="AB895" s="38">
        <v>95.25</v>
      </c>
      <c r="AC895" s="38">
        <v>96.77</v>
      </c>
      <c r="AD895" s="38">
        <v>98.88</v>
      </c>
      <c r="AE895" s="38">
        <v>102.08</v>
      </c>
      <c r="AF895" s="38">
        <v>106.53</v>
      </c>
      <c r="AG895" s="38">
        <v>110.62</v>
      </c>
      <c r="AH895" s="38">
        <v>113.35</v>
      </c>
      <c r="AI895" s="38">
        <v>115.42</v>
      </c>
      <c r="AJ895" s="38">
        <v>116.29</v>
      </c>
      <c r="AK895" s="38">
        <v>105.84</v>
      </c>
      <c r="AL895" s="38">
        <v>94.32</v>
      </c>
      <c r="AM895" s="38">
        <v>84.03</v>
      </c>
      <c r="AN895" s="38">
        <v>78.47</v>
      </c>
      <c r="AO895" s="38">
        <v>75.44</v>
      </c>
      <c r="AP895" s="38">
        <v>72.42</v>
      </c>
      <c r="AQ895" s="38">
        <v>75.180000000000007</v>
      </c>
      <c r="AR895" s="38">
        <v>80.42</v>
      </c>
      <c r="AS895" s="38">
        <v>86.16</v>
      </c>
      <c r="AT895" s="38">
        <v>92.14</v>
      </c>
      <c r="AU895" s="38">
        <v>96.86</v>
      </c>
      <c r="AV895" s="38">
        <v>98.64</v>
      </c>
      <c r="AW895" s="38">
        <v>93.17</v>
      </c>
      <c r="AX895" s="38">
        <v>83.18</v>
      </c>
      <c r="AY895" s="38">
        <v>77.290000000000006</v>
      </c>
      <c r="BA895" s="37" t="e">
        <v>#N/A</v>
      </c>
      <c r="BB895" s="38" t="e">
        <v>#N/A</v>
      </c>
    </row>
    <row r="896" spans="1:54" x14ac:dyDescent="0.35">
      <c r="A896" s="2">
        <f t="shared" si="13"/>
        <v>45076</v>
      </c>
      <c r="B896" t="s">
        <v>938</v>
      </c>
      <c r="C896" s="32">
        <v>45076</v>
      </c>
      <c r="D896" s="38">
        <v>58.29</v>
      </c>
      <c r="E896" s="38">
        <v>57.59</v>
      </c>
      <c r="F896" s="38">
        <v>64.2</v>
      </c>
      <c r="G896" s="38">
        <v>71.45</v>
      </c>
      <c r="H896" s="38">
        <v>80</v>
      </c>
      <c r="I896" s="38">
        <v>102.25</v>
      </c>
      <c r="J896" s="38">
        <v>117.82</v>
      </c>
      <c r="K896" s="38">
        <v>119.91</v>
      </c>
      <c r="L896" s="38">
        <v>119.9</v>
      </c>
      <c r="M896" s="38">
        <v>113.96</v>
      </c>
      <c r="N896" s="38">
        <v>109.94</v>
      </c>
      <c r="O896" s="38">
        <v>106.43</v>
      </c>
      <c r="P896" s="38">
        <v>103.17</v>
      </c>
      <c r="Q896" s="38">
        <v>102.54</v>
      </c>
      <c r="R896" s="38">
        <v>104.23</v>
      </c>
      <c r="S896" s="38">
        <v>108.34</v>
      </c>
      <c r="T896" s="38">
        <v>113.93</v>
      </c>
      <c r="U896" s="38">
        <v>119.23</v>
      </c>
      <c r="V896" s="38">
        <v>123.16</v>
      </c>
      <c r="W896" s="38">
        <v>127.74</v>
      </c>
      <c r="X896" s="38">
        <v>128.22</v>
      </c>
      <c r="Y896" s="38">
        <v>117.29</v>
      </c>
      <c r="Z896" s="38">
        <v>106.71</v>
      </c>
      <c r="AA896" s="38">
        <v>100.11</v>
      </c>
      <c r="AB896" s="38">
        <v>94.21</v>
      </c>
      <c r="AC896" s="38">
        <v>95.73</v>
      </c>
      <c r="AD896" s="38">
        <v>97.84</v>
      </c>
      <c r="AE896" s="38">
        <v>101.04</v>
      </c>
      <c r="AF896" s="38">
        <v>105.49</v>
      </c>
      <c r="AG896" s="38">
        <v>109.58</v>
      </c>
      <c r="AH896" s="38">
        <v>112.31</v>
      </c>
      <c r="AI896" s="38">
        <v>114.38</v>
      </c>
      <c r="AJ896" s="38">
        <v>115.25</v>
      </c>
      <c r="AK896" s="38">
        <v>104.8</v>
      </c>
      <c r="AL896" s="38">
        <v>93.28</v>
      </c>
      <c r="AM896" s="38">
        <v>82.99</v>
      </c>
      <c r="AN896" s="38">
        <v>77.430000000000007</v>
      </c>
      <c r="AO896" s="38">
        <v>74.400000000000006</v>
      </c>
      <c r="AP896" s="38">
        <v>71.38</v>
      </c>
      <c r="AQ896" s="38">
        <v>74.14</v>
      </c>
      <c r="AR896" s="38">
        <v>79.38</v>
      </c>
      <c r="AS896" s="38">
        <v>85.12</v>
      </c>
      <c r="AT896" s="38">
        <v>91.1</v>
      </c>
      <c r="AU896" s="38">
        <v>95.82</v>
      </c>
      <c r="AV896" s="38">
        <v>97.6</v>
      </c>
      <c r="AW896" s="38">
        <v>92.13</v>
      </c>
      <c r="AX896" s="38">
        <v>82.14</v>
      </c>
      <c r="AY896" s="38">
        <v>76.25</v>
      </c>
      <c r="BA896" s="37">
        <v>73.38</v>
      </c>
      <c r="BB896" s="38">
        <v>1.2411000000000001</v>
      </c>
    </row>
    <row r="897" spans="1:54" x14ac:dyDescent="0.35">
      <c r="A897" s="2">
        <f t="shared" si="13"/>
        <v>45077</v>
      </c>
      <c r="B897" t="s">
        <v>939</v>
      </c>
      <c r="C897" s="32">
        <v>45077</v>
      </c>
      <c r="D897" s="38">
        <v>63.53</v>
      </c>
      <c r="E897" s="38">
        <v>70.14</v>
      </c>
      <c r="F897" s="38">
        <v>76.19</v>
      </c>
      <c r="G897" s="38">
        <v>83.97</v>
      </c>
      <c r="H897" s="38">
        <v>105.96</v>
      </c>
      <c r="I897" s="38">
        <v>118.75</v>
      </c>
      <c r="J897" s="38">
        <v>121.06</v>
      </c>
      <c r="K897" s="38">
        <v>120.57</v>
      </c>
      <c r="L897" s="38">
        <v>115.07</v>
      </c>
      <c r="M897" s="38">
        <v>111.47</v>
      </c>
      <c r="N897" s="38">
        <v>108.79</v>
      </c>
      <c r="O897" s="38">
        <v>106.23</v>
      </c>
      <c r="P897" s="38">
        <v>105.09</v>
      </c>
      <c r="Q897" s="38">
        <v>106.63</v>
      </c>
      <c r="R897" s="38">
        <v>110.62</v>
      </c>
      <c r="S897" s="38">
        <v>115.95</v>
      </c>
      <c r="T897" s="38">
        <v>121.11</v>
      </c>
      <c r="U897" s="38">
        <v>124.95</v>
      </c>
      <c r="V897" s="38">
        <v>129.47</v>
      </c>
      <c r="W897" s="38">
        <v>129.85</v>
      </c>
      <c r="X897" s="38">
        <v>118.74</v>
      </c>
      <c r="Y897" s="38">
        <v>106.7</v>
      </c>
      <c r="Z897" s="38">
        <v>101.61</v>
      </c>
      <c r="AA897" s="38">
        <v>95.71</v>
      </c>
      <c r="AB897" s="38">
        <v>97.23</v>
      </c>
      <c r="AC897" s="38">
        <v>99.34</v>
      </c>
      <c r="AD897" s="38">
        <v>102.54</v>
      </c>
      <c r="AE897" s="38">
        <v>107.02</v>
      </c>
      <c r="AF897" s="38">
        <v>111.11</v>
      </c>
      <c r="AG897" s="38">
        <v>113.84</v>
      </c>
      <c r="AH897" s="38">
        <v>115.91</v>
      </c>
      <c r="AI897" s="38">
        <v>116.78</v>
      </c>
      <c r="AJ897" s="38">
        <v>106.33</v>
      </c>
      <c r="AK897" s="38">
        <v>94.81</v>
      </c>
      <c r="AL897" s="38">
        <v>84.52</v>
      </c>
      <c r="AM897" s="38">
        <v>78.959999999999994</v>
      </c>
      <c r="AN897" s="38">
        <v>75.930000000000007</v>
      </c>
      <c r="AO897" s="38">
        <v>72.91</v>
      </c>
      <c r="AP897" s="38">
        <v>75.67</v>
      </c>
      <c r="AQ897" s="38">
        <v>80.91</v>
      </c>
      <c r="AR897" s="38">
        <v>86.65</v>
      </c>
      <c r="AS897" s="38">
        <v>92.63</v>
      </c>
      <c r="AT897" s="38">
        <v>97.35</v>
      </c>
      <c r="AU897" s="38">
        <v>99.13</v>
      </c>
      <c r="AV897" s="38">
        <v>93.66</v>
      </c>
      <c r="AW897" s="38">
        <v>83.67</v>
      </c>
      <c r="AX897" s="38">
        <v>77.78</v>
      </c>
      <c r="AY897" s="38">
        <v>74.27</v>
      </c>
      <c r="BA897" s="37">
        <v>71.98</v>
      </c>
      <c r="BB897" s="38">
        <v>1.2394000000000001</v>
      </c>
    </row>
    <row r="898" spans="1:54" x14ac:dyDescent="0.35">
      <c r="A898" s="2">
        <f t="shared" si="13"/>
        <v>45078</v>
      </c>
      <c r="B898" t="s">
        <v>940</v>
      </c>
      <c r="C898" s="32">
        <v>45078</v>
      </c>
      <c r="D898" s="38">
        <v>54.27</v>
      </c>
      <c r="E898" s="38">
        <v>60.98</v>
      </c>
      <c r="F898" s="38">
        <v>68.25</v>
      </c>
      <c r="G898" s="38">
        <v>78</v>
      </c>
      <c r="H898" s="38">
        <v>99.98</v>
      </c>
      <c r="I898" s="38">
        <v>113.4</v>
      </c>
      <c r="J898" s="38">
        <v>115.63</v>
      </c>
      <c r="K898" s="38">
        <v>116.02</v>
      </c>
      <c r="L898" s="38">
        <v>110.02</v>
      </c>
      <c r="M898" s="38">
        <v>106.11</v>
      </c>
      <c r="N898" s="38">
        <v>103.61</v>
      </c>
      <c r="O898" s="38">
        <v>101.5</v>
      </c>
      <c r="P898" s="38">
        <v>100.44</v>
      </c>
      <c r="Q898" s="38">
        <v>101.99</v>
      </c>
      <c r="R898" s="38">
        <v>105.98</v>
      </c>
      <c r="S898" s="38">
        <v>111.61</v>
      </c>
      <c r="T898" s="38">
        <v>116.64</v>
      </c>
      <c r="U898" s="38">
        <v>120.48</v>
      </c>
      <c r="V898" s="38">
        <v>124.56</v>
      </c>
      <c r="W898" s="38">
        <v>124.8</v>
      </c>
      <c r="X898" s="38">
        <v>113.46</v>
      </c>
      <c r="Y898" s="38">
        <v>102.5</v>
      </c>
      <c r="Z898" s="38">
        <v>96.75</v>
      </c>
      <c r="AA898" s="38">
        <v>90.71</v>
      </c>
      <c r="AB898" s="38">
        <v>92.69</v>
      </c>
      <c r="AC898" s="38">
        <v>94.69</v>
      </c>
      <c r="AD898" s="38">
        <v>97.57</v>
      </c>
      <c r="AE898" s="38">
        <v>101.83</v>
      </c>
      <c r="AF898" s="38">
        <v>105.72</v>
      </c>
      <c r="AG898" s="38">
        <v>108.49</v>
      </c>
      <c r="AH898" s="38">
        <v>111.49</v>
      </c>
      <c r="AI898" s="38">
        <v>112.36</v>
      </c>
      <c r="AJ898" s="38">
        <v>102.59</v>
      </c>
      <c r="AK898" s="38">
        <v>90.57</v>
      </c>
      <c r="AL898" s="38">
        <v>81.150000000000006</v>
      </c>
      <c r="AM898" s="38">
        <v>75.66</v>
      </c>
      <c r="AN898" s="38">
        <v>72.680000000000007</v>
      </c>
      <c r="AO898" s="38">
        <v>69.7</v>
      </c>
      <c r="AP898" s="38">
        <v>72.489999999999995</v>
      </c>
      <c r="AQ898" s="38">
        <v>78.61</v>
      </c>
      <c r="AR898" s="38">
        <v>84.37</v>
      </c>
      <c r="AS898" s="38">
        <v>90.39</v>
      </c>
      <c r="AT898" s="38">
        <v>95.28</v>
      </c>
      <c r="AU898" s="38">
        <v>97.13</v>
      </c>
      <c r="AV898" s="38">
        <v>91.79</v>
      </c>
      <c r="AW898" s="38">
        <v>81.84</v>
      </c>
      <c r="AX898" s="38">
        <v>75.95</v>
      </c>
      <c r="AY898" s="38">
        <v>72.44</v>
      </c>
      <c r="BA898" s="37">
        <v>74.180000000000007</v>
      </c>
      <c r="BB898" s="38">
        <v>1.2524</v>
      </c>
    </row>
    <row r="899" spans="1:54" x14ac:dyDescent="0.35">
      <c r="A899" s="2">
        <f t="shared" si="13"/>
        <v>45079</v>
      </c>
      <c r="B899" t="s">
        <v>941</v>
      </c>
      <c r="C899" s="32">
        <v>45079</v>
      </c>
      <c r="D899" s="38">
        <v>54.95</v>
      </c>
      <c r="E899" s="38">
        <v>61.65</v>
      </c>
      <c r="F899" s="38">
        <v>69.31</v>
      </c>
      <c r="G899" s="38">
        <v>77.819999999999993</v>
      </c>
      <c r="H899" s="38">
        <v>100.61</v>
      </c>
      <c r="I899" s="38">
        <v>114.5</v>
      </c>
      <c r="J899" s="38">
        <v>116.29</v>
      </c>
      <c r="K899" s="38">
        <v>116.2</v>
      </c>
      <c r="L899" s="38">
        <v>110.82</v>
      </c>
      <c r="M899" s="38">
        <v>107.12</v>
      </c>
      <c r="N899" s="38">
        <v>104.04</v>
      </c>
      <c r="O899" s="38">
        <v>101.74</v>
      </c>
      <c r="P899" s="38">
        <v>99.99</v>
      </c>
      <c r="Q899" s="38">
        <v>101.54</v>
      </c>
      <c r="R899" s="38">
        <v>105.51</v>
      </c>
      <c r="S899" s="38">
        <v>111.23</v>
      </c>
      <c r="T899" s="38">
        <v>116.51</v>
      </c>
      <c r="U899" s="38">
        <v>119.4</v>
      </c>
      <c r="V899" s="38">
        <v>124.7</v>
      </c>
      <c r="W899" s="38">
        <v>124.32</v>
      </c>
      <c r="X899" s="38">
        <v>112.76</v>
      </c>
      <c r="Y899" s="38">
        <v>102.7</v>
      </c>
      <c r="Z899" s="38">
        <v>96.96</v>
      </c>
      <c r="AA899" s="38">
        <v>90.92</v>
      </c>
      <c r="AB899" s="38">
        <v>92.92</v>
      </c>
      <c r="AC899" s="38">
        <v>94.94</v>
      </c>
      <c r="AD899" s="38">
        <v>97.67</v>
      </c>
      <c r="AE899" s="38">
        <v>102.4</v>
      </c>
      <c r="AF899" s="38">
        <v>106.12</v>
      </c>
      <c r="AG899" s="38">
        <v>108.89</v>
      </c>
      <c r="AH899" s="38">
        <v>112.03</v>
      </c>
      <c r="AI899" s="38">
        <v>112.9</v>
      </c>
      <c r="AJ899" s="38">
        <v>103.13</v>
      </c>
      <c r="AK899" s="38">
        <v>90.67</v>
      </c>
      <c r="AL899" s="38">
        <v>81.290000000000006</v>
      </c>
      <c r="AM899" s="38">
        <v>75.84</v>
      </c>
      <c r="AN899" s="38">
        <v>72.91</v>
      </c>
      <c r="AO899" s="38">
        <v>69.97</v>
      </c>
      <c r="AP899" s="38">
        <v>72.81</v>
      </c>
      <c r="AQ899" s="38">
        <v>78.819999999999993</v>
      </c>
      <c r="AR899" s="38">
        <v>84.64</v>
      </c>
      <c r="AS899" s="38">
        <v>90.72</v>
      </c>
      <c r="AT899" s="38">
        <v>95.33</v>
      </c>
      <c r="AU899" s="38">
        <v>97.26</v>
      </c>
      <c r="AV899" s="38">
        <v>92</v>
      </c>
      <c r="AW899" s="38">
        <v>81.99</v>
      </c>
      <c r="AX899" s="38">
        <v>76.099999999999994</v>
      </c>
      <c r="AY899" s="38">
        <v>72.59</v>
      </c>
      <c r="BA899" s="37">
        <v>76</v>
      </c>
      <c r="BB899" s="38">
        <v>1.2484999999999999</v>
      </c>
    </row>
    <row r="900" spans="1:54" x14ac:dyDescent="0.35">
      <c r="A900" s="2">
        <f t="shared" si="13"/>
        <v>45082</v>
      </c>
      <c r="B900" t="s">
        <v>942</v>
      </c>
      <c r="C900" s="32">
        <v>45082</v>
      </c>
      <c r="D900" s="38">
        <v>67.22</v>
      </c>
      <c r="E900" s="38">
        <v>72.73</v>
      </c>
      <c r="F900" s="38">
        <v>78.87</v>
      </c>
      <c r="G900" s="38">
        <v>85.62</v>
      </c>
      <c r="H900" s="38">
        <v>109.51</v>
      </c>
      <c r="I900" s="38">
        <v>121.24</v>
      </c>
      <c r="J900" s="38">
        <v>122.42</v>
      </c>
      <c r="K900" s="38">
        <v>122.33</v>
      </c>
      <c r="L900" s="38">
        <v>116.95</v>
      </c>
      <c r="M900" s="38">
        <v>112.85</v>
      </c>
      <c r="N900" s="38">
        <v>109.77</v>
      </c>
      <c r="O900" s="38">
        <v>107.71</v>
      </c>
      <c r="P900" s="38">
        <v>106.22</v>
      </c>
      <c r="Q900" s="38">
        <v>107.77</v>
      </c>
      <c r="R900" s="38">
        <v>111.53</v>
      </c>
      <c r="S900" s="38">
        <v>116.88</v>
      </c>
      <c r="T900" s="38">
        <v>121.8</v>
      </c>
      <c r="U900" s="38">
        <v>124.6</v>
      </c>
      <c r="V900" s="38">
        <v>129.9</v>
      </c>
      <c r="W900" s="38">
        <v>129.52000000000001</v>
      </c>
      <c r="X900" s="38">
        <v>117.96</v>
      </c>
      <c r="Y900" s="38">
        <v>107.9</v>
      </c>
      <c r="Z900" s="38">
        <v>101.8</v>
      </c>
      <c r="AA900" s="38">
        <v>95.76</v>
      </c>
      <c r="AB900" s="38">
        <v>97.76</v>
      </c>
      <c r="AC900" s="38">
        <v>99.78</v>
      </c>
      <c r="AD900" s="38">
        <v>102.51</v>
      </c>
      <c r="AE900" s="38">
        <v>107.06</v>
      </c>
      <c r="AF900" s="38">
        <v>110.61</v>
      </c>
      <c r="AG900" s="38">
        <v>113.38</v>
      </c>
      <c r="AH900" s="38">
        <v>116.52</v>
      </c>
      <c r="AI900" s="38">
        <v>117.39</v>
      </c>
      <c r="AJ900" s="38">
        <v>107.62</v>
      </c>
      <c r="AK900" s="38">
        <v>94.89</v>
      </c>
      <c r="AL900" s="38">
        <v>85.28</v>
      </c>
      <c r="AM900" s="38">
        <v>79.83</v>
      </c>
      <c r="AN900" s="38">
        <v>76.900000000000006</v>
      </c>
      <c r="AO900" s="38">
        <v>73.959999999999994</v>
      </c>
      <c r="AP900" s="38">
        <v>76.8</v>
      </c>
      <c r="AQ900" s="38">
        <v>82.81</v>
      </c>
      <c r="AR900" s="38">
        <v>88.63</v>
      </c>
      <c r="AS900" s="38">
        <v>94.36</v>
      </c>
      <c r="AT900" s="38">
        <v>98.97</v>
      </c>
      <c r="AU900" s="38">
        <v>100.9</v>
      </c>
      <c r="AV900" s="38">
        <v>95.64</v>
      </c>
      <c r="AW900" s="38">
        <v>85.63</v>
      </c>
      <c r="AX900" s="38">
        <v>79.739999999999995</v>
      </c>
      <c r="AY900" s="38">
        <v>76.23</v>
      </c>
      <c r="BA900" s="37">
        <v>76.61</v>
      </c>
      <c r="BB900" s="38">
        <v>1.2410000000000001</v>
      </c>
    </row>
    <row r="901" spans="1:54" x14ac:dyDescent="0.35">
      <c r="A901" s="2">
        <f t="shared" si="13"/>
        <v>45083</v>
      </c>
      <c r="B901" t="s">
        <v>943</v>
      </c>
      <c r="C901" s="32">
        <v>45083</v>
      </c>
      <c r="D901" s="38">
        <v>59.15</v>
      </c>
      <c r="E901" s="38">
        <v>63.79</v>
      </c>
      <c r="F901" s="38">
        <v>70</v>
      </c>
      <c r="G901" s="38">
        <v>78.48</v>
      </c>
      <c r="H901" s="38">
        <v>102.4</v>
      </c>
      <c r="I901" s="38">
        <v>114.75</v>
      </c>
      <c r="J901" s="38">
        <v>115.93</v>
      </c>
      <c r="K901" s="38">
        <v>115.83</v>
      </c>
      <c r="L901" s="38">
        <v>110.08</v>
      </c>
      <c r="M901" s="38">
        <v>105.98</v>
      </c>
      <c r="N901" s="38">
        <v>102.9</v>
      </c>
      <c r="O901" s="38">
        <v>100.84</v>
      </c>
      <c r="P901" s="38">
        <v>99.35</v>
      </c>
      <c r="Q901" s="38">
        <v>100.9</v>
      </c>
      <c r="R901" s="38">
        <v>104.66</v>
      </c>
      <c r="S901" s="38">
        <v>110.02</v>
      </c>
      <c r="T901" s="38">
        <v>114.94</v>
      </c>
      <c r="U901" s="38">
        <v>117.74</v>
      </c>
      <c r="V901" s="38">
        <v>123.04</v>
      </c>
      <c r="W901" s="38">
        <v>122.66</v>
      </c>
      <c r="X901" s="38">
        <v>112.25</v>
      </c>
      <c r="Y901" s="38">
        <v>103.8</v>
      </c>
      <c r="Z901" s="38">
        <v>97.7</v>
      </c>
      <c r="AA901" s="38">
        <v>91.66</v>
      </c>
      <c r="AB901" s="38">
        <v>93.66</v>
      </c>
      <c r="AC901" s="38">
        <v>95.68</v>
      </c>
      <c r="AD901" s="38">
        <v>98.42</v>
      </c>
      <c r="AE901" s="38">
        <v>102.41</v>
      </c>
      <c r="AF901" s="38">
        <v>105.42</v>
      </c>
      <c r="AG901" s="38">
        <v>108.19</v>
      </c>
      <c r="AH901" s="38">
        <v>111.03</v>
      </c>
      <c r="AI901" s="38">
        <v>111.9</v>
      </c>
      <c r="AJ901" s="38">
        <v>102.94</v>
      </c>
      <c r="AK901" s="38">
        <v>91.41</v>
      </c>
      <c r="AL901" s="38">
        <v>82.43</v>
      </c>
      <c r="AM901" s="38">
        <v>76.989999999999995</v>
      </c>
      <c r="AN901" s="38">
        <v>74.06</v>
      </c>
      <c r="AO901" s="38">
        <v>71.12</v>
      </c>
      <c r="AP901" s="38">
        <v>73.959999999999994</v>
      </c>
      <c r="AQ901" s="38">
        <v>79.97</v>
      </c>
      <c r="AR901" s="38">
        <v>85.79</v>
      </c>
      <c r="AS901" s="38">
        <v>91.52</v>
      </c>
      <c r="AT901" s="38">
        <v>96.14</v>
      </c>
      <c r="AU901" s="38">
        <v>98.07</v>
      </c>
      <c r="AV901" s="38">
        <v>92.81</v>
      </c>
      <c r="AW901" s="38">
        <v>82.8</v>
      </c>
      <c r="AX901" s="38">
        <v>77.14</v>
      </c>
      <c r="AY901" s="38">
        <v>73.63</v>
      </c>
      <c r="BA901" s="37">
        <v>76.22</v>
      </c>
      <c r="BB901" s="38">
        <v>1.2407999999999999</v>
      </c>
    </row>
    <row r="902" spans="1:54" x14ac:dyDescent="0.35">
      <c r="A902" s="2">
        <f t="shared" si="13"/>
        <v>45084</v>
      </c>
      <c r="B902" t="s">
        <v>944</v>
      </c>
      <c r="C902" s="32">
        <v>45084</v>
      </c>
      <c r="D902" s="38">
        <v>62.27</v>
      </c>
      <c r="E902" s="38">
        <v>67.260000000000005</v>
      </c>
      <c r="F902" s="38">
        <v>72.099999999999994</v>
      </c>
      <c r="G902" s="38">
        <v>79.959999999999994</v>
      </c>
      <c r="H902" s="38">
        <v>103.56</v>
      </c>
      <c r="I902" s="38">
        <v>114.92</v>
      </c>
      <c r="J902" s="38">
        <v>116.47</v>
      </c>
      <c r="K902" s="38">
        <v>116.42</v>
      </c>
      <c r="L902" s="38">
        <v>110.76</v>
      </c>
      <c r="M902" s="38">
        <v>107</v>
      </c>
      <c r="N902" s="38">
        <v>103.92</v>
      </c>
      <c r="O902" s="38">
        <v>101.86</v>
      </c>
      <c r="P902" s="38">
        <v>100.37</v>
      </c>
      <c r="Q902" s="38">
        <v>101.92</v>
      </c>
      <c r="R902" s="38">
        <v>105.68</v>
      </c>
      <c r="S902" s="38">
        <v>111.04</v>
      </c>
      <c r="T902" s="38">
        <v>115.96</v>
      </c>
      <c r="U902" s="38">
        <v>118.76</v>
      </c>
      <c r="V902" s="38">
        <v>124.06</v>
      </c>
      <c r="W902" s="38">
        <v>123.68</v>
      </c>
      <c r="X902" s="38">
        <v>113.27</v>
      </c>
      <c r="Y902" s="38">
        <v>104.82</v>
      </c>
      <c r="Z902" s="38">
        <v>98.72</v>
      </c>
      <c r="AA902" s="38">
        <v>92.68</v>
      </c>
      <c r="AB902" s="38">
        <v>94.68</v>
      </c>
      <c r="AC902" s="38">
        <v>96.78</v>
      </c>
      <c r="AD902" s="38">
        <v>99.64</v>
      </c>
      <c r="AE902" s="38">
        <v>103.76</v>
      </c>
      <c r="AF902" s="38">
        <v>106.77</v>
      </c>
      <c r="AG902" s="38">
        <v>109.54</v>
      </c>
      <c r="AH902" s="38">
        <v>112.38</v>
      </c>
      <c r="AI902" s="38">
        <v>113.25</v>
      </c>
      <c r="AJ902" s="38">
        <v>104.29</v>
      </c>
      <c r="AK902" s="38">
        <v>92.76</v>
      </c>
      <c r="AL902" s="38">
        <v>83.78</v>
      </c>
      <c r="AM902" s="38">
        <v>78.34</v>
      </c>
      <c r="AN902" s="38">
        <v>75.41</v>
      </c>
      <c r="AO902" s="38">
        <v>72.47</v>
      </c>
      <c r="AP902" s="38">
        <v>75.31</v>
      </c>
      <c r="AQ902" s="38">
        <v>81.319999999999993</v>
      </c>
      <c r="AR902" s="38">
        <v>87.14</v>
      </c>
      <c r="AS902" s="38">
        <v>92.87</v>
      </c>
      <c r="AT902" s="38">
        <v>97.49</v>
      </c>
      <c r="AU902" s="38">
        <v>99.42</v>
      </c>
      <c r="AV902" s="38">
        <v>94.16</v>
      </c>
      <c r="AW902" s="38">
        <v>84.15</v>
      </c>
      <c r="AX902" s="38">
        <v>78.489999999999995</v>
      </c>
      <c r="AY902" s="38">
        <v>74.98</v>
      </c>
      <c r="BA902" s="37">
        <v>76.849999999999994</v>
      </c>
      <c r="BB902" s="38">
        <v>1.2462</v>
      </c>
    </row>
    <row r="903" spans="1:54" x14ac:dyDescent="0.35">
      <c r="A903" s="2">
        <f t="shared" si="13"/>
        <v>45085</v>
      </c>
      <c r="B903" t="s">
        <v>945</v>
      </c>
      <c r="C903" s="32">
        <v>45085</v>
      </c>
      <c r="D903" s="38">
        <v>63.39</v>
      </c>
      <c r="E903" s="38">
        <v>68.73</v>
      </c>
      <c r="F903" s="38">
        <v>73.63</v>
      </c>
      <c r="G903" s="38">
        <v>81.97</v>
      </c>
      <c r="H903" s="38">
        <v>106.37</v>
      </c>
      <c r="I903" s="38">
        <v>117.82</v>
      </c>
      <c r="J903" s="38">
        <v>118.72</v>
      </c>
      <c r="K903" s="38">
        <v>118.48</v>
      </c>
      <c r="L903" s="38">
        <v>112.63</v>
      </c>
      <c r="M903" s="38">
        <v>108.45</v>
      </c>
      <c r="N903" s="38">
        <v>105.36</v>
      </c>
      <c r="O903" s="38">
        <v>103.3</v>
      </c>
      <c r="P903" s="38">
        <v>101.81</v>
      </c>
      <c r="Q903" s="38">
        <v>103.35</v>
      </c>
      <c r="R903" s="38">
        <v>107.11</v>
      </c>
      <c r="S903" s="38">
        <v>112.47</v>
      </c>
      <c r="T903" s="38">
        <v>117.39</v>
      </c>
      <c r="U903" s="38">
        <v>120.19</v>
      </c>
      <c r="V903" s="38">
        <v>125.49</v>
      </c>
      <c r="W903" s="38">
        <v>125.11</v>
      </c>
      <c r="X903" s="38">
        <v>114.7</v>
      </c>
      <c r="Y903" s="38">
        <v>106.25</v>
      </c>
      <c r="Z903" s="38">
        <v>100.15</v>
      </c>
      <c r="AA903" s="38">
        <v>94.11</v>
      </c>
      <c r="AB903" s="38">
        <v>96.11</v>
      </c>
      <c r="AC903" s="38">
        <v>98.21</v>
      </c>
      <c r="AD903" s="38">
        <v>101.07</v>
      </c>
      <c r="AE903" s="38">
        <v>105.19</v>
      </c>
      <c r="AF903" s="38">
        <v>108.2</v>
      </c>
      <c r="AG903" s="38">
        <v>110.97</v>
      </c>
      <c r="AH903" s="38">
        <v>113.81</v>
      </c>
      <c r="AI903" s="38">
        <v>114.68</v>
      </c>
      <c r="AJ903" s="38">
        <v>105.72</v>
      </c>
      <c r="AK903" s="38">
        <v>94.44</v>
      </c>
      <c r="AL903" s="38">
        <v>85.46</v>
      </c>
      <c r="AM903" s="38">
        <v>80.02</v>
      </c>
      <c r="AN903" s="38">
        <v>77.09</v>
      </c>
      <c r="AO903" s="38">
        <v>74.150000000000006</v>
      </c>
      <c r="AP903" s="38">
        <v>76.989999999999995</v>
      </c>
      <c r="AQ903" s="38">
        <v>83</v>
      </c>
      <c r="AR903" s="38">
        <v>88.82</v>
      </c>
      <c r="AS903" s="38">
        <v>94.55</v>
      </c>
      <c r="AT903" s="38">
        <v>99.17</v>
      </c>
      <c r="AU903" s="38">
        <v>101.1</v>
      </c>
      <c r="AV903" s="38">
        <v>95.84</v>
      </c>
      <c r="AW903" s="38">
        <v>85.83</v>
      </c>
      <c r="AX903" s="38">
        <v>80.17</v>
      </c>
      <c r="AY903" s="38">
        <v>76.66</v>
      </c>
      <c r="BA903" s="37">
        <v>75.88</v>
      </c>
      <c r="BB903" s="38">
        <v>1.2535000000000001</v>
      </c>
    </row>
    <row r="904" spans="1:54" x14ac:dyDescent="0.35">
      <c r="A904" s="2">
        <f t="shared" si="13"/>
        <v>45086</v>
      </c>
      <c r="B904" t="s">
        <v>946</v>
      </c>
      <c r="C904" s="32">
        <v>45086</v>
      </c>
      <c r="D904" s="38">
        <v>77.760000000000005</v>
      </c>
      <c r="E904" s="38">
        <v>81.75</v>
      </c>
      <c r="F904" s="38">
        <v>85.5</v>
      </c>
      <c r="G904" s="38">
        <v>92.99</v>
      </c>
      <c r="H904" s="38">
        <v>117.44</v>
      </c>
      <c r="I904" s="38">
        <v>127.69</v>
      </c>
      <c r="J904" s="38">
        <v>128.01</v>
      </c>
      <c r="K904" s="38">
        <v>128.01</v>
      </c>
      <c r="L904" s="38">
        <v>122.45</v>
      </c>
      <c r="M904" s="38">
        <v>116.08</v>
      </c>
      <c r="N904" s="38">
        <v>112.1</v>
      </c>
      <c r="O904" s="38">
        <v>110</v>
      </c>
      <c r="P904" s="38">
        <v>108.92</v>
      </c>
      <c r="Q904" s="38">
        <v>110.58</v>
      </c>
      <c r="R904" s="38">
        <v>114.01</v>
      </c>
      <c r="S904" s="38">
        <v>119.58</v>
      </c>
      <c r="T904" s="38">
        <v>124.41</v>
      </c>
      <c r="U904" s="38">
        <v>127.21</v>
      </c>
      <c r="V904" s="38">
        <v>132.54</v>
      </c>
      <c r="W904" s="38">
        <v>131.72</v>
      </c>
      <c r="X904" s="38">
        <v>121.04</v>
      </c>
      <c r="Y904" s="38">
        <v>109.62</v>
      </c>
      <c r="Z904" s="38">
        <v>102.75</v>
      </c>
      <c r="AA904" s="38">
        <v>96.71</v>
      </c>
      <c r="AB904" s="38">
        <v>98.26</v>
      </c>
      <c r="AC904" s="38">
        <v>100.28</v>
      </c>
      <c r="AD904" s="38">
        <v>102.97</v>
      </c>
      <c r="AE904" s="38">
        <v>107.07</v>
      </c>
      <c r="AF904" s="38">
        <v>109.86</v>
      </c>
      <c r="AG904" s="38">
        <v>112.63</v>
      </c>
      <c r="AH904" s="38">
        <v>115.47</v>
      </c>
      <c r="AI904" s="38">
        <v>116.34</v>
      </c>
      <c r="AJ904" s="38">
        <v>107.38</v>
      </c>
      <c r="AK904" s="38">
        <v>98.14</v>
      </c>
      <c r="AL904" s="38">
        <v>89.16</v>
      </c>
      <c r="AM904" s="38">
        <v>83.72</v>
      </c>
      <c r="AN904" s="38">
        <v>80.790000000000006</v>
      </c>
      <c r="AO904" s="38">
        <v>77.849999999999994</v>
      </c>
      <c r="AP904" s="38">
        <v>80.69</v>
      </c>
      <c r="AQ904" s="38">
        <v>86.7</v>
      </c>
      <c r="AR904" s="38">
        <v>92.52</v>
      </c>
      <c r="AS904" s="38">
        <v>98.25</v>
      </c>
      <c r="AT904" s="38">
        <v>102.87</v>
      </c>
      <c r="AU904" s="38">
        <v>104.8</v>
      </c>
      <c r="AV904" s="38">
        <v>99.54</v>
      </c>
      <c r="AW904" s="38">
        <v>89.53</v>
      </c>
      <c r="AX904" s="38">
        <v>83.87</v>
      </c>
      <c r="AY904" s="38">
        <v>80.36</v>
      </c>
      <c r="BA904" s="37">
        <v>74.739999999999995</v>
      </c>
      <c r="BB904" s="38">
        <v>1.258</v>
      </c>
    </row>
    <row r="905" spans="1:54" x14ac:dyDescent="0.35">
      <c r="A905" s="2">
        <f t="shared" si="13"/>
        <v>45089</v>
      </c>
      <c r="B905" t="s">
        <v>947</v>
      </c>
      <c r="C905" s="32">
        <v>45089</v>
      </c>
      <c r="D905" s="38">
        <v>75.63</v>
      </c>
      <c r="E905" s="38">
        <v>80.069999999999993</v>
      </c>
      <c r="F905" s="38">
        <v>84.46</v>
      </c>
      <c r="G905" s="38">
        <v>92.7</v>
      </c>
      <c r="H905" s="38">
        <v>118.75</v>
      </c>
      <c r="I905" s="38">
        <v>130.27000000000001</v>
      </c>
      <c r="J905" s="38">
        <v>130.30000000000001</v>
      </c>
      <c r="K905" s="38">
        <v>130.33000000000001</v>
      </c>
      <c r="L905" s="38">
        <v>124.52</v>
      </c>
      <c r="M905" s="38">
        <v>119.01</v>
      </c>
      <c r="N905" s="38">
        <v>113.49</v>
      </c>
      <c r="O905" s="38">
        <v>111.09</v>
      </c>
      <c r="P905" s="38">
        <v>110</v>
      </c>
      <c r="Q905" s="38">
        <v>111.66</v>
      </c>
      <c r="R905" s="38">
        <v>115.01</v>
      </c>
      <c r="S905" s="38">
        <v>120.13</v>
      </c>
      <c r="T905" s="38">
        <v>124.96</v>
      </c>
      <c r="U905" s="38">
        <v>127.76</v>
      </c>
      <c r="V905" s="38">
        <v>133.09</v>
      </c>
      <c r="W905" s="38">
        <v>132.27000000000001</v>
      </c>
      <c r="X905" s="38">
        <v>121.59</v>
      </c>
      <c r="Y905" s="38">
        <v>111.02</v>
      </c>
      <c r="Z905" s="38">
        <v>104.15</v>
      </c>
      <c r="AA905" s="38">
        <v>98.12</v>
      </c>
      <c r="AB905" s="38">
        <v>99.68</v>
      </c>
      <c r="AC905" s="38">
        <v>101.7</v>
      </c>
      <c r="AD905" s="38">
        <v>104.39</v>
      </c>
      <c r="AE905" s="38">
        <v>107.49</v>
      </c>
      <c r="AF905" s="38">
        <v>109.79</v>
      </c>
      <c r="AG905" s="38">
        <v>112.06</v>
      </c>
      <c r="AH905" s="38">
        <v>114.4</v>
      </c>
      <c r="AI905" s="38">
        <v>115.27</v>
      </c>
      <c r="AJ905" s="38">
        <v>106.32</v>
      </c>
      <c r="AK905" s="38">
        <v>97.58</v>
      </c>
      <c r="AL905" s="38">
        <v>89.6</v>
      </c>
      <c r="AM905" s="38">
        <v>84.16</v>
      </c>
      <c r="AN905" s="38">
        <v>81.23</v>
      </c>
      <c r="AO905" s="38">
        <v>78.290000000000006</v>
      </c>
      <c r="AP905" s="38">
        <v>81.13</v>
      </c>
      <c r="AQ905" s="38">
        <v>87.14</v>
      </c>
      <c r="AR905" s="38">
        <v>92.96</v>
      </c>
      <c r="AS905" s="38">
        <v>98.69</v>
      </c>
      <c r="AT905" s="38">
        <v>103.31</v>
      </c>
      <c r="AU905" s="38">
        <v>105.24</v>
      </c>
      <c r="AV905" s="38">
        <v>99.98</v>
      </c>
      <c r="AW905" s="38">
        <v>88.97</v>
      </c>
      <c r="AX905" s="38">
        <v>81.31</v>
      </c>
      <c r="AY905" s="38">
        <v>77.8</v>
      </c>
      <c r="BA905" s="37">
        <v>71.8</v>
      </c>
      <c r="BB905" s="38">
        <v>1.2509999999999999</v>
      </c>
    </row>
    <row r="906" spans="1:54" x14ac:dyDescent="0.35">
      <c r="A906" s="2">
        <f t="shared" si="13"/>
        <v>45090</v>
      </c>
      <c r="B906" t="s">
        <v>948</v>
      </c>
      <c r="C906" s="32">
        <v>45090</v>
      </c>
      <c r="D906" s="38">
        <v>91.72</v>
      </c>
      <c r="E906" s="38">
        <v>92.16</v>
      </c>
      <c r="F906" s="38">
        <v>96.31</v>
      </c>
      <c r="G906" s="38">
        <v>103.1</v>
      </c>
      <c r="H906" s="38">
        <v>128.12</v>
      </c>
      <c r="I906" s="38">
        <v>139.91999999999999</v>
      </c>
      <c r="J906" s="38">
        <v>140.44999999999999</v>
      </c>
      <c r="K906" s="38">
        <v>140.47999999999999</v>
      </c>
      <c r="L906" s="38">
        <v>133.6</v>
      </c>
      <c r="M906" s="38">
        <v>125.69</v>
      </c>
      <c r="N906" s="38">
        <v>119.46</v>
      </c>
      <c r="O906" s="38">
        <v>117.06</v>
      </c>
      <c r="P906" s="38">
        <v>115.55</v>
      </c>
      <c r="Q906" s="38">
        <v>117.18</v>
      </c>
      <c r="R906" s="38">
        <v>120.52</v>
      </c>
      <c r="S906" s="38">
        <v>125.87</v>
      </c>
      <c r="T906" s="38">
        <v>131.69</v>
      </c>
      <c r="U906" s="38">
        <v>134.47</v>
      </c>
      <c r="V906" s="38">
        <v>138.78</v>
      </c>
      <c r="W906" s="38">
        <v>137.91999999999999</v>
      </c>
      <c r="X906" s="38">
        <v>124.16</v>
      </c>
      <c r="Y906" s="38">
        <v>110.41</v>
      </c>
      <c r="Z906" s="38">
        <v>105.37</v>
      </c>
      <c r="AA906" s="38">
        <v>100.34</v>
      </c>
      <c r="AB906" s="38">
        <v>101.9</v>
      </c>
      <c r="AC906" s="38">
        <v>103.92</v>
      </c>
      <c r="AD906" s="38">
        <v>106.11</v>
      </c>
      <c r="AE906" s="38">
        <v>108.27</v>
      </c>
      <c r="AF906" s="38">
        <v>110.21</v>
      </c>
      <c r="AG906" s="38">
        <v>112.26</v>
      </c>
      <c r="AH906" s="38">
        <v>114.58</v>
      </c>
      <c r="AI906" s="38">
        <v>115.44</v>
      </c>
      <c r="AJ906" s="38">
        <v>106.48</v>
      </c>
      <c r="AK906" s="38">
        <v>98.74</v>
      </c>
      <c r="AL906" s="38">
        <v>90.76</v>
      </c>
      <c r="AM906" s="38">
        <v>85.32</v>
      </c>
      <c r="AN906" s="38">
        <v>82.39</v>
      </c>
      <c r="AO906" s="38">
        <v>79.44</v>
      </c>
      <c r="AP906" s="38">
        <v>82.28</v>
      </c>
      <c r="AQ906" s="38">
        <v>88.29</v>
      </c>
      <c r="AR906" s="38">
        <v>94.1</v>
      </c>
      <c r="AS906" s="38">
        <v>99.83</v>
      </c>
      <c r="AT906" s="38">
        <v>104.45</v>
      </c>
      <c r="AU906" s="38">
        <v>106.38</v>
      </c>
      <c r="AV906" s="38">
        <v>101.11</v>
      </c>
      <c r="AW906" s="38">
        <v>90.1</v>
      </c>
      <c r="AX906" s="38">
        <v>82.44</v>
      </c>
      <c r="AY906" s="38">
        <v>78.930000000000007</v>
      </c>
      <c r="BA906" s="37">
        <v>74.239999999999995</v>
      </c>
      <c r="BB906" s="38">
        <v>1.2604</v>
      </c>
    </row>
    <row r="907" spans="1:54" x14ac:dyDescent="0.35">
      <c r="A907" s="2">
        <f t="shared" si="13"/>
        <v>45091</v>
      </c>
      <c r="B907" t="s">
        <v>949</v>
      </c>
      <c r="C907" s="32">
        <v>45091</v>
      </c>
      <c r="D907" s="38">
        <v>95.51</v>
      </c>
      <c r="E907" s="38">
        <v>96.98</v>
      </c>
      <c r="F907" s="38">
        <v>101.1</v>
      </c>
      <c r="G907" s="38">
        <v>108.8</v>
      </c>
      <c r="H907" s="38">
        <v>134.55000000000001</v>
      </c>
      <c r="I907" s="38">
        <v>146.75</v>
      </c>
      <c r="J907" s="38">
        <v>148.47999999999999</v>
      </c>
      <c r="K907" s="38">
        <v>148.65</v>
      </c>
      <c r="L907" s="38">
        <v>141.37</v>
      </c>
      <c r="M907" s="38">
        <v>134.36000000000001</v>
      </c>
      <c r="N907" s="38">
        <v>128.83000000000001</v>
      </c>
      <c r="O907" s="38">
        <v>126.43</v>
      </c>
      <c r="P907" s="38">
        <v>124.92</v>
      </c>
      <c r="Q907" s="38">
        <v>126.55</v>
      </c>
      <c r="R907" s="38">
        <v>129.88999999999999</v>
      </c>
      <c r="S907" s="38">
        <v>136.05000000000001</v>
      </c>
      <c r="T907" s="38">
        <v>141.97</v>
      </c>
      <c r="U907" s="38">
        <v>144.75</v>
      </c>
      <c r="V907" s="38">
        <v>149.06</v>
      </c>
      <c r="W907" s="38">
        <v>147.19999999999999</v>
      </c>
      <c r="X907" s="38">
        <v>130.44</v>
      </c>
      <c r="Y907" s="38">
        <v>112.98</v>
      </c>
      <c r="Z907" s="38">
        <v>108.38</v>
      </c>
      <c r="AA907" s="38">
        <v>103.85</v>
      </c>
      <c r="AB907" s="38">
        <v>105.41</v>
      </c>
      <c r="AC907" s="38">
        <v>107.43</v>
      </c>
      <c r="AD907" s="38">
        <v>109.62</v>
      </c>
      <c r="AE907" s="38">
        <v>110.71</v>
      </c>
      <c r="AF907" s="38">
        <v>112.45</v>
      </c>
      <c r="AG907" s="38">
        <v>114.5</v>
      </c>
      <c r="AH907" s="38">
        <v>116.82</v>
      </c>
      <c r="AI907" s="38">
        <v>117.68</v>
      </c>
      <c r="AJ907" s="38">
        <v>108.72</v>
      </c>
      <c r="AK907" s="38">
        <v>100.98</v>
      </c>
      <c r="AL907" s="38">
        <v>93.4</v>
      </c>
      <c r="AM907" s="38">
        <v>87.96</v>
      </c>
      <c r="AN907" s="38">
        <v>85.03</v>
      </c>
      <c r="AO907" s="38">
        <v>82.08</v>
      </c>
      <c r="AP907" s="38">
        <v>84.92</v>
      </c>
      <c r="AQ907" s="38">
        <v>90.13</v>
      </c>
      <c r="AR907" s="38">
        <v>95.24</v>
      </c>
      <c r="AS907" s="38">
        <v>100.27</v>
      </c>
      <c r="AT907" s="38">
        <v>104.89</v>
      </c>
      <c r="AU907" s="38">
        <v>106.82</v>
      </c>
      <c r="AV907" s="38">
        <v>101.55</v>
      </c>
      <c r="AW907" s="38">
        <v>90.54</v>
      </c>
      <c r="AX907" s="38">
        <v>82.88</v>
      </c>
      <c r="AY907" s="38">
        <v>79.37</v>
      </c>
      <c r="BA907" s="37">
        <v>73.39</v>
      </c>
      <c r="BB907" s="38">
        <v>1.2696000000000001</v>
      </c>
    </row>
    <row r="908" spans="1:54" x14ac:dyDescent="0.35">
      <c r="A908" s="2">
        <f t="shared" si="13"/>
        <v>45092</v>
      </c>
      <c r="B908" t="s">
        <v>950</v>
      </c>
      <c r="C908" s="32">
        <v>45092</v>
      </c>
      <c r="D908" s="38">
        <v>103</v>
      </c>
      <c r="E908" s="38">
        <v>103.72</v>
      </c>
      <c r="F908" s="38">
        <v>108.23</v>
      </c>
      <c r="G908" s="38">
        <v>115.91</v>
      </c>
      <c r="H908" s="38">
        <v>143.4</v>
      </c>
      <c r="I908" s="38">
        <v>156.68</v>
      </c>
      <c r="J908" s="38">
        <v>157.52000000000001</v>
      </c>
      <c r="K908" s="38">
        <v>157.56</v>
      </c>
      <c r="L908" s="38">
        <v>149.66999999999999</v>
      </c>
      <c r="M908" s="38">
        <v>140.19999999999999</v>
      </c>
      <c r="N908" s="38">
        <v>134.66999999999999</v>
      </c>
      <c r="O908" s="38">
        <v>132.27000000000001</v>
      </c>
      <c r="P908" s="38">
        <v>130.76</v>
      </c>
      <c r="Q908" s="38">
        <v>132.38999999999999</v>
      </c>
      <c r="R908" s="38">
        <v>135.72999999999999</v>
      </c>
      <c r="S908" s="38">
        <v>140.91999999999999</v>
      </c>
      <c r="T908" s="38">
        <v>146.88</v>
      </c>
      <c r="U908" s="38">
        <v>149.69999999999999</v>
      </c>
      <c r="V908" s="38">
        <v>154.05000000000001</v>
      </c>
      <c r="W908" s="38">
        <v>152.24</v>
      </c>
      <c r="X908" s="38">
        <v>134.55000000000001</v>
      </c>
      <c r="Y908" s="38">
        <v>115.55</v>
      </c>
      <c r="Z908" s="38">
        <v>110.95</v>
      </c>
      <c r="AA908" s="38">
        <v>106.42</v>
      </c>
      <c r="AB908" s="38">
        <v>107.98</v>
      </c>
      <c r="AC908" s="38">
        <v>110</v>
      </c>
      <c r="AD908" s="38">
        <v>112.19</v>
      </c>
      <c r="AE908" s="38">
        <v>114.78</v>
      </c>
      <c r="AF908" s="38">
        <v>116.92</v>
      </c>
      <c r="AG908" s="38">
        <v>118.97</v>
      </c>
      <c r="AH908" s="38">
        <v>121.29</v>
      </c>
      <c r="AI908" s="38">
        <v>122.15</v>
      </c>
      <c r="AJ908" s="38">
        <v>111.19</v>
      </c>
      <c r="AK908" s="38">
        <v>99.65</v>
      </c>
      <c r="AL908" s="38">
        <v>94.07</v>
      </c>
      <c r="AM908" s="38">
        <v>88.63</v>
      </c>
      <c r="AN908" s="38">
        <v>85.7</v>
      </c>
      <c r="AO908" s="38">
        <v>82.75</v>
      </c>
      <c r="AP908" s="38">
        <v>85.59</v>
      </c>
      <c r="AQ908" s="38">
        <v>90.1</v>
      </c>
      <c r="AR908" s="38">
        <v>94.51</v>
      </c>
      <c r="AS908" s="38">
        <v>98.84</v>
      </c>
      <c r="AT908" s="38">
        <v>103.46</v>
      </c>
      <c r="AU908" s="38">
        <v>105.39</v>
      </c>
      <c r="AV908" s="38">
        <v>100.12</v>
      </c>
      <c r="AW908" s="38">
        <v>91.11</v>
      </c>
      <c r="AX908" s="38">
        <v>83.45</v>
      </c>
      <c r="AY908" s="38">
        <v>79.94</v>
      </c>
      <c r="BA908" s="37">
        <v>75.75</v>
      </c>
      <c r="BB908" s="38">
        <v>1.2743</v>
      </c>
    </row>
    <row r="909" spans="1:54" x14ac:dyDescent="0.35">
      <c r="A909" s="2">
        <f t="shared" ref="A909:A972" si="14">+A904+7</f>
        <v>45093</v>
      </c>
      <c r="B909" t="s">
        <v>951</v>
      </c>
      <c r="C909" s="32">
        <v>45093</v>
      </c>
      <c r="D909" s="38">
        <v>87.2</v>
      </c>
      <c r="E909" s="38">
        <v>87.93</v>
      </c>
      <c r="F909" s="38">
        <v>92.83</v>
      </c>
      <c r="G909" s="38">
        <v>101.24</v>
      </c>
      <c r="H909" s="38">
        <v>128.47</v>
      </c>
      <c r="I909" s="38">
        <v>141.25</v>
      </c>
      <c r="J909" s="38">
        <v>141.99</v>
      </c>
      <c r="K909" s="38">
        <v>142.03</v>
      </c>
      <c r="L909" s="38">
        <v>134.49</v>
      </c>
      <c r="M909" s="38">
        <v>128.62</v>
      </c>
      <c r="N909" s="38">
        <v>123.09</v>
      </c>
      <c r="O909" s="38">
        <v>120.69</v>
      </c>
      <c r="P909" s="38">
        <v>119.18</v>
      </c>
      <c r="Q909" s="38">
        <v>120.81</v>
      </c>
      <c r="R909" s="38">
        <v>125.15</v>
      </c>
      <c r="S909" s="38">
        <v>131.53</v>
      </c>
      <c r="T909" s="38">
        <v>137.49</v>
      </c>
      <c r="U909" s="38">
        <v>140.31</v>
      </c>
      <c r="V909" s="38">
        <v>144.66</v>
      </c>
      <c r="W909" s="38">
        <v>142.85</v>
      </c>
      <c r="X909" s="38">
        <v>125.16</v>
      </c>
      <c r="Y909" s="38">
        <v>107.16</v>
      </c>
      <c r="Z909" s="38">
        <v>102.56</v>
      </c>
      <c r="AA909" s="38">
        <v>98.03</v>
      </c>
      <c r="AB909" s="38">
        <v>99.59</v>
      </c>
      <c r="AC909" s="38">
        <v>101.61</v>
      </c>
      <c r="AD909" s="38">
        <v>103.8</v>
      </c>
      <c r="AE909" s="38">
        <v>106.69</v>
      </c>
      <c r="AF909" s="38">
        <v>108.83</v>
      </c>
      <c r="AG909" s="38">
        <v>110.88</v>
      </c>
      <c r="AH909" s="38">
        <v>113.2</v>
      </c>
      <c r="AI909" s="38">
        <v>114.06</v>
      </c>
      <c r="AJ909" s="38">
        <v>103.1</v>
      </c>
      <c r="AK909" s="38">
        <v>92.56</v>
      </c>
      <c r="AL909" s="38">
        <v>86.98</v>
      </c>
      <c r="AM909" s="38">
        <v>81.540000000000006</v>
      </c>
      <c r="AN909" s="38">
        <v>78.61</v>
      </c>
      <c r="AO909" s="38">
        <v>75.66</v>
      </c>
      <c r="AP909" s="38">
        <v>78.5</v>
      </c>
      <c r="AQ909" s="38">
        <v>83.01</v>
      </c>
      <c r="AR909" s="38">
        <v>87.42</v>
      </c>
      <c r="AS909" s="38">
        <v>91.75</v>
      </c>
      <c r="AT909" s="38">
        <v>96.37</v>
      </c>
      <c r="AU909" s="38">
        <v>98.3</v>
      </c>
      <c r="AV909" s="38">
        <v>93.03</v>
      </c>
      <c r="AW909" s="38">
        <v>85.02</v>
      </c>
      <c r="AX909" s="38">
        <v>77.36</v>
      </c>
      <c r="AY909" s="38">
        <v>73.849999999999994</v>
      </c>
      <c r="BA909" s="37">
        <v>76.760000000000005</v>
      </c>
      <c r="BB909" s="38">
        <v>1.2811999999999999</v>
      </c>
    </row>
    <row r="910" spans="1:54" x14ac:dyDescent="0.35">
      <c r="A910" s="2">
        <f t="shared" si="14"/>
        <v>45096</v>
      </c>
      <c r="B910" t="s">
        <v>952</v>
      </c>
      <c r="C910" s="32">
        <v>45096</v>
      </c>
      <c r="D910" s="38">
        <v>86.14</v>
      </c>
      <c r="E910" s="38">
        <v>87.1</v>
      </c>
      <c r="F910" s="38">
        <v>92.04</v>
      </c>
      <c r="G910" s="38">
        <v>100.54</v>
      </c>
      <c r="H910" s="38">
        <v>127.27</v>
      </c>
      <c r="I910" s="38">
        <v>139.94</v>
      </c>
      <c r="J910" s="38">
        <v>140.82</v>
      </c>
      <c r="K910" s="38">
        <v>141.26</v>
      </c>
      <c r="L910" s="38">
        <v>134.77000000000001</v>
      </c>
      <c r="M910" s="38">
        <v>129.94</v>
      </c>
      <c r="N910" s="38">
        <v>122.95</v>
      </c>
      <c r="O910" s="38">
        <v>120.55</v>
      </c>
      <c r="P910" s="38">
        <v>119.06</v>
      </c>
      <c r="Q910" s="38">
        <v>120.69</v>
      </c>
      <c r="R910" s="38">
        <v>125</v>
      </c>
      <c r="S910" s="38">
        <v>130.5</v>
      </c>
      <c r="T910" s="38">
        <v>134.5</v>
      </c>
      <c r="U910" s="38">
        <v>137.32</v>
      </c>
      <c r="V910" s="38">
        <v>141.87</v>
      </c>
      <c r="W910" s="38">
        <v>140.06</v>
      </c>
      <c r="X910" s="38">
        <v>125.06</v>
      </c>
      <c r="Y910" s="38">
        <v>109.06</v>
      </c>
      <c r="Z910" s="38">
        <v>104.46</v>
      </c>
      <c r="AA910" s="38">
        <v>100.93</v>
      </c>
      <c r="AB910" s="38">
        <v>102.49</v>
      </c>
      <c r="AC910" s="38">
        <v>103.53</v>
      </c>
      <c r="AD910" s="38">
        <v>104.72</v>
      </c>
      <c r="AE910" s="38">
        <v>107.61</v>
      </c>
      <c r="AF910" s="38">
        <v>109.75</v>
      </c>
      <c r="AG910" s="38">
        <v>111.8</v>
      </c>
      <c r="AH910" s="38">
        <v>115.01</v>
      </c>
      <c r="AI910" s="38">
        <v>115.87</v>
      </c>
      <c r="AJ910" s="38">
        <v>104.91</v>
      </c>
      <c r="AK910" s="38">
        <v>95.58</v>
      </c>
      <c r="AL910" s="38">
        <v>90</v>
      </c>
      <c r="AM910" s="38">
        <v>84.56</v>
      </c>
      <c r="AN910" s="38">
        <v>81.63</v>
      </c>
      <c r="AO910" s="38">
        <v>78.680000000000007</v>
      </c>
      <c r="AP910" s="38">
        <v>81.52</v>
      </c>
      <c r="AQ910" s="38">
        <v>84.2</v>
      </c>
      <c r="AR910" s="38">
        <v>88.61</v>
      </c>
      <c r="AS910" s="38">
        <v>92.94</v>
      </c>
      <c r="AT910" s="38">
        <v>97.54</v>
      </c>
      <c r="AU910" s="38">
        <v>99.47</v>
      </c>
      <c r="AV910" s="38">
        <v>94.2</v>
      </c>
      <c r="AW910" s="38">
        <v>86.19</v>
      </c>
      <c r="AX910" s="38">
        <v>78.53</v>
      </c>
      <c r="AY910" s="38">
        <v>75.02</v>
      </c>
      <c r="BA910" s="37">
        <v>76.09</v>
      </c>
      <c r="BB910" s="38">
        <v>1.2796000000000001</v>
      </c>
    </row>
    <row r="911" spans="1:54" x14ac:dyDescent="0.35">
      <c r="A911" s="2">
        <f t="shared" si="14"/>
        <v>45097</v>
      </c>
      <c r="B911" t="s">
        <v>953</v>
      </c>
      <c r="C911" s="32">
        <v>45097</v>
      </c>
      <c r="D911" s="38">
        <v>96.46</v>
      </c>
      <c r="E911" s="38">
        <v>96.74</v>
      </c>
      <c r="F911" s="38">
        <v>101.1</v>
      </c>
      <c r="G911" s="38">
        <v>108.93</v>
      </c>
      <c r="H911" s="38">
        <v>136.11000000000001</v>
      </c>
      <c r="I911" s="38">
        <v>148.44999999999999</v>
      </c>
      <c r="J911" s="38">
        <v>149.58000000000001</v>
      </c>
      <c r="K911" s="38">
        <v>148.65</v>
      </c>
      <c r="L911" s="38">
        <v>143.19</v>
      </c>
      <c r="M911" s="38">
        <v>136.21</v>
      </c>
      <c r="N911" s="38">
        <v>129.07</v>
      </c>
      <c r="O911" s="38">
        <v>126.19</v>
      </c>
      <c r="P911" s="38">
        <v>124.86</v>
      </c>
      <c r="Q911" s="38">
        <v>126.64</v>
      </c>
      <c r="R911" s="38">
        <v>131.24</v>
      </c>
      <c r="S911" s="38">
        <v>137.34</v>
      </c>
      <c r="T911" s="38">
        <v>140.86000000000001</v>
      </c>
      <c r="U911" s="38">
        <v>143.24</v>
      </c>
      <c r="V911" s="38">
        <v>147.88999999999999</v>
      </c>
      <c r="W911" s="38">
        <v>146.08000000000001</v>
      </c>
      <c r="X911" s="38">
        <v>131.08000000000001</v>
      </c>
      <c r="Y911" s="38">
        <v>112.46</v>
      </c>
      <c r="Z911" s="38">
        <v>104.49</v>
      </c>
      <c r="AA911" s="38">
        <v>100.96</v>
      </c>
      <c r="AB911" s="38">
        <v>102.52</v>
      </c>
      <c r="AC911" s="38">
        <v>103.56</v>
      </c>
      <c r="AD911" s="38">
        <v>104.75</v>
      </c>
      <c r="AE911" s="38">
        <v>109.3</v>
      </c>
      <c r="AF911" s="38">
        <v>111.44</v>
      </c>
      <c r="AG911" s="38">
        <v>113.49</v>
      </c>
      <c r="AH911" s="38">
        <v>116.31</v>
      </c>
      <c r="AI911" s="38">
        <v>117.18</v>
      </c>
      <c r="AJ911" s="38">
        <v>106.22</v>
      </c>
      <c r="AK911" s="38">
        <v>95.02</v>
      </c>
      <c r="AL911" s="38">
        <v>89.46</v>
      </c>
      <c r="AM911" s="38">
        <v>84.03</v>
      </c>
      <c r="AN911" s="38">
        <v>81.12</v>
      </c>
      <c r="AO911" s="38">
        <v>78.19</v>
      </c>
      <c r="AP911" s="38">
        <v>81.08</v>
      </c>
      <c r="AQ911" s="38">
        <v>85.7</v>
      </c>
      <c r="AR911" s="38">
        <v>90.12</v>
      </c>
      <c r="AS911" s="38">
        <v>94.45</v>
      </c>
      <c r="AT911" s="38">
        <v>99.06</v>
      </c>
      <c r="AU911" s="38">
        <v>100.99</v>
      </c>
      <c r="AV911" s="38">
        <v>95.72</v>
      </c>
      <c r="AW911" s="38">
        <v>86.62</v>
      </c>
      <c r="AX911" s="38">
        <v>78.959999999999994</v>
      </c>
      <c r="AY911" s="38">
        <v>75.45</v>
      </c>
      <c r="BA911" s="37">
        <v>75.790000000000006</v>
      </c>
      <c r="BB911" s="38">
        <v>1.2735000000000001</v>
      </c>
    </row>
    <row r="912" spans="1:54" x14ac:dyDescent="0.35">
      <c r="A912" s="2">
        <f t="shared" si="14"/>
        <v>45098</v>
      </c>
      <c r="B912" t="s">
        <v>954</v>
      </c>
      <c r="C912" s="32">
        <v>45098</v>
      </c>
      <c r="D912" s="38">
        <v>91.82</v>
      </c>
      <c r="E912" s="38">
        <v>91.75</v>
      </c>
      <c r="F912" s="38">
        <v>96.68</v>
      </c>
      <c r="G912" s="38">
        <v>105.54</v>
      </c>
      <c r="H912" s="38">
        <v>133.24</v>
      </c>
      <c r="I912" s="38">
        <v>146.34</v>
      </c>
      <c r="J912" s="38">
        <v>147.6</v>
      </c>
      <c r="K912" s="38">
        <v>146.94999999999999</v>
      </c>
      <c r="L912" s="38">
        <v>141.44999999999999</v>
      </c>
      <c r="M912" s="38">
        <v>135.97</v>
      </c>
      <c r="N912" s="38">
        <v>128.44999999999999</v>
      </c>
      <c r="O912" s="38">
        <v>125.57</v>
      </c>
      <c r="P912" s="38">
        <v>124.66</v>
      </c>
      <c r="Q912" s="38">
        <v>126.44</v>
      </c>
      <c r="R912" s="38">
        <v>131.04</v>
      </c>
      <c r="S912" s="38">
        <v>137.13999999999999</v>
      </c>
      <c r="T912" s="38">
        <v>140.65</v>
      </c>
      <c r="U912" s="38">
        <v>143.03</v>
      </c>
      <c r="V912" s="38">
        <v>148.25</v>
      </c>
      <c r="W912" s="38">
        <v>146.44</v>
      </c>
      <c r="X912" s="38">
        <v>130.99</v>
      </c>
      <c r="Y912" s="38">
        <v>109.77</v>
      </c>
      <c r="Z912" s="38">
        <v>102.21</v>
      </c>
      <c r="AA912" s="38">
        <v>99.02</v>
      </c>
      <c r="AB912" s="38">
        <v>100.94</v>
      </c>
      <c r="AC912" s="38">
        <v>102.32</v>
      </c>
      <c r="AD912" s="38">
        <v>103.86</v>
      </c>
      <c r="AE912" s="38">
        <v>108.41</v>
      </c>
      <c r="AF912" s="38">
        <v>110.55</v>
      </c>
      <c r="AG912" s="38">
        <v>112.6</v>
      </c>
      <c r="AH912" s="38">
        <v>115.7</v>
      </c>
      <c r="AI912" s="38">
        <v>116.57</v>
      </c>
      <c r="AJ912" s="38">
        <v>105.61</v>
      </c>
      <c r="AK912" s="38">
        <v>91.91</v>
      </c>
      <c r="AL912" s="38">
        <v>86.28</v>
      </c>
      <c r="AM912" s="38">
        <v>80.81</v>
      </c>
      <c r="AN912" s="38">
        <v>77.87</v>
      </c>
      <c r="AO912" s="38">
        <v>74.91</v>
      </c>
      <c r="AP912" s="38">
        <v>77.77</v>
      </c>
      <c r="AQ912" s="38">
        <v>81.73</v>
      </c>
      <c r="AR912" s="38">
        <v>86.13</v>
      </c>
      <c r="AS912" s="38">
        <v>90.43</v>
      </c>
      <c r="AT912" s="38">
        <v>94.82</v>
      </c>
      <c r="AU912" s="38">
        <v>96.71</v>
      </c>
      <c r="AV912" s="38">
        <v>91.38</v>
      </c>
      <c r="AW912" s="38">
        <v>82.07</v>
      </c>
      <c r="AX912" s="38">
        <v>74.41</v>
      </c>
      <c r="AY912" s="38">
        <v>70.900000000000006</v>
      </c>
      <c r="BA912" s="37">
        <v>76.92</v>
      </c>
      <c r="BB912" s="38">
        <v>1.2730999999999999</v>
      </c>
    </row>
    <row r="913" spans="1:54" x14ac:dyDescent="0.35">
      <c r="A913" s="2">
        <f t="shared" si="14"/>
        <v>45099</v>
      </c>
      <c r="B913" t="s">
        <v>955</v>
      </c>
      <c r="C913" s="32">
        <v>45099</v>
      </c>
      <c r="D913" s="38">
        <v>85.35</v>
      </c>
      <c r="E913" s="38">
        <v>85.3</v>
      </c>
      <c r="F913" s="38">
        <v>90.27</v>
      </c>
      <c r="G913" s="38">
        <v>99.41</v>
      </c>
      <c r="H913" s="38">
        <v>129.47</v>
      </c>
      <c r="I913" s="38">
        <v>141.97999999999999</v>
      </c>
      <c r="J913" s="38">
        <v>144.53</v>
      </c>
      <c r="K913" s="38">
        <v>143.88</v>
      </c>
      <c r="L913" s="38">
        <v>138.38</v>
      </c>
      <c r="M913" s="38">
        <v>134.11000000000001</v>
      </c>
      <c r="N913" s="38">
        <v>126.44</v>
      </c>
      <c r="O913" s="38">
        <v>124.26</v>
      </c>
      <c r="P913" s="38">
        <v>122.95</v>
      </c>
      <c r="Q913" s="38">
        <v>124.75</v>
      </c>
      <c r="R913" s="38">
        <v>129.12</v>
      </c>
      <c r="S913" s="38">
        <v>135.22999999999999</v>
      </c>
      <c r="T913" s="38">
        <v>138.74</v>
      </c>
      <c r="U913" s="38">
        <v>141.13999999999999</v>
      </c>
      <c r="V913" s="38">
        <v>146.81</v>
      </c>
      <c r="W913" s="38">
        <v>145.01</v>
      </c>
      <c r="X913" s="38">
        <v>128.94</v>
      </c>
      <c r="Y913" s="38">
        <v>106.78</v>
      </c>
      <c r="Z913" s="38">
        <v>99.21</v>
      </c>
      <c r="AA913" s="38">
        <v>96.02</v>
      </c>
      <c r="AB913" s="38">
        <v>97.94</v>
      </c>
      <c r="AC913" s="38">
        <v>99.32</v>
      </c>
      <c r="AD913" s="38">
        <v>100.86</v>
      </c>
      <c r="AE913" s="38">
        <v>105.11</v>
      </c>
      <c r="AF913" s="38">
        <v>107.14</v>
      </c>
      <c r="AG913" s="38">
        <v>109.1</v>
      </c>
      <c r="AH913" s="38">
        <v>112.38</v>
      </c>
      <c r="AI913" s="38">
        <v>113.05</v>
      </c>
      <c r="AJ913" s="38">
        <v>101.68</v>
      </c>
      <c r="AK913" s="38">
        <v>87.15</v>
      </c>
      <c r="AL913" s="38">
        <v>81.52</v>
      </c>
      <c r="AM913" s="38">
        <v>76.05</v>
      </c>
      <c r="AN913" s="38">
        <v>73.11</v>
      </c>
      <c r="AO913" s="38">
        <v>70.150000000000006</v>
      </c>
      <c r="AP913" s="38">
        <v>73.010000000000005</v>
      </c>
      <c r="AQ913" s="38">
        <v>82.19</v>
      </c>
      <c r="AR913" s="38">
        <v>86.59</v>
      </c>
      <c r="AS913" s="38">
        <v>90.88</v>
      </c>
      <c r="AT913" s="38">
        <v>92.1</v>
      </c>
      <c r="AU913" s="38">
        <v>93.99</v>
      </c>
      <c r="AV913" s="38">
        <v>88.66</v>
      </c>
      <c r="AW913" s="38">
        <v>81.36</v>
      </c>
      <c r="AX913" s="38">
        <v>73.45</v>
      </c>
      <c r="AY913" s="38">
        <v>69.790000000000006</v>
      </c>
      <c r="BA913" s="37">
        <v>73.930000000000007</v>
      </c>
      <c r="BB913" s="38">
        <v>1.2738</v>
      </c>
    </row>
    <row r="914" spans="1:54" x14ac:dyDescent="0.35">
      <c r="A914" s="2">
        <f t="shared" si="14"/>
        <v>45100</v>
      </c>
      <c r="B914" t="s">
        <v>956</v>
      </c>
      <c r="C914" s="32">
        <v>45100</v>
      </c>
      <c r="D914" s="38">
        <v>80.28</v>
      </c>
      <c r="E914" s="38">
        <v>80.569999999999993</v>
      </c>
      <c r="F914" s="38">
        <v>86.76</v>
      </c>
      <c r="G914" s="38">
        <v>95.43</v>
      </c>
      <c r="H914" s="38">
        <v>125.78</v>
      </c>
      <c r="I914" s="38">
        <v>138.97999999999999</v>
      </c>
      <c r="J914" s="38">
        <v>140.99</v>
      </c>
      <c r="K914" s="38">
        <v>141.16</v>
      </c>
      <c r="L914" s="38">
        <v>135.30000000000001</v>
      </c>
      <c r="M914" s="38">
        <v>130.59</v>
      </c>
      <c r="N914" s="38">
        <v>122.92</v>
      </c>
      <c r="O914" s="38">
        <v>120.74</v>
      </c>
      <c r="P914" s="38">
        <v>119.43</v>
      </c>
      <c r="Q914" s="38">
        <v>121.23</v>
      </c>
      <c r="R914" s="38">
        <v>125.69</v>
      </c>
      <c r="S914" s="38">
        <v>132.22999999999999</v>
      </c>
      <c r="T914" s="38">
        <v>135.74</v>
      </c>
      <c r="U914" s="38">
        <v>138.13999999999999</v>
      </c>
      <c r="V914" s="38">
        <v>143.62</v>
      </c>
      <c r="W914" s="38">
        <v>141.83000000000001</v>
      </c>
      <c r="X914" s="38">
        <v>125.76</v>
      </c>
      <c r="Y914" s="38">
        <v>102.55</v>
      </c>
      <c r="Z914" s="38">
        <v>97.06</v>
      </c>
      <c r="AA914" s="38">
        <v>93.9</v>
      </c>
      <c r="AB914" s="38">
        <v>95.82</v>
      </c>
      <c r="AC914" s="38">
        <v>97.19</v>
      </c>
      <c r="AD914" s="38">
        <v>98.73</v>
      </c>
      <c r="AE914" s="38">
        <v>102.54</v>
      </c>
      <c r="AF914" s="38">
        <v>104.57</v>
      </c>
      <c r="AG914" s="38">
        <v>106.53</v>
      </c>
      <c r="AH914" s="38">
        <v>109.03</v>
      </c>
      <c r="AI914" s="38">
        <v>109.7</v>
      </c>
      <c r="AJ914" s="38">
        <v>98.62</v>
      </c>
      <c r="AK914" s="38">
        <v>83</v>
      </c>
      <c r="AL914" s="38">
        <v>77.37</v>
      </c>
      <c r="AM914" s="38">
        <v>71.900000000000006</v>
      </c>
      <c r="AN914" s="38">
        <v>68.959999999999994</v>
      </c>
      <c r="AO914" s="38">
        <v>66</v>
      </c>
      <c r="AP914" s="38">
        <v>68.86</v>
      </c>
      <c r="AQ914" s="38">
        <v>78.61</v>
      </c>
      <c r="AR914" s="38">
        <v>83.01</v>
      </c>
      <c r="AS914" s="38">
        <v>87.3</v>
      </c>
      <c r="AT914" s="38">
        <v>88.53</v>
      </c>
      <c r="AU914" s="38">
        <v>90.42</v>
      </c>
      <c r="AV914" s="38">
        <v>85.09</v>
      </c>
      <c r="AW914" s="38">
        <v>78.91</v>
      </c>
      <c r="AX914" s="38">
        <v>71</v>
      </c>
      <c r="AY914" s="38">
        <v>67.34</v>
      </c>
      <c r="BA914" s="37">
        <v>73.56</v>
      </c>
      <c r="BB914" s="38">
        <v>1.2710999999999999</v>
      </c>
    </row>
    <row r="915" spans="1:54" x14ac:dyDescent="0.35">
      <c r="A915" s="2">
        <f t="shared" si="14"/>
        <v>45103</v>
      </c>
      <c r="B915" t="s">
        <v>957</v>
      </c>
      <c r="C915" s="32">
        <v>45103</v>
      </c>
      <c r="D915" s="38">
        <v>79.73</v>
      </c>
      <c r="E915" s="38">
        <v>80.11</v>
      </c>
      <c r="F915" s="38">
        <v>85.51</v>
      </c>
      <c r="G915" s="38">
        <v>93.38</v>
      </c>
      <c r="H915" s="38">
        <v>124.57</v>
      </c>
      <c r="I915" s="38">
        <v>138.47999999999999</v>
      </c>
      <c r="J915" s="38">
        <v>139.91999999999999</v>
      </c>
      <c r="K915" s="38">
        <v>139.36000000000001</v>
      </c>
      <c r="L915" s="38">
        <v>133.52000000000001</v>
      </c>
      <c r="M915" s="38">
        <v>128.71</v>
      </c>
      <c r="N915" s="38">
        <v>121.14</v>
      </c>
      <c r="O915" s="38">
        <v>118.96</v>
      </c>
      <c r="P915" s="38">
        <v>117.65</v>
      </c>
      <c r="Q915" s="38">
        <v>119.45</v>
      </c>
      <c r="R915" s="38">
        <v>123.91</v>
      </c>
      <c r="S915" s="38">
        <v>130.6</v>
      </c>
      <c r="T915" s="38">
        <v>134.11000000000001</v>
      </c>
      <c r="U915" s="38">
        <v>136.51</v>
      </c>
      <c r="V915" s="38">
        <v>141.99</v>
      </c>
      <c r="W915" s="38">
        <v>140.19999999999999</v>
      </c>
      <c r="X915" s="38">
        <v>124.13</v>
      </c>
      <c r="Y915" s="38">
        <v>101.92</v>
      </c>
      <c r="Z915" s="38">
        <v>96.43</v>
      </c>
      <c r="AA915" s="38">
        <v>93.27</v>
      </c>
      <c r="AB915" s="38">
        <v>95.19</v>
      </c>
      <c r="AC915" s="38">
        <v>96.56</v>
      </c>
      <c r="AD915" s="38">
        <v>98.1</v>
      </c>
      <c r="AE915" s="38">
        <v>101.91</v>
      </c>
      <c r="AF915" s="38">
        <v>103.94</v>
      </c>
      <c r="AG915" s="38">
        <v>105.9</v>
      </c>
      <c r="AH915" s="38">
        <v>108.4</v>
      </c>
      <c r="AI915" s="38">
        <v>109.07</v>
      </c>
      <c r="AJ915" s="38">
        <v>97.99</v>
      </c>
      <c r="AK915" s="38">
        <v>82.37</v>
      </c>
      <c r="AL915" s="38">
        <v>76.739999999999995</v>
      </c>
      <c r="AM915" s="38">
        <v>71.27</v>
      </c>
      <c r="AN915" s="38">
        <v>68.33</v>
      </c>
      <c r="AO915" s="38">
        <v>65.37</v>
      </c>
      <c r="AP915" s="38">
        <v>68.23</v>
      </c>
      <c r="AQ915" s="38">
        <v>77.98</v>
      </c>
      <c r="AR915" s="38">
        <v>82.38</v>
      </c>
      <c r="AS915" s="38">
        <v>86.67</v>
      </c>
      <c r="AT915" s="38">
        <v>87.9</v>
      </c>
      <c r="AU915" s="38">
        <v>89.79</v>
      </c>
      <c r="AV915" s="38">
        <v>84.46</v>
      </c>
      <c r="AW915" s="38">
        <v>78.28</v>
      </c>
      <c r="AX915" s="38">
        <v>70.37</v>
      </c>
      <c r="AY915" s="38">
        <v>66.709999999999994</v>
      </c>
      <c r="BA915" s="37">
        <v>73.86</v>
      </c>
      <c r="BB915" s="38">
        <v>1.2708999999999999</v>
      </c>
    </row>
    <row r="916" spans="1:54" x14ac:dyDescent="0.35">
      <c r="A916" s="2">
        <f t="shared" si="14"/>
        <v>45104</v>
      </c>
      <c r="B916" t="s">
        <v>958</v>
      </c>
      <c r="C916" s="32">
        <v>45104</v>
      </c>
      <c r="D916" s="38">
        <v>85.16</v>
      </c>
      <c r="E916" s="38">
        <v>85.32</v>
      </c>
      <c r="F916" s="38">
        <v>89.92</v>
      </c>
      <c r="G916" s="38">
        <v>97.54</v>
      </c>
      <c r="H916" s="38">
        <v>127.14</v>
      </c>
      <c r="I916" s="38">
        <v>140.81</v>
      </c>
      <c r="J916" s="38">
        <v>142</v>
      </c>
      <c r="K916" s="38">
        <v>141.44</v>
      </c>
      <c r="L916" s="38">
        <v>135.6</v>
      </c>
      <c r="M916" s="38">
        <v>130.80000000000001</v>
      </c>
      <c r="N916" s="38">
        <v>123.28</v>
      </c>
      <c r="O916" s="38">
        <v>121.1</v>
      </c>
      <c r="P916" s="38">
        <v>119.79</v>
      </c>
      <c r="Q916" s="38">
        <v>121.59</v>
      </c>
      <c r="R916" s="38">
        <v>126.05</v>
      </c>
      <c r="S916" s="38">
        <v>131.74</v>
      </c>
      <c r="T916" s="38">
        <v>134.53</v>
      </c>
      <c r="U916" s="38">
        <v>136.93</v>
      </c>
      <c r="V916" s="38">
        <v>142.41</v>
      </c>
      <c r="W916" s="38">
        <v>140.62</v>
      </c>
      <c r="X916" s="38">
        <v>124.55</v>
      </c>
      <c r="Y916" s="38">
        <v>103.34</v>
      </c>
      <c r="Z916" s="38">
        <v>98.06</v>
      </c>
      <c r="AA916" s="38">
        <v>94.9</v>
      </c>
      <c r="AB916" s="38">
        <v>96.82</v>
      </c>
      <c r="AC916" s="38">
        <v>98.19</v>
      </c>
      <c r="AD916" s="38">
        <v>99.74</v>
      </c>
      <c r="AE916" s="38">
        <v>103.34</v>
      </c>
      <c r="AF916" s="38">
        <v>105.37</v>
      </c>
      <c r="AG916" s="38">
        <v>107.33</v>
      </c>
      <c r="AH916" s="38">
        <v>109.83</v>
      </c>
      <c r="AI916" s="38">
        <v>110.5</v>
      </c>
      <c r="AJ916" s="38">
        <v>99.42</v>
      </c>
      <c r="AK916" s="38">
        <v>83.8</v>
      </c>
      <c r="AL916" s="38">
        <v>78.17</v>
      </c>
      <c r="AM916" s="38">
        <v>72.7</v>
      </c>
      <c r="AN916" s="38">
        <v>69.760000000000005</v>
      </c>
      <c r="AO916" s="38">
        <v>66.8</v>
      </c>
      <c r="AP916" s="38">
        <v>69.66</v>
      </c>
      <c r="AQ916" s="38">
        <v>79.41</v>
      </c>
      <c r="AR916" s="38">
        <v>83.81</v>
      </c>
      <c r="AS916" s="38">
        <v>88.1</v>
      </c>
      <c r="AT916" s="38">
        <v>89.33</v>
      </c>
      <c r="AU916" s="38">
        <v>91.22</v>
      </c>
      <c r="AV916" s="38">
        <v>85.89</v>
      </c>
      <c r="AW916" s="38">
        <v>79.709999999999994</v>
      </c>
      <c r="AX916" s="38">
        <v>71.8</v>
      </c>
      <c r="AY916" s="38">
        <v>68.14</v>
      </c>
      <c r="BA916" s="37">
        <v>71.88</v>
      </c>
      <c r="BB916" s="38">
        <v>1.2746</v>
      </c>
    </row>
    <row r="917" spans="1:54" x14ac:dyDescent="0.35">
      <c r="A917" s="2">
        <f t="shared" si="14"/>
        <v>45105</v>
      </c>
      <c r="B917" t="s">
        <v>959</v>
      </c>
      <c r="C917" s="32">
        <v>45105</v>
      </c>
      <c r="D917" s="38">
        <v>84.58</v>
      </c>
      <c r="E917" s="38">
        <v>84.98</v>
      </c>
      <c r="F917" s="38">
        <v>89.4</v>
      </c>
      <c r="G917" s="38">
        <v>96.84</v>
      </c>
      <c r="H917" s="38">
        <v>125.51</v>
      </c>
      <c r="I917" s="38">
        <v>139.41</v>
      </c>
      <c r="J917" s="38">
        <v>141.24</v>
      </c>
      <c r="K917" s="38">
        <v>140.41</v>
      </c>
      <c r="L917" s="38">
        <v>134.57</v>
      </c>
      <c r="M917" s="38">
        <v>130.21</v>
      </c>
      <c r="N917" s="38">
        <v>123.56</v>
      </c>
      <c r="O917" s="38">
        <v>121.38</v>
      </c>
      <c r="P917" s="38">
        <v>119.66</v>
      </c>
      <c r="Q917" s="38">
        <v>121.46</v>
      </c>
      <c r="R917" s="38">
        <v>125.92</v>
      </c>
      <c r="S917" s="38">
        <v>132.36000000000001</v>
      </c>
      <c r="T917" s="38">
        <v>135.15</v>
      </c>
      <c r="U917" s="38">
        <v>137.55000000000001</v>
      </c>
      <c r="V917" s="38">
        <v>143.03</v>
      </c>
      <c r="W917" s="38">
        <v>141.24</v>
      </c>
      <c r="X917" s="38">
        <v>125.17</v>
      </c>
      <c r="Y917" s="38">
        <v>104.96</v>
      </c>
      <c r="Z917" s="38">
        <v>99.76</v>
      </c>
      <c r="AA917" s="38">
        <v>96.6</v>
      </c>
      <c r="AB917" s="38">
        <v>98.52</v>
      </c>
      <c r="AC917" s="38">
        <v>99.89</v>
      </c>
      <c r="AD917" s="38">
        <v>101.44</v>
      </c>
      <c r="AE917" s="38">
        <v>104.54</v>
      </c>
      <c r="AF917" s="38">
        <v>106.57</v>
      </c>
      <c r="AG917" s="38">
        <v>108.53</v>
      </c>
      <c r="AH917" s="38">
        <v>111.03</v>
      </c>
      <c r="AI917" s="38">
        <v>111.7</v>
      </c>
      <c r="AJ917" s="38">
        <v>100.62</v>
      </c>
      <c r="AK917" s="38">
        <v>86</v>
      </c>
      <c r="AL917" s="38">
        <v>80.37</v>
      </c>
      <c r="AM917" s="38">
        <v>74.900000000000006</v>
      </c>
      <c r="AN917" s="38">
        <v>71.959999999999994</v>
      </c>
      <c r="AO917" s="38">
        <v>69</v>
      </c>
      <c r="AP917" s="38">
        <v>71.86</v>
      </c>
      <c r="AQ917" s="38">
        <v>81.61</v>
      </c>
      <c r="AR917" s="38">
        <v>86.01</v>
      </c>
      <c r="AS917" s="38">
        <v>90.3</v>
      </c>
      <c r="AT917" s="38">
        <v>91.53</v>
      </c>
      <c r="AU917" s="38">
        <v>93.42</v>
      </c>
      <c r="AV917" s="38">
        <v>88.09</v>
      </c>
      <c r="AW917" s="38">
        <v>81.91</v>
      </c>
      <c r="AX917" s="38">
        <v>74</v>
      </c>
      <c r="AY917" s="38">
        <v>70.34</v>
      </c>
      <c r="BA917" s="37">
        <v>73.64</v>
      </c>
      <c r="BB917" s="38">
        <v>1.2614000000000001</v>
      </c>
    </row>
    <row r="918" spans="1:54" x14ac:dyDescent="0.35">
      <c r="A918" s="2">
        <f t="shared" si="14"/>
        <v>45106</v>
      </c>
      <c r="B918" t="s">
        <v>960</v>
      </c>
      <c r="C918" s="32">
        <v>45106</v>
      </c>
      <c r="D918" s="38">
        <v>86.43</v>
      </c>
      <c r="E918" s="38">
        <v>87.34</v>
      </c>
      <c r="F918" s="38">
        <v>91.74</v>
      </c>
      <c r="G918" s="38">
        <v>99.74</v>
      </c>
      <c r="H918" s="38">
        <v>127.29</v>
      </c>
      <c r="I918" s="38">
        <v>140.88999999999999</v>
      </c>
      <c r="J918" s="38">
        <v>142.72</v>
      </c>
      <c r="K918" s="38">
        <v>141.88</v>
      </c>
      <c r="L918" s="38">
        <v>136.04</v>
      </c>
      <c r="M918" s="38">
        <v>132.25</v>
      </c>
      <c r="N918" s="38">
        <v>125.6</v>
      </c>
      <c r="O918" s="38">
        <v>123.41</v>
      </c>
      <c r="P918" s="38">
        <v>121.68</v>
      </c>
      <c r="Q918" s="38">
        <v>123.48</v>
      </c>
      <c r="R918" s="38">
        <v>127.93</v>
      </c>
      <c r="S918" s="38">
        <v>134.07</v>
      </c>
      <c r="T918" s="38">
        <v>136.86000000000001</v>
      </c>
      <c r="U918" s="38">
        <v>139.25</v>
      </c>
      <c r="V918" s="38">
        <v>144.72999999999999</v>
      </c>
      <c r="W918" s="38">
        <v>142.93</v>
      </c>
      <c r="X918" s="38">
        <v>126.86</v>
      </c>
      <c r="Y918" s="38">
        <v>106.75</v>
      </c>
      <c r="Z918" s="38">
        <v>101.54</v>
      </c>
      <c r="AA918" s="38">
        <v>98.38</v>
      </c>
      <c r="AB918" s="38">
        <v>100.3</v>
      </c>
      <c r="AC918" s="38">
        <v>101.66</v>
      </c>
      <c r="AD918" s="38">
        <v>103.21</v>
      </c>
      <c r="AE918" s="38">
        <v>106.21</v>
      </c>
      <c r="AF918" s="38">
        <v>108.24</v>
      </c>
      <c r="AG918" s="38">
        <v>110.19</v>
      </c>
      <c r="AH918" s="38">
        <v>112.69</v>
      </c>
      <c r="AI918" s="38">
        <v>113.36</v>
      </c>
      <c r="AJ918" s="38">
        <v>102.28</v>
      </c>
      <c r="AK918" s="38">
        <v>88.65</v>
      </c>
      <c r="AL918" s="38">
        <v>83.02</v>
      </c>
      <c r="AM918" s="38">
        <v>77.55</v>
      </c>
      <c r="AN918" s="38">
        <v>74.61</v>
      </c>
      <c r="AO918" s="38">
        <v>71.64</v>
      </c>
      <c r="AP918" s="38">
        <v>74.5</v>
      </c>
      <c r="AQ918" s="38">
        <v>84.25</v>
      </c>
      <c r="AR918" s="38">
        <v>88.65</v>
      </c>
      <c r="AS918" s="38">
        <v>92.94</v>
      </c>
      <c r="AT918" s="38">
        <v>94.16</v>
      </c>
      <c r="AU918" s="38">
        <v>96.05</v>
      </c>
      <c r="AV918" s="38">
        <v>90.72</v>
      </c>
      <c r="AW918" s="38">
        <v>83.54</v>
      </c>
      <c r="AX918" s="38">
        <v>75.63</v>
      </c>
      <c r="AY918" s="38">
        <v>71.959999999999994</v>
      </c>
      <c r="BA918" s="37">
        <v>73.86</v>
      </c>
      <c r="BB918" s="38">
        <v>1.2618</v>
      </c>
    </row>
    <row r="919" spans="1:54" x14ac:dyDescent="0.35">
      <c r="A919" s="2">
        <f t="shared" si="14"/>
        <v>45107</v>
      </c>
      <c r="B919" t="s">
        <v>961</v>
      </c>
      <c r="C919" s="32">
        <v>45107</v>
      </c>
      <c r="D919" s="38">
        <v>91.22</v>
      </c>
      <c r="E919" s="38">
        <v>95.81</v>
      </c>
      <c r="F919" s="38">
        <v>102.71</v>
      </c>
      <c r="G919" s="38">
        <v>130.21</v>
      </c>
      <c r="H919" s="38">
        <v>144.21</v>
      </c>
      <c r="I919" s="38">
        <v>146.21</v>
      </c>
      <c r="J919" s="38">
        <v>145.37</v>
      </c>
      <c r="K919" s="38">
        <v>138.87</v>
      </c>
      <c r="L919" s="38">
        <v>134.77000000000001</v>
      </c>
      <c r="M919" s="38">
        <v>128.27000000000001</v>
      </c>
      <c r="N919" s="38">
        <v>126.08</v>
      </c>
      <c r="O919" s="38">
        <v>123.33</v>
      </c>
      <c r="P919" s="38">
        <v>125.13</v>
      </c>
      <c r="Q919" s="38">
        <v>129.58000000000001</v>
      </c>
      <c r="R919" s="38">
        <v>136.75</v>
      </c>
      <c r="S919" s="38">
        <v>139.63999999999999</v>
      </c>
      <c r="T919" s="38">
        <v>142.03</v>
      </c>
      <c r="U919" s="38">
        <v>147.51</v>
      </c>
      <c r="V919" s="38">
        <v>145.71</v>
      </c>
      <c r="W919" s="38">
        <v>129.63999999999999</v>
      </c>
      <c r="X919" s="38">
        <v>108.43</v>
      </c>
      <c r="Y919" s="38">
        <v>102.56</v>
      </c>
      <c r="Z919" s="38">
        <v>99.4</v>
      </c>
      <c r="AA919" s="38">
        <v>101.32</v>
      </c>
      <c r="AB919" s="38">
        <v>102.68</v>
      </c>
      <c r="AC919" s="38">
        <v>104.23</v>
      </c>
      <c r="AD919" s="38">
        <v>107.73</v>
      </c>
      <c r="AE919" s="38">
        <v>110.26</v>
      </c>
      <c r="AF919" s="38">
        <v>112.21</v>
      </c>
      <c r="AG919" s="38">
        <v>114.71</v>
      </c>
      <c r="AH919" s="38">
        <v>115.38</v>
      </c>
      <c r="AI919" s="38">
        <v>104.3</v>
      </c>
      <c r="AJ919" s="38">
        <v>90.67</v>
      </c>
      <c r="AK919" s="38">
        <v>85.04</v>
      </c>
      <c r="AL919" s="38">
        <v>79.569999999999993</v>
      </c>
      <c r="AM919" s="38">
        <v>76.63</v>
      </c>
      <c r="AN919" s="38">
        <v>73.66</v>
      </c>
      <c r="AO919" s="38">
        <v>76.52</v>
      </c>
      <c r="AP919" s="38">
        <v>86.27</v>
      </c>
      <c r="AQ919" s="38">
        <v>90.67</v>
      </c>
      <c r="AR919" s="38">
        <v>94.96</v>
      </c>
      <c r="AS919" s="38">
        <v>96.18</v>
      </c>
      <c r="AT919" s="38">
        <v>98.07</v>
      </c>
      <c r="AU919" s="38">
        <v>92.74</v>
      </c>
      <c r="AV919" s="38">
        <v>85.56</v>
      </c>
      <c r="AW919" s="38">
        <v>77.650000000000006</v>
      </c>
      <c r="AX919" s="38">
        <v>73.98</v>
      </c>
      <c r="AY919" s="38">
        <v>68.459999999999994</v>
      </c>
      <c r="BA919" s="37">
        <v>74.510000000000005</v>
      </c>
      <c r="BB919" s="38">
        <v>1.2714000000000001</v>
      </c>
    </row>
    <row r="920" spans="1:54" x14ac:dyDescent="0.35">
      <c r="A920" s="2">
        <f t="shared" si="14"/>
        <v>45110</v>
      </c>
      <c r="B920" t="s">
        <v>962</v>
      </c>
      <c r="C920" s="32">
        <v>45110</v>
      </c>
      <c r="D920" s="38">
        <v>83.65</v>
      </c>
      <c r="E920" s="38">
        <v>88.15</v>
      </c>
      <c r="F920" s="38">
        <v>96.21</v>
      </c>
      <c r="G920" s="38">
        <v>124.53</v>
      </c>
      <c r="H920" s="38">
        <v>138.31</v>
      </c>
      <c r="I920" s="38">
        <v>140.05000000000001</v>
      </c>
      <c r="J920" s="38">
        <v>139.15</v>
      </c>
      <c r="K920" s="38">
        <v>133.15</v>
      </c>
      <c r="L920" s="38">
        <v>129.5</v>
      </c>
      <c r="M920" s="38">
        <v>123.37</v>
      </c>
      <c r="N920" s="38">
        <v>121.28</v>
      </c>
      <c r="O920" s="38">
        <v>118.73</v>
      </c>
      <c r="P920" s="38">
        <v>120.53</v>
      </c>
      <c r="Q920" s="38">
        <v>125.15</v>
      </c>
      <c r="R920" s="38">
        <v>132.81</v>
      </c>
      <c r="S920" s="38">
        <v>135.97</v>
      </c>
      <c r="T920" s="38">
        <v>138.36000000000001</v>
      </c>
      <c r="U920" s="38">
        <v>143.85</v>
      </c>
      <c r="V920" s="38">
        <v>142.15</v>
      </c>
      <c r="W920" s="38">
        <v>126.29</v>
      </c>
      <c r="X920" s="38">
        <v>106.07</v>
      </c>
      <c r="Y920" s="38">
        <v>100.94</v>
      </c>
      <c r="Z920" s="38">
        <v>98.16</v>
      </c>
      <c r="AA920" s="38">
        <v>100.23</v>
      </c>
      <c r="AB920" s="38">
        <v>101.75</v>
      </c>
      <c r="AC920" s="38">
        <v>103.47</v>
      </c>
      <c r="AD920" s="38">
        <v>106.97</v>
      </c>
      <c r="AE920" s="38">
        <v>109.5</v>
      </c>
      <c r="AF920" s="38">
        <v>111.45</v>
      </c>
      <c r="AG920" s="38">
        <v>113.95</v>
      </c>
      <c r="AH920" s="38">
        <v>114.63</v>
      </c>
      <c r="AI920" s="38">
        <v>103.54</v>
      </c>
      <c r="AJ920" s="38">
        <v>89.91</v>
      </c>
      <c r="AK920" s="38">
        <v>84.28</v>
      </c>
      <c r="AL920" s="38">
        <v>78.81</v>
      </c>
      <c r="AM920" s="38">
        <v>75.87</v>
      </c>
      <c r="AN920" s="38">
        <v>72.900000000000006</v>
      </c>
      <c r="AO920" s="38">
        <v>75.760000000000005</v>
      </c>
      <c r="AP920" s="38">
        <v>85.51</v>
      </c>
      <c r="AQ920" s="38">
        <v>89.91</v>
      </c>
      <c r="AR920" s="38">
        <v>94.2</v>
      </c>
      <c r="AS920" s="38">
        <v>95.42</v>
      </c>
      <c r="AT920" s="38">
        <v>97.45</v>
      </c>
      <c r="AU920" s="38">
        <v>92.12</v>
      </c>
      <c r="AV920" s="38">
        <v>84.94</v>
      </c>
      <c r="AW920" s="38">
        <v>77.03</v>
      </c>
      <c r="AX920" s="38">
        <v>73.36</v>
      </c>
      <c r="AY920" s="38">
        <v>67.84</v>
      </c>
      <c r="BA920" s="37">
        <v>74.52</v>
      </c>
      <c r="BB920" s="38">
        <v>1.2688999999999999</v>
      </c>
    </row>
    <row r="921" spans="1:54" x14ac:dyDescent="0.35">
      <c r="A921" s="2">
        <f t="shared" si="14"/>
        <v>45111</v>
      </c>
      <c r="B921" t="s">
        <v>963</v>
      </c>
      <c r="C921" s="32">
        <v>45111</v>
      </c>
      <c r="D921" s="38">
        <v>86.78</v>
      </c>
      <c r="E921" s="38">
        <v>91.11</v>
      </c>
      <c r="F921" s="38">
        <v>98.85</v>
      </c>
      <c r="G921" s="38">
        <v>127.54</v>
      </c>
      <c r="H921" s="38">
        <v>141.66999999999999</v>
      </c>
      <c r="I921" s="38">
        <v>143.61000000000001</v>
      </c>
      <c r="J921" s="38">
        <v>143</v>
      </c>
      <c r="K921" s="38">
        <v>137.86000000000001</v>
      </c>
      <c r="L921" s="38">
        <v>133.5</v>
      </c>
      <c r="M921" s="38">
        <v>127.21</v>
      </c>
      <c r="N921" s="38">
        <v>125.11</v>
      </c>
      <c r="O921" s="38">
        <v>122.51</v>
      </c>
      <c r="P921" s="38">
        <v>124.18</v>
      </c>
      <c r="Q921" s="38">
        <v>128.72</v>
      </c>
      <c r="R921" s="38">
        <v>136.26</v>
      </c>
      <c r="S921" s="38">
        <v>139.16999999999999</v>
      </c>
      <c r="T921" s="38">
        <v>141.31</v>
      </c>
      <c r="U921" s="38">
        <v>146.66</v>
      </c>
      <c r="V921" s="38">
        <v>144.71</v>
      </c>
      <c r="W921" s="38">
        <v>128.57</v>
      </c>
      <c r="X921" s="38">
        <v>106.51</v>
      </c>
      <c r="Y921" s="38">
        <v>101.03</v>
      </c>
      <c r="Z921" s="38">
        <v>98.37</v>
      </c>
      <c r="AA921" s="38">
        <v>100.47</v>
      </c>
      <c r="AB921" s="38">
        <v>101.99</v>
      </c>
      <c r="AC921" s="38">
        <v>103.71</v>
      </c>
      <c r="AD921" s="38">
        <v>107.09</v>
      </c>
      <c r="AE921" s="38">
        <v>109.62</v>
      </c>
      <c r="AF921" s="38">
        <v>111.57</v>
      </c>
      <c r="AG921" s="38">
        <v>113.96</v>
      </c>
      <c r="AH921" s="38">
        <v>114.64</v>
      </c>
      <c r="AI921" s="38">
        <v>103.55</v>
      </c>
      <c r="AJ921" s="38">
        <v>90.19</v>
      </c>
      <c r="AK921" s="38">
        <v>84.56</v>
      </c>
      <c r="AL921" s="38">
        <v>79.09</v>
      </c>
      <c r="AM921" s="38">
        <v>76.150000000000006</v>
      </c>
      <c r="AN921" s="38">
        <v>73.180000000000007</v>
      </c>
      <c r="AO921" s="38">
        <v>76.040000000000006</v>
      </c>
      <c r="AP921" s="38">
        <v>85.58</v>
      </c>
      <c r="AQ921" s="38">
        <v>89.98</v>
      </c>
      <c r="AR921" s="38">
        <v>94.27</v>
      </c>
      <c r="AS921" s="38">
        <v>95.49</v>
      </c>
      <c r="AT921" s="38">
        <v>97.53</v>
      </c>
      <c r="AU921" s="38">
        <v>92.19</v>
      </c>
      <c r="AV921" s="38">
        <v>85.01</v>
      </c>
      <c r="AW921" s="38">
        <v>77.11</v>
      </c>
      <c r="AX921" s="38">
        <v>73.430000000000007</v>
      </c>
      <c r="AY921" s="38">
        <v>67.91</v>
      </c>
      <c r="BA921" s="37">
        <v>76.23</v>
      </c>
      <c r="BB921" s="38">
        <v>1.2726</v>
      </c>
    </row>
    <row r="922" spans="1:54" x14ac:dyDescent="0.35">
      <c r="A922" s="2">
        <f t="shared" si="14"/>
        <v>45112</v>
      </c>
      <c r="B922" t="s">
        <v>964</v>
      </c>
      <c r="C922" s="32">
        <v>45112</v>
      </c>
      <c r="D922" s="38">
        <v>84.49</v>
      </c>
      <c r="E922" s="38">
        <v>89.23</v>
      </c>
      <c r="F922" s="38">
        <v>96.98</v>
      </c>
      <c r="G922" s="38">
        <v>126.98</v>
      </c>
      <c r="H922" s="38">
        <v>141.97999999999999</v>
      </c>
      <c r="I922" s="38">
        <v>144.85</v>
      </c>
      <c r="J922" s="38">
        <v>143.94999999999999</v>
      </c>
      <c r="K922" s="38">
        <v>137.85</v>
      </c>
      <c r="L922" s="38">
        <v>134.19999999999999</v>
      </c>
      <c r="M922" s="38">
        <v>129.41999999999999</v>
      </c>
      <c r="N922" s="38">
        <v>125.66</v>
      </c>
      <c r="O922" s="38">
        <v>123.67</v>
      </c>
      <c r="P922" s="38">
        <v>125.36</v>
      </c>
      <c r="Q922" s="38">
        <v>129.9</v>
      </c>
      <c r="R922" s="38">
        <v>137.30000000000001</v>
      </c>
      <c r="S922" s="38">
        <v>140.13</v>
      </c>
      <c r="T922" s="38">
        <v>141.96</v>
      </c>
      <c r="U922" s="38">
        <v>147.02000000000001</v>
      </c>
      <c r="V922" s="38">
        <v>144.72999999999999</v>
      </c>
      <c r="W922" s="38">
        <v>129.32</v>
      </c>
      <c r="X922" s="38">
        <v>109.42</v>
      </c>
      <c r="Y922" s="38">
        <v>103.95</v>
      </c>
      <c r="Z922" s="38">
        <v>101.42</v>
      </c>
      <c r="AA922" s="38">
        <v>103.52</v>
      </c>
      <c r="AB922" s="38">
        <v>105.04</v>
      </c>
      <c r="AC922" s="38">
        <v>106.76</v>
      </c>
      <c r="AD922" s="38">
        <v>110.1</v>
      </c>
      <c r="AE922" s="38">
        <v>112.63</v>
      </c>
      <c r="AF922" s="38">
        <v>114.58</v>
      </c>
      <c r="AG922" s="38">
        <v>117.86</v>
      </c>
      <c r="AH922" s="38">
        <v>118.54</v>
      </c>
      <c r="AI922" s="38">
        <v>107.45</v>
      </c>
      <c r="AJ922" s="38">
        <v>93.02</v>
      </c>
      <c r="AK922" s="38">
        <v>87.39</v>
      </c>
      <c r="AL922" s="38">
        <v>81.92</v>
      </c>
      <c r="AM922" s="38">
        <v>78.98</v>
      </c>
      <c r="AN922" s="38">
        <v>76.010000000000005</v>
      </c>
      <c r="AO922" s="38">
        <v>78.87</v>
      </c>
      <c r="AP922" s="38">
        <v>88.43</v>
      </c>
      <c r="AQ922" s="38">
        <v>92.83</v>
      </c>
      <c r="AR922" s="38">
        <v>97.12</v>
      </c>
      <c r="AS922" s="38">
        <v>97.2</v>
      </c>
      <c r="AT922" s="38">
        <v>99.24</v>
      </c>
      <c r="AU922" s="38">
        <v>93.9</v>
      </c>
      <c r="AV922" s="38">
        <v>85.42</v>
      </c>
      <c r="AW922" s="38">
        <v>77.52</v>
      </c>
      <c r="AX922" s="38">
        <v>73.84</v>
      </c>
      <c r="AY922" s="38">
        <v>68.319999999999993</v>
      </c>
      <c r="BA922" s="37">
        <v>76.739999999999995</v>
      </c>
      <c r="BB922" s="38">
        <v>1.2716000000000001</v>
      </c>
    </row>
    <row r="923" spans="1:54" x14ac:dyDescent="0.35">
      <c r="A923" s="2">
        <f t="shared" si="14"/>
        <v>45113</v>
      </c>
      <c r="B923" t="s">
        <v>965</v>
      </c>
      <c r="C923" s="32">
        <v>45113</v>
      </c>
      <c r="D923" s="38">
        <v>79.25</v>
      </c>
      <c r="E923" s="38">
        <v>85.32</v>
      </c>
      <c r="F923" s="38">
        <v>94.22</v>
      </c>
      <c r="G923" s="38">
        <v>123.46</v>
      </c>
      <c r="H923" s="38">
        <v>140.84</v>
      </c>
      <c r="I923" s="38">
        <v>143.94</v>
      </c>
      <c r="J923" s="38">
        <v>143.09</v>
      </c>
      <c r="K923" s="38">
        <v>137.44</v>
      </c>
      <c r="L923" s="38">
        <v>134.11000000000001</v>
      </c>
      <c r="M923" s="38">
        <v>129.1</v>
      </c>
      <c r="N923" s="38">
        <v>125.65</v>
      </c>
      <c r="O923" s="38">
        <v>123.79</v>
      </c>
      <c r="P923" s="38">
        <v>125.48</v>
      </c>
      <c r="Q923" s="38">
        <v>130.6</v>
      </c>
      <c r="R923" s="38">
        <v>138.16999999999999</v>
      </c>
      <c r="S923" s="38">
        <v>141</v>
      </c>
      <c r="T923" s="38">
        <v>142.83000000000001</v>
      </c>
      <c r="U923" s="38">
        <v>148.16999999999999</v>
      </c>
      <c r="V923" s="38">
        <v>145.88</v>
      </c>
      <c r="W923" s="38">
        <v>130.47999999999999</v>
      </c>
      <c r="X923" s="38">
        <v>109.96</v>
      </c>
      <c r="Y923" s="38">
        <v>104.17</v>
      </c>
      <c r="Z923" s="38">
        <v>101.64</v>
      </c>
      <c r="AA923" s="38">
        <v>103.74</v>
      </c>
      <c r="AB923" s="38">
        <v>105.26</v>
      </c>
      <c r="AC923" s="38">
        <v>106.98</v>
      </c>
      <c r="AD923" s="38">
        <v>109.88</v>
      </c>
      <c r="AE923" s="38">
        <v>112.41</v>
      </c>
      <c r="AF923" s="38">
        <v>114.36</v>
      </c>
      <c r="AG923" s="38">
        <v>117.73</v>
      </c>
      <c r="AH923" s="38">
        <v>118.41</v>
      </c>
      <c r="AI923" s="38">
        <v>107.31</v>
      </c>
      <c r="AJ923" s="38">
        <v>92.7</v>
      </c>
      <c r="AK923" s="38">
        <v>87.07</v>
      </c>
      <c r="AL923" s="38">
        <v>81.599999999999994</v>
      </c>
      <c r="AM923" s="38">
        <v>78.66</v>
      </c>
      <c r="AN923" s="38">
        <v>75.69</v>
      </c>
      <c r="AO923" s="38">
        <v>78.55</v>
      </c>
      <c r="AP923" s="38">
        <v>88.15</v>
      </c>
      <c r="AQ923" s="38">
        <v>92.55</v>
      </c>
      <c r="AR923" s="38">
        <v>96.84</v>
      </c>
      <c r="AS923" s="38">
        <v>96.92</v>
      </c>
      <c r="AT923" s="38">
        <v>98.96</v>
      </c>
      <c r="AU923" s="38">
        <v>93.62</v>
      </c>
      <c r="AV923" s="38">
        <v>85.03</v>
      </c>
      <c r="AW923" s="38">
        <v>77.13</v>
      </c>
      <c r="AX923" s="38">
        <v>73.45</v>
      </c>
      <c r="AY923" s="38">
        <v>67.930000000000007</v>
      </c>
      <c r="BA923" s="37">
        <v>76.72</v>
      </c>
      <c r="BB923" s="38">
        <v>1.2696000000000001</v>
      </c>
    </row>
    <row r="924" spans="1:54" x14ac:dyDescent="0.35">
      <c r="A924" s="2">
        <f t="shared" si="14"/>
        <v>45114</v>
      </c>
      <c r="B924" t="s">
        <v>966</v>
      </c>
      <c r="C924" s="32">
        <v>45114</v>
      </c>
      <c r="D924" s="38">
        <v>81.86</v>
      </c>
      <c r="E924" s="38">
        <v>88</v>
      </c>
      <c r="F924" s="38">
        <v>97.22</v>
      </c>
      <c r="G924" s="38">
        <v>126.97</v>
      </c>
      <c r="H924" s="38">
        <v>145.65</v>
      </c>
      <c r="I924" s="38">
        <v>147.41999999999999</v>
      </c>
      <c r="J924" s="38">
        <v>147.22</v>
      </c>
      <c r="K924" s="38">
        <v>141.21</v>
      </c>
      <c r="L924" s="38">
        <v>138.69</v>
      </c>
      <c r="M924" s="38">
        <v>134.53</v>
      </c>
      <c r="N924" s="38">
        <v>131.1</v>
      </c>
      <c r="O924" s="38">
        <v>129.36000000000001</v>
      </c>
      <c r="P924" s="38">
        <v>131.09</v>
      </c>
      <c r="Q924" s="38">
        <v>136.22999999999999</v>
      </c>
      <c r="R924" s="38">
        <v>143.74</v>
      </c>
      <c r="S924" s="38">
        <v>146.56</v>
      </c>
      <c r="T924" s="38">
        <v>148.41999999999999</v>
      </c>
      <c r="U924" s="38">
        <v>153.84</v>
      </c>
      <c r="V924" s="38">
        <v>151.34</v>
      </c>
      <c r="W924" s="38">
        <v>135.94999999999999</v>
      </c>
      <c r="X924" s="38">
        <v>114.07</v>
      </c>
      <c r="Y924" s="38">
        <v>108.29</v>
      </c>
      <c r="Z924" s="38">
        <v>105.79</v>
      </c>
      <c r="AA924" s="38">
        <v>107.92</v>
      </c>
      <c r="AB924" s="38">
        <v>109.48</v>
      </c>
      <c r="AC924" s="38">
        <v>111.27</v>
      </c>
      <c r="AD924" s="38">
        <v>114.49</v>
      </c>
      <c r="AE924" s="38">
        <v>117.26</v>
      </c>
      <c r="AF924" s="38">
        <v>119.21</v>
      </c>
      <c r="AG924" s="38">
        <v>122.42</v>
      </c>
      <c r="AH924" s="38">
        <v>123.1</v>
      </c>
      <c r="AI924" s="38">
        <v>111.99</v>
      </c>
      <c r="AJ924" s="38">
        <v>95.85</v>
      </c>
      <c r="AK924" s="38">
        <v>90.22</v>
      </c>
      <c r="AL924" s="38">
        <v>84.75</v>
      </c>
      <c r="AM924" s="38">
        <v>81.81</v>
      </c>
      <c r="AN924" s="38">
        <v>78.84</v>
      </c>
      <c r="AO924" s="38">
        <v>81.7</v>
      </c>
      <c r="AP924" s="38">
        <v>90.98</v>
      </c>
      <c r="AQ924" s="38">
        <v>95.38</v>
      </c>
      <c r="AR924" s="38">
        <v>99.67</v>
      </c>
      <c r="AS924" s="38">
        <v>99.75</v>
      </c>
      <c r="AT924" s="38">
        <v>101.79</v>
      </c>
      <c r="AU924" s="38">
        <v>96.45</v>
      </c>
      <c r="AV924" s="38">
        <v>87.94</v>
      </c>
      <c r="AW924" s="38">
        <v>80.040000000000006</v>
      </c>
      <c r="AX924" s="38">
        <v>76.36</v>
      </c>
      <c r="AY924" s="38">
        <v>70.84</v>
      </c>
      <c r="BA924" s="37">
        <v>78.77</v>
      </c>
      <c r="BB924" s="38">
        <v>1.2825</v>
      </c>
    </row>
    <row r="925" spans="1:54" x14ac:dyDescent="0.35">
      <c r="A925" s="2">
        <f t="shared" si="14"/>
        <v>45117</v>
      </c>
      <c r="B925" t="s">
        <v>967</v>
      </c>
      <c r="C925" s="32">
        <v>45117</v>
      </c>
      <c r="D925" s="38">
        <v>73.53</v>
      </c>
      <c r="E925" s="38">
        <v>79.94</v>
      </c>
      <c r="F925" s="38">
        <v>88.86</v>
      </c>
      <c r="G925" s="38">
        <v>119.28</v>
      </c>
      <c r="H925" s="38">
        <v>137.59</v>
      </c>
      <c r="I925" s="38">
        <v>139.77000000000001</v>
      </c>
      <c r="J925" s="38">
        <v>138.97</v>
      </c>
      <c r="K925" s="38">
        <v>132.97</v>
      </c>
      <c r="L925" s="38">
        <v>130.08000000000001</v>
      </c>
      <c r="M925" s="38">
        <v>126.58</v>
      </c>
      <c r="N925" s="38">
        <v>122.78</v>
      </c>
      <c r="O925" s="38">
        <v>121.18</v>
      </c>
      <c r="P925" s="38">
        <v>122.91</v>
      </c>
      <c r="Q925" s="38">
        <v>128.05000000000001</v>
      </c>
      <c r="R925" s="38">
        <v>136.43</v>
      </c>
      <c r="S925" s="38">
        <v>139.25</v>
      </c>
      <c r="T925" s="38">
        <v>141.11000000000001</v>
      </c>
      <c r="U925" s="38">
        <v>146.53</v>
      </c>
      <c r="V925" s="38">
        <v>144.03</v>
      </c>
      <c r="W925" s="38">
        <v>128.63999999999999</v>
      </c>
      <c r="X925" s="38">
        <v>106.7</v>
      </c>
      <c r="Y925" s="38">
        <v>100.89</v>
      </c>
      <c r="Z925" s="38">
        <v>98.36</v>
      </c>
      <c r="AA925" s="38">
        <v>100.45</v>
      </c>
      <c r="AB925" s="38">
        <v>101.98</v>
      </c>
      <c r="AC925" s="38">
        <v>103.73</v>
      </c>
      <c r="AD925" s="38">
        <v>106.81</v>
      </c>
      <c r="AE925" s="38">
        <v>109.58</v>
      </c>
      <c r="AF925" s="38">
        <v>111.53</v>
      </c>
      <c r="AG925" s="38">
        <v>115.1</v>
      </c>
      <c r="AH925" s="38">
        <v>115.78</v>
      </c>
      <c r="AI925" s="38">
        <v>104.67</v>
      </c>
      <c r="AJ925" s="38">
        <v>90.53</v>
      </c>
      <c r="AK925" s="38">
        <v>86.36</v>
      </c>
      <c r="AL925" s="38">
        <v>80.95</v>
      </c>
      <c r="AM925" s="38">
        <v>78.069999999999993</v>
      </c>
      <c r="AN925" s="38">
        <v>75.16</v>
      </c>
      <c r="AO925" s="38">
        <v>78.099999999999994</v>
      </c>
      <c r="AP925" s="38">
        <v>86.89</v>
      </c>
      <c r="AQ925" s="38">
        <v>91.3</v>
      </c>
      <c r="AR925" s="38">
        <v>95.58</v>
      </c>
      <c r="AS925" s="38">
        <v>96.28</v>
      </c>
      <c r="AT925" s="38">
        <v>98.33</v>
      </c>
      <c r="AU925" s="38">
        <v>92.99</v>
      </c>
      <c r="AV925" s="38">
        <v>84.73</v>
      </c>
      <c r="AW925" s="38">
        <v>76.819999999999993</v>
      </c>
      <c r="AX925" s="38">
        <v>73.14</v>
      </c>
      <c r="AY925" s="38">
        <v>67.62</v>
      </c>
      <c r="BA925" s="37">
        <v>77.83</v>
      </c>
      <c r="BB925" s="38">
        <v>1.2815000000000001</v>
      </c>
    </row>
    <row r="926" spans="1:54" x14ac:dyDescent="0.35">
      <c r="A926" s="2">
        <f t="shared" si="14"/>
        <v>45118</v>
      </c>
      <c r="B926" t="s">
        <v>968</v>
      </c>
      <c r="C926" s="32">
        <v>45118</v>
      </c>
      <c r="D926" s="38">
        <v>70.510000000000005</v>
      </c>
      <c r="E926" s="38">
        <v>76.53</v>
      </c>
      <c r="F926" s="38">
        <v>83.83</v>
      </c>
      <c r="G926" s="38">
        <v>112.82</v>
      </c>
      <c r="H926" s="38">
        <v>130.01</v>
      </c>
      <c r="I926" s="38">
        <v>132.31</v>
      </c>
      <c r="J926" s="38">
        <v>131.51</v>
      </c>
      <c r="K926" s="38">
        <v>125.36</v>
      </c>
      <c r="L926" s="38">
        <v>122.86</v>
      </c>
      <c r="M926" s="38">
        <v>120.06</v>
      </c>
      <c r="N926" s="38">
        <v>116.91</v>
      </c>
      <c r="O926" s="38">
        <v>115.26</v>
      </c>
      <c r="P926" s="38">
        <v>117.13</v>
      </c>
      <c r="Q926" s="38">
        <v>122.3</v>
      </c>
      <c r="R926" s="38">
        <v>130.41</v>
      </c>
      <c r="S926" s="38">
        <v>133.91999999999999</v>
      </c>
      <c r="T926" s="38">
        <v>135.94</v>
      </c>
      <c r="U926" s="38">
        <v>141.5</v>
      </c>
      <c r="V926" s="38">
        <v>139.03</v>
      </c>
      <c r="W926" s="38">
        <v>123.68</v>
      </c>
      <c r="X926" s="38">
        <v>104.5</v>
      </c>
      <c r="Y926" s="38">
        <v>98.21</v>
      </c>
      <c r="Z926" s="38">
        <v>95.68</v>
      </c>
      <c r="AA926" s="38">
        <v>97.77</v>
      </c>
      <c r="AB926" s="38">
        <v>99.3</v>
      </c>
      <c r="AC926" s="38">
        <v>101.05</v>
      </c>
      <c r="AD926" s="38">
        <v>104.32</v>
      </c>
      <c r="AE926" s="38">
        <v>107.1</v>
      </c>
      <c r="AF926" s="38">
        <v>109.05</v>
      </c>
      <c r="AG926" s="38">
        <v>112.69</v>
      </c>
      <c r="AH926" s="38">
        <v>113.37</v>
      </c>
      <c r="AI926" s="38">
        <v>102.27</v>
      </c>
      <c r="AJ926" s="38">
        <v>89.28</v>
      </c>
      <c r="AK926" s="38">
        <v>85.11</v>
      </c>
      <c r="AL926" s="38">
        <v>79.709999999999994</v>
      </c>
      <c r="AM926" s="38">
        <v>76.83</v>
      </c>
      <c r="AN926" s="38">
        <v>73.930000000000007</v>
      </c>
      <c r="AO926" s="38">
        <v>76.88</v>
      </c>
      <c r="AP926" s="38">
        <v>85.52</v>
      </c>
      <c r="AQ926" s="38">
        <v>89.93</v>
      </c>
      <c r="AR926" s="38">
        <v>94.22</v>
      </c>
      <c r="AS926" s="38">
        <v>95.73</v>
      </c>
      <c r="AT926" s="38">
        <v>97.79</v>
      </c>
      <c r="AU926" s="38">
        <v>92.46</v>
      </c>
      <c r="AV926" s="38">
        <v>85.03</v>
      </c>
      <c r="AW926" s="38">
        <v>77.11</v>
      </c>
      <c r="AX926" s="38">
        <v>73.459999999999994</v>
      </c>
      <c r="AY926" s="38">
        <v>67.92</v>
      </c>
      <c r="BA926" s="37">
        <v>79.540000000000006</v>
      </c>
      <c r="BB926" s="38">
        <v>1.2897000000000001</v>
      </c>
    </row>
    <row r="927" spans="1:54" x14ac:dyDescent="0.35">
      <c r="A927" s="2">
        <f t="shared" si="14"/>
        <v>45119</v>
      </c>
      <c r="B927" t="s">
        <v>969</v>
      </c>
      <c r="C927" s="32">
        <v>45119</v>
      </c>
      <c r="D927" s="38">
        <v>64.790000000000006</v>
      </c>
      <c r="E927" s="38">
        <v>70.010000000000005</v>
      </c>
      <c r="F927" s="38">
        <v>79.62</v>
      </c>
      <c r="G927" s="38">
        <v>108.59</v>
      </c>
      <c r="H927" s="38">
        <v>125.19</v>
      </c>
      <c r="I927" s="38">
        <v>127.94</v>
      </c>
      <c r="J927" s="38">
        <v>127.25</v>
      </c>
      <c r="K927" s="38">
        <v>121.42</v>
      </c>
      <c r="L927" s="38">
        <v>119.07</v>
      </c>
      <c r="M927" s="38">
        <v>116.72</v>
      </c>
      <c r="N927" s="38">
        <v>113.95</v>
      </c>
      <c r="O927" s="38">
        <v>112.7</v>
      </c>
      <c r="P927" s="38">
        <v>114.57</v>
      </c>
      <c r="Q927" s="38">
        <v>119.74</v>
      </c>
      <c r="R927" s="38">
        <v>127.86</v>
      </c>
      <c r="S927" s="38">
        <v>131.38999999999999</v>
      </c>
      <c r="T927" s="38">
        <v>133.38999999999999</v>
      </c>
      <c r="U927" s="38">
        <v>139.24</v>
      </c>
      <c r="V927" s="38">
        <v>136.77000000000001</v>
      </c>
      <c r="W927" s="38">
        <v>121.42</v>
      </c>
      <c r="X927" s="38">
        <v>104.09</v>
      </c>
      <c r="Y927" s="38">
        <v>97.8</v>
      </c>
      <c r="Z927" s="38">
        <v>95.27</v>
      </c>
      <c r="AA927" s="38">
        <v>97.37</v>
      </c>
      <c r="AB927" s="38">
        <v>98.9</v>
      </c>
      <c r="AC927" s="38">
        <v>100.65</v>
      </c>
      <c r="AD927" s="38">
        <v>103.43</v>
      </c>
      <c r="AE927" s="38">
        <v>106.05</v>
      </c>
      <c r="AF927" s="38">
        <v>107.98</v>
      </c>
      <c r="AG927" s="38">
        <v>111.61</v>
      </c>
      <c r="AH927" s="38">
        <v>112.27</v>
      </c>
      <c r="AI927" s="38">
        <v>101.15</v>
      </c>
      <c r="AJ927" s="38">
        <v>89.93</v>
      </c>
      <c r="AK927" s="38">
        <v>85.87</v>
      </c>
      <c r="AL927" s="38">
        <v>80.47</v>
      </c>
      <c r="AM927" s="38">
        <v>77.59</v>
      </c>
      <c r="AN927" s="38">
        <v>74.69</v>
      </c>
      <c r="AO927" s="38">
        <v>77.64</v>
      </c>
      <c r="AP927" s="38">
        <v>85.09</v>
      </c>
      <c r="AQ927" s="38">
        <v>89.11</v>
      </c>
      <c r="AR927" s="38">
        <v>93.41</v>
      </c>
      <c r="AS927" s="38">
        <v>94.93</v>
      </c>
      <c r="AT927" s="38">
        <v>97.01</v>
      </c>
      <c r="AU927" s="38">
        <v>91.71</v>
      </c>
      <c r="AV927" s="38">
        <v>82.77</v>
      </c>
      <c r="AW927" s="38">
        <v>74.91</v>
      </c>
      <c r="AX927" s="38">
        <v>71.33</v>
      </c>
      <c r="AY927" s="38">
        <v>65.87</v>
      </c>
      <c r="BA927" s="37">
        <v>80.349999999999994</v>
      </c>
      <c r="BB927" s="38">
        <v>1.2997000000000001</v>
      </c>
    </row>
    <row r="928" spans="1:54" x14ac:dyDescent="0.35">
      <c r="A928" s="2">
        <f t="shared" si="14"/>
        <v>45120</v>
      </c>
      <c r="B928" t="s">
        <v>970</v>
      </c>
      <c r="C928" s="32">
        <v>45120</v>
      </c>
      <c r="D928" s="38">
        <v>64.459999999999994</v>
      </c>
      <c r="E928" s="38">
        <v>69.62</v>
      </c>
      <c r="F928" s="38">
        <v>79.42</v>
      </c>
      <c r="G928" s="38">
        <v>107.7</v>
      </c>
      <c r="H928" s="38">
        <v>124.5</v>
      </c>
      <c r="I928" s="38">
        <v>126.92</v>
      </c>
      <c r="J928" s="38">
        <v>126.96</v>
      </c>
      <c r="K928" s="38">
        <v>121.34</v>
      </c>
      <c r="L928" s="38">
        <v>118.92</v>
      </c>
      <c r="M928" s="38">
        <v>117.73</v>
      </c>
      <c r="N928" s="38">
        <v>114.51</v>
      </c>
      <c r="O928" s="38">
        <v>113.37</v>
      </c>
      <c r="P928" s="38">
        <v>115.47</v>
      </c>
      <c r="Q928" s="38">
        <v>120.64</v>
      </c>
      <c r="R928" s="38">
        <v>127.86</v>
      </c>
      <c r="S928" s="38">
        <v>131.38999999999999</v>
      </c>
      <c r="T928" s="38">
        <v>133.38999999999999</v>
      </c>
      <c r="U928" s="38">
        <v>139.86000000000001</v>
      </c>
      <c r="V928" s="38">
        <v>137.38999999999999</v>
      </c>
      <c r="W928" s="38">
        <v>122.04</v>
      </c>
      <c r="X928" s="38">
        <v>105.09</v>
      </c>
      <c r="Y928" s="38">
        <v>98.8</v>
      </c>
      <c r="Z928" s="38">
        <v>96.27</v>
      </c>
      <c r="AA928" s="38">
        <v>98.37</v>
      </c>
      <c r="AB928" s="38">
        <v>99.9</v>
      </c>
      <c r="AC928" s="38">
        <v>101.65</v>
      </c>
      <c r="AD928" s="38">
        <v>103.93</v>
      </c>
      <c r="AE928" s="38">
        <v>106.26</v>
      </c>
      <c r="AF928" s="38">
        <v>108.09</v>
      </c>
      <c r="AG928" s="38">
        <v>111.78</v>
      </c>
      <c r="AH928" s="38">
        <v>112.29</v>
      </c>
      <c r="AI928" s="38">
        <v>101.01</v>
      </c>
      <c r="AJ928" s="38">
        <v>88.85</v>
      </c>
      <c r="AK928" s="38">
        <v>84.58</v>
      </c>
      <c r="AL928" s="38">
        <v>79.03</v>
      </c>
      <c r="AM928" s="38">
        <v>75.989999999999995</v>
      </c>
      <c r="AN928" s="38">
        <v>72.95</v>
      </c>
      <c r="AO928" s="38">
        <v>75.77</v>
      </c>
      <c r="AP928" s="38">
        <v>83.42</v>
      </c>
      <c r="AQ928" s="38">
        <v>87.36</v>
      </c>
      <c r="AR928" s="38">
        <v>91.6</v>
      </c>
      <c r="AS928" s="38">
        <v>93.08</v>
      </c>
      <c r="AT928" s="38">
        <v>95.14</v>
      </c>
      <c r="AU928" s="38">
        <v>89.82</v>
      </c>
      <c r="AV928" s="38">
        <v>80.83</v>
      </c>
      <c r="AW928" s="38">
        <v>72.959999999999994</v>
      </c>
      <c r="AX928" s="38">
        <v>69.36</v>
      </c>
      <c r="AY928" s="38">
        <v>63.87</v>
      </c>
      <c r="BA928" s="37">
        <v>81.31</v>
      </c>
      <c r="BB928" s="38">
        <v>1.3113999999999999</v>
      </c>
    </row>
    <row r="929" spans="1:54" x14ac:dyDescent="0.35">
      <c r="A929" s="2">
        <f t="shared" si="14"/>
        <v>45121</v>
      </c>
      <c r="B929" t="s">
        <v>971</v>
      </c>
      <c r="C929" s="32">
        <v>45121</v>
      </c>
      <c r="D929" s="38">
        <v>63.39</v>
      </c>
      <c r="E929" s="38">
        <v>68.3</v>
      </c>
      <c r="F929" s="38">
        <v>80.95</v>
      </c>
      <c r="G929" s="38">
        <v>110.07</v>
      </c>
      <c r="H929" s="38">
        <v>127.05</v>
      </c>
      <c r="I929" s="38">
        <v>129.58000000000001</v>
      </c>
      <c r="J929" s="38">
        <v>129.33000000000001</v>
      </c>
      <c r="K929" s="38">
        <v>124.4</v>
      </c>
      <c r="L929" s="38">
        <v>121.45</v>
      </c>
      <c r="M929" s="38">
        <v>118.5</v>
      </c>
      <c r="N929" s="38">
        <v>117.35</v>
      </c>
      <c r="O929" s="38">
        <v>116.28</v>
      </c>
      <c r="P929" s="38">
        <v>117.6</v>
      </c>
      <c r="Q929" s="38">
        <v>120.55</v>
      </c>
      <c r="R929" s="38">
        <v>127.65</v>
      </c>
      <c r="S929" s="38">
        <v>132.56</v>
      </c>
      <c r="T929" s="38">
        <v>135.6</v>
      </c>
      <c r="U929" s="38">
        <v>142.01</v>
      </c>
      <c r="V929" s="38">
        <v>139.54</v>
      </c>
      <c r="W929" s="38">
        <v>124.19</v>
      </c>
      <c r="X929" s="38">
        <v>107</v>
      </c>
      <c r="Y929" s="38">
        <v>100.39</v>
      </c>
      <c r="Z929" s="38">
        <v>97.77</v>
      </c>
      <c r="AA929" s="38">
        <v>99.79</v>
      </c>
      <c r="AB929" s="38">
        <v>101.24</v>
      </c>
      <c r="AC929" s="38">
        <v>102.92</v>
      </c>
      <c r="AD929" s="38">
        <v>105.86</v>
      </c>
      <c r="AE929" s="38">
        <v>108.81</v>
      </c>
      <c r="AF929" s="38">
        <v>111.14</v>
      </c>
      <c r="AG929" s="38">
        <v>114.16</v>
      </c>
      <c r="AH929" s="38">
        <v>114.51</v>
      </c>
      <c r="AI929" s="38">
        <v>102.98</v>
      </c>
      <c r="AJ929" s="38">
        <v>92.58</v>
      </c>
      <c r="AK929" s="38">
        <v>87.82</v>
      </c>
      <c r="AL929" s="38">
        <v>81.819999999999993</v>
      </c>
      <c r="AM929" s="38">
        <v>78.290000000000006</v>
      </c>
      <c r="AN929" s="38">
        <v>74.72</v>
      </c>
      <c r="AO929" s="38">
        <v>76.94</v>
      </c>
      <c r="AP929" s="38">
        <v>84.02</v>
      </c>
      <c r="AQ929" s="38">
        <v>90.58</v>
      </c>
      <c r="AR929" s="38">
        <v>95.13</v>
      </c>
      <c r="AS929" s="38">
        <v>95.64</v>
      </c>
      <c r="AT929" s="38">
        <v>97.7</v>
      </c>
      <c r="AU929" s="38">
        <v>92.38</v>
      </c>
      <c r="AV929" s="38">
        <v>84.49</v>
      </c>
      <c r="AW929" s="38">
        <v>75.97</v>
      </c>
      <c r="AX929" s="38">
        <v>71.91</v>
      </c>
      <c r="AY929" s="38">
        <v>66.069999999999993</v>
      </c>
      <c r="BA929" s="37">
        <v>79.900000000000006</v>
      </c>
      <c r="BB929" s="38">
        <v>1.3116000000000001</v>
      </c>
    </row>
    <row r="930" spans="1:54" x14ac:dyDescent="0.35">
      <c r="A930" s="2">
        <f t="shared" si="14"/>
        <v>45124</v>
      </c>
      <c r="B930" t="s">
        <v>972</v>
      </c>
      <c r="C930" s="32">
        <v>45124</v>
      </c>
      <c r="D930" s="38">
        <v>61.59</v>
      </c>
      <c r="E930" s="38">
        <v>66.38</v>
      </c>
      <c r="F930" s="38">
        <v>79.28</v>
      </c>
      <c r="G930" s="38">
        <v>108.5</v>
      </c>
      <c r="H930" s="38">
        <v>126.02</v>
      </c>
      <c r="I930" s="38">
        <v>128.4</v>
      </c>
      <c r="J930" s="38">
        <v>128.4</v>
      </c>
      <c r="K930" s="38">
        <v>122.9</v>
      </c>
      <c r="L930" s="38">
        <v>121.11</v>
      </c>
      <c r="M930" s="38">
        <v>118.25</v>
      </c>
      <c r="N930" s="38">
        <v>117.09</v>
      </c>
      <c r="O930" s="38">
        <v>116</v>
      </c>
      <c r="P930" s="38">
        <v>117.31</v>
      </c>
      <c r="Q930" s="38">
        <v>120.25</v>
      </c>
      <c r="R930" s="38">
        <v>126.96</v>
      </c>
      <c r="S930" s="38">
        <v>131.87</v>
      </c>
      <c r="T930" s="38">
        <v>134.91</v>
      </c>
      <c r="U930" s="38">
        <v>141.49</v>
      </c>
      <c r="V930" s="38">
        <v>139.02000000000001</v>
      </c>
      <c r="W930" s="38">
        <v>123.67</v>
      </c>
      <c r="X930" s="38">
        <v>107.24</v>
      </c>
      <c r="Y930" s="38">
        <v>100.63</v>
      </c>
      <c r="Z930" s="38">
        <v>98.01</v>
      </c>
      <c r="AA930" s="38">
        <v>100.03</v>
      </c>
      <c r="AB930" s="38">
        <v>101.48</v>
      </c>
      <c r="AC930" s="38">
        <v>103.16</v>
      </c>
      <c r="AD930" s="38">
        <v>107.22</v>
      </c>
      <c r="AE930" s="38">
        <v>110.17</v>
      </c>
      <c r="AF930" s="38">
        <v>112.5</v>
      </c>
      <c r="AG930" s="38">
        <v>114.42</v>
      </c>
      <c r="AH930" s="38">
        <v>114.77</v>
      </c>
      <c r="AI930" s="38">
        <v>103.25</v>
      </c>
      <c r="AJ930" s="38">
        <v>93.01</v>
      </c>
      <c r="AK930" s="38">
        <v>88.25</v>
      </c>
      <c r="AL930" s="38">
        <v>82.24</v>
      </c>
      <c r="AM930" s="38">
        <v>78.72</v>
      </c>
      <c r="AN930" s="38">
        <v>75.150000000000006</v>
      </c>
      <c r="AO930" s="38">
        <v>77.36</v>
      </c>
      <c r="AP930" s="38">
        <v>84.45</v>
      </c>
      <c r="AQ930" s="38">
        <v>91.01</v>
      </c>
      <c r="AR930" s="38">
        <v>95.56</v>
      </c>
      <c r="AS930" s="38">
        <v>95.66</v>
      </c>
      <c r="AT930" s="38">
        <v>97.72</v>
      </c>
      <c r="AU930" s="38">
        <v>92.4</v>
      </c>
      <c r="AV930" s="38">
        <v>84.51</v>
      </c>
      <c r="AW930" s="38">
        <v>75.989999999999995</v>
      </c>
      <c r="AX930" s="38">
        <v>71.930000000000007</v>
      </c>
      <c r="AY930" s="38">
        <v>66.09</v>
      </c>
      <c r="BA930" s="37">
        <v>77.8</v>
      </c>
      <c r="BB930" s="38">
        <v>1.3082</v>
      </c>
    </row>
    <row r="931" spans="1:54" x14ac:dyDescent="0.35">
      <c r="A931" s="2">
        <f t="shared" si="14"/>
        <v>45125</v>
      </c>
      <c r="B931" t="s">
        <v>973</v>
      </c>
      <c r="C931" s="32">
        <v>45125</v>
      </c>
      <c r="D931" s="38">
        <v>66.69</v>
      </c>
      <c r="E931" s="38">
        <v>71.39</v>
      </c>
      <c r="F931" s="38">
        <v>84.79</v>
      </c>
      <c r="G931" s="38">
        <v>114.39</v>
      </c>
      <c r="H931" s="38">
        <v>132.75</v>
      </c>
      <c r="I931" s="38">
        <v>134.94999999999999</v>
      </c>
      <c r="J931" s="38">
        <v>135.35</v>
      </c>
      <c r="K931" s="38">
        <v>129.63999999999999</v>
      </c>
      <c r="L931" s="38">
        <v>127.64</v>
      </c>
      <c r="M931" s="38">
        <v>124.72</v>
      </c>
      <c r="N931" s="38">
        <v>123.51</v>
      </c>
      <c r="O931" s="38">
        <v>122.4</v>
      </c>
      <c r="P931" s="38">
        <v>122.97</v>
      </c>
      <c r="Q931" s="38">
        <v>125.87</v>
      </c>
      <c r="R931" s="38">
        <v>132.27000000000001</v>
      </c>
      <c r="S931" s="38">
        <v>137.13999999999999</v>
      </c>
      <c r="T931" s="38">
        <v>140.16</v>
      </c>
      <c r="U931" s="38">
        <v>146.41999999999999</v>
      </c>
      <c r="V931" s="38">
        <v>143.94999999999999</v>
      </c>
      <c r="W931" s="38">
        <v>128.6</v>
      </c>
      <c r="X931" s="38">
        <v>111.37</v>
      </c>
      <c r="Y931" s="38">
        <v>104.76</v>
      </c>
      <c r="Z931" s="38">
        <v>102.14</v>
      </c>
      <c r="AA931" s="38">
        <v>104.16</v>
      </c>
      <c r="AB931" s="38">
        <v>105.61</v>
      </c>
      <c r="AC931" s="38">
        <v>107.29</v>
      </c>
      <c r="AD931" s="38">
        <v>111.25</v>
      </c>
      <c r="AE931" s="38">
        <v>114.2</v>
      </c>
      <c r="AF931" s="38">
        <v>116.53</v>
      </c>
      <c r="AG931" s="38">
        <v>118.2</v>
      </c>
      <c r="AH931" s="38">
        <v>118.55</v>
      </c>
      <c r="AI931" s="38">
        <v>107.03</v>
      </c>
      <c r="AJ931" s="38">
        <v>95.32</v>
      </c>
      <c r="AK931" s="38">
        <v>90.56</v>
      </c>
      <c r="AL931" s="38">
        <v>84.55</v>
      </c>
      <c r="AM931" s="38">
        <v>81.03</v>
      </c>
      <c r="AN931" s="38">
        <v>77.459999999999994</v>
      </c>
      <c r="AO931" s="38">
        <v>79.67</v>
      </c>
      <c r="AP931" s="38">
        <v>86.4</v>
      </c>
      <c r="AQ931" s="38">
        <v>92.96</v>
      </c>
      <c r="AR931" s="38">
        <v>97.51</v>
      </c>
      <c r="AS931" s="38">
        <v>98.65</v>
      </c>
      <c r="AT931" s="38">
        <v>100.71</v>
      </c>
      <c r="AU931" s="38">
        <v>95.39</v>
      </c>
      <c r="AV931" s="38">
        <v>86.76</v>
      </c>
      <c r="AW931" s="38">
        <v>78.239999999999995</v>
      </c>
      <c r="AX931" s="38">
        <v>74.180000000000007</v>
      </c>
      <c r="AY931" s="38">
        <v>68.34</v>
      </c>
      <c r="BA931" s="37">
        <v>79.540000000000006</v>
      </c>
      <c r="BB931" s="38">
        <v>1.3081</v>
      </c>
    </row>
    <row r="932" spans="1:54" x14ac:dyDescent="0.35">
      <c r="A932" s="2">
        <f t="shared" si="14"/>
        <v>45126</v>
      </c>
      <c r="B932" t="s">
        <v>974</v>
      </c>
      <c r="C932" s="32">
        <v>45126</v>
      </c>
      <c r="D932" s="38">
        <v>67.87</v>
      </c>
      <c r="E932" s="38">
        <v>72.42</v>
      </c>
      <c r="F932" s="38">
        <v>85.83</v>
      </c>
      <c r="G932" s="38">
        <v>116.64</v>
      </c>
      <c r="H932" s="38">
        <v>137.38999999999999</v>
      </c>
      <c r="I932" s="38">
        <v>139.9</v>
      </c>
      <c r="J932" s="38">
        <v>140.30000000000001</v>
      </c>
      <c r="K932" s="38">
        <v>134.69</v>
      </c>
      <c r="L932" s="38">
        <v>131.38999999999999</v>
      </c>
      <c r="M932" s="38">
        <v>129.54</v>
      </c>
      <c r="N932" s="38">
        <v>127.29</v>
      </c>
      <c r="O932" s="38">
        <v>126.81</v>
      </c>
      <c r="P932" s="38">
        <v>127.38</v>
      </c>
      <c r="Q932" s="38">
        <v>130.58000000000001</v>
      </c>
      <c r="R932" s="38">
        <v>136.97999999999999</v>
      </c>
      <c r="S932" s="38">
        <v>141.84</v>
      </c>
      <c r="T932" s="38">
        <v>144.79</v>
      </c>
      <c r="U932" s="38">
        <v>150.72999999999999</v>
      </c>
      <c r="V932" s="38">
        <v>148.26</v>
      </c>
      <c r="W932" s="38">
        <v>132.91</v>
      </c>
      <c r="X932" s="38">
        <v>115.49</v>
      </c>
      <c r="Y932" s="38">
        <v>108.88</v>
      </c>
      <c r="Z932" s="38">
        <v>106.26</v>
      </c>
      <c r="AA932" s="38">
        <v>108.28</v>
      </c>
      <c r="AB932" s="38">
        <v>109.73</v>
      </c>
      <c r="AC932" s="38">
        <v>111.41</v>
      </c>
      <c r="AD932" s="38">
        <v>115.23</v>
      </c>
      <c r="AE932" s="38">
        <v>118.19</v>
      </c>
      <c r="AF932" s="38">
        <v>120.52</v>
      </c>
      <c r="AG932" s="38">
        <v>122.19</v>
      </c>
      <c r="AH932" s="38">
        <v>122.54</v>
      </c>
      <c r="AI932" s="38">
        <v>111.02</v>
      </c>
      <c r="AJ932" s="38">
        <v>98.99</v>
      </c>
      <c r="AK932" s="38">
        <v>94.23</v>
      </c>
      <c r="AL932" s="38">
        <v>88.22</v>
      </c>
      <c r="AM932" s="38">
        <v>84.7</v>
      </c>
      <c r="AN932" s="38">
        <v>81.13</v>
      </c>
      <c r="AO932" s="38">
        <v>83.35</v>
      </c>
      <c r="AP932" s="38">
        <v>90.08</v>
      </c>
      <c r="AQ932" s="38">
        <v>96.64</v>
      </c>
      <c r="AR932" s="38">
        <v>101.19</v>
      </c>
      <c r="AS932" s="38">
        <v>102.33</v>
      </c>
      <c r="AT932" s="38">
        <v>104.39</v>
      </c>
      <c r="AU932" s="38">
        <v>99.07</v>
      </c>
      <c r="AV932" s="38">
        <v>90.44</v>
      </c>
      <c r="AW932" s="38">
        <v>81.92</v>
      </c>
      <c r="AX932" s="38">
        <v>77.86</v>
      </c>
      <c r="AY932" s="38">
        <v>72.02</v>
      </c>
      <c r="BA932" s="37">
        <v>79.38</v>
      </c>
      <c r="BB932" s="38">
        <v>1.2885</v>
      </c>
    </row>
    <row r="933" spans="1:54" x14ac:dyDescent="0.35">
      <c r="A933" s="2">
        <f t="shared" si="14"/>
        <v>45127</v>
      </c>
      <c r="B933" t="s">
        <v>975</v>
      </c>
      <c r="C933" s="32">
        <v>45127</v>
      </c>
      <c r="D933" s="38">
        <v>70.36</v>
      </c>
      <c r="E933" s="38">
        <v>73.84</v>
      </c>
      <c r="F933" s="38">
        <v>87.42</v>
      </c>
      <c r="G933" s="38">
        <v>118.33</v>
      </c>
      <c r="H933" s="38">
        <v>138.36000000000001</v>
      </c>
      <c r="I933" s="38">
        <v>141.87</v>
      </c>
      <c r="J933" s="38">
        <v>142.54</v>
      </c>
      <c r="K933" s="38">
        <v>137.61000000000001</v>
      </c>
      <c r="L933" s="38">
        <v>134.36000000000001</v>
      </c>
      <c r="M933" s="38">
        <v>131.96</v>
      </c>
      <c r="N933" s="38">
        <v>130.31</v>
      </c>
      <c r="O933" s="38">
        <v>130.31</v>
      </c>
      <c r="P933" s="38">
        <v>130.41</v>
      </c>
      <c r="Q933" s="38">
        <v>133.41</v>
      </c>
      <c r="R933" s="38">
        <v>139.81</v>
      </c>
      <c r="S933" s="38">
        <v>144.66999999999999</v>
      </c>
      <c r="T933" s="38">
        <v>147.62</v>
      </c>
      <c r="U933" s="38">
        <v>153.66</v>
      </c>
      <c r="V933" s="38">
        <v>151.19999999999999</v>
      </c>
      <c r="W933" s="38">
        <v>135.85</v>
      </c>
      <c r="X933" s="38">
        <v>116.88</v>
      </c>
      <c r="Y933" s="38">
        <v>110.27</v>
      </c>
      <c r="Z933" s="38">
        <v>107.65</v>
      </c>
      <c r="AA933" s="38">
        <v>109.67</v>
      </c>
      <c r="AB933" s="38">
        <v>111.12</v>
      </c>
      <c r="AC933" s="38">
        <v>112.8</v>
      </c>
      <c r="AD933" s="38">
        <v>116.6</v>
      </c>
      <c r="AE933" s="38">
        <v>119.56</v>
      </c>
      <c r="AF933" s="38">
        <v>121.89</v>
      </c>
      <c r="AG933" s="38">
        <v>123.43</v>
      </c>
      <c r="AH933" s="38">
        <v>123.78</v>
      </c>
      <c r="AI933" s="38">
        <v>111.59</v>
      </c>
      <c r="AJ933" s="38">
        <v>100.58</v>
      </c>
      <c r="AK933" s="38">
        <v>95.82</v>
      </c>
      <c r="AL933" s="38">
        <v>89.81</v>
      </c>
      <c r="AM933" s="38">
        <v>86.29</v>
      </c>
      <c r="AN933" s="38">
        <v>82.72</v>
      </c>
      <c r="AO933" s="38">
        <v>84.94</v>
      </c>
      <c r="AP933" s="38">
        <v>91.67</v>
      </c>
      <c r="AQ933" s="38">
        <v>98.23</v>
      </c>
      <c r="AR933" s="38">
        <v>102.78</v>
      </c>
      <c r="AS933" s="38">
        <v>103.92</v>
      </c>
      <c r="AT933" s="38">
        <v>105.98</v>
      </c>
      <c r="AU933" s="38">
        <v>100.66</v>
      </c>
      <c r="AV933" s="38">
        <v>91.72</v>
      </c>
      <c r="AW933" s="38">
        <v>83.32</v>
      </c>
      <c r="AX933" s="38">
        <v>79.36</v>
      </c>
      <c r="AY933" s="38">
        <v>73.61</v>
      </c>
      <c r="BA933" s="37">
        <v>79.62</v>
      </c>
      <c r="BB933" s="38">
        <v>1.2850999999999999</v>
      </c>
    </row>
    <row r="934" spans="1:54" x14ac:dyDescent="0.35">
      <c r="A934" s="2">
        <f t="shared" si="14"/>
        <v>45128</v>
      </c>
      <c r="B934" t="s">
        <v>976</v>
      </c>
      <c r="C934" s="32">
        <v>45128</v>
      </c>
      <c r="D934" s="38">
        <v>70.819999999999993</v>
      </c>
      <c r="E934" s="38">
        <v>74.09</v>
      </c>
      <c r="F934" s="38">
        <v>86.33</v>
      </c>
      <c r="G934" s="38">
        <v>116.18</v>
      </c>
      <c r="H934" s="38">
        <v>136.77000000000001</v>
      </c>
      <c r="I934" s="38">
        <v>140.5</v>
      </c>
      <c r="J934" s="38">
        <v>140.54</v>
      </c>
      <c r="K934" s="38">
        <v>135.49</v>
      </c>
      <c r="L934" s="38">
        <v>132.38999999999999</v>
      </c>
      <c r="M934" s="38">
        <v>130.5</v>
      </c>
      <c r="N934" s="38">
        <v>127.95</v>
      </c>
      <c r="O934" s="38">
        <v>127.92</v>
      </c>
      <c r="P934" s="38">
        <v>127.92</v>
      </c>
      <c r="Q934" s="38">
        <v>130.91999999999999</v>
      </c>
      <c r="R934" s="38">
        <v>137.32</v>
      </c>
      <c r="S934" s="38">
        <v>142.18</v>
      </c>
      <c r="T934" s="38">
        <v>145.13</v>
      </c>
      <c r="U934" s="38">
        <v>151.13</v>
      </c>
      <c r="V934" s="38">
        <v>148.66999999999999</v>
      </c>
      <c r="W934" s="38">
        <v>133.32</v>
      </c>
      <c r="X934" s="38">
        <v>115.82</v>
      </c>
      <c r="Y934" s="38">
        <v>109.32</v>
      </c>
      <c r="Z934" s="38">
        <v>106.7</v>
      </c>
      <c r="AA934" s="38">
        <v>108.72</v>
      </c>
      <c r="AB934" s="38">
        <v>110.17</v>
      </c>
      <c r="AC934" s="38">
        <v>111.85</v>
      </c>
      <c r="AD934" s="38">
        <v>116.1</v>
      </c>
      <c r="AE934" s="38">
        <v>119.06</v>
      </c>
      <c r="AF934" s="38">
        <v>121.39</v>
      </c>
      <c r="AG934" s="38">
        <v>122.93</v>
      </c>
      <c r="AH934" s="38">
        <v>123.28</v>
      </c>
      <c r="AI934" s="38">
        <v>111.09</v>
      </c>
      <c r="AJ934" s="38">
        <v>100.09</v>
      </c>
      <c r="AK934" s="38">
        <v>95.32</v>
      </c>
      <c r="AL934" s="38">
        <v>89.31</v>
      </c>
      <c r="AM934" s="38">
        <v>85.79</v>
      </c>
      <c r="AN934" s="38">
        <v>82.22</v>
      </c>
      <c r="AO934" s="38">
        <v>84.44</v>
      </c>
      <c r="AP934" s="38">
        <v>91.17</v>
      </c>
      <c r="AQ934" s="38">
        <v>97.73</v>
      </c>
      <c r="AR934" s="38">
        <v>102.28</v>
      </c>
      <c r="AS934" s="38">
        <v>103.42</v>
      </c>
      <c r="AT934" s="38">
        <v>105.48</v>
      </c>
      <c r="AU934" s="38">
        <v>100.16</v>
      </c>
      <c r="AV934" s="38">
        <v>91.16</v>
      </c>
      <c r="AW934" s="38">
        <v>82.76</v>
      </c>
      <c r="AX934" s="38">
        <v>78.8</v>
      </c>
      <c r="AY934" s="38">
        <v>73.05</v>
      </c>
      <c r="BA934" s="37">
        <v>81.06</v>
      </c>
      <c r="BB934" s="38">
        <v>1.2845</v>
      </c>
    </row>
    <row r="935" spans="1:54" x14ac:dyDescent="0.35">
      <c r="A935" s="2">
        <f t="shared" si="14"/>
        <v>45131</v>
      </c>
      <c r="B935" t="s">
        <v>977</v>
      </c>
      <c r="C935" s="32">
        <v>45131</v>
      </c>
      <c r="D935" s="38">
        <v>76.83</v>
      </c>
      <c r="E935" s="38">
        <v>80.02</v>
      </c>
      <c r="F935" s="38">
        <v>90.03</v>
      </c>
      <c r="G935" s="38">
        <v>119.32</v>
      </c>
      <c r="H935" s="38">
        <v>140.24</v>
      </c>
      <c r="I935" s="38">
        <v>143.9</v>
      </c>
      <c r="J935" s="38">
        <v>143.5</v>
      </c>
      <c r="K935" s="38">
        <v>138.5</v>
      </c>
      <c r="L935" s="38">
        <v>135.44</v>
      </c>
      <c r="M935" s="38">
        <v>133.30000000000001</v>
      </c>
      <c r="N935" s="38">
        <v>130.56</v>
      </c>
      <c r="O935" s="38">
        <v>130.76</v>
      </c>
      <c r="P935" s="38">
        <v>131.09</v>
      </c>
      <c r="Q935" s="38">
        <v>134.09</v>
      </c>
      <c r="R935" s="38">
        <v>140.77000000000001</v>
      </c>
      <c r="S935" s="38">
        <v>145.84</v>
      </c>
      <c r="T935" s="38">
        <v>148.79</v>
      </c>
      <c r="U935" s="38">
        <v>154.71</v>
      </c>
      <c r="V935" s="38">
        <v>152.25</v>
      </c>
      <c r="W935" s="38">
        <v>136.9</v>
      </c>
      <c r="X935" s="38">
        <v>118.42</v>
      </c>
      <c r="Y935" s="38">
        <v>111.61</v>
      </c>
      <c r="Z935" s="38">
        <v>108.98</v>
      </c>
      <c r="AA935" s="38">
        <v>110.99</v>
      </c>
      <c r="AB935" s="38">
        <v>112.43</v>
      </c>
      <c r="AC935" s="38">
        <v>114.11</v>
      </c>
      <c r="AD935" s="38">
        <v>118.73</v>
      </c>
      <c r="AE935" s="38">
        <v>121.7</v>
      </c>
      <c r="AF935" s="38">
        <v>124.03</v>
      </c>
      <c r="AG935" s="38">
        <v>125.43</v>
      </c>
      <c r="AH935" s="38">
        <v>125.8</v>
      </c>
      <c r="AI935" s="38">
        <v>113.59</v>
      </c>
      <c r="AJ935" s="38">
        <v>102.48</v>
      </c>
      <c r="AK935" s="38">
        <v>97.71</v>
      </c>
      <c r="AL935" s="38">
        <v>91.7</v>
      </c>
      <c r="AM935" s="38">
        <v>88.18</v>
      </c>
      <c r="AN935" s="38">
        <v>84.6</v>
      </c>
      <c r="AO935" s="38">
        <v>86.82</v>
      </c>
      <c r="AP935" s="38">
        <v>93.37</v>
      </c>
      <c r="AQ935" s="38">
        <v>99.93</v>
      </c>
      <c r="AR935" s="38">
        <v>104.48</v>
      </c>
      <c r="AS935" s="38">
        <v>105.45</v>
      </c>
      <c r="AT935" s="38">
        <v>107.51</v>
      </c>
      <c r="AU935" s="38">
        <v>101.51</v>
      </c>
      <c r="AV935" s="38">
        <v>92.06</v>
      </c>
      <c r="AW935" s="38">
        <v>83.44</v>
      </c>
      <c r="AX935" s="38">
        <v>79.47</v>
      </c>
      <c r="AY935" s="38">
        <v>73.72</v>
      </c>
      <c r="BA935" s="37">
        <v>82.53</v>
      </c>
      <c r="BB935" s="38">
        <v>1.2817000000000001</v>
      </c>
    </row>
    <row r="936" spans="1:54" x14ac:dyDescent="0.35">
      <c r="A936" s="2">
        <f t="shared" si="14"/>
        <v>45132</v>
      </c>
      <c r="B936" t="s">
        <v>978</v>
      </c>
      <c r="C936" s="32">
        <v>45132</v>
      </c>
      <c r="D936" s="38">
        <v>81.39</v>
      </c>
      <c r="E936" s="38">
        <v>85.16</v>
      </c>
      <c r="F936" s="38">
        <v>94.1</v>
      </c>
      <c r="G936" s="38">
        <v>121.62</v>
      </c>
      <c r="H936" s="38">
        <v>142.21</v>
      </c>
      <c r="I936" s="38">
        <v>146.08000000000001</v>
      </c>
      <c r="J936" s="38">
        <v>146.18</v>
      </c>
      <c r="K936" s="38">
        <v>141.18</v>
      </c>
      <c r="L936" s="38">
        <v>137.82</v>
      </c>
      <c r="M936" s="38">
        <v>135.59</v>
      </c>
      <c r="N936" s="38">
        <v>132.85</v>
      </c>
      <c r="O936" s="38">
        <v>132.96</v>
      </c>
      <c r="P936" s="38">
        <v>133.29</v>
      </c>
      <c r="Q936" s="38">
        <v>136.62</v>
      </c>
      <c r="R936" s="38">
        <v>142.05000000000001</v>
      </c>
      <c r="S936" s="38">
        <v>148.24</v>
      </c>
      <c r="T936" s="38">
        <v>151.15</v>
      </c>
      <c r="U936" s="38">
        <v>155.88</v>
      </c>
      <c r="V936" s="38">
        <v>152.36000000000001</v>
      </c>
      <c r="W936" s="38">
        <v>138.61000000000001</v>
      </c>
      <c r="X936" s="38">
        <v>119.35</v>
      </c>
      <c r="Y936" s="38">
        <v>112.25</v>
      </c>
      <c r="Z936" s="38">
        <v>109.59</v>
      </c>
      <c r="AA936" s="38">
        <v>111.6</v>
      </c>
      <c r="AB936" s="38">
        <v>113.04</v>
      </c>
      <c r="AC936" s="38">
        <v>114.72</v>
      </c>
      <c r="AD936" s="38">
        <v>119.89</v>
      </c>
      <c r="AE936" s="38">
        <v>122.88</v>
      </c>
      <c r="AF936" s="38">
        <v>125.21</v>
      </c>
      <c r="AG936" s="38">
        <v>126.61</v>
      </c>
      <c r="AH936" s="38">
        <v>126.98</v>
      </c>
      <c r="AI936" s="38">
        <v>114.77</v>
      </c>
      <c r="AJ936" s="38">
        <v>103.71</v>
      </c>
      <c r="AK936" s="38">
        <v>98.94</v>
      </c>
      <c r="AL936" s="38">
        <v>92.92</v>
      </c>
      <c r="AM936" s="38">
        <v>89.4</v>
      </c>
      <c r="AN936" s="38">
        <v>85.83</v>
      </c>
      <c r="AO936" s="38">
        <v>88.05</v>
      </c>
      <c r="AP936" s="38">
        <v>94.6</v>
      </c>
      <c r="AQ936" s="38">
        <v>101.16</v>
      </c>
      <c r="AR936" s="38">
        <v>105.71</v>
      </c>
      <c r="AS936" s="38">
        <v>106.66</v>
      </c>
      <c r="AT936" s="38">
        <v>108.72</v>
      </c>
      <c r="AU936" s="38">
        <v>102.72</v>
      </c>
      <c r="AV936" s="38">
        <v>93.27</v>
      </c>
      <c r="AW936" s="38">
        <v>84.65</v>
      </c>
      <c r="AX936" s="38">
        <v>80.680000000000007</v>
      </c>
      <c r="AY936" s="38">
        <v>74.930000000000007</v>
      </c>
      <c r="BA936" s="37">
        <v>83.46</v>
      </c>
      <c r="BB936" s="38">
        <v>1.2856000000000001</v>
      </c>
    </row>
    <row r="937" spans="1:54" x14ac:dyDescent="0.35">
      <c r="A937" s="2">
        <f t="shared" si="14"/>
        <v>45133</v>
      </c>
      <c r="B937" t="s">
        <v>979</v>
      </c>
      <c r="C937" s="32">
        <v>45133</v>
      </c>
      <c r="D937" s="38">
        <v>73.239999999999995</v>
      </c>
      <c r="E937" s="38">
        <v>77.28</v>
      </c>
      <c r="F937" s="38">
        <v>86.83</v>
      </c>
      <c r="G937" s="38">
        <v>114.17</v>
      </c>
      <c r="H937" s="38">
        <v>135.16</v>
      </c>
      <c r="I937" s="38">
        <v>138.99</v>
      </c>
      <c r="J937" s="38">
        <v>139.05000000000001</v>
      </c>
      <c r="K937" s="38">
        <v>134.05000000000001</v>
      </c>
      <c r="L937" s="38">
        <v>130.72999999999999</v>
      </c>
      <c r="M937" s="38">
        <v>128.25</v>
      </c>
      <c r="N937" s="38">
        <v>125.48</v>
      </c>
      <c r="O937" s="38">
        <v>126.2</v>
      </c>
      <c r="P937" s="38">
        <v>126.52</v>
      </c>
      <c r="Q937" s="38">
        <v>129.85</v>
      </c>
      <c r="R937" s="38">
        <v>135.6</v>
      </c>
      <c r="S937" s="38">
        <v>142.35</v>
      </c>
      <c r="T937" s="38">
        <v>145.84</v>
      </c>
      <c r="U937" s="38">
        <v>151.01</v>
      </c>
      <c r="V937" s="38">
        <v>147.51</v>
      </c>
      <c r="W937" s="38">
        <v>135.35</v>
      </c>
      <c r="X937" s="38">
        <v>115.71</v>
      </c>
      <c r="Y937" s="38">
        <v>107.77</v>
      </c>
      <c r="Z937" s="38">
        <v>105.11</v>
      </c>
      <c r="AA937" s="38">
        <v>107.12</v>
      </c>
      <c r="AB937" s="38">
        <v>108.56</v>
      </c>
      <c r="AC937" s="38">
        <v>110.24</v>
      </c>
      <c r="AD937" s="38">
        <v>116</v>
      </c>
      <c r="AE937" s="38">
        <v>120.55</v>
      </c>
      <c r="AF937" s="38">
        <v>122.86</v>
      </c>
      <c r="AG937" s="38">
        <v>124.26</v>
      </c>
      <c r="AH937" s="38">
        <v>124.63</v>
      </c>
      <c r="AI937" s="38">
        <v>112.42</v>
      </c>
      <c r="AJ937" s="38">
        <v>101.14</v>
      </c>
      <c r="AK937" s="38">
        <v>96.37</v>
      </c>
      <c r="AL937" s="38">
        <v>90.35</v>
      </c>
      <c r="AM937" s="38">
        <v>86.83</v>
      </c>
      <c r="AN937" s="38">
        <v>83.26</v>
      </c>
      <c r="AO937" s="38">
        <v>85.48</v>
      </c>
      <c r="AP937" s="38">
        <v>91.87</v>
      </c>
      <c r="AQ937" s="38">
        <v>98.43</v>
      </c>
      <c r="AR937" s="38">
        <v>102.98</v>
      </c>
      <c r="AS937" s="38">
        <v>103.93</v>
      </c>
      <c r="AT937" s="38">
        <v>105.99</v>
      </c>
      <c r="AU937" s="38">
        <v>99.99</v>
      </c>
      <c r="AV937" s="38">
        <v>90.54</v>
      </c>
      <c r="AW937" s="38">
        <v>81.92</v>
      </c>
      <c r="AX937" s="38">
        <v>77.95</v>
      </c>
      <c r="AY937" s="38">
        <v>72.2</v>
      </c>
      <c r="BA937" s="37">
        <v>82.98</v>
      </c>
      <c r="BB937" s="38">
        <v>1.2923</v>
      </c>
    </row>
    <row r="938" spans="1:54" x14ac:dyDescent="0.35">
      <c r="A938" s="2">
        <f t="shared" si="14"/>
        <v>45134</v>
      </c>
      <c r="B938" t="s">
        <v>980</v>
      </c>
      <c r="C938" s="32">
        <v>45134</v>
      </c>
      <c r="D938" s="38">
        <v>70.02</v>
      </c>
      <c r="E938" s="38">
        <v>72.48</v>
      </c>
      <c r="F938" s="38">
        <v>84.73</v>
      </c>
      <c r="G938" s="38">
        <v>112.93</v>
      </c>
      <c r="H938" s="38">
        <v>133.29</v>
      </c>
      <c r="I938" s="38">
        <v>137.46</v>
      </c>
      <c r="J938" s="38">
        <v>137.88</v>
      </c>
      <c r="K938" s="38">
        <v>132.79</v>
      </c>
      <c r="L938" s="38">
        <v>130.79</v>
      </c>
      <c r="M938" s="38">
        <v>128.72999999999999</v>
      </c>
      <c r="N938" s="38">
        <v>125.14</v>
      </c>
      <c r="O938" s="38">
        <v>125.86</v>
      </c>
      <c r="P938" s="38">
        <v>126.39</v>
      </c>
      <c r="Q938" s="38">
        <v>129.62</v>
      </c>
      <c r="R938" s="38">
        <v>135.69</v>
      </c>
      <c r="S938" s="38">
        <v>142.41</v>
      </c>
      <c r="T938" s="38">
        <v>145.88999999999999</v>
      </c>
      <c r="U938" s="38">
        <v>151.07</v>
      </c>
      <c r="V938" s="38">
        <v>147.57</v>
      </c>
      <c r="W938" s="38">
        <v>136.57</v>
      </c>
      <c r="X938" s="38">
        <v>116.39</v>
      </c>
      <c r="Y938" s="38">
        <v>108.14</v>
      </c>
      <c r="Z938" s="38">
        <v>105.48</v>
      </c>
      <c r="AA938" s="38">
        <v>107.49</v>
      </c>
      <c r="AB938" s="38">
        <v>108.93</v>
      </c>
      <c r="AC938" s="38">
        <v>110.61</v>
      </c>
      <c r="AD938" s="38">
        <v>115.77</v>
      </c>
      <c r="AE938" s="38">
        <v>120.2</v>
      </c>
      <c r="AF938" s="38">
        <v>122.52</v>
      </c>
      <c r="AG938" s="38">
        <v>123.94</v>
      </c>
      <c r="AH938" s="38">
        <v>124.31</v>
      </c>
      <c r="AI938" s="38">
        <v>112.1</v>
      </c>
      <c r="AJ938" s="38">
        <v>101.63</v>
      </c>
      <c r="AK938" s="38">
        <v>96.86</v>
      </c>
      <c r="AL938" s="38">
        <v>90.84</v>
      </c>
      <c r="AM938" s="38">
        <v>87.32</v>
      </c>
      <c r="AN938" s="38">
        <v>83.75</v>
      </c>
      <c r="AO938" s="38">
        <v>85.97</v>
      </c>
      <c r="AP938" s="38">
        <v>92.32</v>
      </c>
      <c r="AQ938" s="38">
        <v>98.88</v>
      </c>
      <c r="AR938" s="38">
        <v>103.43</v>
      </c>
      <c r="AS938" s="38">
        <v>104.43</v>
      </c>
      <c r="AT938" s="38">
        <v>106.49</v>
      </c>
      <c r="AU938" s="38">
        <v>100.47</v>
      </c>
      <c r="AV938" s="38">
        <v>90.45</v>
      </c>
      <c r="AW938" s="38">
        <v>81.7</v>
      </c>
      <c r="AX938" s="38">
        <v>77.73</v>
      </c>
      <c r="AY938" s="38">
        <v>71.98</v>
      </c>
      <c r="BA938" s="37">
        <v>84.28</v>
      </c>
      <c r="BB938" s="38">
        <v>1.2848999999999999</v>
      </c>
    </row>
    <row r="939" spans="1:54" x14ac:dyDescent="0.35">
      <c r="A939" s="2">
        <f t="shared" si="14"/>
        <v>45135</v>
      </c>
      <c r="B939" t="s">
        <v>981</v>
      </c>
      <c r="C939" s="32">
        <v>45135</v>
      </c>
      <c r="D939" s="38">
        <v>63.66</v>
      </c>
      <c r="E939" s="38">
        <v>67.73</v>
      </c>
      <c r="F939" s="38">
        <v>79.959999999999994</v>
      </c>
      <c r="G939" s="38">
        <v>106.89</v>
      </c>
      <c r="H939" s="38">
        <v>126.9</v>
      </c>
      <c r="I939" s="38">
        <v>131.6</v>
      </c>
      <c r="J939" s="38">
        <v>132.26</v>
      </c>
      <c r="K939" s="38">
        <v>127.92</v>
      </c>
      <c r="L939" s="38">
        <v>126.87</v>
      </c>
      <c r="M939" s="38">
        <v>124.78</v>
      </c>
      <c r="N939" s="38">
        <v>121.17</v>
      </c>
      <c r="O939" s="38">
        <v>122.17</v>
      </c>
      <c r="P939" s="38">
        <v>123.08</v>
      </c>
      <c r="Q939" s="38">
        <v>126.42</v>
      </c>
      <c r="R939" s="38">
        <v>132.16999999999999</v>
      </c>
      <c r="S939" s="38">
        <v>138.65</v>
      </c>
      <c r="T939" s="38">
        <v>142.13</v>
      </c>
      <c r="U939" s="38">
        <v>147.22999999999999</v>
      </c>
      <c r="V939" s="38">
        <v>143.72999999999999</v>
      </c>
      <c r="W939" s="38">
        <v>132.72999999999999</v>
      </c>
      <c r="X939" s="38">
        <v>114.4</v>
      </c>
      <c r="Y939" s="38">
        <v>106.15</v>
      </c>
      <c r="Z939" s="38">
        <v>103.49</v>
      </c>
      <c r="AA939" s="38">
        <v>105.5</v>
      </c>
      <c r="AB939" s="38">
        <v>106.94</v>
      </c>
      <c r="AC939" s="38">
        <v>108.62</v>
      </c>
      <c r="AD939" s="38">
        <v>113.27</v>
      </c>
      <c r="AE939" s="38">
        <v>117.7</v>
      </c>
      <c r="AF939" s="38">
        <v>120.02</v>
      </c>
      <c r="AG939" s="38">
        <v>121.44</v>
      </c>
      <c r="AH939" s="38">
        <v>121.81</v>
      </c>
      <c r="AI939" s="38">
        <v>109.6</v>
      </c>
      <c r="AJ939" s="38">
        <v>99.55</v>
      </c>
      <c r="AK939" s="38">
        <v>94.78</v>
      </c>
      <c r="AL939" s="38">
        <v>88.76</v>
      </c>
      <c r="AM939" s="38">
        <v>85.24</v>
      </c>
      <c r="AN939" s="38">
        <v>81.67</v>
      </c>
      <c r="AO939" s="38">
        <v>83.89</v>
      </c>
      <c r="AP939" s="38">
        <v>90.24</v>
      </c>
      <c r="AQ939" s="38">
        <v>96.8</v>
      </c>
      <c r="AR939" s="38">
        <v>101.35</v>
      </c>
      <c r="AS939" s="38">
        <v>102.35</v>
      </c>
      <c r="AT939" s="38">
        <v>104.41</v>
      </c>
      <c r="AU939" s="38">
        <v>98.39</v>
      </c>
      <c r="AV939" s="38">
        <v>88.37</v>
      </c>
      <c r="AW939" s="38">
        <v>79.62</v>
      </c>
      <c r="AX939" s="38">
        <v>75.650000000000006</v>
      </c>
      <c r="AY939" s="38">
        <v>69.900000000000006</v>
      </c>
      <c r="BA939" s="37">
        <v>84.49</v>
      </c>
      <c r="BB939" s="38">
        <v>1.2864</v>
      </c>
    </row>
    <row r="940" spans="1:54" x14ac:dyDescent="0.35">
      <c r="A940" s="2">
        <f t="shared" si="14"/>
        <v>45138</v>
      </c>
      <c r="B940" t="s">
        <v>982</v>
      </c>
      <c r="C940" s="32">
        <v>45138</v>
      </c>
      <c r="D940" s="38">
        <v>70.75</v>
      </c>
      <c r="E940" s="38">
        <v>82.53</v>
      </c>
      <c r="F940" s="38">
        <v>109.33</v>
      </c>
      <c r="G940" s="38">
        <v>130.47999999999999</v>
      </c>
      <c r="H940" s="38">
        <v>134.88</v>
      </c>
      <c r="I940" s="38">
        <v>135.44</v>
      </c>
      <c r="J940" s="38">
        <v>130.9</v>
      </c>
      <c r="K940" s="38">
        <v>129.24</v>
      </c>
      <c r="L940" s="38">
        <v>126.94</v>
      </c>
      <c r="M940" s="38">
        <v>123.26</v>
      </c>
      <c r="N940" s="38">
        <v>124.22</v>
      </c>
      <c r="O940" s="38">
        <v>125.09</v>
      </c>
      <c r="P940" s="38">
        <v>128.38999999999999</v>
      </c>
      <c r="Q940" s="38">
        <v>134.11000000000001</v>
      </c>
      <c r="R940" s="38">
        <v>140.55000000000001</v>
      </c>
      <c r="S940" s="38">
        <v>143.97999999999999</v>
      </c>
      <c r="T940" s="38">
        <v>149.05000000000001</v>
      </c>
      <c r="U940" s="38">
        <v>145.5</v>
      </c>
      <c r="V940" s="38">
        <v>134.41</v>
      </c>
      <c r="W940" s="38">
        <v>115.42</v>
      </c>
      <c r="X940" s="38">
        <v>107.17</v>
      </c>
      <c r="Y940" s="38">
        <v>104.51</v>
      </c>
      <c r="Z940" s="38">
        <v>106.52</v>
      </c>
      <c r="AA940" s="38">
        <v>107.96</v>
      </c>
      <c r="AB940" s="38">
        <v>109.64</v>
      </c>
      <c r="AC940" s="38">
        <v>116.07</v>
      </c>
      <c r="AD940" s="38">
        <v>120.61</v>
      </c>
      <c r="AE940" s="38">
        <v>122.93</v>
      </c>
      <c r="AF940" s="38">
        <v>124.42</v>
      </c>
      <c r="AG940" s="38">
        <v>124.83</v>
      </c>
      <c r="AH940" s="38">
        <v>112.65</v>
      </c>
      <c r="AI940" s="38">
        <v>99.63</v>
      </c>
      <c r="AJ940" s="38">
        <v>94.88</v>
      </c>
      <c r="AK940" s="38">
        <v>88.87</v>
      </c>
      <c r="AL940" s="38">
        <v>85.37</v>
      </c>
      <c r="AM940" s="38">
        <v>81.81</v>
      </c>
      <c r="AN940" s="38">
        <v>84.04</v>
      </c>
      <c r="AO940" s="38">
        <v>90.4</v>
      </c>
      <c r="AP940" s="38">
        <v>96.97</v>
      </c>
      <c r="AQ940" s="38">
        <v>101.52</v>
      </c>
      <c r="AR940" s="38">
        <v>102.52</v>
      </c>
      <c r="AS940" s="38">
        <v>104.58</v>
      </c>
      <c r="AT940" s="38">
        <v>98.56</v>
      </c>
      <c r="AU940" s="38">
        <v>88.54</v>
      </c>
      <c r="AV940" s="38">
        <v>79.790000000000006</v>
      </c>
      <c r="AW940" s="38">
        <v>75.819999999999993</v>
      </c>
      <c r="AX940" s="38">
        <v>70.069999999999993</v>
      </c>
      <c r="AY940" s="38">
        <v>70.510000000000005</v>
      </c>
      <c r="BA940" s="37">
        <v>85.22</v>
      </c>
      <c r="BB940" s="38">
        <v>1.2863</v>
      </c>
    </row>
    <row r="941" spans="1:54" x14ac:dyDescent="0.35">
      <c r="A941" s="2">
        <f t="shared" si="14"/>
        <v>45139</v>
      </c>
      <c r="B941" t="s">
        <v>983</v>
      </c>
      <c r="C941" s="32">
        <v>45139</v>
      </c>
      <c r="D941" s="38">
        <v>67.900000000000006</v>
      </c>
      <c r="E941" s="38">
        <v>81.040000000000006</v>
      </c>
      <c r="F941" s="38">
        <v>106.31</v>
      </c>
      <c r="G941" s="38">
        <v>127.22</v>
      </c>
      <c r="H941" s="38">
        <v>131.52000000000001</v>
      </c>
      <c r="I941" s="38">
        <v>132.41999999999999</v>
      </c>
      <c r="J941" s="38">
        <v>127.6</v>
      </c>
      <c r="K941" s="38">
        <v>125.89</v>
      </c>
      <c r="L941" s="38">
        <v>123.49</v>
      </c>
      <c r="M941" s="38">
        <v>119.81</v>
      </c>
      <c r="N941" s="38">
        <v>120.77</v>
      </c>
      <c r="O941" s="38">
        <v>121.64</v>
      </c>
      <c r="P941" s="38">
        <v>124.94</v>
      </c>
      <c r="Q941" s="38">
        <v>131.55000000000001</v>
      </c>
      <c r="R941" s="38">
        <v>137.99</v>
      </c>
      <c r="S941" s="38">
        <v>141.41999999999999</v>
      </c>
      <c r="T941" s="38">
        <v>146.49</v>
      </c>
      <c r="U941" s="38">
        <v>142.94</v>
      </c>
      <c r="V941" s="38">
        <v>131.85</v>
      </c>
      <c r="W941" s="38">
        <v>114.36</v>
      </c>
      <c r="X941" s="38">
        <v>107.36</v>
      </c>
      <c r="Y941" s="38">
        <v>104.7</v>
      </c>
      <c r="Z941" s="38">
        <v>106.71</v>
      </c>
      <c r="AA941" s="38">
        <v>108.15</v>
      </c>
      <c r="AB941" s="38">
        <v>109.83</v>
      </c>
      <c r="AC941" s="38">
        <v>114.66</v>
      </c>
      <c r="AD941" s="38">
        <v>119.2</v>
      </c>
      <c r="AE941" s="38">
        <v>121.52</v>
      </c>
      <c r="AF941" s="38">
        <v>123.01</v>
      </c>
      <c r="AG941" s="38">
        <v>123.42</v>
      </c>
      <c r="AH941" s="38">
        <v>111.24</v>
      </c>
      <c r="AI941" s="38">
        <v>99.22</v>
      </c>
      <c r="AJ941" s="38">
        <v>94.47</v>
      </c>
      <c r="AK941" s="38">
        <v>88.46</v>
      </c>
      <c r="AL941" s="38">
        <v>84.96</v>
      </c>
      <c r="AM941" s="38">
        <v>81.400000000000006</v>
      </c>
      <c r="AN941" s="38">
        <v>83.63</v>
      </c>
      <c r="AO941" s="38">
        <v>89.99</v>
      </c>
      <c r="AP941" s="38">
        <v>96.56</v>
      </c>
      <c r="AQ941" s="38">
        <v>101.11</v>
      </c>
      <c r="AR941" s="38">
        <v>102.11</v>
      </c>
      <c r="AS941" s="38">
        <v>104.17</v>
      </c>
      <c r="AT941" s="38">
        <v>98.15</v>
      </c>
      <c r="AU941" s="38">
        <v>88.13</v>
      </c>
      <c r="AV941" s="38">
        <v>79.38</v>
      </c>
      <c r="AW941" s="38">
        <v>75.41</v>
      </c>
      <c r="AX941" s="38">
        <v>69.66</v>
      </c>
      <c r="AY941" s="38">
        <v>70.099999999999994</v>
      </c>
      <c r="BA941" s="37">
        <v>85.34</v>
      </c>
      <c r="BB941" s="38">
        <v>1.2762</v>
      </c>
    </row>
    <row r="942" spans="1:54" x14ac:dyDescent="0.35">
      <c r="A942" s="2">
        <f t="shared" si="14"/>
        <v>45140</v>
      </c>
      <c r="B942" t="s">
        <v>984</v>
      </c>
      <c r="C942" s="32">
        <v>45140</v>
      </c>
      <c r="D942" s="38">
        <v>72.16</v>
      </c>
      <c r="E942" s="38">
        <v>84.26</v>
      </c>
      <c r="F942" s="38">
        <v>105.83</v>
      </c>
      <c r="G942" s="38">
        <v>125.58</v>
      </c>
      <c r="H942" s="38">
        <v>129.97</v>
      </c>
      <c r="I942" s="38">
        <v>130.94999999999999</v>
      </c>
      <c r="J942" s="38">
        <v>126.57</v>
      </c>
      <c r="K942" s="38">
        <v>124.94</v>
      </c>
      <c r="L942" s="38">
        <v>122.61</v>
      </c>
      <c r="M942" s="38">
        <v>118.94</v>
      </c>
      <c r="N942" s="38">
        <v>120.12</v>
      </c>
      <c r="O942" s="38">
        <v>121.23</v>
      </c>
      <c r="P942" s="38">
        <v>124.63</v>
      </c>
      <c r="Q942" s="38">
        <v>131.22999999999999</v>
      </c>
      <c r="R942" s="38">
        <v>137.66999999999999</v>
      </c>
      <c r="S942" s="38">
        <v>141.1</v>
      </c>
      <c r="T942" s="38">
        <v>145.66999999999999</v>
      </c>
      <c r="U942" s="38">
        <v>142.12</v>
      </c>
      <c r="V942" s="38">
        <v>131.03</v>
      </c>
      <c r="W942" s="38">
        <v>115.03</v>
      </c>
      <c r="X942" s="38">
        <v>108.03</v>
      </c>
      <c r="Y942" s="38">
        <v>105.37</v>
      </c>
      <c r="Z942" s="38">
        <v>107.38</v>
      </c>
      <c r="AA942" s="38">
        <v>108.82</v>
      </c>
      <c r="AB942" s="38">
        <v>110.5</v>
      </c>
      <c r="AC942" s="38">
        <v>115.13</v>
      </c>
      <c r="AD942" s="38">
        <v>119.67</v>
      </c>
      <c r="AE942" s="38">
        <v>121.99</v>
      </c>
      <c r="AF942" s="38">
        <v>123.48</v>
      </c>
      <c r="AG942" s="38">
        <v>123.89</v>
      </c>
      <c r="AH942" s="38">
        <v>111.71</v>
      </c>
      <c r="AI942" s="38">
        <v>99.69</v>
      </c>
      <c r="AJ942" s="38">
        <v>94.94</v>
      </c>
      <c r="AK942" s="38">
        <v>88.93</v>
      </c>
      <c r="AL942" s="38">
        <v>85.43</v>
      </c>
      <c r="AM942" s="38">
        <v>81.87</v>
      </c>
      <c r="AN942" s="38">
        <v>84.1</v>
      </c>
      <c r="AO942" s="38">
        <v>90.46</v>
      </c>
      <c r="AP942" s="38">
        <v>97.03</v>
      </c>
      <c r="AQ942" s="38">
        <v>101.58</v>
      </c>
      <c r="AR942" s="38">
        <v>102.58</v>
      </c>
      <c r="AS942" s="38">
        <v>104.64</v>
      </c>
      <c r="AT942" s="38">
        <v>98.62</v>
      </c>
      <c r="AU942" s="38">
        <v>87.6</v>
      </c>
      <c r="AV942" s="38">
        <v>78.849999999999994</v>
      </c>
      <c r="AW942" s="38">
        <v>74.88</v>
      </c>
      <c r="AX942" s="38">
        <v>69.13</v>
      </c>
      <c r="AY942" s="38">
        <v>69.569999999999993</v>
      </c>
      <c r="BA942" s="37">
        <v>84.01</v>
      </c>
      <c r="BB942" s="38">
        <v>1.2688999999999999</v>
      </c>
    </row>
    <row r="943" spans="1:54" x14ac:dyDescent="0.35">
      <c r="A943" s="2">
        <f t="shared" si="14"/>
        <v>45141</v>
      </c>
      <c r="B943" t="s">
        <v>985</v>
      </c>
      <c r="C943" s="32">
        <v>45141</v>
      </c>
      <c r="D943" s="38">
        <v>76.42</v>
      </c>
      <c r="E943" s="38">
        <v>87.06</v>
      </c>
      <c r="F943" s="38">
        <v>107.23</v>
      </c>
      <c r="G943" s="38">
        <v>125.1</v>
      </c>
      <c r="H943" s="38">
        <v>129.6</v>
      </c>
      <c r="I943" s="38">
        <v>130.4</v>
      </c>
      <c r="J943" s="38">
        <v>126.6</v>
      </c>
      <c r="K943" s="38">
        <v>125</v>
      </c>
      <c r="L943" s="38">
        <v>122.74</v>
      </c>
      <c r="M943" s="38">
        <v>119.07</v>
      </c>
      <c r="N943" s="38">
        <v>121.9</v>
      </c>
      <c r="O943" s="38">
        <v>123.01</v>
      </c>
      <c r="P943" s="38">
        <v>126.41</v>
      </c>
      <c r="Q943" s="38">
        <v>132.51</v>
      </c>
      <c r="R943" s="38">
        <v>138.51</v>
      </c>
      <c r="S943" s="38">
        <v>141.94</v>
      </c>
      <c r="T943" s="38">
        <v>146.51</v>
      </c>
      <c r="U943" s="38">
        <v>142.96</v>
      </c>
      <c r="V943" s="38">
        <v>131.87</v>
      </c>
      <c r="W943" s="38">
        <v>115.37</v>
      </c>
      <c r="X943" s="38">
        <v>108.37</v>
      </c>
      <c r="Y943" s="38">
        <v>105.71</v>
      </c>
      <c r="Z943" s="38">
        <v>107.72</v>
      </c>
      <c r="AA943" s="38">
        <v>109.16</v>
      </c>
      <c r="AB943" s="38">
        <v>110.84</v>
      </c>
      <c r="AC943" s="38">
        <v>115.47</v>
      </c>
      <c r="AD943" s="38">
        <v>120.01</v>
      </c>
      <c r="AE943" s="38">
        <v>122.33</v>
      </c>
      <c r="AF943" s="38">
        <v>123.82</v>
      </c>
      <c r="AG943" s="38">
        <v>124.23</v>
      </c>
      <c r="AH943" s="38">
        <v>112.05</v>
      </c>
      <c r="AI943" s="38">
        <v>100.03</v>
      </c>
      <c r="AJ943" s="38">
        <v>95.28</v>
      </c>
      <c r="AK943" s="38">
        <v>89.27</v>
      </c>
      <c r="AL943" s="38">
        <v>85.77</v>
      </c>
      <c r="AM943" s="38">
        <v>82.21</v>
      </c>
      <c r="AN943" s="38">
        <v>84.44</v>
      </c>
      <c r="AO943" s="38">
        <v>91.3</v>
      </c>
      <c r="AP943" s="38">
        <v>97.87</v>
      </c>
      <c r="AQ943" s="38">
        <v>102.42</v>
      </c>
      <c r="AR943" s="38">
        <v>103.42</v>
      </c>
      <c r="AS943" s="38">
        <v>105.48</v>
      </c>
      <c r="AT943" s="38">
        <v>99.46</v>
      </c>
      <c r="AU943" s="38">
        <v>88.44</v>
      </c>
      <c r="AV943" s="38">
        <v>79.69</v>
      </c>
      <c r="AW943" s="38">
        <v>75.72</v>
      </c>
      <c r="AX943" s="38">
        <v>69.97</v>
      </c>
      <c r="AY943" s="38">
        <v>70.41</v>
      </c>
      <c r="BA943" s="37">
        <v>86.19</v>
      </c>
      <c r="BB943" s="38">
        <v>1.2697000000000001</v>
      </c>
    </row>
    <row r="944" spans="1:54" x14ac:dyDescent="0.35">
      <c r="A944" s="2">
        <f t="shared" si="14"/>
        <v>45142</v>
      </c>
      <c r="B944" t="s">
        <v>986</v>
      </c>
      <c r="C944" s="32">
        <v>45142</v>
      </c>
      <c r="D944" s="38">
        <v>72.930000000000007</v>
      </c>
      <c r="E944" s="38">
        <v>83.83</v>
      </c>
      <c r="F944" s="38">
        <v>106.67</v>
      </c>
      <c r="G944" s="38">
        <v>124.73</v>
      </c>
      <c r="H944" s="38">
        <v>129.22999999999999</v>
      </c>
      <c r="I944" s="38">
        <v>129.63</v>
      </c>
      <c r="J944" s="38">
        <v>125.57</v>
      </c>
      <c r="K944" s="38">
        <v>124.17</v>
      </c>
      <c r="L944" s="38">
        <v>121.91</v>
      </c>
      <c r="M944" s="38">
        <v>118.24</v>
      </c>
      <c r="N944" s="38">
        <v>121.07</v>
      </c>
      <c r="O944" s="38">
        <v>122.18</v>
      </c>
      <c r="P944" s="38">
        <v>125.58</v>
      </c>
      <c r="Q944" s="38">
        <v>132.18</v>
      </c>
      <c r="R944" s="38">
        <v>138.18</v>
      </c>
      <c r="S944" s="38">
        <v>141.61000000000001</v>
      </c>
      <c r="T944" s="38">
        <v>146.18</v>
      </c>
      <c r="U944" s="38">
        <v>142.63</v>
      </c>
      <c r="V944" s="38">
        <v>131.54</v>
      </c>
      <c r="W944" s="38">
        <v>116.04</v>
      </c>
      <c r="X944" s="38">
        <v>109.04</v>
      </c>
      <c r="Y944" s="38">
        <v>106.38</v>
      </c>
      <c r="Z944" s="38">
        <v>108.39</v>
      </c>
      <c r="AA944" s="38">
        <v>109.83</v>
      </c>
      <c r="AB944" s="38">
        <v>111.51</v>
      </c>
      <c r="AC944" s="38">
        <v>116.14</v>
      </c>
      <c r="AD944" s="38">
        <v>120.68</v>
      </c>
      <c r="AE944" s="38">
        <v>123</v>
      </c>
      <c r="AF944" s="38">
        <v>124.49</v>
      </c>
      <c r="AG944" s="38">
        <v>124.9</v>
      </c>
      <c r="AH944" s="38">
        <v>112.72</v>
      </c>
      <c r="AI944" s="38">
        <v>100.7</v>
      </c>
      <c r="AJ944" s="38">
        <v>95.95</v>
      </c>
      <c r="AK944" s="38">
        <v>89.94</v>
      </c>
      <c r="AL944" s="38">
        <v>86.44</v>
      </c>
      <c r="AM944" s="38">
        <v>82.88</v>
      </c>
      <c r="AN944" s="38">
        <v>85.11</v>
      </c>
      <c r="AO944" s="38">
        <v>91.97</v>
      </c>
      <c r="AP944" s="38">
        <v>98.54</v>
      </c>
      <c r="AQ944" s="38">
        <v>103.09</v>
      </c>
      <c r="AR944" s="38">
        <v>104.09</v>
      </c>
      <c r="AS944" s="38">
        <v>106.15</v>
      </c>
      <c r="AT944" s="38">
        <v>100.13</v>
      </c>
      <c r="AU944" s="38">
        <v>88.11</v>
      </c>
      <c r="AV944" s="38">
        <v>79.36</v>
      </c>
      <c r="AW944" s="38">
        <v>75.39</v>
      </c>
      <c r="AX944" s="38">
        <v>69.64</v>
      </c>
      <c r="AY944" s="38">
        <v>70.08</v>
      </c>
      <c r="BA944" s="37">
        <v>87.38</v>
      </c>
      <c r="BB944" s="38">
        <v>1.2757000000000001</v>
      </c>
    </row>
    <row r="945" spans="1:54" x14ac:dyDescent="0.35">
      <c r="A945" s="2">
        <f t="shared" si="14"/>
        <v>45145</v>
      </c>
      <c r="B945" t="s">
        <v>987</v>
      </c>
      <c r="C945" s="32">
        <v>45145</v>
      </c>
      <c r="D945" s="38">
        <v>76.489999999999995</v>
      </c>
      <c r="E945" s="38">
        <v>86.65</v>
      </c>
      <c r="F945" s="38">
        <v>108.67</v>
      </c>
      <c r="G945" s="38">
        <v>126.07</v>
      </c>
      <c r="H945" s="38">
        <v>130.79</v>
      </c>
      <c r="I945" s="38">
        <v>131.31</v>
      </c>
      <c r="J945" s="38">
        <v>127.18</v>
      </c>
      <c r="K945" s="38">
        <v>125.66</v>
      </c>
      <c r="L945" s="38">
        <v>123.35</v>
      </c>
      <c r="M945" s="38">
        <v>119.8</v>
      </c>
      <c r="N945" s="38">
        <v>122.27</v>
      </c>
      <c r="O945" s="38">
        <v>123.38</v>
      </c>
      <c r="P945" s="38">
        <v>126.6</v>
      </c>
      <c r="Q945" s="38">
        <v>132.36000000000001</v>
      </c>
      <c r="R945" s="38">
        <v>137.96</v>
      </c>
      <c r="S945" s="38">
        <v>141.38999999999999</v>
      </c>
      <c r="T945" s="38">
        <v>145.94999999999999</v>
      </c>
      <c r="U945" s="38">
        <v>142.38999999999999</v>
      </c>
      <c r="V945" s="38">
        <v>131.30000000000001</v>
      </c>
      <c r="W945" s="38">
        <v>115.8</v>
      </c>
      <c r="X945" s="38">
        <v>108.8</v>
      </c>
      <c r="Y945" s="38">
        <v>106.14</v>
      </c>
      <c r="Z945" s="38">
        <v>108.15</v>
      </c>
      <c r="AA945" s="38">
        <v>109.59</v>
      </c>
      <c r="AB945" s="38">
        <v>111.27</v>
      </c>
      <c r="AC945" s="38">
        <v>115.9</v>
      </c>
      <c r="AD945" s="38">
        <v>120.44</v>
      </c>
      <c r="AE945" s="38">
        <v>122.76</v>
      </c>
      <c r="AF945" s="38">
        <v>124.25</v>
      </c>
      <c r="AG945" s="38">
        <v>124.66</v>
      </c>
      <c r="AH945" s="38">
        <v>112.48</v>
      </c>
      <c r="AI945" s="38">
        <v>100.46</v>
      </c>
      <c r="AJ945" s="38">
        <v>95.71</v>
      </c>
      <c r="AK945" s="38">
        <v>89.7</v>
      </c>
      <c r="AL945" s="38">
        <v>86.2</v>
      </c>
      <c r="AM945" s="38">
        <v>82.64</v>
      </c>
      <c r="AN945" s="38">
        <v>84.87</v>
      </c>
      <c r="AO945" s="38">
        <v>91.73</v>
      </c>
      <c r="AP945" s="38">
        <v>98.3</v>
      </c>
      <c r="AQ945" s="38">
        <v>102.85</v>
      </c>
      <c r="AR945" s="38">
        <v>103.85</v>
      </c>
      <c r="AS945" s="38">
        <v>105.91</v>
      </c>
      <c r="AT945" s="38">
        <v>99.89</v>
      </c>
      <c r="AU945" s="38">
        <v>87.87</v>
      </c>
      <c r="AV945" s="38">
        <v>79.12</v>
      </c>
      <c r="AW945" s="38">
        <v>75.150000000000006</v>
      </c>
      <c r="AX945" s="38">
        <v>69.400000000000006</v>
      </c>
      <c r="AY945" s="38">
        <v>69.84</v>
      </c>
      <c r="BA945" s="37">
        <v>86.47</v>
      </c>
      <c r="BB945" s="38">
        <v>1.2771999999999999</v>
      </c>
    </row>
    <row r="946" spans="1:54" x14ac:dyDescent="0.35">
      <c r="A946" s="2">
        <f t="shared" si="14"/>
        <v>45146</v>
      </c>
      <c r="B946" t="s">
        <v>988</v>
      </c>
      <c r="C946" s="32">
        <v>45146</v>
      </c>
      <c r="D946" s="38">
        <v>78.14</v>
      </c>
      <c r="E946" s="38">
        <v>87.39</v>
      </c>
      <c r="F946" s="38">
        <v>108.37</v>
      </c>
      <c r="G946" s="38">
        <v>126.33</v>
      </c>
      <c r="H946" s="38">
        <v>130.83000000000001</v>
      </c>
      <c r="I946" s="38">
        <v>130.83000000000001</v>
      </c>
      <c r="J946" s="38">
        <v>127.42</v>
      </c>
      <c r="K946" s="38">
        <v>125.42</v>
      </c>
      <c r="L946" s="38">
        <v>123.09</v>
      </c>
      <c r="M946" s="38">
        <v>119.52</v>
      </c>
      <c r="N946" s="38">
        <v>121.45</v>
      </c>
      <c r="O946" s="38">
        <v>122.6</v>
      </c>
      <c r="P946" s="38">
        <v>125.98</v>
      </c>
      <c r="Q946" s="38">
        <v>132.24</v>
      </c>
      <c r="R946" s="38">
        <v>138.07</v>
      </c>
      <c r="S946" s="38">
        <v>141.93</v>
      </c>
      <c r="T946" s="38">
        <v>146.5</v>
      </c>
      <c r="U946" s="38">
        <v>142.94</v>
      </c>
      <c r="V946" s="38">
        <v>131.85</v>
      </c>
      <c r="W946" s="38">
        <v>116.35</v>
      </c>
      <c r="X946" s="38">
        <v>108.75</v>
      </c>
      <c r="Y946" s="38">
        <v>106.09</v>
      </c>
      <c r="Z946" s="38">
        <v>108.11</v>
      </c>
      <c r="AA946" s="38">
        <v>109.56</v>
      </c>
      <c r="AB946" s="38">
        <v>111.26</v>
      </c>
      <c r="AC946" s="38">
        <v>116.65</v>
      </c>
      <c r="AD946" s="38">
        <v>121.19</v>
      </c>
      <c r="AE946" s="38">
        <v>123.51</v>
      </c>
      <c r="AF946" s="38">
        <v>125</v>
      </c>
      <c r="AG946" s="38">
        <v>125.41</v>
      </c>
      <c r="AH946" s="38">
        <v>113.23</v>
      </c>
      <c r="AI946" s="38">
        <v>101.21</v>
      </c>
      <c r="AJ946" s="38">
        <v>96.46</v>
      </c>
      <c r="AK946" s="38">
        <v>90.45</v>
      </c>
      <c r="AL946" s="38">
        <v>86.95</v>
      </c>
      <c r="AM946" s="38">
        <v>83.39</v>
      </c>
      <c r="AN946" s="38">
        <v>85.62</v>
      </c>
      <c r="AO946" s="38">
        <v>92.48</v>
      </c>
      <c r="AP946" s="38">
        <v>99.05</v>
      </c>
      <c r="AQ946" s="38">
        <v>103.6</v>
      </c>
      <c r="AR946" s="38">
        <v>104.6</v>
      </c>
      <c r="AS946" s="38">
        <v>106.66</v>
      </c>
      <c r="AT946" s="38">
        <v>100.64</v>
      </c>
      <c r="AU946" s="38">
        <v>88.62</v>
      </c>
      <c r="AV946" s="38">
        <v>79.87</v>
      </c>
      <c r="AW946" s="38">
        <v>75.900000000000006</v>
      </c>
      <c r="AX946" s="38">
        <v>70.150000000000006</v>
      </c>
      <c r="AY946" s="38">
        <v>70.59</v>
      </c>
      <c r="BA946" s="37">
        <v>88</v>
      </c>
      <c r="BB946" s="38">
        <v>1.2722</v>
      </c>
    </row>
    <row r="947" spans="1:54" x14ac:dyDescent="0.35">
      <c r="A947" s="2">
        <f t="shared" si="14"/>
        <v>45147</v>
      </c>
      <c r="B947" t="s">
        <v>989</v>
      </c>
      <c r="C947" s="32">
        <v>45147</v>
      </c>
      <c r="D947" s="38">
        <v>101.08</v>
      </c>
      <c r="E947" s="38">
        <v>108.61</v>
      </c>
      <c r="F947" s="38">
        <v>123.12</v>
      </c>
      <c r="G947" s="38">
        <v>135.78</v>
      </c>
      <c r="H947" s="38">
        <v>140.80000000000001</v>
      </c>
      <c r="I947" s="38">
        <v>141.49</v>
      </c>
      <c r="J947" s="38">
        <v>137.21</v>
      </c>
      <c r="K947" s="38">
        <v>134.63</v>
      </c>
      <c r="L947" s="38">
        <v>131.22</v>
      </c>
      <c r="M947" s="38">
        <v>128.72999999999999</v>
      </c>
      <c r="N947" s="38">
        <v>128.32</v>
      </c>
      <c r="O947" s="38">
        <v>129.78</v>
      </c>
      <c r="P947" s="38">
        <v>133.93</v>
      </c>
      <c r="Q947" s="38">
        <v>138.43</v>
      </c>
      <c r="R947" s="38">
        <v>144.26</v>
      </c>
      <c r="S947" s="38">
        <v>148.63999999999999</v>
      </c>
      <c r="T947" s="38">
        <v>154</v>
      </c>
      <c r="U947" s="38">
        <v>150.44</v>
      </c>
      <c r="V947" s="38">
        <v>139.35</v>
      </c>
      <c r="W947" s="38">
        <v>122.42</v>
      </c>
      <c r="X947" s="38">
        <v>113</v>
      </c>
      <c r="Y947" s="38">
        <v>109.52</v>
      </c>
      <c r="Z947" s="38">
        <v>111.54</v>
      </c>
      <c r="AA947" s="38">
        <v>112.99</v>
      </c>
      <c r="AB947" s="38">
        <v>114.69</v>
      </c>
      <c r="AC947" s="38">
        <v>119.18</v>
      </c>
      <c r="AD947" s="38">
        <v>123.19</v>
      </c>
      <c r="AE947" s="38">
        <v>125.51</v>
      </c>
      <c r="AF947" s="38">
        <v>127</v>
      </c>
      <c r="AG947" s="38">
        <v>127.41</v>
      </c>
      <c r="AH947" s="38">
        <v>115.23</v>
      </c>
      <c r="AI947" s="38">
        <v>103.75</v>
      </c>
      <c r="AJ947" s="38">
        <v>99</v>
      </c>
      <c r="AK947" s="38">
        <v>92.99</v>
      </c>
      <c r="AL947" s="38">
        <v>89.49</v>
      </c>
      <c r="AM947" s="38">
        <v>85.93</v>
      </c>
      <c r="AN947" s="38">
        <v>88.16</v>
      </c>
      <c r="AO947" s="38">
        <v>95.02</v>
      </c>
      <c r="AP947" s="38">
        <v>101.59</v>
      </c>
      <c r="AQ947" s="38">
        <v>106.14</v>
      </c>
      <c r="AR947" s="38">
        <v>107.14</v>
      </c>
      <c r="AS947" s="38">
        <v>109.2</v>
      </c>
      <c r="AT947" s="38">
        <v>103.18</v>
      </c>
      <c r="AU947" s="38">
        <v>91.16</v>
      </c>
      <c r="AV947" s="38">
        <v>82.41</v>
      </c>
      <c r="AW947" s="38">
        <v>78.44</v>
      </c>
      <c r="AX947" s="38">
        <v>72.69</v>
      </c>
      <c r="AY947" s="38">
        <v>73.13</v>
      </c>
      <c r="BA947" s="37">
        <v>89.31</v>
      </c>
      <c r="BB947" s="38">
        <v>1.2732000000000001</v>
      </c>
    </row>
    <row r="948" spans="1:54" x14ac:dyDescent="0.35">
      <c r="A948" s="2">
        <f t="shared" si="14"/>
        <v>45148</v>
      </c>
      <c r="B948" t="s">
        <v>990</v>
      </c>
      <c r="C948" s="32">
        <v>45148</v>
      </c>
      <c r="D948" s="38">
        <v>94.25</v>
      </c>
      <c r="E948" s="38">
        <v>102.01</v>
      </c>
      <c r="F948" s="38">
        <v>119.25</v>
      </c>
      <c r="G948" s="38">
        <v>133.46</v>
      </c>
      <c r="H948" s="38">
        <v>137.96</v>
      </c>
      <c r="I948" s="38">
        <v>138.41</v>
      </c>
      <c r="J948" s="38">
        <v>134.84</v>
      </c>
      <c r="K948" s="38">
        <v>132.12</v>
      </c>
      <c r="L948" s="38">
        <v>128.09</v>
      </c>
      <c r="M948" s="38">
        <v>124.97</v>
      </c>
      <c r="N948" s="38">
        <v>126.9</v>
      </c>
      <c r="O948" s="38">
        <v>128.03</v>
      </c>
      <c r="P948" s="38">
        <v>130.97</v>
      </c>
      <c r="Q948" s="38">
        <v>135.61000000000001</v>
      </c>
      <c r="R948" s="38">
        <v>141.43</v>
      </c>
      <c r="S948" s="38">
        <v>145.81</v>
      </c>
      <c r="T948" s="38">
        <v>151.25</v>
      </c>
      <c r="U948" s="38">
        <v>147.69</v>
      </c>
      <c r="V948" s="38">
        <v>136.6</v>
      </c>
      <c r="W948" s="38">
        <v>119.53</v>
      </c>
      <c r="X948" s="38">
        <v>109.36</v>
      </c>
      <c r="Y948" s="38">
        <v>105.31</v>
      </c>
      <c r="Z948" s="38">
        <v>107.29</v>
      </c>
      <c r="AA948" s="38">
        <v>108.74</v>
      </c>
      <c r="AB948" s="38">
        <v>110.42</v>
      </c>
      <c r="AC948" s="38">
        <v>115.09</v>
      </c>
      <c r="AD948" s="38">
        <v>119.1</v>
      </c>
      <c r="AE948" s="38">
        <v>121.44</v>
      </c>
      <c r="AF948" s="38">
        <v>123.18</v>
      </c>
      <c r="AG948" s="38">
        <v>123.59</v>
      </c>
      <c r="AH948" s="38">
        <v>111.41</v>
      </c>
      <c r="AI948" s="38">
        <v>100.29</v>
      </c>
      <c r="AJ948" s="38">
        <v>95.54</v>
      </c>
      <c r="AK948" s="38">
        <v>89.53</v>
      </c>
      <c r="AL948" s="38">
        <v>86.03</v>
      </c>
      <c r="AM948" s="38">
        <v>82.47</v>
      </c>
      <c r="AN948" s="38">
        <v>84.7</v>
      </c>
      <c r="AO948" s="38">
        <v>91.47</v>
      </c>
      <c r="AP948" s="38">
        <v>98.04</v>
      </c>
      <c r="AQ948" s="38">
        <v>102.59</v>
      </c>
      <c r="AR948" s="38">
        <v>103.51</v>
      </c>
      <c r="AS948" s="38">
        <v>105.56</v>
      </c>
      <c r="AT948" s="38">
        <v>99.54</v>
      </c>
      <c r="AU948" s="38">
        <v>87.66</v>
      </c>
      <c r="AV948" s="38">
        <v>78.92</v>
      </c>
      <c r="AW948" s="38">
        <v>74.94</v>
      </c>
      <c r="AX948" s="38">
        <v>69.2</v>
      </c>
      <c r="AY948" s="38">
        <v>69.64</v>
      </c>
      <c r="BA948" s="37">
        <v>87.44</v>
      </c>
      <c r="BB948" s="38">
        <v>1.2735000000000001</v>
      </c>
    </row>
    <row r="949" spans="1:54" x14ac:dyDescent="0.35">
      <c r="A949" s="2">
        <f t="shared" si="14"/>
        <v>45149</v>
      </c>
      <c r="B949" t="s">
        <v>991</v>
      </c>
      <c r="C949" s="32">
        <v>45149</v>
      </c>
      <c r="D949" s="38">
        <v>89.42</v>
      </c>
      <c r="E949" s="38">
        <v>98.91</v>
      </c>
      <c r="F949" s="38">
        <v>118.2</v>
      </c>
      <c r="G949" s="38">
        <v>133.63</v>
      </c>
      <c r="H949" s="38">
        <v>138.28</v>
      </c>
      <c r="I949" s="38">
        <v>139.26</v>
      </c>
      <c r="J949" s="38">
        <v>135.91999999999999</v>
      </c>
      <c r="K949" s="38">
        <v>132.02000000000001</v>
      </c>
      <c r="L949" s="38">
        <v>128.52000000000001</v>
      </c>
      <c r="M949" s="38">
        <v>125.46</v>
      </c>
      <c r="N949" s="38">
        <v>126.92</v>
      </c>
      <c r="O949" s="38">
        <v>128.02000000000001</v>
      </c>
      <c r="P949" s="38">
        <v>130.93</v>
      </c>
      <c r="Q949" s="38">
        <v>135.46</v>
      </c>
      <c r="R949" s="38">
        <v>141.28</v>
      </c>
      <c r="S949" s="38">
        <v>146.02000000000001</v>
      </c>
      <c r="T949" s="38">
        <v>151.68</v>
      </c>
      <c r="U949" s="38">
        <v>147.66999999999999</v>
      </c>
      <c r="V949" s="38">
        <v>136.29</v>
      </c>
      <c r="W949" s="38">
        <v>118.48</v>
      </c>
      <c r="X949" s="38">
        <v>110.23</v>
      </c>
      <c r="Y949" s="38">
        <v>105.69</v>
      </c>
      <c r="Z949" s="38">
        <v>107.67</v>
      </c>
      <c r="AA949" s="38">
        <v>109.59</v>
      </c>
      <c r="AB949" s="38">
        <v>111.43</v>
      </c>
      <c r="AC949" s="38">
        <v>116.13</v>
      </c>
      <c r="AD949" s="38">
        <v>120.14</v>
      </c>
      <c r="AE949" s="38">
        <v>122.48</v>
      </c>
      <c r="AF949" s="38">
        <v>124.22</v>
      </c>
      <c r="AG949" s="38">
        <v>124.63</v>
      </c>
      <c r="AH949" s="38">
        <v>112.45</v>
      </c>
      <c r="AI949" s="38">
        <v>101.33</v>
      </c>
      <c r="AJ949" s="38">
        <v>96.58</v>
      </c>
      <c r="AK949" s="38">
        <v>90.57</v>
      </c>
      <c r="AL949" s="38">
        <v>87.07</v>
      </c>
      <c r="AM949" s="38">
        <v>83.51</v>
      </c>
      <c r="AN949" s="38">
        <v>85.74</v>
      </c>
      <c r="AO949" s="38">
        <v>92.51</v>
      </c>
      <c r="AP949" s="38">
        <v>99.08</v>
      </c>
      <c r="AQ949" s="38">
        <v>103.63</v>
      </c>
      <c r="AR949" s="38">
        <v>104.55</v>
      </c>
      <c r="AS949" s="38">
        <v>106.6</v>
      </c>
      <c r="AT949" s="38">
        <v>100.58</v>
      </c>
      <c r="AU949" s="38">
        <v>88.7</v>
      </c>
      <c r="AV949" s="38">
        <v>79.959999999999994</v>
      </c>
      <c r="AW949" s="38">
        <v>75.98</v>
      </c>
      <c r="AX949" s="38">
        <v>70.239999999999995</v>
      </c>
      <c r="AY949" s="38">
        <v>70.680000000000007</v>
      </c>
      <c r="BA949" s="37">
        <v>87.93</v>
      </c>
      <c r="BB949" s="38">
        <v>1.2713000000000001</v>
      </c>
    </row>
    <row r="950" spans="1:54" x14ac:dyDescent="0.35">
      <c r="A950" s="2">
        <f t="shared" si="14"/>
        <v>45152</v>
      </c>
      <c r="B950" t="s">
        <v>992</v>
      </c>
      <c r="C950" s="32">
        <v>45152</v>
      </c>
      <c r="D950" s="38">
        <v>86.83</v>
      </c>
      <c r="E950" s="38">
        <v>97.25</v>
      </c>
      <c r="F950" s="38">
        <v>118.28</v>
      </c>
      <c r="G950" s="38">
        <v>133.47999999999999</v>
      </c>
      <c r="H950" s="38">
        <v>138.13</v>
      </c>
      <c r="I950" s="38">
        <v>138.91</v>
      </c>
      <c r="J950" s="38">
        <v>135.57</v>
      </c>
      <c r="K950" s="38">
        <v>132.16999999999999</v>
      </c>
      <c r="L950" s="38">
        <v>128.66999999999999</v>
      </c>
      <c r="M950" s="38">
        <v>125.37</v>
      </c>
      <c r="N950" s="38">
        <v>126.84</v>
      </c>
      <c r="O950" s="38">
        <v>127.94</v>
      </c>
      <c r="P950" s="38">
        <v>130.85</v>
      </c>
      <c r="Q950" s="38">
        <v>135.38</v>
      </c>
      <c r="R950" s="38">
        <v>141.19999999999999</v>
      </c>
      <c r="S950" s="38">
        <v>145.94</v>
      </c>
      <c r="T950" s="38">
        <v>151.6</v>
      </c>
      <c r="U950" s="38">
        <v>147.59</v>
      </c>
      <c r="V950" s="38">
        <v>135.21</v>
      </c>
      <c r="W950" s="38">
        <v>117.4</v>
      </c>
      <c r="X950" s="38">
        <v>109.65</v>
      </c>
      <c r="Y950" s="38">
        <v>105.12</v>
      </c>
      <c r="Z950" s="38">
        <v>107.1</v>
      </c>
      <c r="AA950" s="38">
        <v>109.02</v>
      </c>
      <c r="AB950" s="38">
        <v>110.85</v>
      </c>
      <c r="AC950" s="38">
        <v>115.85</v>
      </c>
      <c r="AD950" s="38">
        <v>119.86</v>
      </c>
      <c r="AE950" s="38">
        <v>122.2</v>
      </c>
      <c r="AF950" s="38">
        <v>123.94</v>
      </c>
      <c r="AG950" s="38">
        <v>124.35</v>
      </c>
      <c r="AH950" s="38">
        <v>112.17</v>
      </c>
      <c r="AI950" s="38">
        <v>101.05</v>
      </c>
      <c r="AJ950" s="38">
        <v>96.3</v>
      </c>
      <c r="AK950" s="38">
        <v>90.29</v>
      </c>
      <c r="AL950" s="38">
        <v>86.79</v>
      </c>
      <c r="AM950" s="38">
        <v>83.23</v>
      </c>
      <c r="AN950" s="38">
        <v>85.46</v>
      </c>
      <c r="AO950" s="38">
        <v>92.23</v>
      </c>
      <c r="AP950" s="38">
        <v>98.8</v>
      </c>
      <c r="AQ950" s="38">
        <v>103.35</v>
      </c>
      <c r="AR950" s="38">
        <v>104.27</v>
      </c>
      <c r="AS950" s="38">
        <v>106.32</v>
      </c>
      <c r="AT950" s="38">
        <v>100.3</v>
      </c>
      <c r="AU950" s="38">
        <v>88.42</v>
      </c>
      <c r="AV950" s="38">
        <v>79.680000000000007</v>
      </c>
      <c r="AW950" s="38">
        <v>75.7</v>
      </c>
      <c r="AX950" s="38">
        <v>69.959999999999994</v>
      </c>
      <c r="AY950" s="38">
        <v>70.400000000000006</v>
      </c>
      <c r="BA950" s="37">
        <v>87.4</v>
      </c>
      <c r="BB950" s="38">
        <v>1.2661</v>
      </c>
    </row>
    <row r="951" spans="1:54" x14ac:dyDescent="0.35">
      <c r="A951" s="2">
        <f t="shared" si="14"/>
        <v>45153</v>
      </c>
      <c r="B951" t="s">
        <v>993</v>
      </c>
      <c r="C951" s="32">
        <v>45153</v>
      </c>
      <c r="D951" s="38">
        <v>98.43</v>
      </c>
      <c r="E951" s="38">
        <v>109.19</v>
      </c>
      <c r="F951" s="38">
        <v>129.41999999999999</v>
      </c>
      <c r="G951" s="38">
        <v>144.26</v>
      </c>
      <c r="H951" s="38">
        <v>148.83000000000001</v>
      </c>
      <c r="I951" s="38">
        <v>148.93</v>
      </c>
      <c r="J951" s="38">
        <v>145.16999999999999</v>
      </c>
      <c r="K951" s="38">
        <v>140.91999999999999</v>
      </c>
      <c r="L951" s="38">
        <v>137.41999999999999</v>
      </c>
      <c r="M951" s="38">
        <v>133.41999999999999</v>
      </c>
      <c r="N951" s="38">
        <v>134.88999999999999</v>
      </c>
      <c r="O951" s="38">
        <v>135.99</v>
      </c>
      <c r="P951" s="38">
        <v>138.9</v>
      </c>
      <c r="Q951" s="38">
        <v>142.97999999999999</v>
      </c>
      <c r="R951" s="38">
        <v>147.80000000000001</v>
      </c>
      <c r="S951" s="38">
        <v>152.54</v>
      </c>
      <c r="T951" s="38">
        <v>158.5</v>
      </c>
      <c r="U951" s="38">
        <v>154.49</v>
      </c>
      <c r="V951" s="38">
        <v>143.11000000000001</v>
      </c>
      <c r="W951" s="38">
        <v>120.8</v>
      </c>
      <c r="X951" s="38">
        <v>113.05</v>
      </c>
      <c r="Y951" s="38">
        <v>108.52</v>
      </c>
      <c r="Z951" s="38">
        <v>110.5</v>
      </c>
      <c r="AA951" s="38">
        <v>112.42</v>
      </c>
      <c r="AB951" s="38">
        <v>114.25</v>
      </c>
      <c r="AC951" s="38">
        <v>119.25</v>
      </c>
      <c r="AD951" s="38">
        <v>123.26</v>
      </c>
      <c r="AE951" s="38">
        <v>125.6</v>
      </c>
      <c r="AF951" s="38">
        <v>127.34</v>
      </c>
      <c r="AG951" s="38">
        <v>127.75</v>
      </c>
      <c r="AH951" s="38">
        <v>115.57</v>
      </c>
      <c r="AI951" s="38">
        <v>104.45</v>
      </c>
      <c r="AJ951" s="38">
        <v>99.7</v>
      </c>
      <c r="AK951" s="38">
        <v>93.69</v>
      </c>
      <c r="AL951" s="38">
        <v>90.19</v>
      </c>
      <c r="AM951" s="38">
        <v>86.63</v>
      </c>
      <c r="AN951" s="38">
        <v>88.86</v>
      </c>
      <c r="AO951" s="38">
        <v>95.63</v>
      </c>
      <c r="AP951" s="38">
        <v>102.2</v>
      </c>
      <c r="AQ951" s="38">
        <v>106.75</v>
      </c>
      <c r="AR951" s="38">
        <v>107.67</v>
      </c>
      <c r="AS951" s="38">
        <v>109.72</v>
      </c>
      <c r="AT951" s="38">
        <v>103.7</v>
      </c>
      <c r="AU951" s="38">
        <v>91.82</v>
      </c>
      <c r="AV951" s="38">
        <v>83.08</v>
      </c>
      <c r="AW951" s="38">
        <v>79.099999999999994</v>
      </c>
      <c r="AX951" s="38">
        <v>73.36</v>
      </c>
      <c r="AY951" s="38">
        <v>73.8</v>
      </c>
      <c r="BA951" s="37">
        <v>86.28</v>
      </c>
      <c r="BB951" s="38">
        <v>1.2745</v>
      </c>
    </row>
    <row r="952" spans="1:54" x14ac:dyDescent="0.35">
      <c r="A952" s="2">
        <f t="shared" si="14"/>
        <v>45154</v>
      </c>
      <c r="B952" t="s">
        <v>994</v>
      </c>
      <c r="C952" s="32">
        <v>45154</v>
      </c>
      <c r="D952" s="38">
        <v>95.28</v>
      </c>
      <c r="E952" s="38">
        <v>106.37</v>
      </c>
      <c r="F952" s="38">
        <v>126.94</v>
      </c>
      <c r="G952" s="38">
        <v>142.16</v>
      </c>
      <c r="H952" s="38">
        <v>146.53</v>
      </c>
      <c r="I952" s="38">
        <v>146.93</v>
      </c>
      <c r="J952" s="38">
        <v>143.16999999999999</v>
      </c>
      <c r="K952" s="38">
        <v>138.91999999999999</v>
      </c>
      <c r="L952" s="38">
        <v>135.41999999999999</v>
      </c>
      <c r="M952" s="38">
        <v>131.41999999999999</v>
      </c>
      <c r="N952" s="38">
        <v>133.79</v>
      </c>
      <c r="O952" s="38">
        <v>134.88999999999999</v>
      </c>
      <c r="P952" s="38">
        <v>137.80000000000001</v>
      </c>
      <c r="Q952" s="38">
        <v>142.38</v>
      </c>
      <c r="R952" s="38">
        <v>146.9</v>
      </c>
      <c r="S952" s="38">
        <v>152.13999999999999</v>
      </c>
      <c r="T952" s="38">
        <v>158.1</v>
      </c>
      <c r="U952" s="38">
        <v>154.09</v>
      </c>
      <c r="V952" s="38">
        <v>142.71</v>
      </c>
      <c r="W952" s="38">
        <v>120.4</v>
      </c>
      <c r="X952" s="38">
        <v>112.65</v>
      </c>
      <c r="Y952" s="38">
        <v>108.12</v>
      </c>
      <c r="Z952" s="38">
        <v>110.1</v>
      </c>
      <c r="AA952" s="38">
        <v>112.02</v>
      </c>
      <c r="AB952" s="38">
        <v>113.85</v>
      </c>
      <c r="AC952" s="38">
        <v>118.85</v>
      </c>
      <c r="AD952" s="38">
        <v>122.86</v>
      </c>
      <c r="AE952" s="38">
        <v>125.2</v>
      </c>
      <c r="AF952" s="38">
        <v>126.94</v>
      </c>
      <c r="AG952" s="38">
        <v>127.35</v>
      </c>
      <c r="AH952" s="38">
        <v>115.17</v>
      </c>
      <c r="AI952" s="38">
        <v>104.05</v>
      </c>
      <c r="AJ952" s="38">
        <v>99.3</v>
      </c>
      <c r="AK952" s="38">
        <v>93.29</v>
      </c>
      <c r="AL952" s="38">
        <v>89.79</v>
      </c>
      <c r="AM952" s="38">
        <v>86.23</v>
      </c>
      <c r="AN952" s="38">
        <v>88.46</v>
      </c>
      <c r="AO952" s="38">
        <v>95.23</v>
      </c>
      <c r="AP952" s="38">
        <v>101.8</v>
      </c>
      <c r="AQ952" s="38">
        <v>106.35</v>
      </c>
      <c r="AR952" s="38">
        <v>107.27</v>
      </c>
      <c r="AS952" s="38">
        <v>109.32</v>
      </c>
      <c r="AT952" s="38">
        <v>103.3</v>
      </c>
      <c r="AU952" s="38">
        <v>91.42</v>
      </c>
      <c r="AV952" s="38">
        <v>82.68</v>
      </c>
      <c r="AW952" s="38">
        <v>78.7</v>
      </c>
      <c r="AX952" s="38">
        <v>72.959999999999994</v>
      </c>
      <c r="AY952" s="38">
        <v>73.400000000000006</v>
      </c>
      <c r="BA952" s="37">
        <v>84.49</v>
      </c>
      <c r="BB952" s="38">
        <v>1.2753000000000001</v>
      </c>
    </row>
    <row r="953" spans="1:54" x14ac:dyDescent="0.35">
      <c r="A953" s="2">
        <f t="shared" si="14"/>
        <v>45155</v>
      </c>
      <c r="B953" t="s">
        <v>995</v>
      </c>
      <c r="C953" s="32">
        <v>45155</v>
      </c>
      <c r="D953" s="38">
        <v>92.94</v>
      </c>
      <c r="E953" s="38">
        <v>104.66</v>
      </c>
      <c r="F953" s="38">
        <v>125.63</v>
      </c>
      <c r="G953" s="38">
        <v>141.15</v>
      </c>
      <c r="H953" s="38">
        <v>146</v>
      </c>
      <c r="I953" s="38">
        <v>146.51</v>
      </c>
      <c r="J953" s="38">
        <v>142.59</v>
      </c>
      <c r="K953" s="38">
        <v>138.04</v>
      </c>
      <c r="L953" s="38">
        <v>134.04</v>
      </c>
      <c r="M953" s="38">
        <v>130.54</v>
      </c>
      <c r="N953" s="38">
        <v>132.61000000000001</v>
      </c>
      <c r="O953" s="38">
        <v>133.61000000000001</v>
      </c>
      <c r="P953" s="38">
        <v>136.52000000000001</v>
      </c>
      <c r="Q953" s="38">
        <v>141.71</v>
      </c>
      <c r="R953" s="38">
        <v>146.53</v>
      </c>
      <c r="S953" s="38">
        <v>151.77000000000001</v>
      </c>
      <c r="T953" s="38">
        <v>157.72999999999999</v>
      </c>
      <c r="U953" s="38">
        <v>153.72</v>
      </c>
      <c r="V953" s="38">
        <v>142.34</v>
      </c>
      <c r="W953" s="38">
        <v>120.03</v>
      </c>
      <c r="X953" s="38">
        <v>112.28</v>
      </c>
      <c r="Y953" s="38">
        <v>107.75</v>
      </c>
      <c r="Z953" s="38">
        <v>109.73</v>
      </c>
      <c r="AA953" s="38">
        <v>111.65</v>
      </c>
      <c r="AB953" s="38">
        <v>113.48</v>
      </c>
      <c r="AC953" s="38">
        <v>118.48</v>
      </c>
      <c r="AD953" s="38">
        <v>122.49</v>
      </c>
      <c r="AE953" s="38">
        <v>124.83</v>
      </c>
      <c r="AF953" s="38">
        <v>126.57</v>
      </c>
      <c r="AG953" s="38">
        <v>126.98</v>
      </c>
      <c r="AH953" s="38">
        <v>114.8</v>
      </c>
      <c r="AI953" s="38">
        <v>103.68</v>
      </c>
      <c r="AJ953" s="38">
        <v>98.93</v>
      </c>
      <c r="AK953" s="38">
        <v>92.92</v>
      </c>
      <c r="AL953" s="38">
        <v>89.42</v>
      </c>
      <c r="AM953" s="38">
        <v>85.86</v>
      </c>
      <c r="AN953" s="38">
        <v>88.09</v>
      </c>
      <c r="AO953" s="38">
        <v>94.86</v>
      </c>
      <c r="AP953" s="38">
        <v>101.43</v>
      </c>
      <c r="AQ953" s="38">
        <v>105.98</v>
      </c>
      <c r="AR953" s="38">
        <v>106.9</v>
      </c>
      <c r="AS953" s="38">
        <v>108.95</v>
      </c>
      <c r="AT953" s="38">
        <v>102.93</v>
      </c>
      <c r="AU953" s="38">
        <v>92.05</v>
      </c>
      <c r="AV953" s="38">
        <v>83.31</v>
      </c>
      <c r="AW953" s="38">
        <v>79.33</v>
      </c>
      <c r="AX953" s="38">
        <v>73.59</v>
      </c>
      <c r="AY953" s="38">
        <v>74.03</v>
      </c>
      <c r="BA953" s="37">
        <v>85.24</v>
      </c>
      <c r="BB953" s="38">
        <v>1.2757000000000001</v>
      </c>
    </row>
    <row r="954" spans="1:54" x14ac:dyDescent="0.35">
      <c r="A954" s="2">
        <f t="shared" si="14"/>
        <v>45156</v>
      </c>
      <c r="B954" t="s">
        <v>996</v>
      </c>
      <c r="C954" s="32">
        <v>45156</v>
      </c>
      <c r="D954" s="38">
        <v>90.89</v>
      </c>
      <c r="E954" s="38">
        <v>104.65</v>
      </c>
      <c r="F954" s="38">
        <v>127.64</v>
      </c>
      <c r="G954" s="38">
        <v>143.38</v>
      </c>
      <c r="H954" s="38">
        <v>148.16999999999999</v>
      </c>
      <c r="I954" s="38">
        <v>148.44999999999999</v>
      </c>
      <c r="J954" s="38">
        <v>144.72</v>
      </c>
      <c r="K954" s="38">
        <v>139.49</v>
      </c>
      <c r="L954" s="38">
        <v>134.99</v>
      </c>
      <c r="M954" s="38">
        <v>131.49</v>
      </c>
      <c r="N954" s="38">
        <v>133.56</v>
      </c>
      <c r="O954" s="38">
        <v>134.56</v>
      </c>
      <c r="P954" s="38">
        <v>137.47</v>
      </c>
      <c r="Q954" s="38">
        <v>142.66</v>
      </c>
      <c r="R954" s="38">
        <v>147.47999999999999</v>
      </c>
      <c r="S954" s="38">
        <v>152.72</v>
      </c>
      <c r="T954" s="38">
        <v>158.68</v>
      </c>
      <c r="U954" s="38">
        <v>154.88</v>
      </c>
      <c r="V954" s="38">
        <v>142.80000000000001</v>
      </c>
      <c r="W954" s="38">
        <v>120.49</v>
      </c>
      <c r="X954" s="38">
        <v>112.74</v>
      </c>
      <c r="Y954" s="38">
        <v>108.21</v>
      </c>
      <c r="Z954" s="38">
        <v>110.19</v>
      </c>
      <c r="AA954" s="38">
        <v>112.11</v>
      </c>
      <c r="AB954" s="38">
        <v>113.94</v>
      </c>
      <c r="AC954" s="38">
        <v>119.44</v>
      </c>
      <c r="AD954" s="38">
        <v>123.45</v>
      </c>
      <c r="AE954" s="38">
        <v>125.79</v>
      </c>
      <c r="AF954" s="38">
        <v>127.53</v>
      </c>
      <c r="AG954" s="38">
        <v>127.94</v>
      </c>
      <c r="AH954" s="38">
        <v>115.76</v>
      </c>
      <c r="AI954" s="38">
        <v>104.64</v>
      </c>
      <c r="AJ954" s="38">
        <v>99.89</v>
      </c>
      <c r="AK954" s="38">
        <v>93.88</v>
      </c>
      <c r="AL954" s="38">
        <v>90.38</v>
      </c>
      <c r="AM954" s="38">
        <v>86.82</v>
      </c>
      <c r="AN954" s="38">
        <v>89.05</v>
      </c>
      <c r="AO954" s="38">
        <v>95.82</v>
      </c>
      <c r="AP954" s="38">
        <v>102.39</v>
      </c>
      <c r="AQ954" s="38">
        <v>106.94</v>
      </c>
      <c r="AR954" s="38">
        <v>107.86</v>
      </c>
      <c r="AS954" s="38">
        <v>109.91</v>
      </c>
      <c r="AT954" s="38">
        <v>102.89</v>
      </c>
      <c r="AU954" s="38">
        <v>92.01</v>
      </c>
      <c r="AV954" s="38">
        <v>83.27</v>
      </c>
      <c r="AW954" s="38">
        <v>79.290000000000006</v>
      </c>
      <c r="AX954" s="38">
        <v>73.55</v>
      </c>
      <c r="AY954" s="38">
        <v>73.989999999999995</v>
      </c>
      <c r="BA954" s="37">
        <v>85.92</v>
      </c>
      <c r="BB954" s="38">
        <v>1.2716000000000001</v>
      </c>
    </row>
    <row r="955" spans="1:54" x14ac:dyDescent="0.35">
      <c r="A955" s="2">
        <f t="shared" si="14"/>
        <v>45159</v>
      </c>
      <c r="B955" t="s">
        <v>997</v>
      </c>
      <c r="C955" s="32">
        <v>45159</v>
      </c>
      <c r="D955" s="38">
        <v>102.05</v>
      </c>
      <c r="E955" s="38">
        <v>113.94</v>
      </c>
      <c r="F955" s="38">
        <v>135.1</v>
      </c>
      <c r="G955" s="38">
        <v>149.85</v>
      </c>
      <c r="H955" s="38">
        <v>154</v>
      </c>
      <c r="I955" s="38">
        <v>154.87</v>
      </c>
      <c r="J955" s="38">
        <v>150.74</v>
      </c>
      <c r="K955" s="38">
        <v>146.62</v>
      </c>
      <c r="L955" s="38">
        <v>142.35</v>
      </c>
      <c r="M955" s="38">
        <v>136.83000000000001</v>
      </c>
      <c r="N955" s="38">
        <v>139.04</v>
      </c>
      <c r="O955" s="38">
        <v>140.03</v>
      </c>
      <c r="P955" s="38">
        <v>142.19999999999999</v>
      </c>
      <c r="Q955" s="38">
        <v>146.41999999999999</v>
      </c>
      <c r="R955" s="38">
        <v>151.31</v>
      </c>
      <c r="S955" s="38">
        <v>156.47999999999999</v>
      </c>
      <c r="T955" s="38">
        <v>161.88</v>
      </c>
      <c r="U955" s="38">
        <v>158.08000000000001</v>
      </c>
      <c r="V955" s="38">
        <v>146</v>
      </c>
      <c r="W955" s="38">
        <v>121.74</v>
      </c>
      <c r="X955" s="38">
        <v>113.75</v>
      </c>
      <c r="Y955" s="38">
        <v>109.22</v>
      </c>
      <c r="Z955" s="38">
        <v>111.25</v>
      </c>
      <c r="AA955" s="38">
        <v>113.17</v>
      </c>
      <c r="AB955" s="38">
        <v>115</v>
      </c>
      <c r="AC955" s="38">
        <v>120.46</v>
      </c>
      <c r="AD955" s="38">
        <v>124.47</v>
      </c>
      <c r="AE955" s="38">
        <v>126.81</v>
      </c>
      <c r="AF955" s="38">
        <v>128.69999999999999</v>
      </c>
      <c r="AG955" s="38">
        <v>129.12</v>
      </c>
      <c r="AH955" s="38">
        <v>116.94</v>
      </c>
      <c r="AI955" s="38">
        <v>105.81</v>
      </c>
      <c r="AJ955" s="38">
        <v>101.06</v>
      </c>
      <c r="AK955" s="38">
        <v>95.05</v>
      </c>
      <c r="AL955" s="38">
        <v>91.55</v>
      </c>
      <c r="AM955" s="38">
        <v>87.99</v>
      </c>
      <c r="AN955" s="38">
        <v>90.22</v>
      </c>
      <c r="AO955" s="38">
        <v>96.78</v>
      </c>
      <c r="AP955" s="38">
        <v>103.35</v>
      </c>
      <c r="AQ955" s="38">
        <v>107.9</v>
      </c>
      <c r="AR955" s="38">
        <v>108.82</v>
      </c>
      <c r="AS955" s="38">
        <v>110.85</v>
      </c>
      <c r="AT955" s="38">
        <v>103.83</v>
      </c>
      <c r="AU955" s="38">
        <v>92.83</v>
      </c>
      <c r="AV955" s="38">
        <v>84.09</v>
      </c>
      <c r="AW955" s="38">
        <v>80.11</v>
      </c>
      <c r="AX955" s="38">
        <v>74.37</v>
      </c>
      <c r="AY955" s="38">
        <v>74.81</v>
      </c>
      <c r="BA955" s="37">
        <v>85.44</v>
      </c>
      <c r="BB955" s="38">
        <v>1.2726999999999999</v>
      </c>
    </row>
    <row r="956" spans="1:54" x14ac:dyDescent="0.35">
      <c r="A956" s="2">
        <f t="shared" si="14"/>
        <v>45160</v>
      </c>
      <c r="B956" t="s">
        <v>998</v>
      </c>
      <c r="C956" s="32">
        <v>45160</v>
      </c>
      <c r="D956" s="38">
        <v>106.1</v>
      </c>
      <c r="E956" s="38">
        <v>117.05</v>
      </c>
      <c r="F956" s="38">
        <v>137.18</v>
      </c>
      <c r="G956" s="38">
        <v>150.69999999999999</v>
      </c>
      <c r="H956" s="38">
        <v>155.68</v>
      </c>
      <c r="I956" s="38">
        <v>156.21</v>
      </c>
      <c r="J956" s="38">
        <v>152.19</v>
      </c>
      <c r="K956" s="38">
        <v>144.75</v>
      </c>
      <c r="L956" s="38">
        <v>141.65</v>
      </c>
      <c r="M956" s="38">
        <v>137.30000000000001</v>
      </c>
      <c r="N956" s="38">
        <v>139.26</v>
      </c>
      <c r="O956" s="38">
        <v>140.22</v>
      </c>
      <c r="P956" s="38">
        <v>142.34</v>
      </c>
      <c r="Q956" s="38">
        <v>148.24</v>
      </c>
      <c r="R956" s="38">
        <v>153.11000000000001</v>
      </c>
      <c r="S956" s="38">
        <v>158.26</v>
      </c>
      <c r="T956" s="38">
        <v>163.63999999999999</v>
      </c>
      <c r="U956" s="38">
        <v>159.82</v>
      </c>
      <c r="V956" s="38">
        <v>147.54</v>
      </c>
      <c r="W956" s="38">
        <v>121.79</v>
      </c>
      <c r="X956" s="38">
        <v>113.79</v>
      </c>
      <c r="Y956" s="38">
        <v>109.25</v>
      </c>
      <c r="Z956" s="38">
        <v>111.27</v>
      </c>
      <c r="AA956" s="38">
        <v>113.18</v>
      </c>
      <c r="AB956" s="38">
        <v>115</v>
      </c>
      <c r="AC956" s="38">
        <v>120.65</v>
      </c>
      <c r="AD956" s="38">
        <v>124.65</v>
      </c>
      <c r="AE956" s="38">
        <v>126.98</v>
      </c>
      <c r="AF956" s="38">
        <v>128.86000000000001</v>
      </c>
      <c r="AG956" s="38">
        <v>129.27000000000001</v>
      </c>
      <c r="AH956" s="38">
        <v>117.08</v>
      </c>
      <c r="AI956" s="38">
        <v>106.08</v>
      </c>
      <c r="AJ956" s="38">
        <v>101.32</v>
      </c>
      <c r="AK956" s="38">
        <v>95.3</v>
      </c>
      <c r="AL956" s="38">
        <v>91.79</v>
      </c>
      <c r="AM956" s="38">
        <v>88.21</v>
      </c>
      <c r="AN956" s="38">
        <v>90.43</v>
      </c>
      <c r="AO956" s="38">
        <v>96.97</v>
      </c>
      <c r="AP956" s="38">
        <v>103.52</v>
      </c>
      <c r="AQ956" s="38">
        <v>108.05</v>
      </c>
      <c r="AR956" s="38">
        <v>108.95</v>
      </c>
      <c r="AS956" s="38">
        <v>110.96</v>
      </c>
      <c r="AT956" s="38">
        <v>103.91</v>
      </c>
      <c r="AU956" s="38">
        <v>92.96</v>
      </c>
      <c r="AV956" s="38">
        <v>84.21</v>
      </c>
      <c r="AW956" s="38">
        <v>80.22</v>
      </c>
      <c r="AX956" s="38">
        <v>74.47</v>
      </c>
      <c r="AY956" s="38">
        <v>74.91</v>
      </c>
      <c r="BA956" s="37">
        <v>84.7</v>
      </c>
      <c r="BB956" s="38">
        <v>1.2732000000000001</v>
      </c>
    </row>
    <row r="957" spans="1:54" x14ac:dyDescent="0.35">
      <c r="A957" s="2">
        <f t="shared" si="14"/>
        <v>45161</v>
      </c>
      <c r="B957" t="s">
        <v>999</v>
      </c>
      <c r="C957" s="32">
        <v>45161</v>
      </c>
      <c r="D957" s="38">
        <v>92.32</v>
      </c>
      <c r="E957" s="38">
        <v>103.77</v>
      </c>
      <c r="F957" s="38">
        <v>127.22</v>
      </c>
      <c r="G957" s="38">
        <v>142.63</v>
      </c>
      <c r="H957" s="38">
        <v>147.63</v>
      </c>
      <c r="I957" s="38">
        <v>148.58000000000001</v>
      </c>
      <c r="J957" s="38">
        <v>145.13</v>
      </c>
      <c r="K957" s="38">
        <v>139.43</v>
      </c>
      <c r="L957" s="38">
        <v>134.78</v>
      </c>
      <c r="M957" s="38">
        <v>132.22999999999999</v>
      </c>
      <c r="N957" s="38">
        <v>134.19</v>
      </c>
      <c r="O957" s="38">
        <v>135.15</v>
      </c>
      <c r="P957" s="38">
        <v>137.27000000000001</v>
      </c>
      <c r="Q957" s="38">
        <v>143.16999999999999</v>
      </c>
      <c r="R957" s="38">
        <v>148.04</v>
      </c>
      <c r="S957" s="38">
        <v>153.19</v>
      </c>
      <c r="T957" s="38">
        <v>158.57</v>
      </c>
      <c r="U957" s="38">
        <v>154.75</v>
      </c>
      <c r="V957" s="38">
        <v>142.47</v>
      </c>
      <c r="W957" s="38">
        <v>118.72</v>
      </c>
      <c r="X957" s="38">
        <v>110.72</v>
      </c>
      <c r="Y957" s="38">
        <v>106.18</v>
      </c>
      <c r="Z957" s="38">
        <v>108.2</v>
      </c>
      <c r="AA957" s="38">
        <v>110.11</v>
      </c>
      <c r="AB957" s="38">
        <v>111.93</v>
      </c>
      <c r="AC957" s="38">
        <v>118.58</v>
      </c>
      <c r="AD957" s="38">
        <v>123.58</v>
      </c>
      <c r="AE957" s="38">
        <v>125.91</v>
      </c>
      <c r="AF957" s="38">
        <v>127.79</v>
      </c>
      <c r="AG957" s="38">
        <v>128.19999999999999</v>
      </c>
      <c r="AH957" s="38">
        <v>116.01</v>
      </c>
      <c r="AI957" s="38">
        <v>105.01</v>
      </c>
      <c r="AJ957" s="38">
        <v>100.25</v>
      </c>
      <c r="AK957" s="38">
        <v>94.23</v>
      </c>
      <c r="AL957" s="38">
        <v>90.72</v>
      </c>
      <c r="AM957" s="38">
        <v>87.14</v>
      </c>
      <c r="AN957" s="38">
        <v>89.36</v>
      </c>
      <c r="AO957" s="38">
        <v>95.9</v>
      </c>
      <c r="AP957" s="38">
        <v>102.45</v>
      </c>
      <c r="AQ957" s="38">
        <v>106.98</v>
      </c>
      <c r="AR957" s="38">
        <v>107.88</v>
      </c>
      <c r="AS957" s="38">
        <v>109.89</v>
      </c>
      <c r="AT957" s="38">
        <v>102.84</v>
      </c>
      <c r="AU957" s="38">
        <v>91.89</v>
      </c>
      <c r="AV957" s="38">
        <v>83.14</v>
      </c>
      <c r="AW957" s="38">
        <v>79.150000000000006</v>
      </c>
      <c r="AX957" s="38">
        <v>73.400000000000006</v>
      </c>
      <c r="AY957" s="38">
        <v>73.84</v>
      </c>
      <c r="BA957" s="37">
        <v>83.94</v>
      </c>
      <c r="BB957" s="38">
        <v>1.2683</v>
      </c>
    </row>
    <row r="958" spans="1:54" x14ac:dyDescent="0.35">
      <c r="A958" s="2">
        <f t="shared" si="14"/>
        <v>45162</v>
      </c>
      <c r="B958" t="s">
        <v>1000</v>
      </c>
      <c r="C958" s="32">
        <v>45162</v>
      </c>
      <c r="D958" s="38">
        <v>80.319999999999993</v>
      </c>
      <c r="E958" s="38">
        <v>88.13</v>
      </c>
      <c r="F958" s="38">
        <v>112.34</v>
      </c>
      <c r="G958" s="38">
        <v>128.53</v>
      </c>
      <c r="H958" s="38">
        <v>134.94999999999999</v>
      </c>
      <c r="I958" s="38">
        <v>136.6</v>
      </c>
      <c r="J958" s="38">
        <v>133.55000000000001</v>
      </c>
      <c r="K958" s="38">
        <v>128.58000000000001</v>
      </c>
      <c r="L958" s="38">
        <v>124.79</v>
      </c>
      <c r="M958" s="38">
        <v>122.24</v>
      </c>
      <c r="N958" s="38">
        <v>123.8</v>
      </c>
      <c r="O958" s="38">
        <v>124.76</v>
      </c>
      <c r="P958" s="38">
        <v>126.88</v>
      </c>
      <c r="Q958" s="38">
        <v>133.78</v>
      </c>
      <c r="R958" s="38">
        <v>138.65</v>
      </c>
      <c r="S958" s="38">
        <v>143.80000000000001</v>
      </c>
      <c r="T958" s="38">
        <v>149.18</v>
      </c>
      <c r="U958" s="38">
        <v>145.36000000000001</v>
      </c>
      <c r="V958" s="38">
        <v>133.08000000000001</v>
      </c>
      <c r="W958" s="38">
        <v>114.53</v>
      </c>
      <c r="X958" s="38">
        <v>106.53</v>
      </c>
      <c r="Y958" s="38">
        <v>101.99</v>
      </c>
      <c r="Z958" s="38">
        <v>104.01</v>
      </c>
      <c r="AA958" s="38">
        <v>105.92</v>
      </c>
      <c r="AB958" s="38">
        <v>107.74</v>
      </c>
      <c r="AC958" s="38">
        <v>113.39</v>
      </c>
      <c r="AD958" s="38">
        <v>117.69</v>
      </c>
      <c r="AE958" s="38">
        <v>120.02</v>
      </c>
      <c r="AF958" s="38">
        <v>121.9</v>
      </c>
      <c r="AG958" s="38">
        <v>122.31</v>
      </c>
      <c r="AH958" s="38">
        <v>110.12</v>
      </c>
      <c r="AI958" s="38">
        <v>100.62</v>
      </c>
      <c r="AJ958" s="38">
        <v>95.86</v>
      </c>
      <c r="AK958" s="38">
        <v>89.84</v>
      </c>
      <c r="AL958" s="38">
        <v>86.33</v>
      </c>
      <c r="AM958" s="38">
        <v>82.75</v>
      </c>
      <c r="AN958" s="38">
        <v>84.97</v>
      </c>
      <c r="AO958" s="38">
        <v>91.51</v>
      </c>
      <c r="AP958" s="38">
        <v>98.06</v>
      </c>
      <c r="AQ958" s="38">
        <v>102.59</v>
      </c>
      <c r="AR958" s="38">
        <v>103.49</v>
      </c>
      <c r="AS958" s="38">
        <v>105.5</v>
      </c>
      <c r="AT958" s="38">
        <v>98.45</v>
      </c>
      <c r="AU958" s="38">
        <v>89</v>
      </c>
      <c r="AV958" s="38">
        <v>80.25</v>
      </c>
      <c r="AW958" s="38">
        <v>76.260000000000005</v>
      </c>
      <c r="AX958" s="38">
        <v>70.510000000000005</v>
      </c>
      <c r="AY958" s="38">
        <v>70.95</v>
      </c>
      <c r="BA958" s="37">
        <v>84.07</v>
      </c>
      <c r="BB958" s="38">
        <v>1.2647999999999999</v>
      </c>
    </row>
    <row r="959" spans="1:54" x14ac:dyDescent="0.35">
      <c r="A959" s="2">
        <f t="shared" si="14"/>
        <v>45163</v>
      </c>
      <c r="B959" t="s">
        <v>1001</v>
      </c>
      <c r="C959" s="32">
        <v>45163</v>
      </c>
      <c r="D959" s="38">
        <v>86.65</v>
      </c>
      <c r="E959" s="38">
        <v>92.76</v>
      </c>
      <c r="F959" s="38">
        <v>116.31</v>
      </c>
      <c r="G959" s="38">
        <v>132.5</v>
      </c>
      <c r="H959" s="38">
        <v>138.76</v>
      </c>
      <c r="I959" s="38">
        <v>140.36000000000001</v>
      </c>
      <c r="J959" s="38">
        <v>136.94</v>
      </c>
      <c r="K959" s="38">
        <v>131.94</v>
      </c>
      <c r="L959" s="38">
        <v>128.15</v>
      </c>
      <c r="M959" s="38">
        <v>125.6</v>
      </c>
      <c r="N959" s="38">
        <v>127.16</v>
      </c>
      <c r="O959" s="38">
        <v>128.11000000000001</v>
      </c>
      <c r="P959" s="38">
        <v>130.22999999999999</v>
      </c>
      <c r="Q959" s="38">
        <v>137.13</v>
      </c>
      <c r="R959" s="38">
        <v>142</v>
      </c>
      <c r="S959" s="38">
        <v>147.44999999999999</v>
      </c>
      <c r="T959" s="38">
        <v>153.03</v>
      </c>
      <c r="U959" s="38">
        <v>149.19999999999999</v>
      </c>
      <c r="V959" s="38">
        <v>136.91999999999999</v>
      </c>
      <c r="W959" s="38">
        <v>117.13</v>
      </c>
      <c r="X959" s="38">
        <v>109.38</v>
      </c>
      <c r="Y959" s="38">
        <v>104.84</v>
      </c>
      <c r="Z959" s="38">
        <v>106.86</v>
      </c>
      <c r="AA959" s="38">
        <v>108.77</v>
      </c>
      <c r="AB959" s="38">
        <v>110.59</v>
      </c>
      <c r="AC959" s="38">
        <v>117.04</v>
      </c>
      <c r="AD959" s="38">
        <v>121.34</v>
      </c>
      <c r="AE959" s="38">
        <v>123.67</v>
      </c>
      <c r="AF959" s="38">
        <v>125.55</v>
      </c>
      <c r="AG959" s="38">
        <v>125.96</v>
      </c>
      <c r="AH959" s="38">
        <v>113.77</v>
      </c>
      <c r="AI959" s="38">
        <v>103.87</v>
      </c>
      <c r="AJ959" s="38">
        <v>99.11</v>
      </c>
      <c r="AK959" s="38">
        <v>93.09</v>
      </c>
      <c r="AL959" s="38">
        <v>89.58</v>
      </c>
      <c r="AM959" s="38">
        <v>86</v>
      </c>
      <c r="AN959" s="38">
        <v>88.22</v>
      </c>
      <c r="AO959" s="38">
        <v>94.76</v>
      </c>
      <c r="AP959" s="38">
        <v>101.31</v>
      </c>
      <c r="AQ959" s="38">
        <v>105.84</v>
      </c>
      <c r="AR959" s="38">
        <v>106.74</v>
      </c>
      <c r="AS959" s="38">
        <v>108.75</v>
      </c>
      <c r="AT959" s="38">
        <v>101.7</v>
      </c>
      <c r="AU959" s="38">
        <v>91.25</v>
      </c>
      <c r="AV959" s="38">
        <v>82.5</v>
      </c>
      <c r="AW959" s="38">
        <v>78.510000000000005</v>
      </c>
      <c r="AX959" s="38">
        <v>72.760000000000005</v>
      </c>
      <c r="AY959" s="38">
        <v>73.2</v>
      </c>
      <c r="BA959" s="37">
        <v>85.42</v>
      </c>
      <c r="BB959" s="38">
        <v>1.2554000000000001</v>
      </c>
    </row>
    <row r="960" spans="1:54" x14ac:dyDescent="0.35">
      <c r="A960" s="2">
        <f t="shared" si="14"/>
        <v>45166</v>
      </c>
      <c r="B960" t="s">
        <v>1002</v>
      </c>
      <c r="C960" s="32">
        <v>45166</v>
      </c>
      <c r="D960" s="38">
        <v>86.65</v>
      </c>
      <c r="E960" s="38">
        <v>92.76</v>
      </c>
      <c r="F960" s="38">
        <v>116.31</v>
      </c>
      <c r="G960" s="38">
        <v>132.5</v>
      </c>
      <c r="H960" s="38">
        <v>138.76</v>
      </c>
      <c r="I960" s="38">
        <v>140.36000000000001</v>
      </c>
      <c r="J960" s="38">
        <v>136.94</v>
      </c>
      <c r="K960" s="38">
        <v>131.94</v>
      </c>
      <c r="L960" s="38">
        <v>128.15</v>
      </c>
      <c r="M960" s="38">
        <v>125.6</v>
      </c>
      <c r="N960" s="38">
        <v>127.16</v>
      </c>
      <c r="O960" s="38">
        <v>128.11000000000001</v>
      </c>
      <c r="P960" s="38">
        <v>130.22999999999999</v>
      </c>
      <c r="Q960" s="38">
        <v>137.13</v>
      </c>
      <c r="R960" s="38">
        <v>142</v>
      </c>
      <c r="S960" s="38">
        <v>147.44999999999999</v>
      </c>
      <c r="T960" s="38">
        <v>153.03</v>
      </c>
      <c r="U960" s="38">
        <v>149.19999999999999</v>
      </c>
      <c r="V960" s="38">
        <v>136.91999999999999</v>
      </c>
      <c r="W960" s="38">
        <v>117.13</v>
      </c>
      <c r="X960" s="38">
        <v>109.38</v>
      </c>
      <c r="Y960" s="38">
        <v>104.84</v>
      </c>
      <c r="Z960" s="38">
        <v>106.86</v>
      </c>
      <c r="AA960" s="38">
        <v>108.77</v>
      </c>
      <c r="AB960" s="38">
        <v>110.59</v>
      </c>
      <c r="AC960" s="38">
        <v>117.04</v>
      </c>
      <c r="AD960" s="38">
        <v>121.34</v>
      </c>
      <c r="AE960" s="38">
        <v>123.67</v>
      </c>
      <c r="AF960" s="38">
        <v>125.55</v>
      </c>
      <c r="AG960" s="38">
        <v>125.96</v>
      </c>
      <c r="AH960" s="38">
        <v>113.77</v>
      </c>
      <c r="AI960" s="38">
        <v>103.87</v>
      </c>
      <c r="AJ960" s="38">
        <v>99.11</v>
      </c>
      <c r="AK960" s="38">
        <v>93.09</v>
      </c>
      <c r="AL960" s="38">
        <v>89.58</v>
      </c>
      <c r="AM960" s="38">
        <v>86</v>
      </c>
      <c r="AN960" s="38">
        <v>88.22</v>
      </c>
      <c r="AO960" s="38">
        <v>94.76</v>
      </c>
      <c r="AP960" s="38">
        <v>101.31</v>
      </c>
      <c r="AQ960" s="38">
        <v>105.84</v>
      </c>
      <c r="AR960" s="38">
        <v>106.74</v>
      </c>
      <c r="AS960" s="38">
        <v>108.75</v>
      </c>
      <c r="AT960" s="38">
        <v>101.7</v>
      </c>
      <c r="AU960" s="38">
        <v>91.25</v>
      </c>
      <c r="AV960" s="38">
        <v>82.5</v>
      </c>
      <c r="AW960" s="38">
        <v>78.510000000000005</v>
      </c>
      <c r="AX960" s="38">
        <v>72.760000000000005</v>
      </c>
      <c r="AY960" s="38">
        <v>73.2</v>
      </c>
      <c r="BA960" s="37" t="e">
        <v>#N/A</v>
      </c>
      <c r="BB960" s="38" t="e">
        <v>#N/A</v>
      </c>
    </row>
    <row r="961" spans="1:54" x14ac:dyDescent="0.35">
      <c r="A961" s="2">
        <f t="shared" si="14"/>
        <v>45167</v>
      </c>
      <c r="B961" t="s">
        <v>1003</v>
      </c>
      <c r="C961" s="32">
        <v>45167</v>
      </c>
      <c r="D961" s="38">
        <v>88.3</v>
      </c>
      <c r="E961" s="38">
        <v>94.59</v>
      </c>
      <c r="F961" s="38">
        <v>117.44</v>
      </c>
      <c r="G961" s="38">
        <v>135.34</v>
      </c>
      <c r="H961" s="38">
        <v>141.80000000000001</v>
      </c>
      <c r="I961" s="38">
        <v>142.97</v>
      </c>
      <c r="J961" s="38">
        <v>139.77000000000001</v>
      </c>
      <c r="K961" s="38">
        <v>134.25</v>
      </c>
      <c r="L961" s="38">
        <v>130.16999999999999</v>
      </c>
      <c r="M961" s="38">
        <v>127.62</v>
      </c>
      <c r="N961" s="38">
        <v>129.12</v>
      </c>
      <c r="O961" s="38">
        <v>130.06</v>
      </c>
      <c r="P961" s="38">
        <v>132.18</v>
      </c>
      <c r="Q961" s="38">
        <v>139.05000000000001</v>
      </c>
      <c r="R961" s="38">
        <v>143.91</v>
      </c>
      <c r="S961" s="38">
        <v>149.36000000000001</v>
      </c>
      <c r="T961" s="38">
        <v>154.94</v>
      </c>
      <c r="U961" s="38">
        <v>151.11000000000001</v>
      </c>
      <c r="V961" s="38">
        <v>138.82</v>
      </c>
      <c r="W961" s="38">
        <v>119.27</v>
      </c>
      <c r="X961" s="38">
        <v>111.57</v>
      </c>
      <c r="Y961" s="38">
        <v>107.07</v>
      </c>
      <c r="Z961" s="38">
        <v>109.09</v>
      </c>
      <c r="AA961" s="38">
        <v>111</v>
      </c>
      <c r="AB961" s="38">
        <v>112.82</v>
      </c>
      <c r="AC961" s="38">
        <v>119.25</v>
      </c>
      <c r="AD961" s="38">
        <v>123.55</v>
      </c>
      <c r="AE961" s="38">
        <v>125.88</v>
      </c>
      <c r="AF961" s="38">
        <v>127.76</v>
      </c>
      <c r="AG961" s="38">
        <v>128.16999999999999</v>
      </c>
      <c r="AH961" s="38">
        <v>115.98</v>
      </c>
      <c r="AI961" s="38">
        <v>106.08</v>
      </c>
      <c r="AJ961" s="38">
        <v>101.32</v>
      </c>
      <c r="AK961" s="38">
        <v>95.3</v>
      </c>
      <c r="AL961" s="38">
        <v>91.79</v>
      </c>
      <c r="AM961" s="38">
        <v>88.21</v>
      </c>
      <c r="AN961" s="38">
        <v>90.43</v>
      </c>
      <c r="AO961" s="38">
        <v>96.95</v>
      </c>
      <c r="AP961" s="38">
        <v>103.48</v>
      </c>
      <c r="AQ961" s="38">
        <v>108.01</v>
      </c>
      <c r="AR961" s="38">
        <v>108.92</v>
      </c>
      <c r="AS961" s="38">
        <v>110.93</v>
      </c>
      <c r="AT961" s="38">
        <v>103.88</v>
      </c>
      <c r="AU961" s="38">
        <v>93.77</v>
      </c>
      <c r="AV961" s="38">
        <v>85.02</v>
      </c>
      <c r="AW961" s="38">
        <v>81.03</v>
      </c>
      <c r="AX961" s="38">
        <v>75.28</v>
      </c>
      <c r="AY961" s="38">
        <v>75.72</v>
      </c>
      <c r="BA961" s="37">
        <v>86.37</v>
      </c>
      <c r="BB961" s="38">
        <v>1.2588999999999999</v>
      </c>
    </row>
    <row r="962" spans="1:54" x14ac:dyDescent="0.35">
      <c r="A962" s="2">
        <f t="shared" si="14"/>
        <v>45168</v>
      </c>
      <c r="B962" t="s">
        <v>1004</v>
      </c>
      <c r="C962" s="32">
        <v>45168</v>
      </c>
      <c r="D962" s="38">
        <v>89.81</v>
      </c>
      <c r="E962" s="38">
        <v>97.53</v>
      </c>
      <c r="F962" s="38">
        <v>120.7</v>
      </c>
      <c r="G962" s="38">
        <v>138.55000000000001</v>
      </c>
      <c r="H962" s="38">
        <v>145.05000000000001</v>
      </c>
      <c r="I962" s="38">
        <v>145.97999999999999</v>
      </c>
      <c r="J962" s="38">
        <v>143.22999999999999</v>
      </c>
      <c r="K962" s="38">
        <v>138.19</v>
      </c>
      <c r="L962" s="38">
        <v>133.76</v>
      </c>
      <c r="M962" s="38">
        <v>131.4</v>
      </c>
      <c r="N962" s="38">
        <v>132.38999999999999</v>
      </c>
      <c r="O962" s="38">
        <v>133.33000000000001</v>
      </c>
      <c r="P962" s="38">
        <v>135.44999999999999</v>
      </c>
      <c r="Q962" s="38">
        <v>142.91</v>
      </c>
      <c r="R962" s="38">
        <v>148.37</v>
      </c>
      <c r="S962" s="38">
        <v>153.80000000000001</v>
      </c>
      <c r="T962" s="38">
        <v>158.22999999999999</v>
      </c>
      <c r="U962" s="38">
        <v>154.38999999999999</v>
      </c>
      <c r="V962" s="38">
        <v>142.09</v>
      </c>
      <c r="W962" s="38">
        <v>122.35</v>
      </c>
      <c r="X962" s="38">
        <v>113.69</v>
      </c>
      <c r="Y962" s="38">
        <v>109.1</v>
      </c>
      <c r="Z962" s="38">
        <v>111.12</v>
      </c>
      <c r="AA962" s="38">
        <v>113.02</v>
      </c>
      <c r="AB962" s="38">
        <v>114.84</v>
      </c>
      <c r="AC962" s="38">
        <v>120.46</v>
      </c>
      <c r="AD962" s="38">
        <v>124.71</v>
      </c>
      <c r="AE962" s="38">
        <v>127.01</v>
      </c>
      <c r="AF962" s="38">
        <v>128.86000000000001</v>
      </c>
      <c r="AG962" s="38">
        <v>129.22999999999999</v>
      </c>
      <c r="AH962" s="38">
        <v>117.01</v>
      </c>
      <c r="AI962" s="38">
        <v>107.11</v>
      </c>
      <c r="AJ962" s="38">
        <v>102.17</v>
      </c>
      <c r="AK962" s="38">
        <v>96.15</v>
      </c>
      <c r="AL962" s="38">
        <v>92.64</v>
      </c>
      <c r="AM962" s="38">
        <v>89.06</v>
      </c>
      <c r="AN962" s="38">
        <v>91.28</v>
      </c>
      <c r="AO962" s="38">
        <v>97.66</v>
      </c>
      <c r="AP962" s="38">
        <v>104.19</v>
      </c>
      <c r="AQ962" s="38">
        <v>108.72</v>
      </c>
      <c r="AR962" s="38">
        <v>109.71</v>
      </c>
      <c r="AS962" s="38">
        <v>111.72</v>
      </c>
      <c r="AT962" s="38">
        <v>104.67</v>
      </c>
      <c r="AU962" s="38">
        <v>94.32</v>
      </c>
      <c r="AV962" s="38">
        <v>85.57</v>
      </c>
      <c r="AW962" s="38">
        <v>81.58</v>
      </c>
      <c r="AX962" s="38">
        <v>75.83</v>
      </c>
      <c r="AY962" s="38">
        <v>76.27</v>
      </c>
      <c r="BA962" s="37">
        <v>86.62</v>
      </c>
      <c r="BB962" s="38">
        <v>1.2726999999999999</v>
      </c>
    </row>
    <row r="963" spans="1:54" x14ac:dyDescent="0.35">
      <c r="A963" s="2">
        <f t="shared" si="14"/>
        <v>45169</v>
      </c>
      <c r="B963" t="s">
        <v>1005</v>
      </c>
      <c r="C963" s="32">
        <v>45169</v>
      </c>
      <c r="D963" s="38">
        <v>85.73</v>
      </c>
      <c r="E963" s="38">
        <v>112.73</v>
      </c>
      <c r="F963" s="38">
        <v>131.88999999999999</v>
      </c>
      <c r="G963" s="38">
        <v>139.16999999999999</v>
      </c>
      <c r="H963" s="38">
        <v>140.62</v>
      </c>
      <c r="I963" s="38">
        <v>137.06</v>
      </c>
      <c r="J963" s="38">
        <v>133.91</v>
      </c>
      <c r="K963" s="38">
        <v>129.99</v>
      </c>
      <c r="L963" s="38">
        <v>126.12</v>
      </c>
      <c r="M963" s="38">
        <v>126.58</v>
      </c>
      <c r="N963" s="38">
        <v>126.83</v>
      </c>
      <c r="O963" s="38">
        <v>132.79</v>
      </c>
      <c r="P963" s="38">
        <v>137.96</v>
      </c>
      <c r="Q963" s="38">
        <v>143.41</v>
      </c>
      <c r="R963" s="38">
        <v>148.84</v>
      </c>
      <c r="S963" s="38">
        <v>153.44</v>
      </c>
      <c r="T963" s="38">
        <v>149.6</v>
      </c>
      <c r="U963" s="38">
        <v>137.29</v>
      </c>
      <c r="V963" s="38">
        <v>119.8</v>
      </c>
      <c r="W963" s="38">
        <v>112.05</v>
      </c>
      <c r="X963" s="38">
        <v>107.46</v>
      </c>
      <c r="Y963" s="38">
        <v>109.47</v>
      </c>
      <c r="Z963" s="38">
        <v>111.37</v>
      </c>
      <c r="AA963" s="38">
        <v>113.17</v>
      </c>
      <c r="AB963" s="38">
        <v>118.99</v>
      </c>
      <c r="AC963" s="38">
        <v>123.24</v>
      </c>
      <c r="AD963" s="38">
        <v>125.54</v>
      </c>
      <c r="AE963" s="38">
        <v>127.4</v>
      </c>
      <c r="AF963" s="38">
        <v>127.77</v>
      </c>
      <c r="AG963" s="38">
        <v>115.55</v>
      </c>
      <c r="AH963" s="38">
        <v>106.01</v>
      </c>
      <c r="AI963" s="38">
        <v>101.07</v>
      </c>
      <c r="AJ963" s="38">
        <v>95.04</v>
      </c>
      <c r="AK963" s="38">
        <v>91.53</v>
      </c>
      <c r="AL963" s="38">
        <v>87.95</v>
      </c>
      <c r="AM963" s="38">
        <v>90.17</v>
      </c>
      <c r="AN963" s="38">
        <v>96.52</v>
      </c>
      <c r="AO963" s="38">
        <v>103.05</v>
      </c>
      <c r="AP963" s="38">
        <v>107.58</v>
      </c>
      <c r="AQ963" s="38">
        <v>109.33</v>
      </c>
      <c r="AR963" s="38">
        <v>111.34</v>
      </c>
      <c r="AS963" s="38">
        <v>104.29</v>
      </c>
      <c r="AT963" s="38">
        <v>93.89</v>
      </c>
      <c r="AU963" s="38">
        <v>85.14</v>
      </c>
      <c r="AV963" s="38">
        <v>81.150000000000006</v>
      </c>
      <c r="AW963" s="38">
        <v>75.400000000000006</v>
      </c>
      <c r="AX963" s="38">
        <v>75.84</v>
      </c>
      <c r="AY963" s="38">
        <v>79.89</v>
      </c>
      <c r="BA963" s="37">
        <v>87.29</v>
      </c>
      <c r="BB963" s="38">
        <v>1.2673000000000001</v>
      </c>
    </row>
    <row r="964" spans="1:54" x14ac:dyDescent="0.35">
      <c r="A964" s="2">
        <f t="shared" si="14"/>
        <v>45170</v>
      </c>
      <c r="B964" t="s">
        <v>1006</v>
      </c>
      <c r="C964" s="32">
        <v>45170</v>
      </c>
      <c r="D964" s="38">
        <v>86.76</v>
      </c>
      <c r="E964" s="38">
        <v>112.84</v>
      </c>
      <c r="F964" s="38">
        <v>131.77000000000001</v>
      </c>
      <c r="G964" s="38">
        <v>138.97999999999999</v>
      </c>
      <c r="H964" s="38">
        <v>140.29</v>
      </c>
      <c r="I964" s="38">
        <v>137.29</v>
      </c>
      <c r="J964" s="38">
        <v>133.63</v>
      </c>
      <c r="K964" s="38">
        <v>130.22999999999999</v>
      </c>
      <c r="L964" s="38">
        <v>126.86</v>
      </c>
      <c r="M964" s="38">
        <v>127.32</v>
      </c>
      <c r="N964" s="38">
        <v>127.83</v>
      </c>
      <c r="O964" s="38">
        <v>133.79</v>
      </c>
      <c r="P964" s="38">
        <v>138.72</v>
      </c>
      <c r="Q964" s="38">
        <v>144.13999999999999</v>
      </c>
      <c r="R964" s="38">
        <v>149.58000000000001</v>
      </c>
      <c r="S964" s="38">
        <v>154.24</v>
      </c>
      <c r="T964" s="38">
        <v>150.41999999999999</v>
      </c>
      <c r="U964" s="38">
        <v>138.1</v>
      </c>
      <c r="V964" s="38">
        <v>121.61</v>
      </c>
      <c r="W964" s="38">
        <v>113.85</v>
      </c>
      <c r="X964" s="38">
        <v>109.27</v>
      </c>
      <c r="Y964" s="38">
        <v>111.28</v>
      </c>
      <c r="Z964" s="38">
        <v>113.17</v>
      </c>
      <c r="AA964" s="38">
        <v>114.98</v>
      </c>
      <c r="AB964" s="38">
        <v>120.44</v>
      </c>
      <c r="AC964" s="38">
        <v>124.49</v>
      </c>
      <c r="AD964" s="38">
        <v>126.8</v>
      </c>
      <c r="AE964" s="38">
        <v>128.66999999999999</v>
      </c>
      <c r="AF964" s="38">
        <v>129.05000000000001</v>
      </c>
      <c r="AG964" s="38">
        <v>116.88</v>
      </c>
      <c r="AH964" s="38">
        <v>107.71</v>
      </c>
      <c r="AI964" s="38">
        <v>102.81</v>
      </c>
      <c r="AJ964" s="38">
        <v>96.78</v>
      </c>
      <c r="AK964" s="38">
        <v>93.27</v>
      </c>
      <c r="AL964" s="38">
        <v>89.69</v>
      </c>
      <c r="AM964" s="38">
        <v>91.91</v>
      </c>
      <c r="AN964" s="38">
        <v>97.95</v>
      </c>
      <c r="AO964" s="38">
        <v>104.18</v>
      </c>
      <c r="AP964" s="38">
        <v>108.71</v>
      </c>
      <c r="AQ964" s="38">
        <v>110.46</v>
      </c>
      <c r="AR964" s="38">
        <v>112.47</v>
      </c>
      <c r="AS964" s="38">
        <v>105.42</v>
      </c>
      <c r="AT964" s="38">
        <v>94.94</v>
      </c>
      <c r="AU964" s="38">
        <v>86.19</v>
      </c>
      <c r="AV964" s="38">
        <v>82.2</v>
      </c>
      <c r="AW964" s="38">
        <v>76.45</v>
      </c>
      <c r="AX964" s="38">
        <v>76.89</v>
      </c>
      <c r="AY964" s="38">
        <v>80.94</v>
      </c>
      <c r="BA964" s="37">
        <v>89.98</v>
      </c>
      <c r="BB964" s="38">
        <v>1.2619</v>
      </c>
    </row>
    <row r="965" spans="1:54" x14ac:dyDescent="0.35">
      <c r="A965" s="2">
        <f t="shared" si="14"/>
        <v>45173</v>
      </c>
      <c r="B965" t="s">
        <v>1007</v>
      </c>
      <c r="C965" s="32">
        <v>45173</v>
      </c>
      <c r="D965" s="38">
        <v>81.25</v>
      </c>
      <c r="E965" s="38">
        <v>107.65</v>
      </c>
      <c r="F965" s="38">
        <v>127.64</v>
      </c>
      <c r="G965" s="38">
        <v>136.13999999999999</v>
      </c>
      <c r="H965" s="38">
        <v>137.72999999999999</v>
      </c>
      <c r="I965" s="38">
        <v>134.63</v>
      </c>
      <c r="J965" s="38">
        <v>131.27000000000001</v>
      </c>
      <c r="K965" s="38">
        <v>127.87</v>
      </c>
      <c r="L965" s="38">
        <v>124.5</v>
      </c>
      <c r="M965" s="38">
        <v>124.96</v>
      </c>
      <c r="N965" s="38">
        <v>125.47</v>
      </c>
      <c r="O965" s="38">
        <v>130.43</v>
      </c>
      <c r="P965" s="38">
        <v>135.53</v>
      </c>
      <c r="Q965" s="38">
        <v>140.94999999999999</v>
      </c>
      <c r="R965" s="38">
        <v>146.69</v>
      </c>
      <c r="S965" s="38">
        <v>153.35</v>
      </c>
      <c r="T965" s="38">
        <v>149.53</v>
      </c>
      <c r="U965" s="38">
        <v>136.21</v>
      </c>
      <c r="V965" s="38">
        <v>119.72</v>
      </c>
      <c r="W965" s="38">
        <v>111.98</v>
      </c>
      <c r="X965" s="38">
        <v>107.41</v>
      </c>
      <c r="Y965" s="38">
        <v>109.43</v>
      </c>
      <c r="Z965" s="38">
        <v>111.33</v>
      </c>
      <c r="AA965" s="38">
        <v>113.15</v>
      </c>
      <c r="AB965" s="38">
        <v>119.62</v>
      </c>
      <c r="AC965" s="38">
        <v>123.67</v>
      </c>
      <c r="AD965" s="38">
        <v>125.98</v>
      </c>
      <c r="AE965" s="38">
        <v>127.85</v>
      </c>
      <c r="AF965" s="38">
        <v>128.22999999999999</v>
      </c>
      <c r="AG965" s="38">
        <v>116.06</v>
      </c>
      <c r="AH965" s="38">
        <v>106.89</v>
      </c>
      <c r="AI965" s="38">
        <v>101.99</v>
      </c>
      <c r="AJ965" s="38">
        <v>95.96</v>
      </c>
      <c r="AK965" s="38">
        <v>92.45</v>
      </c>
      <c r="AL965" s="38">
        <v>88.87</v>
      </c>
      <c r="AM965" s="38">
        <v>91.09</v>
      </c>
      <c r="AN965" s="38">
        <v>97.13</v>
      </c>
      <c r="AO965" s="38">
        <v>103.36</v>
      </c>
      <c r="AP965" s="38">
        <v>107.89</v>
      </c>
      <c r="AQ965" s="38">
        <v>109.64</v>
      </c>
      <c r="AR965" s="38">
        <v>111.65</v>
      </c>
      <c r="AS965" s="38">
        <v>104.6</v>
      </c>
      <c r="AT965" s="38">
        <v>94.12</v>
      </c>
      <c r="AU965" s="38">
        <v>85.37</v>
      </c>
      <c r="AV965" s="38">
        <v>81.38</v>
      </c>
      <c r="AW965" s="38">
        <v>75.63</v>
      </c>
      <c r="AX965" s="38">
        <v>76.069999999999993</v>
      </c>
      <c r="AY965" s="38">
        <v>80.12</v>
      </c>
      <c r="BA965" s="37">
        <v>90.42</v>
      </c>
      <c r="BB965" s="38">
        <v>1.2618</v>
      </c>
    </row>
    <row r="966" spans="1:54" x14ac:dyDescent="0.35">
      <c r="A966" s="2">
        <f t="shared" si="14"/>
        <v>45174</v>
      </c>
      <c r="B966" t="s">
        <v>1008</v>
      </c>
      <c r="C966" s="32">
        <v>45174</v>
      </c>
      <c r="D966" s="38">
        <v>83.46</v>
      </c>
      <c r="E966" s="38">
        <v>110.31</v>
      </c>
      <c r="F966" s="38">
        <v>130.19</v>
      </c>
      <c r="G966" s="38">
        <v>138.38</v>
      </c>
      <c r="H966" s="38">
        <v>139.77000000000001</v>
      </c>
      <c r="I966" s="38">
        <v>136.19</v>
      </c>
      <c r="J966" s="38">
        <v>132.61000000000001</v>
      </c>
      <c r="K966" s="38">
        <v>129.41</v>
      </c>
      <c r="L966" s="38">
        <v>126.24</v>
      </c>
      <c r="M966" s="38">
        <v>126.7</v>
      </c>
      <c r="N966" s="38">
        <v>127.21</v>
      </c>
      <c r="O966" s="38">
        <v>131.97</v>
      </c>
      <c r="P966" s="38">
        <v>136.69</v>
      </c>
      <c r="Q966" s="38">
        <v>141.9</v>
      </c>
      <c r="R966" s="38">
        <v>147.63999999999999</v>
      </c>
      <c r="S966" s="38">
        <v>154.30000000000001</v>
      </c>
      <c r="T966" s="38">
        <v>150.47999999999999</v>
      </c>
      <c r="U966" s="38">
        <v>137.16</v>
      </c>
      <c r="V966" s="38">
        <v>121.37</v>
      </c>
      <c r="W966" s="38">
        <v>113.63</v>
      </c>
      <c r="X966" s="38">
        <v>109.06</v>
      </c>
      <c r="Y966" s="38">
        <v>111.08</v>
      </c>
      <c r="Z966" s="38">
        <v>112.98</v>
      </c>
      <c r="AA966" s="38">
        <v>114.8</v>
      </c>
      <c r="AB966" s="38">
        <v>120.87</v>
      </c>
      <c r="AC966" s="38">
        <v>124.92</v>
      </c>
      <c r="AD966" s="38">
        <v>127.23</v>
      </c>
      <c r="AE966" s="38">
        <v>129.1</v>
      </c>
      <c r="AF966" s="38">
        <v>129.47999999999999</v>
      </c>
      <c r="AG966" s="38">
        <v>117.31</v>
      </c>
      <c r="AH966" s="38">
        <v>108.14</v>
      </c>
      <c r="AI966" s="38">
        <v>103.24</v>
      </c>
      <c r="AJ966" s="38">
        <v>97.21</v>
      </c>
      <c r="AK966" s="38">
        <v>93.7</v>
      </c>
      <c r="AL966" s="38">
        <v>90.12</v>
      </c>
      <c r="AM966" s="38">
        <v>92.34</v>
      </c>
      <c r="AN966" s="38">
        <v>98.38</v>
      </c>
      <c r="AO966" s="38">
        <v>104.61</v>
      </c>
      <c r="AP966" s="38">
        <v>109.14</v>
      </c>
      <c r="AQ966" s="38">
        <v>110.89</v>
      </c>
      <c r="AR966" s="38">
        <v>112.9</v>
      </c>
      <c r="AS966" s="38">
        <v>105.85</v>
      </c>
      <c r="AT966" s="38">
        <v>95.37</v>
      </c>
      <c r="AU966" s="38">
        <v>86.62</v>
      </c>
      <c r="AV966" s="38">
        <v>82.63</v>
      </c>
      <c r="AW966" s="38">
        <v>76.88</v>
      </c>
      <c r="AX966" s="38">
        <v>77.319999999999993</v>
      </c>
      <c r="AY966" s="38">
        <v>81.37</v>
      </c>
      <c r="BA966" s="37">
        <v>91.25</v>
      </c>
      <c r="BB966" s="38">
        <v>1.2554000000000001</v>
      </c>
    </row>
    <row r="967" spans="1:54" x14ac:dyDescent="0.35">
      <c r="A967" s="2">
        <f t="shared" si="14"/>
        <v>45175</v>
      </c>
      <c r="B967" t="s">
        <v>1009</v>
      </c>
      <c r="C967" s="32">
        <v>45175</v>
      </c>
      <c r="D967" s="38">
        <v>75.31</v>
      </c>
      <c r="E967" s="38">
        <v>103.63</v>
      </c>
      <c r="F967" s="38">
        <v>124.25</v>
      </c>
      <c r="G967" s="38">
        <v>132.5</v>
      </c>
      <c r="H967" s="38">
        <v>134.36000000000001</v>
      </c>
      <c r="I967" s="38">
        <v>130.16999999999999</v>
      </c>
      <c r="J967" s="38">
        <v>127</v>
      </c>
      <c r="K967" s="38">
        <v>124.32</v>
      </c>
      <c r="L967" s="38">
        <v>121.51</v>
      </c>
      <c r="M967" s="38">
        <v>122.57</v>
      </c>
      <c r="N967" s="38">
        <v>123.15</v>
      </c>
      <c r="O967" s="38">
        <v>127.94</v>
      </c>
      <c r="P967" s="38">
        <v>132.68</v>
      </c>
      <c r="Q967" s="38">
        <v>137.88999999999999</v>
      </c>
      <c r="R967" s="38">
        <v>143.63</v>
      </c>
      <c r="S967" s="38">
        <v>150.30000000000001</v>
      </c>
      <c r="T967" s="38">
        <v>146.47999999999999</v>
      </c>
      <c r="U967" s="38">
        <v>133.16</v>
      </c>
      <c r="V967" s="38">
        <v>119.37</v>
      </c>
      <c r="W967" s="38">
        <v>111.63</v>
      </c>
      <c r="X967" s="38">
        <v>107.06</v>
      </c>
      <c r="Y967" s="38">
        <v>109.08</v>
      </c>
      <c r="Z967" s="38">
        <v>110.98</v>
      </c>
      <c r="AA967" s="38">
        <v>112.8</v>
      </c>
      <c r="AB967" s="38">
        <v>119.17</v>
      </c>
      <c r="AC967" s="38">
        <v>123.22</v>
      </c>
      <c r="AD967" s="38">
        <v>125.53</v>
      </c>
      <c r="AE967" s="38">
        <v>127.4</v>
      </c>
      <c r="AF967" s="38">
        <v>127.78</v>
      </c>
      <c r="AG967" s="38">
        <v>115.61</v>
      </c>
      <c r="AH967" s="38">
        <v>106.44</v>
      </c>
      <c r="AI967" s="38">
        <v>101.54</v>
      </c>
      <c r="AJ967" s="38">
        <v>95.5</v>
      </c>
      <c r="AK967" s="38">
        <v>91.99</v>
      </c>
      <c r="AL967" s="38">
        <v>88.41</v>
      </c>
      <c r="AM967" s="38">
        <v>90.63</v>
      </c>
      <c r="AN967" s="38">
        <v>96.67</v>
      </c>
      <c r="AO967" s="38">
        <v>102.9</v>
      </c>
      <c r="AP967" s="38">
        <v>107.43</v>
      </c>
      <c r="AQ967" s="38">
        <v>109.18</v>
      </c>
      <c r="AR967" s="38">
        <v>111.19</v>
      </c>
      <c r="AS967" s="38">
        <v>104.14</v>
      </c>
      <c r="AT967" s="38">
        <v>93.66</v>
      </c>
      <c r="AU967" s="38">
        <v>84.91</v>
      </c>
      <c r="AV967" s="38">
        <v>80.92</v>
      </c>
      <c r="AW967" s="38">
        <v>75.17</v>
      </c>
      <c r="AX967" s="38">
        <v>75.61</v>
      </c>
      <c r="AY967" s="38">
        <v>79.66</v>
      </c>
      <c r="BA967" s="37">
        <v>91.79</v>
      </c>
      <c r="BB967" s="38">
        <v>1.2491000000000001</v>
      </c>
    </row>
    <row r="968" spans="1:54" x14ac:dyDescent="0.35">
      <c r="A968" s="2">
        <f t="shared" si="14"/>
        <v>45176</v>
      </c>
      <c r="B968" t="s">
        <v>1010</v>
      </c>
      <c r="C968" s="32">
        <v>45176</v>
      </c>
      <c r="D968" s="38">
        <v>79.48</v>
      </c>
      <c r="E968" s="38">
        <v>105.03</v>
      </c>
      <c r="F968" s="38">
        <v>125.34</v>
      </c>
      <c r="G968" s="38">
        <v>133.79</v>
      </c>
      <c r="H968" s="38">
        <v>135.78</v>
      </c>
      <c r="I968" s="38">
        <v>131.34</v>
      </c>
      <c r="J968" s="38">
        <v>129.53</v>
      </c>
      <c r="K968" s="38">
        <v>126.23</v>
      </c>
      <c r="L968" s="38">
        <v>122.92</v>
      </c>
      <c r="M968" s="38">
        <v>124.42</v>
      </c>
      <c r="N968" s="38">
        <v>125</v>
      </c>
      <c r="O968" s="38">
        <v>129.79</v>
      </c>
      <c r="P968" s="38">
        <v>134.52000000000001</v>
      </c>
      <c r="Q968" s="38">
        <v>139.52000000000001</v>
      </c>
      <c r="R968" s="38">
        <v>145.26</v>
      </c>
      <c r="S968" s="38">
        <v>151.93</v>
      </c>
      <c r="T968" s="38">
        <v>148.11000000000001</v>
      </c>
      <c r="U968" s="38">
        <v>134.79</v>
      </c>
      <c r="V968" s="38">
        <v>121</v>
      </c>
      <c r="W968" s="38">
        <v>113.26</v>
      </c>
      <c r="X968" s="38">
        <v>108.69</v>
      </c>
      <c r="Y968" s="38">
        <v>110.71</v>
      </c>
      <c r="Z968" s="38">
        <v>112.61</v>
      </c>
      <c r="AA968" s="38">
        <v>114.43</v>
      </c>
      <c r="AB968" s="38">
        <v>120.8</v>
      </c>
      <c r="AC968" s="38">
        <v>124.85</v>
      </c>
      <c r="AD968" s="38">
        <v>127.16</v>
      </c>
      <c r="AE968" s="38">
        <v>129.03</v>
      </c>
      <c r="AF968" s="38">
        <v>129.41</v>
      </c>
      <c r="AG968" s="38">
        <v>118.24</v>
      </c>
      <c r="AH968" s="38">
        <v>109.07</v>
      </c>
      <c r="AI968" s="38">
        <v>104.17</v>
      </c>
      <c r="AJ968" s="38">
        <v>98.13</v>
      </c>
      <c r="AK968" s="38">
        <v>94.62</v>
      </c>
      <c r="AL968" s="38">
        <v>91.04</v>
      </c>
      <c r="AM968" s="38">
        <v>93.26</v>
      </c>
      <c r="AN968" s="38">
        <v>99.3</v>
      </c>
      <c r="AO968" s="38">
        <v>105.53</v>
      </c>
      <c r="AP968" s="38">
        <v>110.06</v>
      </c>
      <c r="AQ968" s="38">
        <v>111.81</v>
      </c>
      <c r="AR968" s="38">
        <v>113.82</v>
      </c>
      <c r="AS968" s="38">
        <v>106.77</v>
      </c>
      <c r="AT968" s="38">
        <v>95.29</v>
      </c>
      <c r="AU968" s="38">
        <v>86.54</v>
      </c>
      <c r="AV968" s="38">
        <v>82.55</v>
      </c>
      <c r="AW968" s="38">
        <v>76.8</v>
      </c>
      <c r="AX968" s="38">
        <v>77.239999999999995</v>
      </c>
      <c r="AY968" s="38">
        <v>81.290000000000006</v>
      </c>
      <c r="BA968" s="37">
        <v>91.16</v>
      </c>
      <c r="BB968" s="38">
        <v>1.2476</v>
      </c>
    </row>
    <row r="969" spans="1:54" x14ac:dyDescent="0.35">
      <c r="A969" s="2">
        <f t="shared" si="14"/>
        <v>45177</v>
      </c>
      <c r="B969" t="s">
        <v>1011</v>
      </c>
      <c r="C969" s="32">
        <v>45177</v>
      </c>
      <c r="D969" s="38">
        <v>84.86</v>
      </c>
      <c r="E969" s="38">
        <v>108.26</v>
      </c>
      <c r="F969" s="38">
        <v>127.54</v>
      </c>
      <c r="G969" s="38">
        <v>134.88999999999999</v>
      </c>
      <c r="H969" s="38">
        <v>136.01</v>
      </c>
      <c r="I969" s="38">
        <v>132.30000000000001</v>
      </c>
      <c r="J969" s="38">
        <v>128.85</v>
      </c>
      <c r="K969" s="38">
        <v>125.55</v>
      </c>
      <c r="L969" s="38">
        <v>122.24</v>
      </c>
      <c r="M969" s="38">
        <v>123.74</v>
      </c>
      <c r="N969" s="38">
        <v>124.32</v>
      </c>
      <c r="O969" s="38">
        <v>129.11000000000001</v>
      </c>
      <c r="P969" s="38">
        <v>133.84</v>
      </c>
      <c r="Q969" s="38">
        <v>138.84</v>
      </c>
      <c r="R969" s="38">
        <v>144.58000000000001</v>
      </c>
      <c r="S969" s="38">
        <v>151.25</v>
      </c>
      <c r="T969" s="38">
        <v>147.43</v>
      </c>
      <c r="U969" s="38">
        <v>134.11000000000001</v>
      </c>
      <c r="V969" s="38">
        <v>119.61</v>
      </c>
      <c r="W969" s="38">
        <v>112.61</v>
      </c>
      <c r="X969" s="38">
        <v>108.04</v>
      </c>
      <c r="Y969" s="38">
        <v>110.06</v>
      </c>
      <c r="Z969" s="38">
        <v>111.96</v>
      </c>
      <c r="AA969" s="38">
        <v>113.78</v>
      </c>
      <c r="AB969" s="38">
        <v>118.15</v>
      </c>
      <c r="AC969" s="38">
        <v>122.2</v>
      </c>
      <c r="AD969" s="38">
        <v>124.51</v>
      </c>
      <c r="AE969" s="38">
        <v>126.38</v>
      </c>
      <c r="AF969" s="38">
        <v>126.76</v>
      </c>
      <c r="AG969" s="38">
        <v>118.59</v>
      </c>
      <c r="AH969" s="38">
        <v>109.92</v>
      </c>
      <c r="AI969" s="38">
        <v>105.02</v>
      </c>
      <c r="AJ969" s="38">
        <v>98.98</v>
      </c>
      <c r="AK969" s="38">
        <v>95.47</v>
      </c>
      <c r="AL969" s="38">
        <v>91.89</v>
      </c>
      <c r="AM969" s="38">
        <v>94.11</v>
      </c>
      <c r="AN969" s="38">
        <v>101.15</v>
      </c>
      <c r="AO969" s="38">
        <v>107.38</v>
      </c>
      <c r="AP969" s="38">
        <v>111.91</v>
      </c>
      <c r="AQ969" s="38">
        <v>113.66</v>
      </c>
      <c r="AR969" s="38">
        <v>115.67</v>
      </c>
      <c r="AS969" s="38">
        <v>107.62</v>
      </c>
      <c r="AT969" s="38">
        <v>96.14</v>
      </c>
      <c r="AU969" s="38">
        <v>87.39</v>
      </c>
      <c r="AV969" s="38">
        <v>83.4</v>
      </c>
      <c r="AW969" s="38">
        <v>77.650000000000006</v>
      </c>
      <c r="AX969" s="38">
        <v>78.09</v>
      </c>
      <c r="AY969" s="38">
        <v>82.14</v>
      </c>
      <c r="BA969" s="37">
        <v>91.85</v>
      </c>
      <c r="BB969" s="38">
        <v>1.2484999999999999</v>
      </c>
    </row>
    <row r="970" spans="1:54" x14ac:dyDescent="0.35">
      <c r="A970" s="2">
        <f t="shared" si="14"/>
        <v>45180</v>
      </c>
      <c r="B970" t="s">
        <v>1012</v>
      </c>
      <c r="C970" s="32">
        <v>45180</v>
      </c>
      <c r="D970" s="38">
        <v>89.81</v>
      </c>
      <c r="E970" s="38">
        <v>110.41</v>
      </c>
      <c r="F970" s="38">
        <v>129.26</v>
      </c>
      <c r="G970" s="38">
        <v>136.34</v>
      </c>
      <c r="H970" s="38">
        <v>137.75</v>
      </c>
      <c r="I970" s="38">
        <v>133.69999999999999</v>
      </c>
      <c r="J970" s="38">
        <v>129.16</v>
      </c>
      <c r="K970" s="38">
        <v>125.96</v>
      </c>
      <c r="L970" s="38">
        <v>122.79</v>
      </c>
      <c r="M970" s="38">
        <v>124.05</v>
      </c>
      <c r="N970" s="38">
        <v>124.62</v>
      </c>
      <c r="O970" s="38">
        <v>129.41</v>
      </c>
      <c r="P970" s="38">
        <v>133.91</v>
      </c>
      <c r="Q970" s="38">
        <v>138.88</v>
      </c>
      <c r="R970" s="38">
        <v>144.77000000000001</v>
      </c>
      <c r="S970" s="38">
        <v>151.47999999999999</v>
      </c>
      <c r="T970" s="38">
        <v>147.72</v>
      </c>
      <c r="U970" s="38">
        <v>134.22999999999999</v>
      </c>
      <c r="V970" s="38">
        <v>119.82</v>
      </c>
      <c r="W970" s="38">
        <v>112.82</v>
      </c>
      <c r="X970" s="38">
        <v>108.25</v>
      </c>
      <c r="Y970" s="38">
        <v>110.27</v>
      </c>
      <c r="Z970" s="38">
        <v>112.17</v>
      </c>
      <c r="AA970" s="38">
        <v>114</v>
      </c>
      <c r="AB970" s="38">
        <v>119.02</v>
      </c>
      <c r="AC970" s="38">
        <v>123.37</v>
      </c>
      <c r="AD970" s="38">
        <v>125.68</v>
      </c>
      <c r="AE970" s="38">
        <v>127.92</v>
      </c>
      <c r="AF970" s="38">
        <v>128.30000000000001</v>
      </c>
      <c r="AG970" s="38">
        <v>120.13</v>
      </c>
      <c r="AH970" s="38">
        <v>111.37</v>
      </c>
      <c r="AI970" s="38">
        <v>106.47</v>
      </c>
      <c r="AJ970" s="38">
        <v>100.43</v>
      </c>
      <c r="AK970" s="38">
        <v>96.92</v>
      </c>
      <c r="AL970" s="38">
        <v>93.34</v>
      </c>
      <c r="AM970" s="38">
        <v>95.56</v>
      </c>
      <c r="AN970" s="38">
        <v>102.06</v>
      </c>
      <c r="AO970" s="38">
        <v>108.06</v>
      </c>
      <c r="AP970" s="38">
        <v>112.59</v>
      </c>
      <c r="AQ970" s="38">
        <v>114.48</v>
      </c>
      <c r="AR970" s="38">
        <v>116.49</v>
      </c>
      <c r="AS970" s="38">
        <v>108.44</v>
      </c>
      <c r="AT970" s="38">
        <v>97.49</v>
      </c>
      <c r="AU970" s="38">
        <v>88.74</v>
      </c>
      <c r="AV970" s="38">
        <v>84.75</v>
      </c>
      <c r="AW970" s="38">
        <v>79</v>
      </c>
      <c r="AX970" s="38">
        <v>79.44</v>
      </c>
      <c r="AY970" s="38">
        <v>83.49</v>
      </c>
      <c r="BA970" s="37">
        <v>91.97</v>
      </c>
      <c r="BB970" s="38">
        <v>1.2528999999999999</v>
      </c>
    </row>
    <row r="971" spans="1:54" x14ac:dyDescent="0.35">
      <c r="A971" s="2">
        <f t="shared" si="14"/>
        <v>45181</v>
      </c>
      <c r="B971" t="s">
        <v>1013</v>
      </c>
      <c r="C971" s="32">
        <v>45181</v>
      </c>
      <c r="D971" s="38">
        <v>86.97</v>
      </c>
      <c r="E971" s="38">
        <v>109.38</v>
      </c>
      <c r="F971" s="38">
        <v>127.61</v>
      </c>
      <c r="G971" s="38">
        <v>135.85</v>
      </c>
      <c r="H971" s="38">
        <v>137.07</v>
      </c>
      <c r="I971" s="38">
        <v>133.59</v>
      </c>
      <c r="J971" s="38">
        <v>129</v>
      </c>
      <c r="K971" s="38">
        <v>125.72</v>
      </c>
      <c r="L971" s="38">
        <v>122.5</v>
      </c>
      <c r="M971" s="38">
        <v>123.55</v>
      </c>
      <c r="N971" s="38">
        <v>124.12</v>
      </c>
      <c r="O971" s="38">
        <v>128.91</v>
      </c>
      <c r="P971" s="38">
        <v>133.35</v>
      </c>
      <c r="Q971" s="38">
        <v>138.24</v>
      </c>
      <c r="R971" s="38">
        <v>144.04</v>
      </c>
      <c r="S971" s="38">
        <v>150.76</v>
      </c>
      <c r="T971" s="38">
        <v>147.01</v>
      </c>
      <c r="U971" s="38">
        <v>133.53</v>
      </c>
      <c r="V971" s="38">
        <v>119.55</v>
      </c>
      <c r="W971" s="38">
        <v>112.55</v>
      </c>
      <c r="X971" s="38">
        <v>107.98</v>
      </c>
      <c r="Y971" s="38">
        <v>110</v>
      </c>
      <c r="Z971" s="38">
        <v>111.9</v>
      </c>
      <c r="AA971" s="38">
        <v>113.73</v>
      </c>
      <c r="AB971" s="38">
        <v>118.4</v>
      </c>
      <c r="AC971" s="38">
        <v>122.75</v>
      </c>
      <c r="AD971" s="38">
        <v>125.06</v>
      </c>
      <c r="AE971" s="38">
        <v>127.32</v>
      </c>
      <c r="AF971" s="38">
        <v>127.7</v>
      </c>
      <c r="AG971" s="38">
        <v>119.53</v>
      </c>
      <c r="AH971" s="38">
        <v>110.87</v>
      </c>
      <c r="AI971" s="38">
        <v>105.97</v>
      </c>
      <c r="AJ971" s="38">
        <v>99.93</v>
      </c>
      <c r="AK971" s="38">
        <v>96.42</v>
      </c>
      <c r="AL971" s="38">
        <v>92.84</v>
      </c>
      <c r="AM971" s="38">
        <v>95.06</v>
      </c>
      <c r="AN971" s="38">
        <v>101.56</v>
      </c>
      <c r="AO971" s="38">
        <v>107.56</v>
      </c>
      <c r="AP971" s="38">
        <v>112.09</v>
      </c>
      <c r="AQ971" s="38">
        <v>113.98</v>
      </c>
      <c r="AR971" s="38">
        <v>115.99</v>
      </c>
      <c r="AS971" s="38">
        <v>107.94</v>
      </c>
      <c r="AT971" s="38">
        <v>97.44</v>
      </c>
      <c r="AU971" s="38">
        <v>88.69</v>
      </c>
      <c r="AV971" s="38">
        <v>84.7</v>
      </c>
      <c r="AW971" s="38">
        <v>78.95</v>
      </c>
      <c r="AX971" s="38">
        <v>79.400000000000006</v>
      </c>
      <c r="AY971" s="38">
        <v>83.45</v>
      </c>
      <c r="BA971" s="37">
        <v>93.58</v>
      </c>
      <c r="BB971" s="38">
        <v>1.2465999999999999</v>
      </c>
    </row>
    <row r="972" spans="1:54" x14ac:dyDescent="0.35">
      <c r="A972" s="2">
        <f t="shared" si="14"/>
        <v>45182</v>
      </c>
      <c r="B972" t="s">
        <v>1014</v>
      </c>
      <c r="C972" s="32">
        <v>45182</v>
      </c>
      <c r="D972" s="38">
        <v>92.3</v>
      </c>
      <c r="E972" s="38">
        <v>113.74</v>
      </c>
      <c r="F972" s="38">
        <v>131.55000000000001</v>
      </c>
      <c r="G972" s="38">
        <v>139.13999999999999</v>
      </c>
      <c r="H972" s="38">
        <v>140.71</v>
      </c>
      <c r="I972" s="38">
        <v>136.66999999999999</v>
      </c>
      <c r="J972" s="38">
        <v>132.41</v>
      </c>
      <c r="K972" s="38">
        <v>128.58000000000001</v>
      </c>
      <c r="L972" s="38">
        <v>125.15</v>
      </c>
      <c r="M972" s="38">
        <v>126.26</v>
      </c>
      <c r="N972" s="38">
        <v>126.83</v>
      </c>
      <c r="O972" s="38">
        <v>131.52000000000001</v>
      </c>
      <c r="P972" s="38">
        <v>135.38</v>
      </c>
      <c r="Q972" s="38">
        <v>140.27000000000001</v>
      </c>
      <c r="R972" s="38">
        <v>146.13999999999999</v>
      </c>
      <c r="S972" s="38">
        <v>153.34</v>
      </c>
      <c r="T972" s="38">
        <v>149.66</v>
      </c>
      <c r="U972" s="38">
        <v>136.18</v>
      </c>
      <c r="V972" s="38">
        <v>121.83</v>
      </c>
      <c r="W972" s="38">
        <v>114.17</v>
      </c>
      <c r="X972" s="38">
        <v>109.6</v>
      </c>
      <c r="Y972" s="38">
        <v>111.61</v>
      </c>
      <c r="Z972" s="38">
        <v>113.51</v>
      </c>
      <c r="AA972" s="38">
        <v>115.34</v>
      </c>
      <c r="AB972" s="38">
        <v>119.88</v>
      </c>
      <c r="AC972" s="38">
        <v>124.23</v>
      </c>
      <c r="AD972" s="38">
        <v>126.54</v>
      </c>
      <c r="AE972" s="38">
        <v>128.80000000000001</v>
      </c>
      <c r="AF972" s="38">
        <v>129.18</v>
      </c>
      <c r="AG972" s="38">
        <v>121.01</v>
      </c>
      <c r="AH972" s="38">
        <v>112.12</v>
      </c>
      <c r="AI972" s="38">
        <v>107.22</v>
      </c>
      <c r="AJ972" s="38">
        <v>101.18</v>
      </c>
      <c r="AK972" s="38">
        <v>97.67</v>
      </c>
      <c r="AL972" s="38">
        <v>94.09</v>
      </c>
      <c r="AM972" s="38">
        <v>96.31</v>
      </c>
      <c r="AN972" s="38">
        <v>102.79</v>
      </c>
      <c r="AO972" s="38">
        <v>108.79</v>
      </c>
      <c r="AP972" s="38">
        <v>113.32</v>
      </c>
      <c r="AQ972" s="38">
        <v>115.15</v>
      </c>
      <c r="AR972" s="38">
        <v>117.17</v>
      </c>
      <c r="AS972" s="38">
        <v>109.12</v>
      </c>
      <c r="AT972" s="38">
        <v>98.3</v>
      </c>
      <c r="AU972" s="38">
        <v>89.55</v>
      </c>
      <c r="AV972" s="38">
        <v>85.56</v>
      </c>
      <c r="AW972" s="38">
        <v>79.81</v>
      </c>
      <c r="AX972" s="38">
        <v>80.260000000000005</v>
      </c>
      <c r="AY972" s="38">
        <v>84.31</v>
      </c>
      <c r="BA972" s="37">
        <v>93.04</v>
      </c>
      <c r="BB972" s="38">
        <v>1.2490000000000001</v>
      </c>
    </row>
    <row r="973" spans="1:54" x14ac:dyDescent="0.35">
      <c r="A973" s="2">
        <f t="shared" ref="A973:A1036" si="15">+A968+7</f>
        <v>45183</v>
      </c>
      <c r="B973" t="s">
        <v>1015</v>
      </c>
      <c r="C973" s="32">
        <v>45183</v>
      </c>
      <c r="D973" s="38">
        <v>89.27</v>
      </c>
      <c r="E973" s="38">
        <v>110.3</v>
      </c>
      <c r="F973" s="38">
        <v>128.46</v>
      </c>
      <c r="G973" s="38">
        <v>136.80000000000001</v>
      </c>
      <c r="H973" s="38">
        <v>138.30000000000001</v>
      </c>
      <c r="I973" s="38">
        <v>134.21</v>
      </c>
      <c r="J973" s="38">
        <v>130.81</v>
      </c>
      <c r="K973" s="38">
        <v>125.01</v>
      </c>
      <c r="L973" s="38">
        <v>124.01</v>
      </c>
      <c r="M973" s="38">
        <v>124.51</v>
      </c>
      <c r="N973" s="38">
        <v>125.08</v>
      </c>
      <c r="O973" s="38">
        <v>129.77000000000001</v>
      </c>
      <c r="P973" s="38">
        <v>134.38999999999999</v>
      </c>
      <c r="Q973" s="38">
        <v>139.38</v>
      </c>
      <c r="R973" s="38">
        <v>145.33000000000001</v>
      </c>
      <c r="S973" s="38">
        <v>152.28</v>
      </c>
      <c r="T973" s="38">
        <v>148.72999999999999</v>
      </c>
      <c r="U973" s="38">
        <v>135.25</v>
      </c>
      <c r="V973" s="38">
        <v>120.12</v>
      </c>
      <c r="W973" s="38">
        <v>113.27</v>
      </c>
      <c r="X973" s="38">
        <v>108.27</v>
      </c>
      <c r="Y973" s="38">
        <v>110.28</v>
      </c>
      <c r="Z973" s="38">
        <v>112.18</v>
      </c>
      <c r="AA973" s="38">
        <v>114.01</v>
      </c>
      <c r="AB973" s="38">
        <v>118.62</v>
      </c>
      <c r="AC973" s="38">
        <v>123.02</v>
      </c>
      <c r="AD973" s="38">
        <v>125.38</v>
      </c>
      <c r="AE973" s="38">
        <v>127.98</v>
      </c>
      <c r="AF973" s="38">
        <v>128.4</v>
      </c>
      <c r="AG973" s="38">
        <v>120.28</v>
      </c>
      <c r="AH973" s="38">
        <v>111.63</v>
      </c>
      <c r="AI973" s="38">
        <v>105.38</v>
      </c>
      <c r="AJ973" s="38">
        <v>99.34</v>
      </c>
      <c r="AK973" s="38">
        <v>95.83</v>
      </c>
      <c r="AL973" s="38">
        <v>92.25</v>
      </c>
      <c r="AM973" s="38">
        <v>94.47</v>
      </c>
      <c r="AN973" s="38">
        <v>101.01</v>
      </c>
      <c r="AO973" s="38">
        <v>107.01</v>
      </c>
      <c r="AP973" s="38">
        <v>111.56</v>
      </c>
      <c r="AQ973" s="38">
        <v>113.41</v>
      </c>
      <c r="AR973" s="38">
        <v>115.42</v>
      </c>
      <c r="AS973" s="38">
        <v>107.38</v>
      </c>
      <c r="AT973" s="38">
        <v>96.57</v>
      </c>
      <c r="AU973" s="38">
        <v>87.82</v>
      </c>
      <c r="AV973" s="38">
        <v>83.83</v>
      </c>
      <c r="AW973" s="38">
        <v>78.08</v>
      </c>
      <c r="AX973" s="38">
        <v>78.53</v>
      </c>
      <c r="AY973" s="38">
        <v>82.58</v>
      </c>
      <c r="BA973" s="37">
        <v>95.2</v>
      </c>
      <c r="BB973" s="38">
        <v>1.2415</v>
      </c>
    </row>
    <row r="974" spans="1:54" x14ac:dyDescent="0.35">
      <c r="A974" s="2">
        <f t="shared" si="15"/>
        <v>45184</v>
      </c>
      <c r="B974" t="s">
        <v>1016</v>
      </c>
      <c r="C974" s="32">
        <v>45184</v>
      </c>
      <c r="D974" s="38">
        <v>92.14</v>
      </c>
      <c r="E974" s="38">
        <v>111.17</v>
      </c>
      <c r="F974" s="38">
        <v>130.22999999999999</v>
      </c>
      <c r="G974" s="38">
        <v>137.81</v>
      </c>
      <c r="H974" s="38">
        <v>139.37</v>
      </c>
      <c r="I974" s="38">
        <v>135.72</v>
      </c>
      <c r="J974" s="38">
        <v>131.93</v>
      </c>
      <c r="K974" s="38">
        <v>128.18</v>
      </c>
      <c r="L974" s="38">
        <v>125.35</v>
      </c>
      <c r="M974" s="38">
        <v>126.34</v>
      </c>
      <c r="N974" s="38">
        <v>126.91</v>
      </c>
      <c r="O974" s="38">
        <v>131.59</v>
      </c>
      <c r="P974" s="38">
        <v>135.59</v>
      </c>
      <c r="Q974" s="38">
        <v>140.27000000000001</v>
      </c>
      <c r="R974" s="38">
        <v>146.22</v>
      </c>
      <c r="S974" s="38">
        <v>153.22</v>
      </c>
      <c r="T974" s="38">
        <v>149.66999999999999</v>
      </c>
      <c r="U974" s="38">
        <v>136.19999999999999</v>
      </c>
      <c r="V974" s="38">
        <v>121.62</v>
      </c>
      <c r="W974" s="38">
        <v>114.17</v>
      </c>
      <c r="X974" s="38">
        <v>109.17</v>
      </c>
      <c r="Y974" s="38">
        <v>111.18</v>
      </c>
      <c r="Z974" s="38">
        <v>113.08</v>
      </c>
      <c r="AA974" s="38">
        <v>114.91</v>
      </c>
      <c r="AB974" s="38">
        <v>118.98</v>
      </c>
      <c r="AC974" s="38">
        <v>123.27</v>
      </c>
      <c r="AD974" s="38">
        <v>125.63</v>
      </c>
      <c r="AE974" s="38">
        <v>128.30000000000001</v>
      </c>
      <c r="AF974" s="38">
        <v>128.72</v>
      </c>
      <c r="AG974" s="38">
        <v>120.59</v>
      </c>
      <c r="AH974" s="38">
        <v>112.34</v>
      </c>
      <c r="AI974" s="38">
        <v>106.09</v>
      </c>
      <c r="AJ974" s="38">
        <v>100.05</v>
      </c>
      <c r="AK974" s="38">
        <v>96.54</v>
      </c>
      <c r="AL974" s="38">
        <v>92.96</v>
      </c>
      <c r="AM974" s="38">
        <v>95.2</v>
      </c>
      <c r="AN974" s="38">
        <v>101.82</v>
      </c>
      <c r="AO974" s="38">
        <v>107.92</v>
      </c>
      <c r="AP974" s="38">
        <v>112.47</v>
      </c>
      <c r="AQ974" s="38">
        <v>114.4</v>
      </c>
      <c r="AR974" s="38">
        <v>116.41</v>
      </c>
      <c r="AS974" s="38">
        <v>108.37</v>
      </c>
      <c r="AT974" s="38">
        <v>97.56</v>
      </c>
      <c r="AU974" s="38">
        <v>88.81</v>
      </c>
      <c r="AV974" s="38">
        <v>84.82</v>
      </c>
      <c r="AW974" s="38">
        <v>79.069999999999993</v>
      </c>
      <c r="AX974" s="38">
        <v>79.52</v>
      </c>
      <c r="AY974" s="38">
        <v>83.57</v>
      </c>
      <c r="BA974" s="37">
        <v>95.55</v>
      </c>
      <c r="BB974" s="38">
        <v>1.2395</v>
      </c>
    </row>
    <row r="975" spans="1:54" x14ac:dyDescent="0.35">
      <c r="A975" s="2">
        <f t="shared" si="15"/>
        <v>45187</v>
      </c>
      <c r="B975" t="s">
        <v>1017</v>
      </c>
      <c r="C975" s="32">
        <v>45187</v>
      </c>
      <c r="D975" s="38">
        <v>87.52</v>
      </c>
      <c r="E975" s="38">
        <v>106.92</v>
      </c>
      <c r="F975" s="38">
        <v>125.74</v>
      </c>
      <c r="G975" s="38">
        <v>133.9</v>
      </c>
      <c r="H975" s="38">
        <v>135.55000000000001</v>
      </c>
      <c r="I975" s="38">
        <v>131.99</v>
      </c>
      <c r="J975" s="38">
        <v>129.37</v>
      </c>
      <c r="K975" s="38">
        <v>124.46</v>
      </c>
      <c r="L975" s="38">
        <v>123.08</v>
      </c>
      <c r="M975" s="38">
        <v>123.51</v>
      </c>
      <c r="N975" s="38">
        <v>124.02</v>
      </c>
      <c r="O975" s="38">
        <v>128.41999999999999</v>
      </c>
      <c r="P975" s="38">
        <v>132.72999999999999</v>
      </c>
      <c r="Q975" s="38">
        <v>138.99</v>
      </c>
      <c r="R975" s="38">
        <v>144.49</v>
      </c>
      <c r="S975" s="38">
        <v>149.86000000000001</v>
      </c>
      <c r="T975" s="38">
        <v>146.31</v>
      </c>
      <c r="U975" s="38">
        <v>133</v>
      </c>
      <c r="V975" s="38">
        <v>119.51</v>
      </c>
      <c r="W975" s="38">
        <v>112.59</v>
      </c>
      <c r="X975" s="38">
        <v>107.8</v>
      </c>
      <c r="Y975" s="38">
        <v>109.86</v>
      </c>
      <c r="Z975" s="38">
        <v>111.8</v>
      </c>
      <c r="AA975" s="38">
        <v>113.68</v>
      </c>
      <c r="AB975" s="38">
        <v>117.85</v>
      </c>
      <c r="AC975" s="38">
        <v>122.15</v>
      </c>
      <c r="AD975" s="38">
        <v>124.51</v>
      </c>
      <c r="AE975" s="38">
        <v>127.78</v>
      </c>
      <c r="AF975" s="38">
        <v>128.19999999999999</v>
      </c>
      <c r="AG975" s="38">
        <v>120.07</v>
      </c>
      <c r="AH975" s="38">
        <v>111.82</v>
      </c>
      <c r="AI975" s="38">
        <v>105.57</v>
      </c>
      <c r="AJ975" s="38">
        <v>99.53</v>
      </c>
      <c r="AK975" s="38">
        <v>96.02</v>
      </c>
      <c r="AL975" s="38">
        <v>92.44</v>
      </c>
      <c r="AM975" s="38">
        <v>94.68</v>
      </c>
      <c r="AN975" s="38">
        <v>101.3</v>
      </c>
      <c r="AO975" s="38">
        <v>107.4</v>
      </c>
      <c r="AP975" s="38">
        <v>111.95</v>
      </c>
      <c r="AQ975" s="38">
        <v>113.88</v>
      </c>
      <c r="AR975" s="38">
        <v>115.89</v>
      </c>
      <c r="AS975" s="38">
        <v>107.85</v>
      </c>
      <c r="AT975" s="38">
        <v>97.36</v>
      </c>
      <c r="AU975" s="38">
        <v>88.61</v>
      </c>
      <c r="AV975" s="38">
        <v>84.62</v>
      </c>
      <c r="AW975" s="38">
        <v>78.87</v>
      </c>
      <c r="AX975" s="38">
        <v>79.319999999999993</v>
      </c>
      <c r="AY975" s="38">
        <v>83.37</v>
      </c>
      <c r="BA975" s="37">
        <v>95.95</v>
      </c>
      <c r="BB975" s="38">
        <v>1.238</v>
      </c>
    </row>
    <row r="976" spans="1:54" x14ac:dyDescent="0.35">
      <c r="A976" s="2">
        <f t="shared" si="15"/>
        <v>45188</v>
      </c>
      <c r="B976" t="s">
        <v>1018</v>
      </c>
      <c r="C976" s="32">
        <v>45188</v>
      </c>
      <c r="D976" s="38">
        <v>93.59</v>
      </c>
      <c r="E976" s="38">
        <v>109.98</v>
      </c>
      <c r="F976" s="38">
        <v>126.64</v>
      </c>
      <c r="G976" s="38">
        <v>135</v>
      </c>
      <c r="H976" s="38">
        <v>136.75</v>
      </c>
      <c r="I976" s="38">
        <v>133.5</v>
      </c>
      <c r="J976" s="38">
        <v>129.43</v>
      </c>
      <c r="K976" s="38">
        <v>126.45</v>
      </c>
      <c r="L976" s="38">
        <v>123.8</v>
      </c>
      <c r="M976" s="38">
        <v>124.13</v>
      </c>
      <c r="N976" s="38">
        <v>124.64</v>
      </c>
      <c r="O976" s="38">
        <v>129</v>
      </c>
      <c r="P976" s="38">
        <v>133.11000000000001</v>
      </c>
      <c r="Q976" s="38">
        <v>139.33000000000001</v>
      </c>
      <c r="R976" s="38">
        <v>144.83000000000001</v>
      </c>
      <c r="S976" s="38">
        <v>151.35</v>
      </c>
      <c r="T976" s="38">
        <v>147.80000000000001</v>
      </c>
      <c r="U976" s="38">
        <v>134.49</v>
      </c>
      <c r="V976" s="38">
        <v>120.54</v>
      </c>
      <c r="W976" s="38">
        <v>113.39</v>
      </c>
      <c r="X976" s="38">
        <v>108.9</v>
      </c>
      <c r="Y976" s="38">
        <v>110.95</v>
      </c>
      <c r="Z976" s="38">
        <v>112.82</v>
      </c>
      <c r="AA976" s="38">
        <v>114.67</v>
      </c>
      <c r="AB976" s="38">
        <v>119.32</v>
      </c>
      <c r="AC976" s="38">
        <v>123.62</v>
      </c>
      <c r="AD976" s="38">
        <v>125.98</v>
      </c>
      <c r="AE976" s="38">
        <v>128.77000000000001</v>
      </c>
      <c r="AF976" s="38">
        <v>128.75</v>
      </c>
      <c r="AG976" s="38">
        <v>120.62</v>
      </c>
      <c r="AH976" s="38">
        <v>110.45</v>
      </c>
      <c r="AI976" s="38">
        <v>104.2</v>
      </c>
      <c r="AJ976" s="38">
        <v>98.16</v>
      </c>
      <c r="AK976" s="38">
        <v>94.65</v>
      </c>
      <c r="AL976" s="38">
        <v>91.07</v>
      </c>
      <c r="AM976" s="38">
        <v>93.31</v>
      </c>
      <c r="AN976" s="38">
        <v>99.71</v>
      </c>
      <c r="AO976" s="38">
        <v>105.81</v>
      </c>
      <c r="AP976" s="38">
        <v>110.36</v>
      </c>
      <c r="AQ976" s="38">
        <v>112.43</v>
      </c>
      <c r="AR976" s="38">
        <v>114.44</v>
      </c>
      <c r="AS976" s="38">
        <v>106.15</v>
      </c>
      <c r="AT976" s="38">
        <v>95.65</v>
      </c>
      <c r="AU976" s="38">
        <v>86.9</v>
      </c>
      <c r="AV976" s="38">
        <v>82.91</v>
      </c>
      <c r="AW976" s="38">
        <v>77.16</v>
      </c>
      <c r="AX976" s="38">
        <v>77.61</v>
      </c>
      <c r="AY976" s="38">
        <v>81.66</v>
      </c>
      <c r="BA976" s="37">
        <v>96.11</v>
      </c>
      <c r="BB976" s="38">
        <v>1.2402</v>
      </c>
    </row>
    <row r="977" spans="1:54" x14ac:dyDescent="0.35">
      <c r="A977" s="2">
        <f t="shared" si="15"/>
        <v>45189</v>
      </c>
      <c r="B977" t="s">
        <v>1019</v>
      </c>
      <c r="C977" s="32">
        <v>45189</v>
      </c>
      <c r="D977" s="38">
        <v>95.37</v>
      </c>
      <c r="E977" s="38">
        <v>107.76</v>
      </c>
      <c r="F977" s="38">
        <v>124.34</v>
      </c>
      <c r="G977" s="38">
        <v>132.81</v>
      </c>
      <c r="H977" s="38">
        <v>134.6</v>
      </c>
      <c r="I977" s="38">
        <v>131.21</v>
      </c>
      <c r="J977" s="38">
        <v>127.7</v>
      </c>
      <c r="K977" s="38">
        <v>124.18</v>
      </c>
      <c r="L977" s="38">
        <v>121.58</v>
      </c>
      <c r="M977" s="38">
        <v>122.23</v>
      </c>
      <c r="N977" s="38">
        <v>122.73</v>
      </c>
      <c r="O977" s="38">
        <v>127.09</v>
      </c>
      <c r="P977" s="38">
        <v>130.91</v>
      </c>
      <c r="Q977" s="38">
        <v>137.21</v>
      </c>
      <c r="R977" s="38">
        <v>142.76</v>
      </c>
      <c r="S977" s="38">
        <v>149.33000000000001</v>
      </c>
      <c r="T977" s="38">
        <v>145.69999999999999</v>
      </c>
      <c r="U977" s="38">
        <v>132.99</v>
      </c>
      <c r="V977" s="38">
        <v>119</v>
      </c>
      <c r="W977" s="38">
        <v>111.84</v>
      </c>
      <c r="X977" s="38">
        <v>107.35</v>
      </c>
      <c r="Y977" s="38">
        <v>109.4</v>
      </c>
      <c r="Z977" s="38">
        <v>111.27</v>
      </c>
      <c r="AA977" s="38">
        <v>113.12</v>
      </c>
      <c r="AB977" s="38">
        <v>117.77</v>
      </c>
      <c r="AC977" s="38">
        <v>122.07</v>
      </c>
      <c r="AD977" s="38">
        <v>124.43</v>
      </c>
      <c r="AE977" s="38">
        <v>127.22</v>
      </c>
      <c r="AF977" s="38">
        <v>127.2</v>
      </c>
      <c r="AG977" s="38">
        <v>119.07</v>
      </c>
      <c r="AH977" s="38">
        <v>108.9</v>
      </c>
      <c r="AI977" s="38">
        <v>102.65</v>
      </c>
      <c r="AJ977" s="38">
        <v>96.61</v>
      </c>
      <c r="AK977" s="38">
        <v>93.1</v>
      </c>
      <c r="AL977" s="38">
        <v>89.52</v>
      </c>
      <c r="AM977" s="38">
        <v>91.76</v>
      </c>
      <c r="AN977" s="38">
        <v>98.16</v>
      </c>
      <c r="AO977" s="38">
        <v>104.26</v>
      </c>
      <c r="AP977" s="38">
        <v>108.81</v>
      </c>
      <c r="AQ977" s="38">
        <v>110.88</v>
      </c>
      <c r="AR977" s="38">
        <v>112.89</v>
      </c>
      <c r="AS977" s="38">
        <v>105.23</v>
      </c>
      <c r="AT977" s="38">
        <v>96.67</v>
      </c>
      <c r="AU977" s="38">
        <v>88.68</v>
      </c>
      <c r="AV977" s="38">
        <v>84.69</v>
      </c>
      <c r="AW977" s="38">
        <v>78.94</v>
      </c>
      <c r="AX977" s="38">
        <v>79.39</v>
      </c>
      <c r="AY977" s="38">
        <v>83.44</v>
      </c>
      <c r="BA977" s="37">
        <v>94.56</v>
      </c>
      <c r="BB977" s="38">
        <v>1.2398</v>
      </c>
    </row>
    <row r="978" spans="1:54" x14ac:dyDescent="0.35">
      <c r="A978" s="2">
        <f t="shared" si="15"/>
        <v>45190</v>
      </c>
      <c r="B978" t="s">
        <v>1020</v>
      </c>
      <c r="C978" s="32">
        <v>45190</v>
      </c>
      <c r="D978" s="38">
        <v>100.57</v>
      </c>
      <c r="E978" s="38">
        <v>111.16</v>
      </c>
      <c r="F978" s="38">
        <v>125.81</v>
      </c>
      <c r="G978" s="38">
        <v>133.49</v>
      </c>
      <c r="H978" s="38">
        <v>135.04</v>
      </c>
      <c r="I978" s="38">
        <v>131.29</v>
      </c>
      <c r="J978" s="38">
        <v>127.26</v>
      </c>
      <c r="K978" s="38">
        <v>125.39</v>
      </c>
      <c r="L978" s="38">
        <v>121.58</v>
      </c>
      <c r="M978" s="38">
        <v>122.45</v>
      </c>
      <c r="N978" s="38">
        <v>123.02</v>
      </c>
      <c r="O978" s="38">
        <v>127.38</v>
      </c>
      <c r="P978" s="38">
        <v>131.11000000000001</v>
      </c>
      <c r="Q978" s="38">
        <v>137.41</v>
      </c>
      <c r="R978" s="38">
        <v>142.97</v>
      </c>
      <c r="S978" s="38">
        <v>149.36000000000001</v>
      </c>
      <c r="T978" s="38">
        <v>145.47999999999999</v>
      </c>
      <c r="U978" s="38">
        <v>132.52000000000001</v>
      </c>
      <c r="V978" s="38">
        <v>118.27</v>
      </c>
      <c r="W978" s="38">
        <v>110.8</v>
      </c>
      <c r="X978" s="38">
        <v>106.31</v>
      </c>
      <c r="Y978" s="38">
        <v>108.34</v>
      </c>
      <c r="Z978" s="38">
        <v>110.21</v>
      </c>
      <c r="AA978" s="38">
        <v>112.06</v>
      </c>
      <c r="AB978" s="38">
        <v>116.88</v>
      </c>
      <c r="AC978" s="38">
        <v>121.18</v>
      </c>
      <c r="AD978" s="38">
        <v>123.54</v>
      </c>
      <c r="AE978" s="38">
        <v>126.33</v>
      </c>
      <c r="AF978" s="38">
        <v>126.31</v>
      </c>
      <c r="AG978" s="38">
        <v>118.17</v>
      </c>
      <c r="AH978" s="38">
        <v>108.01</v>
      </c>
      <c r="AI978" s="38">
        <v>101.76</v>
      </c>
      <c r="AJ978" s="38">
        <v>95.71</v>
      </c>
      <c r="AK978" s="38">
        <v>92.2</v>
      </c>
      <c r="AL978" s="38">
        <v>88.62</v>
      </c>
      <c r="AM978" s="38">
        <v>90.86</v>
      </c>
      <c r="AN978" s="38">
        <v>97.26</v>
      </c>
      <c r="AO978" s="38">
        <v>103.36</v>
      </c>
      <c r="AP978" s="38">
        <v>107.91</v>
      </c>
      <c r="AQ978" s="38">
        <v>109.98</v>
      </c>
      <c r="AR978" s="38">
        <v>111.99</v>
      </c>
      <c r="AS978" s="38">
        <v>104.33</v>
      </c>
      <c r="AT978" s="38">
        <v>95.77</v>
      </c>
      <c r="AU978" s="38">
        <v>87.78</v>
      </c>
      <c r="AV978" s="38">
        <v>83.79</v>
      </c>
      <c r="AW978" s="38">
        <v>78.040000000000006</v>
      </c>
      <c r="AX978" s="38">
        <v>78.5</v>
      </c>
      <c r="AY978" s="38">
        <v>82.55</v>
      </c>
      <c r="BA978" s="37">
        <v>93.7</v>
      </c>
      <c r="BB978" s="38">
        <v>1.2287999999999999</v>
      </c>
    </row>
    <row r="979" spans="1:54" x14ac:dyDescent="0.35">
      <c r="A979" s="2">
        <f t="shared" si="15"/>
        <v>45191</v>
      </c>
      <c r="B979" t="s">
        <v>1021</v>
      </c>
      <c r="C979" s="32">
        <v>45191</v>
      </c>
      <c r="D979" s="38">
        <v>102.16</v>
      </c>
      <c r="E979" s="38">
        <v>112.21</v>
      </c>
      <c r="F979" s="38">
        <v>126.7</v>
      </c>
      <c r="G979" s="38">
        <v>134.19</v>
      </c>
      <c r="H979" s="38">
        <v>135.94</v>
      </c>
      <c r="I979" s="38">
        <v>132.37</v>
      </c>
      <c r="J979" s="38">
        <v>128.27000000000001</v>
      </c>
      <c r="K979" s="38">
        <v>126.13</v>
      </c>
      <c r="L979" s="38">
        <v>122.27</v>
      </c>
      <c r="M979" s="38">
        <v>122.76</v>
      </c>
      <c r="N979" s="38">
        <v>123.33</v>
      </c>
      <c r="O979" s="38">
        <v>127.69</v>
      </c>
      <c r="P979" s="38">
        <v>131.41999999999999</v>
      </c>
      <c r="Q979" s="38">
        <v>137.72</v>
      </c>
      <c r="R979" s="38">
        <v>143.33000000000001</v>
      </c>
      <c r="S979" s="38">
        <v>149.69999999999999</v>
      </c>
      <c r="T979" s="38">
        <v>145.84</v>
      </c>
      <c r="U979" s="38">
        <v>132.88</v>
      </c>
      <c r="V979" s="38">
        <v>118.98</v>
      </c>
      <c r="W979" s="38">
        <v>111.51</v>
      </c>
      <c r="X979" s="38">
        <v>107.02</v>
      </c>
      <c r="Y979" s="38">
        <v>109.11</v>
      </c>
      <c r="Z979" s="38">
        <v>110.98</v>
      </c>
      <c r="AA979" s="38">
        <v>112.83</v>
      </c>
      <c r="AB979" s="38">
        <v>117.65</v>
      </c>
      <c r="AC979" s="38">
        <v>121.95</v>
      </c>
      <c r="AD979" s="38">
        <v>124.31</v>
      </c>
      <c r="AE979" s="38">
        <v>127.12</v>
      </c>
      <c r="AF979" s="38">
        <v>127.11</v>
      </c>
      <c r="AG979" s="38">
        <v>118.97</v>
      </c>
      <c r="AH979" s="38">
        <v>108.26</v>
      </c>
      <c r="AI979" s="38">
        <v>102.01</v>
      </c>
      <c r="AJ979" s="38">
        <v>95.96</v>
      </c>
      <c r="AK979" s="38">
        <v>92.45</v>
      </c>
      <c r="AL979" s="38">
        <v>88.87</v>
      </c>
      <c r="AM979" s="38">
        <v>91.11</v>
      </c>
      <c r="AN979" s="38">
        <v>97.51</v>
      </c>
      <c r="AO979" s="38">
        <v>103.6</v>
      </c>
      <c r="AP979" s="38">
        <v>108.16</v>
      </c>
      <c r="AQ979" s="38">
        <v>110.23</v>
      </c>
      <c r="AR979" s="38">
        <v>112.24</v>
      </c>
      <c r="AS979" s="38">
        <v>104.58</v>
      </c>
      <c r="AT979" s="38">
        <v>96.02</v>
      </c>
      <c r="AU979" s="38">
        <v>88.03</v>
      </c>
      <c r="AV979" s="38">
        <v>84.04</v>
      </c>
      <c r="AW979" s="38">
        <v>78.290000000000006</v>
      </c>
      <c r="AX979" s="38">
        <v>78.75</v>
      </c>
      <c r="AY979" s="38">
        <v>82.69</v>
      </c>
      <c r="BA979" s="37">
        <v>93.99</v>
      </c>
      <c r="BB979" s="38">
        <v>1.2264999999999999</v>
      </c>
    </row>
    <row r="980" spans="1:54" x14ac:dyDescent="0.35">
      <c r="A980" s="2">
        <f t="shared" si="15"/>
        <v>45194</v>
      </c>
      <c r="B980" t="s">
        <v>1022</v>
      </c>
      <c r="C980" s="32">
        <v>45194</v>
      </c>
      <c r="D980" s="38">
        <v>112.73</v>
      </c>
      <c r="E980" s="38">
        <v>120.29</v>
      </c>
      <c r="F980" s="38">
        <v>131.77000000000001</v>
      </c>
      <c r="G980" s="38">
        <v>138.63999999999999</v>
      </c>
      <c r="H980" s="38">
        <v>140.37</v>
      </c>
      <c r="I980" s="38">
        <v>136.77000000000001</v>
      </c>
      <c r="J980" s="38">
        <v>132.1</v>
      </c>
      <c r="K980" s="38">
        <v>128.82</v>
      </c>
      <c r="L980" s="38">
        <v>125.16</v>
      </c>
      <c r="M980" s="38">
        <v>125.64</v>
      </c>
      <c r="N980" s="38">
        <v>126.2</v>
      </c>
      <c r="O980" s="38">
        <v>130.53</v>
      </c>
      <c r="P980" s="38">
        <v>134.58000000000001</v>
      </c>
      <c r="Q980" s="38">
        <v>140.85</v>
      </c>
      <c r="R980" s="38">
        <v>146.44999999999999</v>
      </c>
      <c r="S980" s="38">
        <v>151.80000000000001</v>
      </c>
      <c r="T980" s="38">
        <v>147.93</v>
      </c>
      <c r="U980" s="38">
        <v>136.01</v>
      </c>
      <c r="V980" s="38">
        <v>121.86</v>
      </c>
      <c r="W980" s="38">
        <v>114.35</v>
      </c>
      <c r="X980" s="38">
        <v>109.83</v>
      </c>
      <c r="Y980" s="38">
        <v>111.89</v>
      </c>
      <c r="Z980" s="38">
        <v>113.72</v>
      </c>
      <c r="AA980" s="38">
        <v>115.52</v>
      </c>
      <c r="AB980" s="38">
        <v>120.26</v>
      </c>
      <c r="AC980" s="38">
        <v>124.56</v>
      </c>
      <c r="AD980" s="38">
        <v>126.92</v>
      </c>
      <c r="AE980" s="38">
        <v>129.72999999999999</v>
      </c>
      <c r="AF980" s="38">
        <v>129.72</v>
      </c>
      <c r="AG980" s="38">
        <v>121.58</v>
      </c>
      <c r="AH980" s="38">
        <v>110.87</v>
      </c>
      <c r="AI980" s="38">
        <v>104.62</v>
      </c>
      <c r="AJ980" s="38">
        <v>98.57</v>
      </c>
      <c r="AK980" s="38">
        <v>95.06</v>
      </c>
      <c r="AL980" s="38">
        <v>91.48</v>
      </c>
      <c r="AM980" s="38">
        <v>93.72</v>
      </c>
      <c r="AN980" s="38">
        <v>100.12</v>
      </c>
      <c r="AO980" s="38">
        <v>106.21</v>
      </c>
      <c r="AP980" s="38">
        <v>110.77</v>
      </c>
      <c r="AQ980" s="38">
        <v>112.84</v>
      </c>
      <c r="AR980" s="38">
        <v>114.85</v>
      </c>
      <c r="AS980" s="38">
        <v>107.19</v>
      </c>
      <c r="AT980" s="38">
        <v>96.63</v>
      </c>
      <c r="AU980" s="38">
        <v>88.64</v>
      </c>
      <c r="AV980" s="38">
        <v>84.65</v>
      </c>
      <c r="AW980" s="38">
        <v>78.900000000000006</v>
      </c>
      <c r="AX980" s="38">
        <v>79.36</v>
      </c>
      <c r="AY980" s="38">
        <v>83.3</v>
      </c>
      <c r="BA980" s="37">
        <v>94.01</v>
      </c>
      <c r="BB980" s="38">
        <v>1.2198</v>
      </c>
    </row>
    <row r="981" spans="1:54" x14ac:dyDescent="0.35">
      <c r="A981" s="2">
        <f t="shared" si="15"/>
        <v>45195</v>
      </c>
      <c r="B981" t="s">
        <v>1023</v>
      </c>
      <c r="C981" s="32">
        <v>45195</v>
      </c>
      <c r="D981" s="38">
        <v>102.23</v>
      </c>
      <c r="E981" s="38">
        <v>111.78</v>
      </c>
      <c r="F981" s="38">
        <v>123.57</v>
      </c>
      <c r="G981" s="38">
        <v>130.77000000000001</v>
      </c>
      <c r="H981" s="38">
        <v>132.36000000000001</v>
      </c>
      <c r="I981" s="38">
        <v>128.71</v>
      </c>
      <c r="J981" s="38">
        <v>124.64</v>
      </c>
      <c r="K981" s="38">
        <v>122.14</v>
      </c>
      <c r="L981" s="38">
        <v>119.04</v>
      </c>
      <c r="M981" s="38">
        <v>119.52</v>
      </c>
      <c r="N981" s="38">
        <v>120.08</v>
      </c>
      <c r="O981" s="38">
        <v>124.41</v>
      </c>
      <c r="P981" s="38">
        <v>128.68</v>
      </c>
      <c r="Q981" s="38">
        <v>135.07</v>
      </c>
      <c r="R981" s="38">
        <v>140.78</v>
      </c>
      <c r="S981" s="38">
        <v>146.28</v>
      </c>
      <c r="T981" s="38">
        <v>142.41</v>
      </c>
      <c r="U981" s="38">
        <v>130.49</v>
      </c>
      <c r="V981" s="38">
        <v>117.98</v>
      </c>
      <c r="W981" s="38">
        <v>110.45</v>
      </c>
      <c r="X981" s="38">
        <v>105.91</v>
      </c>
      <c r="Y981" s="38">
        <v>107.96</v>
      </c>
      <c r="Z981" s="38">
        <v>109.77</v>
      </c>
      <c r="AA981" s="38">
        <v>111.55</v>
      </c>
      <c r="AB981" s="38">
        <v>115.73</v>
      </c>
      <c r="AC981" s="38">
        <v>119.73</v>
      </c>
      <c r="AD981" s="38">
        <v>122.08</v>
      </c>
      <c r="AE981" s="38">
        <v>125.39</v>
      </c>
      <c r="AF981" s="38">
        <v>125.38</v>
      </c>
      <c r="AG981" s="38">
        <v>117.24</v>
      </c>
      <c r="AH981" s="38">
        <v>106.53</v>
      </c>
      <c r="AI981" s="38">
        <v>100.28</v>
      </c>
      <c r="AJ981" s="38">
        <v>94.23</v>
      </c>
      <c r="AK981" s="38">
        <v>90.72</v>
      </c>
      <c r="AL981" s="38">
        <v>87.14</v>
      </c>
      <c r="AM981" s="38">
        <v>89.38</v>
      </c>
      <c r="AN981" s="38">
        <v>95.78</v>
      </c>
      <c r="AO981" s="38">
        <v>101.87</v>
      </c>
      <c r="AP981" s="38">
        <v>106.43</v>
      </c>
      <c r="AQ981" s="38">
        <v>108.5</v>
      </c>
      <c r="AR981" s="38">
        <v>110.51</v>
      </c>
      <c r="AS981" s="38">
        <v>102.85</v>
      </c>
      <c r="AT981" s="38">
        <v>92.29</v>
      </c>
      <c r="AU981" s="38">
        <v>84.3</v>
      </c>
      <c r="AV981" s="38">
        <v>80.31</v>
      </c>
      <c r="AW981" s="38">
        <v>74.56</v>
      </c>
      <c r="AX981" s="38">
        <v>75.03</v>
      </c>
      <c r="AY981" s="38">
        <v>78.97</v>
      </c>
      <c r="BA981" s="37">
        <v>94.46</v>
      </c>
      <c r="BB981" s="38">
        <v>1.2168000000000001</v>
      </c>
    </row>
    <row r="982" spans="1:54" x14ac:dyDescent="0.35">
      <c r="A982" s="2">
        <f t="shared" si="15"/>
        <v>45196</v>
      </c>
      <c r="B982" t="s">
        <v>1024</v>
      </c>
      <c r="C982" s="32">
        <v>45196</v>
      </c>
      <c r="D982" s="38">
        <v>99.41</v>
      </c>
      <c r="E982" s="38">
        <v>109.96</v>
      </c>
      <c r="F982" s="38">
        <v>122.36</v>
      </c>
      <c r="G982" s="38">
        <v>129.79</v>
      </c>
      <c r="H982" s="38">
        <v>131.29</v>
      </c>
      <c r="I982" s="38">
        <v>127.59</v>
      </c>
      <c r="J982" s="38">
        <v>122.97</v>
      </c>
      <c r="K982" s="38">
        <v>120.37</v>
      </c>
      <c r="L982" s="38">
        <v>117.27</v>
      </c>
      <c r="M982" s="38">
        <v>117.75</v>
      </c>
      <c r="N982" s="38">
        <v>118.31</v>
      </c>
      <c r="O982" s="38">
        <v>122.64</v>
      </c>
      <c r="P982" s="38">
        <v>126.71</v>
      </c>
      <c r="Q982" s="38">
        <v>133.1</v>
      </c>
      <c r="R982" s="38">
        <v>138.81</v>
      </c>
      <c r="S982" s="38">
        <v>144.31</v>
      </c>
      <c r="T982" s="38">
        <v>140.44</v>
      </c>
      <c r="U982" s="38">
        <v>128.52000000000001</v>
      </c>
      <c r="V982" s="38">
        <v>116.81</v>
      </c>
      <c r="W982" s="38">
        <v>109.59</v>
      </c>
      <c r="X982" s="38">
        <v>105.22</v>
      </c>
      <c r="Y982" s="38">
        <v>107.25</v>
      </c>
      <c r="Z982" s="38">
        <v>109.04</v>
      </c>
      <c r="AA982" s="38">
        <v>110.8</v>
      </c>
      <c r="AB982" s="38">
        <v>113.87</v>
      </c>
      <c r="AC982" s="38">
        <v>116.87</v>
      </c>
      <c r="AD982" s="38">
        <v>118.87</v>
      </c>
      <c r="AE982" s="38">
        <v>124.47</v>
      </c>
      <c r="AF982" s="38">
        <v>125.97</v>
      </c>
      <c r="AG982" s="38">
        <v>118.97</v>
      </c>
      <c r="AH982" s="38">
        <v>106.97</v>
      </c>
      <c r="AI982" s="38">
        <v>99.97</v>
      </c>
      <c r="AJ982" s="38">
        <v>93.92</v>
      </c>
      <c r="AK982" s="38">
        <v>90.41</v>
      </c>
      <c r="AL982" s="38">
        <v>86.83</v>
      </c>
      <c r="AM982" s="38">
        <v>89.07</v>
      </c>
      <c r="AN982" s="38">
        <v>94.97</v>
      </c>
      <c r="AO982" s="38">
        <v>100.47</v>
      </c>
      <c r="AP982" s="38">
        <v>105.03</v>
      </c>
      <c r="AQ982" s="38">
        <v>107.1</v>
      </c>
      <c r="AR982" s="38">
        <v>109.11</v>
      </c>
      <c r="AS982" s="38">
        <v>101.45</v>
      </c>
      <c r="AT982" s="38">
        <v>91.25</v>
      </c>
      <c r="AU982" s="38">
        <v>83.26</v>
      </c>
      <c r="AV982" s="38">
        <v>79.27</v>
      </c>
      <c r="AW982" s="38">
        <v>73.52</v>
      </c>
      <c r="AX982" s="38">
        <v>73.989999999999995</v>
      </c>
      <c r="AY982" s="38">
        <v>77.930000000000007</v>
      </c>
      <c r="BA982" s="37">
        <v>97.1</v>
      </c>
      <c r="BB982" s="38">
        <v>1.2130000000000001</v>
      </c>
    </row>
    <row r="983" spans="1:54" x14ac:dyDescent="0.35">
      <c r="A983" s="2">
        <f t="shared" si="15"/>
        <v>45197</v>
      </c>
      <c r="B983" t="s">
        <v>1025</v>
      </c>
      <c r="C983" s="32">
        <v>45197</v>
      </c>
      <c r="D983" s="38">
        <v>100.35</v>
      </c>
      <c r="E983" s="38">
        <v>109.76</v>
      </c>
      <c r="F983" s="38">
        <v>120.37</v>
      </c>
      <c r="G983" s="38">
        <v>127.35</v>
      </c>
      <c r="H983" s="38">
        <v>128.88999999999999</v>
      </c>
      <c r="I983" s="38">
        <v>125.2</v>
      </c>
      <c r="J983" s="38">
        <v>121.45</v>
      </c>
      <c r="K983" s="38">
        <v>118.48</v>
      </c>
      <c r="L983" s="38">
        <v>115.11</v>
      </c>
      <c r="M983" s="38">
        <v>115.81</v>
      </c>
      <c r="N983" s="38">
        <v>116.58</v>
      </c>
      <c r="O983" s="38">
        <v>120.97</v>
      </c>
      <c r="P983" s="38">
        <v>125.17</v>
      </c>
      <c r="Q983" s="38">
        <v>131.56</v>
      </c>
      <c r="R983" s="38">
        <v>137.27000000000001</v>
      </c>
      <c r="S983" s="38">
        <v>141.86000000000001</v>
      </c>
      <c r="T983" s="38">
        <v>137.99</v>
      </c>
      <c r="U983" s="38">
        <v>127.19</v>
      </c>
      <c r="V983" s="38">
        <v>116.63</v>
      </c>
      <c r="W983" s="38">
        <v>109.44</v>
      </c>
      <c r="X983" s="38">
        <v>105.1</v>
      </c>
      <c r="Y983" s="38">
        <v>107.16</v>
      </c>
      <c r="Z983" s="38">
        <v>108.98</v>
      </c>
      <c r="AA983" s="38">
        <v>110.78</v>
      </c>
      <c r="AB983" s="38">
        <v>113.9</v>
      </c>
      <c r="AC983" s="38">
        <v>116.9</v>
      </c>
      <c r="AD983" s="38">
        <v>118.9</v>
      </c>
      <c r="AE983" s="38">
        <v>124.5</v>
      </c>
      <c r="AF983" s="38">
        <v>126</v>
      </c>
      <c r="AG983" s="38">
        <v>119</v>
      </c>
      <c r="AH983" s="38">
        <v>107</v>
      </c>
      <c r="AI983" s="38">
        <v>100</v>
      </c>
      <c r="AJ983" s="38">
        <v>93.95</v>
      </c>
      <c r="AK983" s="38">
        <v>90.75</v>
      </c>
      <c r="AL983" s="38">
        <v>87.17</v>
      </c>
      <c r="AM983" s="38">
        <v>89.41</v>
      </c>
      <c r="AN983" s="38">
        <v>95.31</v>
      </c>
      <c r="AO983" s="38">
        <v>100.81</v>
      </c>
      <c r="AP983" s="38">
        <v>105.37</v>
      </c>
      <c r="AQ983" s="38">
        <v>107.44</v>
      </c>
      <c r="AR983" s="38">
        <v>109.45</v>
      </c>
      <c r="AS983" s="38">
        <v>101.79</v>
      </c>
      <c r="AT983" s="38">
        <v>91.59</v>
      </c>
      <c r="AU983" s="38">
        <v>83.6</v>
      </c>
      <c r="AV983" s="38">
        <v>79.61</v>
      </c>
      <c r="AW983" s="38">
        <v>73.86</v>
      </c>
      <c r="AX983" s="38">
        <v>74.33</v>
      </c>
      <c r="AY983" s="38">
        <v>78.27</v>
      </c>
      <c r="BA983" s="37">
        <v>96.64</v>
      </c>
      <c r="BB983" s="38">
        <v>1.2198</v>
      </c>
    </row>
    <row r="984" spans="1:54" x14ac:dyDescent="0.35">
      <c r="A984" s="2">
        <f t="shared" si="15"/>
        <v>45198</v>
      </c>
      <c r="B984" t="s">
        <v>1026</v>
      </c>
      <c r="C984" s="32">
        <v>45198</v>
      </c>
      <c r="D984" s="38">
        <v>105.4</v>
      </c>
      <c r="E984" s="38">
        <v>118.35</v>
      </c>
      <c r="F984" s="38">
        <v>125.77</v>
      </c>
      <c r="G984" s="38">
        <v>127.37</v>
      </c>
      <c r="H984" s="38">
        <v>124.19</v>
      </c>
      <c r="I984" s="38">
        <v>120.98</v>
      </c>
      <c r="J984" s="38">
        <v>118.16</v>
      </c>
      <c r="K984" s="38">
        <v>114.73</v>
      </c>
      <c r="L984" s="38">
        <v>115.39</v>
      </c>
      <c r="M984" s="38">
        <v>116.13</v>
      </c>
      <c r="N984" s="38">
        <v>120.5</v>
      </c>
      <c r="O984" s="38">
        <v>125.4</v>
      </c>
      <c r="P984" s="38">
        <v>131.79</v>
      </c>
      <c r="Q984" s="38">
        <v>137.5</v>
      </c>
      <c r="R984" s="38">
        <v>142.09</v>
      </c>
      <c r="S984" s="38">
        <v>138.22</v>
      </c>
      <c r="T984" s="38">
        <v>127.42</v>
      </c>
      <c r="U984" s="38">
        <v>116.97</v>
      </c>
      <c r="V984" s="38">
        <v>109.78</v>
      </c>
      <c r="W984" s="38">
        <v>105.44</v>
      </c>
      <c r="X984" s="38">
        <v>107.5</v>
      </c>
      <c r="Y984" s="38">
        <v>109.32</v>
      </c>
      <c r="Z984" s="38">
        <v>111.12</v>
      </c>
      <c r="AA984" s="38">
        <v>113.92</v>
      </c>
      <c r="AB984" s="38">
        <v>116.72</v>
      </c>
      <c r="AC984" s="38">
        <v>118.72</v>
      </c>
      <c r="AD984" s="38">
        <v>124.32</v>
      </c>
      <c r="AE984" s="38">
        <v>125.82</v>
      </c>
      <c r="AF984" s="38">
        <v>118.82</v>
      </c>
      <c r="AG984" s="38">
        <v>106.82</v>
      </c>
      <c r="AH984" s="38">
        <v>99.82</v>
      </c>
      <c r="AI984" s="38">
        <v>93.77</v>
      </c>
      <c r="AJ984" s="38">
        <v>90.57</v>
      </c>
      <c r="AK984" s="38">
        <v>86.99</v>
      </c>
      <c r="AL984" s="38">
        <v>89.23</v>
      </c>
      <c r="AM984" s="38">
        <v>94.73</v>
      </c>
      <c r="AN984" s="38">
        <v>100.03</v>
      </c>
      <c r="AO984" s="38">
        <v>104.59</v>
      </c>
      <c r="AP984" s="38">
        <v>106.66</v>
      </c>
      <c r="AQ984" s="38">
        <v>108.67</v>
      </c>
      <c r="AR984" s="38">
        <v>101.01</v>
      </c>
      <c r="AS984" s="38">
        <v>91.21</v>
      </c>
      <c r="AT984" s="38">
        <v>83.22</v>
      </c>
      <c r="AU984" s="38">
        <v>79.23</v>
      </c>
      <c r="AV984" s="38">
        <v>73.48</v>
      </c>
      <c r="AW984" s="38">
        <v>73.95</v>
      </c>
      <c r="AX984" s="38">
        <v>77.89</v>
      </c>
      <c r="AY984" s="38">
        <v>82.14</v>
      </c>
      <c r="BA984" s="37">
        <v>95.86</v>
      </c>
      <c r="BB984" s="38">
        <v>1.2206999999999999</v>
      </c>
    </row>
    <row r="985" spans="1:54" x14ac:dyDescent="0.35">
      <c r="A985" s="2">
        <f t="shared" si="15"/>
        <v>45201</v>
      </c>
      <c r="B985" t="s">
        <v>1027</v>
      </c>
      <c r="C985" s="32">
        <v>45201</v>
      </c>
      <c r="D985" s="38">
        <v>98.36</v>
      </c>
      <c r="E985" s="38">
        <v>113.6</v>
      </c>
      <c r="F985" s="38">
        <v>121.63</v>
      </c>
      <c r="G985" s="38">
        <v>123.2</v>
      </c>
      <c r="H985" s="38">
        <v>120.08</v>
      </c>
      <c r="I985" s="38">
        <v>116.18</v>
      </c>
      <c r="J985" s="38">
        <v>112.48</v>
      </c>
      <c r="K985" s="38">
        <v>110.8</v>
      </c>
      <c r="L985" s="38">
        <v>111.64</v>
      </c>
      <c r="M985" s="38">
        <v>112.39</v>
      </c>
      <c r="N985" s="38">
        <v>116.76</v>
      </c>
      <c r="O985" s="38">
        <v>122.19</v>
      </c>
      <c r="P985" s="38">
        <v>128.58000000000001</v>
      </c>
      <c r="Q985" s="38">
        <v>134.29</v>
      </c>
      <c r="R985" s="38">
        <v>138.97</v>
      </c>
      <c r="S985" s="38">
        <v>135.11000000000001</v>
      </c>
      <c r="T985" s="38">
        <v>124.31</v>
      </c>
      <c r="U985" s="38">
        <v>114.53</v>
      </c>
      <c r="V985" s="38">
        <v>107.34</v>
      </c>
      <c r="W985" s="38">
        <v>103</v>
      </c>
      <c r="X985" s="38">
        <v>105.06</v>
      </c>
      <c r="Y985" s="38">
        <v>106.88</v>
      </c>
      <c r="Z985" s="38">
        <v>108.68</v>
      </c>
      <c r="AA985" s="38">
        <v>111.52</v>
      </c>
      <c r="AB985" s="38">
        <v>114.32</v>
      </c>
      <c r="AC985" s="38">
        <v>116.32</v>
      </c>
      <c r="AD985" s="38">
        <v>122.16</v>
      </c>
      <c r="AE985" s="38">
        <v>123.66</v>
      </c>
      <c r="AF985" s="38">
        <v>116.66</v>
      </c>
      <c r="AG985" s="38">
        <v>104.61</v>
      </c>
      <c r="AH985" s="38">
        <v>97.61</v>
      </c>
      <c r="AI985" s="38">
        <v>91.56</v>
      </c>
      <c r="AJ985" s="38">
        <v>88.36</v>
      </c>
      <c r="AK985" s="38">
        <v>84.78</v>
      </c>
      <c r="AL985" s="38">
        <v>87.02</v>
      </c>
      <c r="AM985" s="38">
        <v>92.63</v>
      </c>
      <c r="AN985" s="38">
        <v>97.93</v>
      </c>
      <c r="AO985" s="38">
        <v>102.49</v>
      </c>
      <c r="AP985" s="38">
        <v>104.54</v>
      </c>
      <c r="AQ985" s="38">
        <v>106.55</v>
      </c>
      <c r="AR985" s="38">
        <v>98.89</v>
      </c>
      <c r="AS985" s="38">
        <v>89.1</v>
      </c>
      <c r="AT985" s="38">
        <v>81.11</v>
      </c>
      <c r="AU985" s="38">
        <v>77.12</v>
      </c>
      <c r="AV985" s="38">
        <v>71.37</v>
      </c>
      <c r="AW985" s="38">
        <v>71.84</v>
      </c>
      <c r="AX985" s="38">
        <v>75.78</v>
      </c>
      <c r="AY985" s="38">
        <v>79.83</v>
      </c>
      <c r="BA985" s="37">
        <v>91.21</v>
      </c>
      <c r="BB985" s="38">
        <v>1.2121999999999999</v>
      </c>
    </row>
    <row r="986" spans="1:54" x14ac:dyDescent="0.35">
      <c r="A986" s="2">
        <f t="shared" si="15"/>
        <v>45202</v>
      </c>
      <c r="B986" t="s">
        <v>1028</v>
      </c>
      <c r="C986" s="32">
        <v>45202</v>
      </c>
      <c r="D986" s="38">
        <v>92.23</v>
      </c>
      <c r="E986" s="38">
        <v>108.75</v>
      </c>
      <c r="F986" s="38">
        <v>116.75</v>
      </c>
      <c r="G986" s="38">
        <v>118.29</v>
      </c>
      <c r="H986" s="38">
        <v>114.49</v>
      </c>
      <c r="I986" s="38">
        <v>110.67</v>
      </c>
      <c r="J986" s="38">
        <v>107.36</v>
      </c>
      <c r="K986" s="38">
        <v>104.85</v>
      </c>
      <c r="L986" s="38">
        <v>106.25</v>
      </c>
      <c r="M986" s="38">
        <v>107</v>
      </c>
      <c r="N986" s="38">
        <v>111.37</v>
      </c>
      <c r="O986" s="38">
        <v>116.75</v>
      </c>
      <c r="P986" s="38">
        <v>123.45</v>
      </c>
      <c r="Q986" s="38">
        <v>129.21</v>
      </c>
      <c r="R986" s="38">
        <v>134.13</v>
      </c>
      <c r="S986" s="38">
        <v>130.27000000000001</v>
      </c>
      <c r="T986" s="38">
        <v>119.48</v>
      </c>
      <c r="U986" s="38">
        <v>109.88</v>
      </c>
      <c r="V986" s="38">
        <v>102.69</v>
      </c>
      <c r="W986" s="38">
        <v>98.35</v>
      </c>
      <c r="X986" s="38">
        <v>100.4</v>
      </c>
      <c r="Y986" s="38">
        <v>102.22</v>
      </c>
      <c r="Z986" s="38">
        <v>104.3</v>
      </c>
      <c r="AA986" s="38">
        <v>107.88</v>
      </c>
      <c r="AB986" s="38">
        <v>110.9</v>
      </c>
      <c r="AC986" s="38">
        <v>112.9</v>
      </c>
      <c r="AD986" s="38">
        <v>119.02</v>
      </c>
      <c r="AE986" s="38">
        <v>120.53</v>
      </c>
      <c r="AF986" s="38">
        <v>113.53</v>
      </c>
      <c r="AG986" s="38">
        <v>101.65</v>
      </c>
      <c r="AH986" s="38">
        <v>94.66</v>
      </c>
      <c r="AI986" s="38">
        <v>88.62</v>
      </c>
      <c r="AJ986" s="38">
        <v>85.54</v>
      </c>
      <c r="AK986" s="38">
        <v>82.04</v>
      </c>
      <c r="AL986" s="38">
        <v>84.49</v>
      </c>
      <c r="AM986" s="38">
        <v>91</v>
      </c>
      <c r="AN986" s="38">
        <v>96.32</v>
      </c>
      <c r="AO986" s="38">
        <v>100.88</v>
      </c>
      <c r="AP986" s="38">
        <v>102.88</v>
      </c>
      <c r="AQ986" s="38">
        <v>104.89</v>
      </c>
      <c r="AR986" s="38">
        <v>97.23</v>
      </c>
      <c r="AS986" s="38">
        <v>87.5</v>
      </c>
      <c r="AT986" s="38">
        <v>79.510000000000005</v>
      </c>
      <c r="AU986" s="38">
        <v>75.52</v>
      </c>
      <c r="AV986" s="38">
        <v>69.77</v>
      </c>
      <c r="AW986" s="38">
        <v>70.239999999999995</v>
      </c>
      <c r="AX986" s="38">
        <v>74.180000000000007</v>
      </c>
      <c r="AY986" s="38">
        <v>78.19</v>
      </c>
      <c r="BA986" s="37">
        <v>94.46</v>
      </c>
      <c r="BB986" s="38">
        <v>1.208</v>
      </c>
    </row>
    <row r="987" spans="1:54" x14ac:dyDescent="0.35">
      <c r="A987" s="2">
        <f t="shared" si="15"/>
        <v>45203</v>
      </c>
      <c r="B987" t="s">
        <v>1029</v>
      </c>
      <c r="C987" s="32">
        <v>45203</v>
      </c>
      <c r="D987" s="38">
        <v>95.95</v>
      </c>
      <c r="E987" s="38">
        <v>111.84</v>
      </c>
      <c r="F987" s="38">
        <v>119.34</v>
      </c>
      <c r="G987" s="38">
        <v>121.18</v>
      </c>
      <c r="H987" s="38">
        <v>117.59</v>
      </c>
      <c r="I987" s="38">
        <v>114</v>
      </c>
      <c r="J987" s="38">
        <v>110.6</v>
      </c>
      <c r="K987" s="38">
        <v>108.13</v>
      </c>
      <c r="L987" s="38">
        <v>108.96</v>
      </c>
      <c r="M987" s="38">
        <v>109.7</v>
      </c>
      <c r="N987" s="38">
        <v>114.07</v>
      </c>
      <c r="O987" s="38">
        <v>119.32</v>
      </c>
      <c r="P987" s="38">
        <v>125.8</v>
      </c>
      <c r="Q987" s="38">
        <v>131.51</v>
      </c>
      <c r="R987" s="38">
        <v>136.36000000000001</v>
      </c>
      <c r="S987" s="38">
        <v>132.44999999999999</v>
      </c>
      <c r="T987" s="38">
        <v>121.61</v>
      </c>
      <c r="U987" s="38">
        <v>111.94</v>
      </c>
      <c r="V987" s="38">
        <v>104.71</v>
      </c>
      <c r="W987" s="38">
        <v>100.32</v>
      </c>
      <c r="X987" s="38">
        <v>102.31</v>
      </c>
      <c r="Y987" s="38">
        <v>104.05</v>
      </c>
      <c r="Z987" s="38">
        <v>106.01</v>
      </c>
      <c r="AA987" s="38">
        <v>109.26</v>
      </c>
      <c r="AB987" s="38">
        <v>112.17</v>
      </c>
      <c r="AC987" s="38">
        <v>114.1</v>
      </c>
      <c r="AD987" s="38">
        <v>119.94</v>
      </c>
      <c r="AE987" s="38">
        <v>121.4</v>
      </c>
      <c r="AF987" s="38">
        <v>114</v>
      </c>
      <c r="AG987" s="38">
        <v>101.48</v>
      </c>
      <c r="AH987" s="38">
        <v>94.49</v>
      </c>
      <c r="AI987" s="38">
        <v>88.45</v>
      </c>
      <c r="AJ987" s="38">
        <v>85.58</v>
      </c>
      <c r="AK987" s="38">
        <v>82.28</v>
      </c>
      <c r="AL987" s="38">
        <v>84.73</v>
      </c>
      <c r="AM987" s="38">
        <v>91.29</v>
      </c>
      <c r="AN987" s="38">
        <v>96.61</v>
      </c>
      <c r="AO987" s="38">
        <v>101.17</v>
      </c>
      <c r="AP987" s="38">
        <v>103.17</v>
      </c>
      <c r="AQ987" s="38">
        <v>105.18</v>
      </c>
      <c r="AR987" s="38">
        <v>97.52</v>
      </c>
      <c r="AS987" s="38">
        <v>87.39</v>
      </c>
      <c r="AT987" s="38">
        <v>79.400000000000006</v>
      </c>
      <c r="AU987" s="38">
        <v>75.41</v>
      </c>
      <c r="AV987" s="38">
        <v>69.66</v>
      </c>
      <c r="AW987" s="38">
        <v>70.13</v>
      </c>
      <c r="AX987" s="38">
        <v>74.069999999999993</v>
      </c>
      <c r="AY987" s="38">
        <v>77.34</v>
      </c>
      <c r="BA987" s="37">
        <v>89.83</v>
      </c>
      <c r="BB987" s="38">
        <v>1.2115</v>
      </c>
    </row>
    <row r="988" spans="1:54" x14ac:dyDescent="0.35">
      <c r="A988" s="2">
        <f t="shared" si="15"/>
        <v>45204</v>
      </c>
      <c r="B988" t="s">
        <v>1030</v>
      </c>
      <c r="C988" s="32">
        <v>45204</v>
      </c>
      <c r="D988" s="38">
        <v>89.87</v>
      </c>
      <c r="E988" s="38">
        <v>107.49</v>
      </c>
      <c r="F988" s="38">
        <v>115.65</v>
      </c>
      <c r="G988" s="38">
        <v>117.81</v>
      </c>
      <c r="H988" s="38">
        <v>114.65</v>
      </c>
      <c r="I988" s="38">
        <v>111.4</v>
      </c>
      <c r="J988" s="38">
        <v>108.34</v>
      </c>
      <c r="K988" s="38">
        <v>105.9</v>
      </c>
      <c r="L988" s="38">
        <v>106.54</v>
      </c>
      <c r="M988" s="38">
        <v>107.29</v>
      </c>
      <c r="N988" s="38">
        <v>111.62</v>
      </c>
      <c r="O988" s="38">
        <v>117</v>
      </c>
      <c r="P988" s="38">
        <v>122.89</v>
      </c>
      <c r="Q988" s="38">
        <v>129.30000000000001</v>
      </c>
      <c r="R988" s="38">
        <v>134.30000000000001</v>
      </c>
      <c r="S988" s="38">
        <v>130.38999999999999</v>
      </c>
      <c r="T988" s="38">
        <v>119.55</v>
      </c>
      <c r="U988" s="38">
        <v>110.23</v>
      </c>
      <c r="V988" s="38">
        <v>102.99</v>
      </c>
      <c r="W988" s="38">
        <v>98.61</v>
      </c>
      <c r="X988" s="38">
        <v>100.6</v>
      </c>
      <c r="Y988" s="38">
        <v>102.34</v>
      </c>
      <c r="Z988" s="38">
        <v>104.43</v>
      </c>
      <c r="AA988" s="38">
        <v>108.09</v>
      </c>
      <c r="AB988" s="38">
        <v>110.99</v>
      </c>
      <c r="AC988" s="38">
        <v>112.92</v>
      </c>
      <c r="AD988" s="38">
        <v>118.83</v>
      </c>
      <c r="AE988" s="38">
        <v>120.3</v>
      </c>
      <c r="AF988" s="38">
        <v>112.9</v>
      </c>
      <c r="AG988" s="38">
        <v>100.87</v>
      </c>
      <c r="AH988" s="38">
        <v>93.75</v>
      </c>
      <c r="AI988" s="38">
        <v>87.92</v>
      </c>
      <c r="AJ988" s="38">
        <v>85.05</v>
      </c>
      <c r="AK988" s="38">
        <v>81.75</v>
      </c>
      <c r="AL988" s="38">
        <v>84.2</v>
      </c>
      <c r="AM988" s="38">
        <v>90.87</v>
      </c>
      <c r="AN988" s="38">
        <v>96.19</v>
      </c>
      <c r="AO988" s="38">
        <v>100.75</v>
      </c>
      <c r="AP988" s="38">
        <v>102.61</v>
      </c>
      <c r="AQ988" s="38">
        <v>104.62</v>
      </c>
      <c r="AR988" s="38">
        <v>96.96</v>
      </c>
      <c r="AS988" s="38">
        <v>86.83</v>
      </c>
      <c r="AT988" s="38">
        <v>78.84</v>
      </c>
      <c r="AU988" s="38">
        <v>74.849999999999994</v>
      </c>
      <c r="AV988" s="38">
        <v>69.099999999999994</v>
      </c>
      <c r="AW988" s="38">
        <v>69.569999999999993</v>
      </c>
      <c r="AX988" s="38">
        <v>73.53</v>
      </c>
      <c r="AY988" s="38">
        <v>76.55</v>
      </c>
      <c r="BA988" s="37">
        <v>88.28</v>
      </c>
      <c r="BB988" s="38">
        <v>1.216</v>
      </c>
    </row>
    <row r="989" spans="1:54" x14ac:dyDescent="0.35">
      <c r="A989" s="2">
        <f t="shared" si="15"/>
        <v>45205</v>
      </c>
      <c r="B989" t="s">
        <v>1031</v>
      </c>
      <c r="C989" s="32">
        <v>45205</v>
      </c>
      <c r="D989" s="38">
        <v>94.49</v>
      </c>
      <c r="E989" s="38">
        <v>110.87</v>
      </c>
      <c r="F989" s="38">
        <v>118.77</v>
      </c>
      <c r="G989" s="38">
        <v>120.51</v>
      </c>
      <c r="H989" s="38">
        <v>117.02</v>
      </c>
      <c r="I989" s="38">
        <v>113.6</v>
      </c>
      <c r="J989" s="38">
        <v>110.51</v>
      </c>
      <c r="K989" s="38">
        <v>107.77</v>
      </c>
      <c r="L989" s="38">
        <v>108.69</v>
      </c>
      <c r="M989" s="38">
        <v>109.64</v>
      </c>
      <c r="N989" s="38">
        <v>113.97</v>
      </c>
      <c r="O989" s="38">
        <v>119.35</v>
      </c>
      <c r="P989" s="38">
        <v>125.24</v>
      </c>
      <c r="Q989" s="38">
        <v>131.65</v>
      </c>
      <c r="R989" s="38">
        <v>136.57</v>
      </c>
      <c r="S989" s="38">
        <v>132.66</v>
      </c>
      <c r="T989" s="38">
        <v>121.82</v>
      </c>
      <c r="U989" s="38">
        <v>110.83</v>
      </c>
      <c r="V989" s="38">
        <v>103.59</v>
      </c>
      <c r="W989" s="38">
        <v>99.21</v>
      </c>
      <c r="X989" s="38">
        <v>101.2</v>
      </c>
      <c r="Y989" s="38">
        <v>102.94</v>
      </c>
      <c r="Z989" s="38">
        <v>105.03</v>
      </c>
      <c r="AA989" s="38">
        <v>108.86</v>
      </c>
      <c r="AB989" s="38">
        <v>111.76</v>
      </c>
      <c r="AC989" s="38">
        <v>113.69</v>
      </c>
      <c r="AD989" s="38">
        <v>119.55</v>
      </c>
      <c r="AE989" s="38">
        <v>121.02</v>
      </c>
      <c r="AF989" s="38">
        <v>113.62</v>
      </c>
      <c r="AG989" s="38">
        <v>101.52</v>
      </c>
      <c r="AH989" s="38">
        <v>94.4</v>
      </c>
      <c r="AI989" s="38">
        <v>88.57</v>
      </c>
      <c r="AJ989" s="38">
        <v>85.7</v>
      </c>
      <c r="AK989" s="38">
        <v>82.4</v>
      </c>
      <c r="AL989" s="38">
        <v>84.85</v>
      </c>
      <c r="AM989" s="38">
        <v>91.23</v>
      </c>
      <c r="AN989" s="38">
        <v>96.55</v>
      </c>
      <c r="AO989" s="38">
        <v>101.11</v>
      </c>
      <c r="AP989" s="38">
        <v>103.06</v>
      </c>
      <c r="AQ989" s="38">
        <v>105.07</v>
      </c>
      <c r="AR989" s="38">
        <v>97.41</v>
      </c>
      <c r="AS989" s="38">
        <v>87.55</v>
      </c>
      <c r="AT989" s="38">
        <v>79.56</v>
      </c>
      <c r="AU989" s="38">
        <v>75.569999999999993</v>
      </c>
      <c r="AV989" s="38">
        <v>69.819999999999993</v>
      </c>
      <c r="AW989" s="38">
        <v>70.290000000000006</v>
      </c>
      <c r="AX989" s="38">
        <v>74.25</v>
      </c>
      <c r="AY989" s="38">
        <v>77.27</v>
      </c>
      <c r="BA989" s="37">
        <v>87.86</v>
      </c>
      <c r="BB989" s="38">
        <v>1.2188000000000001</v>
      </c>
    </row>
    <row r="990" spans="1:54" x14ac:dyDescent="0.35">
      <c r="A990" s="2">
        <f t="shared" si="15"/>
        <v>45208</v>
      </c>
      <c r="B990" t="s">
        <v>1032</v>
      </c>
      <c r="C990" s="32">
        <v>45208</v>
      </c>
      <c r="D990" s="38">
        <v>109.29</v>
      </c>
      <c r="E990" s="38">
        <v>122.2</v>
      </c>
      <c r="F990" s="38">
        <v>129.35</v>
      </c>
      <c r="G990" s="38">
        <v>130.77000000000001</v>
      </c>
      <c r="H990" s="38">
        <v>126.77</v>
      </c>
      <c r="I990" s="38">
        <v>122.32</v>
      </c>
      <c r="J990" s="38">
        <v>119.25</v>
      </c>
      <c r="K990" s="38">
        <v>116.52</v>
      </c>
      <c r="L990" s="38">
        <v>117.45</v>
      </c>
      <c r="M990" s="38">
        <v>118.4</v>
      </c>
      <c r="N990" s="38">
        <v>122.74</v>
      </c>
      <c r="O990" s="38">
        <v>127.03</v>
      </c>
      <c r="P990" s="38">
        <v>132.91999999999999</v>
      </c>
      <c r="Q990" s="38">
        <v>139.33000000000001</v>
      </c>
      <c r="R990" s="38">
        <v>144.25</v>
      </c>
      <c r="S990" s="38">
        <v>140.34</v>
      </c>
      <c r="T990" s="38">
        <v>129.5</v>
      </c>
      <c r="U990" s="38">
        <v>116.69</v>
      </c>
      <c r="V990" s="38">
        <v>108.69</v>
      </c>
      <c r="W990" s="38">
        <v>104.31</v>
      </c>
      <c r="X990" s="38">
        <v>106.3</v>
      </c>
      <c r="Y990" s="38">
        <v>108.04</v>
      </c>
      <c r="Z990" s="38">
        <v>110.13</v>
      </c>
      <c r="AA990" s="38">
        <v>113.24</v>
      </c>
      <c r="AB990" s="38">
        <v>116.09</v>
      </c>
      <c r="AC990" s="38">
        <v>118.02</v>
      </c>
      <c r="AD990" s="38">
        <v>123.88</v>
      </c>
      <c r="AE990" s="38">
        <v>125.35</v>
      </c>
      <c r="AF990" s="38">
        <v>117.95</v>
      </c>
      <c r="AG990" s="38">
        <v>105.85</v>
      </c>
      <c r="AH990" s="38">
        <v>98.73</v>
      </c>
      <c r="AI990" s="38">
        <v>92.9</v>
      </c>
      <c r="AJ990" s="38">
        <v>90.03</v>
      </c>
      <c r="AK990" s="38">
        <v>86.73</v>
      </c>
      <c r="AL990" s="38">
        <v>89.18</v>
      </c>
      <c r="AM990" s="38">
        <v>94.98</v>
      </c>
      <c r="AN990" s="38">
        <v>100.3</v>
      </c>
      <c r="AO990" s="38">
        <v>104.86</v>
      </c>
      <c r="AP990" s="38">
        <v>106.81</v>
      </c>
      <c r="AQ990" s="38">
        <v>108.82</v>
      </c>
      <c r="AR990" s="38">
        <v>101.16</v>
      </c>
      <c r="AS990" s="38">
        <v>89.96</v>
      </c>
      <c r="AT990" s="38">
        <v>81.459999999999994</v>
      </c>
      <c r="AU990" s="38">
        <v>77.459999999999994</v>
      </c>
      <c r="AV990" s="38">
        <v>71.709999999999994</v>
      </c>
      <c r="AW990" s="38">
        <v>72.180000000000007</v>
      </c>
      <c r="AX990" s="38">
        <v>76.14</v>
      </c>
      <c r="AY990" s="38">
        <v>79.16</v>
      </c>
      <c r="BA990" s="37">
        <v>91.37</v>
      </c>
      <c r="BB990" s="38">
        <v>1.2210000000000001</v>
      </c>
    </row>
    <row r="991" spans="1:54" x14ac:dyDescent="0.35">
      <c r="A991" s="2">
        <f t="shared" si="15"/>
        <v>45209</v>
      </c>
      <c r="B991" t="s">
        <v>1033</v>
      </c>
      <c r="C991" s="32">
        <v>45209</v>
      </c>
      <c r="D991" s="38">
        <v>124.71</v>
      </c>
      <c r="E991" s="38">
        <v>135.26</v>
      </c>
      <c r="F991" s="38">
        <v>141.07</v>
      </c>
      <c r="G991" s="38">
        <v>142.22999999999999</v>
      </c>
      <c r="H991" s="38">
        <v>138.99</v>
      </c>
      <c r="I991" s="38">
        <v>133.38</v>
      </c>
      <c r="J991" s="38">
        <v>130.13999999999999</v>
      </c>
      <c r="K991" s="38">
        <v>127.41</v>
      </c>
      <c r="L991" s="38">
        <v>128.16</v>
      </c>
      <c r="M991" s="38">
        <v>129.11000000000001</v>
      </c>
      <c r="N991" s="38">
        <v>131.91</v>
      </c>
      <c r="O991" s="38">
        <v>135.72999999999999</v>
      </c>
      <c r="P991" s="38">
        <v>141.13</v>
      </c>
      <c r="Q991" s="38">
        <v>147.6</v>
      </c>
      <c r="R991" s="38">
        <v>152.54</v>
      </c>
      <c r="S991" s="38">
        <v>148.65</v>
      </c>
      <c r="T991" s="38">
        <v>137.82</v>
      </c>
      <c r="U991" s="38">
        <v>121.74</v>
      </c>
      <c r="V991" s="38">
        <v>113.75</v>
      </c>
      <c r="W991" s="38">
        <v>109.39</v>
      </c>
      <c r="X991" s="38">
        <v>111.4</v>
      </c>
      <c r="Y991" s="38">
        <v>113.16</v>
      </c>
      <c r="Z991" s="38">
        <v>114.69</v>
      </c>
      <c r="AA991" s="38">
        <v>116.73</v>
      </c>
      <c r="AB991" s="38">
        <v>119.59</v>
      </c>
      <c r="AC991" s="38">
        <v>121.52</v>
      </c>
      <c r="AD991" s="38">
        <v>127.38</v>
      </c>
      <c r="AE991" s="38">
        <v>128.85</v>
      </c>
      <c r="AF991" s="38">
        <v>121.45</v>
      </c>
      <c r="AG991" s="38">
        <v>107.95</v>
      </c>
      <c r="AH991" s="38">
        <v>100.83</v>
      </c>
      <c r="AI991" s="38">
        <v>95</v>
      </c>
      <c r="AJ991" s="38">
        <v>92.13</v>
      </c>
      <c r="AK991" s="38">
        <v>88.83</v>
      </c>
      <c r="AL991" s="38">
        <v>91.28</v>
      </c>
      <c r="AM991" s="38">
        <v>97.08</v>
      </c>
      <c r="AN991" s="38">
        <v>102.4</v>
      </c>
      <c r="AO991" s="38">
        <v>106.96</v>
      </c>
      <c r="AP991" s="38">
        <v>108.91</v>
      </c>
      <c r="AQ991" s="38">
        <v>110.92</v>
      </c>
      <c r="AR991" s="38">
        <v>103.26</v>
      </c>
      <c r="AS991" s="38">
        <v>92.06</v>
      </c>
      <c r="AT991" s="38">
        <v>83.56</v>
      </c>
      <c r="AU991" s="38">
        <v>79.56</v>
      </c>
      <c r="AV991" s="38">
        <v>73.81</v>
      </c>
      <c r="AW991" s="38">
        <v>74.28</v>
      </c>
      <c r="AX991" s="38">
        <v>78.239999999999995</v>
      </c>
      <c r="AY991" s="38">
        <v>81.260000000000005</v>
      </c>
      <c r="BA991" s="37">
        <v>90.7</v>
      </c>
      <c r="BB991" s="38">
        <v>1.2257</v>
      </c>
    </row>
    <row r="992" spans="1:54" x14ac:dyDescent="0.35">
      <c r="A992" s="2">
        <f t="shared" si="15"/>
        <v>45210</v>
      </c>
      <c r="B992" t="s">
        <v>1034</v>
      </c>
      <c r="C992" s="32">
        <v>45210</v>
      </c>
      <c r="D992" s="38">
        <v>116.62</v>
      </c>
      <c r="E992" s="38">
        <v>127.25</v>
      </c>
      <c r="F992" s="38">
        <v>133.61000000000001</v>
      </c>
      <c r="G992" s="38">
        <v>135.38</v>
      </c>
      <c r="H992" s="38">
        <v>132.63999999999999</v>
      </c>
      <c r="I992" s="38">
        <v>128.33000000000001</v>
      </c>
      <c r="J992" s="38">
        <v>125.09</v>
      </c>
      <c r="K992" s="38">
        <v>122.36</v>
      </c>
      <c r="L992" s="38">
        <v>123.15</v>
      </c>
      <c r="M992" s="38">
        <v>124.1</v>
      </c>
      <c r="N992" s="38">
        <v>127.1</v>
      </c>
      <c r="O992" s="38">
        <v>131.55000000000001</v>
      </c>
      <c r="P992" s="38">
        <v>137.52000000000001</v>
      </c>
      <c r="Q992" s="38">
        <v>143.88999999999999</v>
      </c>
      <c r="R992" s="38">
        <v>148.74</v>
      </c>
      <c r="S992" s="38">
        <v>144.79</v>
      </c>
      <c r="T992" s="38">
        <v>133.91</v>
      </c>
      <c r="U992" s="38">
        <v>117.61</v>
      </c>
      <c r="V992" s="38">
        <v>111.11</v>
      </c>
      <c r="W992" s="38">
        <v>106.11</v>
      </c>
      <c r="X992" s="38">
        <v>108.12</v>
      </c>
      <c r="Y992" s="38">
        <v>109.88</v>
      </c>
      <c r="Z992" s="38">
        <v>111.41</v>
      </c>
      <c r="AA992" s="38">
        <v>113.91</v>
      </c>
      <c r="AB992" s="38">
        <v>116.77</v>
      </c>
      <c r="AC992" s="38">
        <v>118.7</v>
      </c>
      <c r="AD992" s="38">
        <v>124.56</v>
      </c>
      <c r="AE992" s="38">
        <v>126.03</v>
      </c>
      <c r="AF992" s="38">
        <v>118.63</v>
      </c>
      <c r="AG992" s="38">
        <v>105.98</v>
      </c>
      <c r="AH992" s="38">
        <v>98.86</v>
      </c>
      <c r="AI992" s="38">
        <v>93.03</v>
      </c>
      <c r="AJ992" s="38">
        <v>90.16</v>
      </c>
      <c r="AK992" s="38">
        <v>86.87</v>
      </c>
      <c r="AL992" s="38">
        <v>89.32</v>
      </c>
      <c r="AM992" s="38">
        <v>94.62</v>
      </c>
      <c r="AN992" s="38">
        <v>98.92</v>
      </c>
      <c r="AO992" s="38">
        <v>103.48</v>
      </c>
      <c r="AP992" s="38">
        <v>105.43</v>
      </c>
      <c r="AQ992" s="38">
        <v>107.44</v>
      </c>
      <c r="AR992" s="38">
        <v>99.78</v>
      </c>
      <c r="AS992" s="38">
        <v>88.38</v>
      </c>
      <c r="AT992" s="38">
        <v>79.88</v>
      </c>
      <c r="AU992" s="38">
        <v>75.88</v>
      </c>
      <c r="AV992" s="38">
        <v>70.13</v>
      </c>
      <c r="AW992" s="38">
        <v>70.599999999999994</v>
      </c>
      <c r="AX992" s="38">
        <v>74.56</v>
      </c>
      <c r="AY992" s="38">
        <v>77.06</v>
      </c>
      <c r="BA992" s="37">
        <v>87.58</v>
      </c>
      <c r="BB992" s="38">
        <v>1.2312000000000001</v>
      </c>
    </row>
    <row r="993" spans="1:54" x14ac:dyDescent="0.35">
      <c r="A993" s="2">
        <f t="shared" si="15"/>
        <v>45211</v>
      </c>
      <c r="B993" t="s">
        <v>1035</v>
      </c>
      <c r="C993" s="32">
        <v>45211</v>
      </c>
      <c r="D993" s="38">
        <v>133.96</v>
      </c>
      <c r="E993" s="38">
        <v>142.22999999999999</v>
      </c>
      <c r="F993" s="38">
        <v>147.69</v>
      </c>
      <c r="G993" s="38">
        <v>149.08000000000001</v>
      </c>
      <c r="H993" s="38">
        <v>145.96</v>
      </c>
      <c r="I993" s="38">
        <v>141.83000000000001</v>
      </c>
      <c r="J993" s="38">
        <v>136.91999999999999</v>
      </c>
      <c r="K993" s="38">
        <v>135.12</v>
      </c>
      <c r="L993" s="38">
        <v>134.96</v>
      </c>
      <c r="M993" s="38">
        <v>135.91</v>
      </c>
      <c r="N993" s="38">
        <v>138.91</v>
      </c>
      <c r="O993" s="38">
        <v>141.47999999999999</v>
      </c>
      <c r="P993" s="38">
        <v>147.44999999999999</v>
      </c>
      <c r="Q993" s="38">
        <v>153.77000000000001</v>
      </c>
      <c r="R993" s="38">
        <v>158.53</v>
      </c>
      <c r="S993" s="38">
        <v>154.38</v>
      </c>
      <c r="T993" s="38">
        <v>143.43</v>
      </c>
      <c r="U993" s="38">
        <v>123.74</v>
      </c>
      <c r="V993" s="38">
        <v>115.24</v>
      </c>
      <c r="W993" s="38">
        <v>110.23</v>
      </c>
      <c r="X993" s="38">
        <v>112.18</v>
      </c>
      <c r="Y993" s="38">
        <v>113.94</v>
      </c>
      <c r="Z993" s="38">
        <v>115.46</v>
      </c>
      <c r="AA993" s="38">
        <v>117.46</v>
      </c>
      <c r="AB993" s="38">
        <v>120.32</v>
      </c>
      <c r="AC993" s="38">
        <v>122.25</v>
      </c>
      <c r="AD993" s="38">
        <v>128.11000000000001</v>
      </c>
      <c r="AE993" s="38">
        <v>129.58000000000001</v>
      </c>
      <c r="AF993" s="38">
        <v>122.18</v>
      </c>
      <c r="AG993" s="38">
        <v>107.18</v>
      </c>
      <c r="AH993" s="38">
        <v>99.38</v>
      </c>
      <c r="AI993" s="38">
        <v>93.55</v>
      </c>
      <c r="AJ993" s="38">
        <v>91.54</v>
      </c>
      <c r="AK993" s="38">
        <v>89.03</v>
      </c>
      <c r="AL993" s="38">
        <v>91.46</v>
      </c>
      <c r="AM993" s="38">
        <v>96.46</v>
      </c>
      <c r="AN993" s="38">
        <v>100.76</v>
      </c>
      <c r="AO993" s="38">
        <v>105.32</v>
      </c>
      <c r="AP993" s="38">
        <v>107.27</v>
      </c>
      <c r="AQ993" s="38">
        <v>109.28</v>
      </c>
      <c r="AR993" s="38">
        <v>101.62</v>
      </c>
      <c r="AS993" s="38">
        <v>90.22</v>
      </c>
      <c r="AT993" s="38">
        <v>81.72</v>
      </c>
      <c r="AU993" s="38">
        <v>77.72</v>
      </c>
      <c r="AV993" s="38">
        <v>71.97</v>
      </c>
      <c r="AW993" s="38">
        <v>72.44</v>
      </c>
      <c r="AX993" s="38">
        <v>76.400000000000006</v>
      </c>
      <c r="AY993" s="38">
        <v>78.900000000000006</v>
      </c>
      <c r="BA993" s="37">
        <v>88.4</v>
      </c>
      <c r="BB993" s="38">
        <v>1.2214</v>
      </c>
    </row>
    <row r="994" spans="1:54" x14ac:dyDescent="0.35">
      <c r="A994" s="2">
        <f t="shared" si="15"/>
        <v>45212</v>
      </c>
      <c r="B994" t="s">
        <v>1036</v>
      </c>
      <c r="C994" s="32">
        <v>45212</v>
      </c>
      <c r="D994" s="38">
        <v>136.69999999999999</v>
      </c>
      <c r="E994" s="38">
        <v>146.25</v>
      </c>
      <c r="F994" s="38">
        <v>151.88</v>
      </c>
      <c r="G994" s="38">
        <v>153</v>
      </c>
      <c r="H994" s="38">
        <v>149.80000000000001</v>
      </c>
      <c r="I994" s="38">
        <v>144.80000000000001</v>
      </c>
      <c r="J994" s="38">
        <v>141</v>
      </c>
      <c r="K994" s="38">
        <v>139.19999999999999</v>
      </c>
      <c r="L994" s="38">
        <v>139.04</v>
      </c>
      <c r="M994" s="38">
        <v>139.99</v>
      </c>
      <c r="N994" s="38">
        <v>142.99</v>
      </c>
      <c r="O994" s="38">
        <v>145.56</v>
      </c>
      <c r="P994" s="38">
        <v>151.53</v>
      </c>
      <c r="Q994" s="38">
        <v>157.85</v>
      </c>
      <c r="R994" s="38">
        <v>162.61000000000001</v>
      </c>
      <c r="S994" s="38">
        <v>158.46</v>
      </c>
      <c r="T994" s="38">
        <v>147.51</v>
      </c>
      <c r="U994" s="38">
        <v>124.11</v>
      </c>
      <c r="V994" s="38">
        <v>116.11</v>
      </c>
      <c r="W994" s="38">
        <v>109.41</v>
      </c>
      <c r="X994" s="38">
        <v>111.36</v>
      </c>
      <c r="Y994" s="38">
        <v>113.12</v>
      </c>
      <c r="Z994" s="38">
        <v>114.64</v>
      </c>
      <c r="AA994" s="38">
        <v>117.64</v>
      </c>
      <c r="AB994" s="38">
        <v>120.89</v>
      </c>
      <c r="AC994" s="38">
        <v>122.82</v>
      </c>
      <c r="AD994" s="38">
        <v>128.68</v>
      </c>
      <c r="AE994" s="38">
        <v>130.15</v>
      </c>
      <c r="AF994" s="38">
        <v>122.75</v>
      </c>
      <c r="AG994" s="38">
        <v>106.25</v>
      </c>
      <c r="AH994" s="38">
        <v>98.45</v>
      </c>
      <c r="AI994" s="38">
        <v>92.95</v>
      </c>
      <c r="AJ994" s="38">
        <v>90.94</v>
      </c>
      <c r="AK994" s="38">
        <v>88.43</v>
      </c>
      <c r="AL994" s="38">
        <v>90.86</v>
      </c>
      <c r="AM994" s="38">
        <v>95.86</v>
      </c>
      <c r="AN994" s="38">
        <v>100.16</v>
      </c>
      <c r="AO994" s="38">
        <v>104.72</v>
      </c>
      <c r="AP994" s="38">
        <v>106.67</v>
      </c>
      <c r="AQ994" s="38">
        <v>108.68</v>
      </c>
      <c r="AR994" s="38">
        <v>101.02</v>
      </c>
      <c r="AS994" s="38">
        <v>89.62</v>
      </c>
      <c r="AT994" s="38">
        <v>81.12</v>
      </c>
      <c r="AU994" s="38">
        <v>77.12</v>
      </c>
      <c r="AV994" s="38">
        <v>71.37</v>
      </c>
      <c r="AW994" s="38">
        <v>71.84</v>
      </c>
      <c r="AX994" s="38">
        <v>75.8</v>
      </c>
      <c r="AY994" s="38">
        <v>78.3</v>
      </c>
      <c r="BA994" s="37">
        <v>94.33</v>
      </c>
      <c r="BB994" s="38">
        <v>1.2141</v>
      </c>
    </row>
    <row r="995" spans="1:54" x14ac:dyDescent="0.35">
      <c r="A995" s="2">
        <f t="shared" si="15"/>
        <v>45215</v>
      </c>
      <c r="B995" t="s">
        <v>1037</v>
      </c>
      <c r="C995" s="32">
        <v>45215</v>
      </c>
      <c r="D995" s="38">
        <v>121.17</v>
      </c>
      <c r="E995" s="38">
        <v>135.72</v>
      </c>
      <c r="F995" s="38">
        <v>142.06</v>
      </c>
      <c r="G995" s="38">
        <v>143.83000000000001</v>
      </c>
      <c r="H995" s="38">
        <v>140.79</v>
      </c>
      <c r="I995" s="38">
        <v>136.22</v>
      </c>
      <c r="J995" s="38">
        <v>132.41</v>
      </c>
      <c r="K995" s="38">
        <v>130.59</v>
      </c>
      <c r="L995" s="38">
        <v>130.41999999999999</v>
      </c>
      <c r="M995" s="38">
        <v>131.36000000000001</v>
      </c>
      <c r="N995" s="38">
        <v>134.75</v>
      </c>
      <c r="O995" s="38">
        <v>137.35</v>
      </c>
      <c r="P995" s="38">
        <v>143.31</v>
      </c>
      <c r="Q995" s="38">
        <v>149.63</v>
      </c>
      <c r="R995" s="38">
        <v>154.38999999999999</v>
      </c>
      <c r="S995" s="38">
        <v>150.24</v>
      </c>
      <c r="T995" s="38">
        <v>139.29</v>
      </c>
      <c r="U995" s="38">
        <v>119.15</v>
      </c>
      <c r="V995" s="38">
        <v>111.15</v>
      </c>
      <c r="W995" s="38">
        <v>104.45</v>
      </c>
      <c r="X995" s="38">
        <v>106.4</v>
      </c>
      <c r="Y995" s="38">
        <v>108.16</v>
      </c>
      <c r="Z995" s="38">
        <v>109.68</v>
      </c>
      <c r="AA995" s="38">
        <v>112.68</v>
      </c>
      <c r="AB995" s="38">
        <v>115.93</v>
      </c>
      <c r="AC995" s="38">
        <v>117.86</v>
      </c>
      <c r="AD995" s="38">
        <v>123.72</v>
      </c>
      <c r="AE995" s="38">
        <v>125.19</v>
      </c>
      <c r="AF995" s="38">
        <v>117.79</v>
      </c>
      <c r="AG995" s="38">
        <v>103.64</v>
      </c>
      <c r="AH995" s="38">
        <v>95.84</v>
      </c>
      <c r="AI995" s="38">
        <v>90.34</v>
      </c>
      <c r="AJ995" s="38">
        <v>88.33</v>
      </c>
      <c r="AK995" s="38">
        <v>85.82</v>
      </c>
      <c r="AL995" s="38">
        <v>88.25</v>
      </c>
      <c r="AM995" s="38">
        <v>93.18</v>
      </c>
      <c r="AN995" s="38">
        <v>97.97</v>
      </c>
      <c r="AO995" s="38">
        <v>102.53</v>
      </c>
      <c r="AP995" s="38">
        <v>104.48</v>
      </c>
      <c r="AQ995" s="38">
        <v>106.49</v>
      </c>
      <c r="AR995" s="38">
        <v>98.83</v>
      </c>
      <c r="AS995" s="38">
        <v>87.43</v>
      </c>
      <c r="AT995" s="38">
        <v>78.930000000000007</v>
      </c>
      <c r="AU995" s="38">
        <v>74.930000000000007</v>
      </c>
      <c r="AV995" s="38">
        <v>69.180000000000007</v>
      </c>
      <c r="AW995" s="38">
        <v>69.650000000000006</v>
      </c>
      <c r="AX995" s="38">
        <v>73.61</v>
      </c>
      <c r="AY995" s="38">
        <v>76.11</v>
      </c>
      <c r="BA995" s="37">
        <v>90.99</v>
      </c>
      <c r="BB995" s="38">
        <v>1.2189000000000001</v>
      </c>
    </row>
    <row r="996" spans="1:54" x14ac:dyDescent="0.35">
      <c r="A996" s="2">
        <f t="shared" si="15"/>
        <v>45216</v>
      </c>
      <c r="B996" t="s">
        <v>1038</v>
      </c>
      <c r="C996" s="32">
        <v>45216</v>
      </c>
      <c r="D996" s="38">
        <v>122.03</v>
      </c>
      <c r="E996" s="38">
        <v>137.22999999999999</v>
      </c>
      <c r="F996" s="38">
        <v>143.82</v>
      </c>
      <c r="G996" s="38">
        <v>145.65</v>
      </c>
      <c r="H996" s="38">
        <v>142.61000000000001</v>
      </c>
      <c r="I996" s="38">
        <v>137.81</v>
      </c>
      <c r="J996" s="38">
        <v>133.79</v>
      </c>
      <c r="K996" s="38">
        <v>132.09</v>
      </c>
      <c r="L996" s="38">
        <v>132</v>
      </c>
      <c r="M996" s="38">
        <v>132.94</v>
      </c>
      <c r="N996" s="38">
        <v>136.54</v>
      </c>
      <c r="O996" s="38">
        <v>139.22</v>
      </c>
      <c r="P996" s="38">
        <v>145.18</v>
      </c>
      <c r="Q996" s="38">
        <v>151.5</v>
      </c>
      <c r="R996" s="38">
        <v>155.5</v>
      </c>
      <c r="S996" s="38">
        <v>151.35</v>
      </c>
      <c r="T996" s="38">
        <v>140.4</v>
      </c>
      <c r="U996" s="38">
        <v>120.27</v>
      </c>
      <c r="V996" s="38">
        <v>112.28</v>
      </c>
      <c r="W996" s="38">
        <v>105.59</v>
      </c>
      <c r="X996" s="38">
        <v>107.56</v>
      </c>
      <c r="Y996" s="38">
        <v>109.33</v>
      </c>
      <c r="Z996" s="38">
        <v>110.88</v>
      </c>
      <c r="AA996" s="38">
        <v>113.91</v>
      </c>
      <c r="AB996" s="38">
        <v>117.16</v>
      </c>
      <c r="AC996" s="38">
        <v>119.09</v>
      </c>
      <c r="AD996" s="38">
        <v>124.95</v>
      </c>
      <c r="AE996" s="38">
        <v>126.42</v>
      </c>
      <c r="AF996" s="38">
        <v>119.02</v>
      </c>
      <c r="AG996" s="38">
        <v>104.42</v>
      </c>
      <c r="AH996" s="38">
        <v>96.22</v>
      </c>
      <c r="AI996" s="38">
        <v>90.72</v>
      </c>
      <c r="AJ996" s="38">
        <v>88.7</v>
      </c>
      <c r="AK996" s="38">
        <v>86.19</v>
      </c>
      <c r="AL996" s="38">
        <v>88.61</v>
      </c>
      <c r="AM996" s="38">
        <v>93.41</v>
      </c>
      <c r="AN996" s="38">
        <v>98.06</v>
      </c>
      <c r="AO996" s="38">
        <v>102.62</v>
      </c>
      <c r="AP996" s="38">
        <v>104.57</v>
      </c>
      <c r="AQ996" s="38">
        <v>106.58</v>
      </c>
      <c r="AR996" s="38">
        <v>98.92</v>
      </c>
      <c r="AS996" s="38">
        <v>87.42</v>
      </c>
      <c r="AT996" s="38">
        <v>78.62</v>
      </c>
      <c r="AU996" s="38">
        <v>74.62</v>
      </c>
      <c r="AV996" s="38">
        <v>68.87</v>
      </c>
      <c r="AW996" s="38">
        <v>69.34</v>
      </c>
      <c r="AX996" s="38">
        <v>73.3</v>
      </c>
      <c r="AY996" s="38">
        <v>75.8</v>
      </c>
      <c r="BA996" s="37">
        <v>92.52</v>
      </c>
      <c r="BB996" s="38">
        <v>1.2181999999999999</v>
      </c>
    </row>
    <row r="997" spans="1:54" x14ac:dyDescent="0.35">
      <c r="A997" s="2">
        <f t="shared" si="15"/>
        <v>45217</v>
      </c>
      <c r="B997" t="s">
        <v>1039</v>
      </c>
      <c r="C997" s="32">
        <v>45217</v>
      </c>
      <c r="D997" s="38">
        <v>125.83</v>
      </c>
      <c r="E997" s="38">
        <v>142.18</v>
      </c>
      <c r="F997" s="38">
        <v>149.31</v>
      </c>
      <c r="G997" s="38">
        <v>151.27000000000001</v>
      </c>
      <c r="H997" s="38">
        <v>147.59</v>
      </c>
      <c r="I997" s="38">
        <v>143.34</v>
      </c>
      <c r="J997" s="38">
        <v>139.27000000000001</v>
      </c>
      <c r="K997" s="38">
        <v>137.57</v>
      </c>
      <c r="L997" s="38">
        <v>137.47999999999999</v>
      </c>
      <c r="M997" s="38">
        <v>138.41999999999999</v>
      </c>
      <c r="N997" s="38">
        <v>142.02000000000001</v>
      </c>
      <c r="O997" s="38">
        <v>145.02000000000001</v>
      </c>
      <c r="P997" s="38">
        <v>150.97999999999999</v>
      </c>
      <c r="Q997" s="38">
        <v>157.30000000000001</v>
      </c>
      <c r="R997" s="38">
        <v>160.80000000000001</v>
      </c>
      <c r="S997" s="38">
        <v>156.63999999999999</v>
      </c>
      <c r="T997" s="38">
        <v>145.24</v>
      </c>
      <c r="U997" s="38">
        <v>122.64</v>
      </c>
      <c r="V997" s="38">
        <v>114.65</v>
      </c>
      <c r="W997" s="38">
        <v>107.65</v>
      </c>
      <c r="X997" s="38">
        <v>109.62</v>
      </c>
      <c r="Y997" s="38">
        <v>111.39</v>
      </c>
      <c r="Z997" s="38">
        <v>112.94</v>
      </c>
      <c r="AA997" s="38">
        <v>116.28</v>
      </c>
      <c r="AB997" s="38">
        <v>118.78</v>
      </c>
      <c r="AC997" s="38">
        <v>120.71</v>
      </c>
      <c r="AD997" s="38">
        <v>126.57</v>
      </c>
      <c r="AE997" s="38">
        <v>128.04</v>
      </c>
      <c r="AF997" s="38">
        <v>120.64</v>
      </c>
      <c r="AG997" s="38">
        <v>105.66</v>
      </c>
      <c r="AH997" s="38">
        <v>97.44</v>
      </c>
      <c r="AI997" s="38">
        <v>91.92</v>
      </c>
      <c r="AJ997" s="38">
        <v>89.88</v>
      </c>
      <c r="AK997" s="38">
        <v>87.36</v>
      </c>
      <c r="AL997" s="38">
        <v>89.76</v>
      </c>
      <c r="AM997" s="38">
        <v>94.28</v>
      </c>
      <c r="AN997" s="38">
        <v>98.93</v>
      </c>
      <c r="AO997" s="38">
        <v>103.49</v>
      </c>
      <c r="AP997" s="38">
        <v>105.44</v>
      </c>
      <c r="AQ997" s="38">
        <v>107.45</v>
      </c>
      <c r="AR997" s="38">
        <v>99.79</v>
      </c>
      <c r="AS997" s="38">
        <v>88.29</v>
      </c>
      <c r="AT997" s="38">
        <v>79.489999999999995</v>
      </c>
      <c r="AU997" s="38">
        <v>75.489999999999995</v>
      </c>
      <c r="AV997" s="38">
        <v>69.739999999999995</v>
      </c>
      <c r="AW997" s="38">
        <v>70.209999999999994</v>
      </c>
      <c r="AX997" s="38">
        <v>74.17</v>
      </c>
      <c r="AY997" s="38">
        <v>76.67</v>
      </c>
      <c r="BA997" s="37">
        <v>91.99</v>
      </c>
      <c r="BB997" s="38">
        <v>1.2145999999999999</v>
      </c>
    </row>
    <row r="998" spans="1:54" x14ac:dyDescent="0.35">
      <c r="A998" s="2">
        <f t="shared" si="15"/>
        <v>45218</v>
      </c>
      <c r="B998" t="s">
        <v>1040</v>
      </c>
      <c r="C998" s="32">
        <v>45218</v>
      </c>
      <c r="D998" s="38">
        <v>123.63</v>
      </c>
      <c r="E998" s="38">
        <v>141.80000000000001</v>
      </c>
      <c r="F998" s="38">
        <v>149.53</v>
      </c>
      <c r="G998" s="38">
        <v>151.56</v>
      </c>
      <c r="H998" s="38">
        <v>148.81</v>
      </c>
      <c r="I998" s="38">
        <v>143.9</v>
      </c>
      <c r="J998" s="38">
        <v>139.9</v>
      </c>
      <c r="K998" s="38">
        <v>137.4</v>
      </c>
      <c r="L998" s="38">
        <v>137.31</v>
      </c>
      <c r="M998" s="38">
        <v>138.25</v>
      </c>
      <c r="N998" s="38">
        <v>141.85</v>
      </c>
      <c r="O998" s="38">
        <v>144.41</v>
      </c>
      <c r="P998" s="38">
        <v>150.97</v>
      </c>
      <c r="Q998" s="38">
        <v>157.41</v>
      </c>
      <c r="R998" s="38">
        <v>160.91</v>
      </c>
      <c r="S998" s="38">
        <v>156.75</v>
      </c>
      <c r="T998" s="38">
        <v>145.35</v>
      </c>
      <c r="U998" s="38">
        <v>123.26</v>
      </c>
      <c r="V998" s="38">
        <v>115.27</v>
      </c>
      <c r="W998" s="38">
        <v>108.27</v>
      </c>
      <c r="X998" s="38">
        <v>110.24</v>
      </c>
      <c r="Y998" s="38">
        <v>112.01</v>
      </c>
      <c r="Z998" s="38">
        <v>113.56</v>
      </c>
      <c r="AA998" s="38">
        <v>116.28</v>
      </c>
      <c r="AB998" s="38">
        <v>118.78</v>
      </c>
      <c r="AC998" s="38">
        <v>120.71</v>
      </c>
      <c r="AD998" s="38">
        <v>126.57</v>
      </c>
      <c r="AE998" s="38">
        <v>128.04</v>
      </c>
      <c r="AF998" s="38">
        <v>120.64</v>
      </c>
      <c r="AG998" s="38">
        <v>105.04</v>
      </c>
      <c r="AH998" s="38">
        <v>96.82</v>
      </c>
      <c r="AI998" s="38">
        <v>91.3</v>
      </c>
      <c r="AJ998" s="38">
        <v>89.26</v>
      </c>
      <c r="AK998" s="38">
        <v>86.74</v>
      </c>
      <c r="AL998" s="38">
        <v>89.14</v>
      </c>
      <c r="AM998" s="38">
        <v>94.8</v>
      </c>
      <c r="AN998" s="38">
        <v>99.45</v>
      </c>
      <c r="AO998" s="38">
        <v>104.01</v>
      </c>
      <c r="AP998" s="38">
        <v>105.96</v>
      </c>
      <c r="AQ998" s="38">
        <v>107.97</v>
      </c>
      <c r="AR998" s="38">
        <v>100.31</v>
      </c>
      <c r="AS998" s="38">
        <v>88.31</v>
      </c>
      <c r="AT998" s="38">
        <v>79.510000000000005</v>
      </c>
      <c r="AU998" s="38">
        <v>75.510000000000005</v>
      </c>
      <c r="AV998" s="38">
        <v>69.760000000000005</v>
      </c>
      <c r="AW998" s="38">
        <v>70.23</v>
      </c>
      <c r="AX998" s="38">
        <v>74.19</v>
      </c>
      <c r="AY998" s="38">
        <v>76.69</v>
      </c>
      <c r="BA998" s="37">
        <v>93.12</v>
      </c>
      <c r="BB998" s="38">
        <v>1.2142999999999999</v>
      </c>
    </row>
    <row r="999" spans="1:54" x14ac:dyDescent="0.35">
      <c r="A999" s="2">
        <f t="shared" si="15"/>
        <v>45219</v>
      </c>
      <c r="B999" t="s">
        <v>1041</v>
      </c>
      <c r="C999" s="32">
        <v>45219</v>
      </c>
      <c r="D999" s="38">
        <v>126.19</v>
      </c>
      <c r="E999" s="38">
        <v>144.16999999999999</v>
      </c>
      <c r="F999" s="38">
        <v>151.91</v>
      </c>
      <c r="G999" s="38">
        <v>153.38999999999999</v>
      </c>
      <c r="H999" s="38">
        <v>150.63999999999999</v>
      </c>
      <c r="I999" s="38">
        <v>145.61000000000001</v>
      </c>
      <c r="J999" s="38">
        <v>141.61000000000001</v>
      </c>
      <c r="K999" s="38">
        <v>139.11000000000001</v>
      </c>
      <c r="L999" s="38">
        <v>139.52000000000001</v>
      </c>
      <c r="M999" s="38">
        <v>140.46</v>
      </c>
      <c r="N999" s="38">
        <v>143.41</v>
      </c>
      <c r="O999" s="38">
        <v>144.97999999999999</v>
      </c>
      <c r="P999" s="38">
        <v>151.99</v>
      </c>
      <c r="Q999" s="38">
        <v>158.99</v>
      </c>
      <c r="R999" s="38">
        <v>162.49</v>
      </c>
      <c r="S999" s="38">
        <v>158.33000000000001</v>
      </c>
      <c r="T999" s="38">
        <v>146.33000000000001</v>
      </c>
      <c r="U999" s="38">
        <v>123.03</v>
      </c>
      <c r="V999" s="38">
        <v>114.03</v>
      </c>
      <c r="W999" s="38">
        <v>107.03</v>
      </c>
      <c r="X999" s="38">
        <v>109</v>
      </c>
      <c r="Y999" s="38">
        <v>110.77</v>
      </c>
      <c r="Z999" s="38">
        <v>112.32</v>
      </c>
      <c r="AA999" s="38">
        <v>115.04</v>
      </c>
      <c r="AB999" s="38">
        <v>117.54</v>
      </c>
      <c r="AC999" s="38">
        <v>119.47</v>
      </c>
      <c r="AD999" s="38">
        <v>125.33</v>
      </c>
      <c r="AE999" s="38">
        <v>126.8</v>
      </c>
      <c r="AF999" s="38">
        <v>119.4</v>
      </c>
      <c r="AG999" s="38">
        <v>104.6</v>
      </c>
      <c r="AH999" s="38">
        <v>96.38</v>
      </c>
      <c r="AI999" s="38">
        <v>90.86</v>
      </c>
      <c r="AJ999" s="38">
        <v>88.82</v>
      </c>
      <c r="AK999" s="38">
        <v>86.3</v>
      </c>
      <c r="AL999" s="38">
        <v>88.7</v>
      </c>
      <c r="AM999" s="38">
        <v>94.36</v>
      </c>
      <c r="AN999" s="38">
        <v>99.01</v>
      </c>
      <c r="AO999" s="38">
        <v>103.57</v>
      </c>
      <c r="AP999" s="38">
        <v>105.52</v>
      </c>
      <c r="AQ999" s="38">
        <v>107.53</v>
      </c>
      <c r="AR999" s="38">
        <v>99.87</v>
      </c>
      <c r="AS999" s="38">
        <v>87.87</v>
      </c>
      <c r="AT999" s="38">
        <v>79.069999999999993</v>
      </c>
      <c r="AU999" s="38">
        <v>75.069999999999993</v>
      </c>
      <c r="AV999" s="38">
        <v>69.319999999999993</v>
      </c>
      <c r="AW999" s="38">
        <v>69.790000000000006</v>
      </c>
      <c r="AX999" s="38">
        <v>73.75</v>
      </c>
      <c r="AY999" s="38">
        <v>76.55</v>
      </c>
      <c r="BA999" s="37">
        <v>93.72</v>
      </c>
      <c r="BB999" s="38">
        <v>1.2150000000000001</v>
      </c>
    </row>
    <row r="1000" spans="1:54" x14ac:dyDescent="0.35">
      <c r="A1000" s="2">
        <f t="shared" si="15"/>
        <v>45222</v>
      </c>
      <c r="B1000" t="s">
        <v>1042</v>
      </c>
      <c r="C1000" s="32">
        <v>45222</v>
      </c>
      <c r="D1000" s="38">
        <v>126.75</v>
      </c>
      <c r="E1000" s="38">
        <v>144.28</v>
      </c>
      <c r="F1000" s="38">
        <v>152.07</v>
      </c>
      <c r="G1000" s="38">
        <v>153.99</v>
      </c>
      <c r="H1000" s="38">
        <v>151.24</v>
      </c>
      <c r="I1000" s="38">
        <v>145.76</v>
      </c>
      <c r="J1000" s="38">
        <v>141.76</v>
      </c>
      <c r="K1000" s="38">
        <v>139.26</v>
      </c>
      <c r="L1000" s="38">
        <v>139.66999999999999</v>
      </c>
      <c r="M1000" s="38">
        <v>140.61000000000001</v>
      </c>
      <c r="N1000" s="38">
        <v>143.56</v>
      </c>
      <c r="O1000" s="38">
        <v>145.13</v>
      </c>
      <c r="P1000" s="38">
        <v>152.13999999999999</v>
      </c>
      <c r="Q1000" s="38">
        <v>159.13999999999999</v>
      </c>
      <c r="R1000" s="38">
        <v>162.63999999999999</v>
      </c>
      <c r="S1000" s="38">
        <v>158.47999999999999</v>
      </c>
      <c r="T1000" s="38">
        <v>146.47999999999999</v>
      </c>
      <c r="U1000" s="38">
        <v>123.48</v>
      </c>
      <c r="V1000" s="38">
        <v>114.48</v>
      </c>
      <c r="W1000" s="38">
        <v>107.48</v>
      </c>
      <c r="X1000" s="38">
        <v>109.45</v>
      </c>
      <c r="Y1000" s="38">
        <v>111.22</v>
      </c>
      <c r="Z1000" s="38">
        <v>112.77</v>
      </c>
      <c r="AA1000" s="38">
        <v>116.03</v>
      </c>
      <c r="AB1000" s="38">
        <v>118.53</v>
      </c>
      <c r="AC1000" s="38">
        <v>120.46</v>
      </c>
      <c r="AD1000" s="38">
        <v>126.32</v>
      </c>
      <c r="AE1000" s="38">
        <v>127.79</v>
      </c>
      <c r="AF1000" s="38">
        <v>120.39</v>
      </c>
      <c r="AG1000" s="38">
        <v>105.49</v>
      </c>
      <c r="AH1000" s="38">
        <v>97.27</v>
      </c>
      <c r="AI1000" s="38">
        <v>91.75</v>
      </c>
      <c r="AJ1000" s="38">
        <v>89.71</v>
      </c>
      <c r="AK1000" s="38">
        <v>87.19</v>
      </c>
      <c r="AL1000" s="38">
        <v>89.59</v>
      </c>
      <c r="AM1000" s="38">
        <v>94.59</v>
      </c>
      <c r="AN1000" s="38">
        <v>99.24</v>
      </c>
      <c r="AO1000" s="38">
        <v>103.8</v>
      </c>
      <c r="AP1000" s="38">
        <v>105.75</v>
      </c>
      <c r="AQ1000" s="38">
        <v>107.76</v>
      </c>
      <c r="AR1000" s="38">
        <v>100.1</v>
      </c>
      <c r="AS1000" s="38">
        <v>88.1</v>
      </c>
      <c r="AT1000" s="38">
        <v>79.3</v>
      </c>
      <c r="AU1000" s="38">
        <v>75.3</v>
      </c>
      <c r="AV1000" s="38">
        <v>69.55</v>
      </c>
      <c r="AW1000" s="38">
        <v>70.02</v>
      </c>
      <c r="AX1000" s="38">
        <v>73.98</v>
      </c>
      <c r="AY1000" s="38">
        <v>76.58</v>
      </c>
      <c r="BA1000" s="37">
        <v>91.88</v>
      </c>
      <c r="BB1000" s="38">
        <v>1.2208000000000001</v>
      </c>
    </row>
    <row r="1001" spans="1:54" x14ac:dyDescent="0.35">
      <c r="A1001" s="2">
        <f t="shared" si="15"/>
        <v>45223</v>
      </c>
      <c r="B1001" t="s">
        <v>1043</v>
      </c>
      <c r="C1001" s="32">
        <v>45223</v>
      </c>
      <c r="D1001" s="38">
        <v>122.15</v>
      </c>
      <c r="E1001" s="38">
        <v>137.38</v>
      </c>
      <c r="F1001" s="38">
        <v>145.16</v>
      </c>
      <c r="G1001" s="38">
        <v>146.78</v>
      </c>
      <c r="H1001" s="38">
        <v>143.75</v>
      </c>
      <c r="I1001" s="38">
        <v>138.65</v>
      </c>
      <c r="J1001" s="38">
        <v>135.05000000000001</v>
      </c>
      <c r="K1001" s="38">
        <v>132.55000000000001</v>
      </c>
      <c r="L1001" s="38">
        <v>132.96</v>
      </c>
      <c r="M1001" s="38">
        <v>133.9</v>
      </c>
      <c r="N1001" s="38">
        <v>136.85</v>
      </c>
      <c r="O1001" s="38">
        <v>137.78</v>
      </c>
      <c r="P1001" s="38">
        <v>145.97999999999999</v>
      </c>
      <c r="Q1001" s="38">
        <v>153.38</v>
      </c>
      <c r="R1001" s="38">
        <v>156.88</v>
      </c>
      <c r="S1001" s="38">
        <v>152.72</v>
      </c>
      <c r="T1001" s="38">
        <v>141.52000000000001</v>
      </c>
      <c r="U1001" s="38">
        <v>121.52</v>
      </c>
      <c r="V1001" s="38">
        <v>113.52</v>
      </c>
      <c r="W1001" s="38">
        <v>106.52</v>
      </c>
      <c r="X1001" s="38">
        <v>108.49</v>
      </c>
      <c r="Y1001" s="38">
        <v>110.25</v>
      </c>
      <c r="Z1001" s="38">
        <v>111.8</v>
      </c>
      <c r="AA1001" s="38">
        <v>115.05</v>
      </c>
      <c r="AB1001" s="38">
        <v>117.53</v>
      </c>
      <c r="AC1001" s="38">
        <v>119.45</v>
      </c>
      <c r="AD1001" s="38">
        <v>125.29</v>
      </c>
      <c r="AE1001" s="38">
        <v>126.75</v>
      </c>
      <c r="AF1001" s="38">
        <v>119.34</v>
      </c>
      <c r="AG1001" s="38">
        <v>105.33</v>
      </c>
      <c r="AH1001" s="38">
        <v>97.09</v>
      </c>
      <c r="AI1001" s="38">
        <v>91.56</v>
      </c>
      <c r="AJ1001" s="38">
        <v>89.5</v>
      </c>
      <c r="AK1001" s="38">
        <v>86.94</v>
      </c>
      <c r="AL1001" s="38">
        <v>89.29</v>
      </c>
      <c r="AM1001" s="38">
        <v>95.8</v>
      </c>
      <c r="AN1001" s="38">
        <v>100.45</v>
      </c>
      <c r="AO1001" s="38">
        <v>105.01</v>
      </c>
      <c r="AP1001" s="38">
        <v>106.96</v>
      </c>
      <c r="AQ1001" s="38">
        <v>108.97</v>
      </c>
      <c r="AR1001" s="38">
        <v>101.31</v>
      </c>
      <c r="AS1001" s="38">
        <v>89.31</v>
      </c>
      <c r="AT1001" s="38">
        <v>80.510000000000005</v>
      </c>
      <c r="AU1001" s="38">
        <v>76.510000000000005</v>
      </c>
      <c r="AV1001" s="38">
        <v>70.760000000000005</v>
      </c>
      <c r="AW1001" s="38">
        <v>71.23</v>
      </c>
      <c r="AX1001" s="38">
        <v>75.19</v>
      </c>
      <c r="AY1001" s="38">
        <v>77.790000000000006</v>
      </c>
      <c r="BA1001" s="37">
        <v>88</v>
      </c>
      <c r="BB1001" s="38">
        <v>1.2178</v>
      </c>
    </row>
    <row r="1002" spans="1:54" x14ac:dyDescent="0.35">
      <c r="A1002" s="2">
        <f t="shared" si="15"/>
        <v>45224</v>
      </c>
      <c r="B1002" t="s">
        <v>1044</v>
      </c>
      <c r="C1002" s="32">
        <v>45224</v>
      </c>
      <c r="D1002" s="38">
        <v>124.21</v>
      </c>
      <c r="E1002" s="38">
        <v>136.15</v>
      </c>
      <c r="F1002" s="38">
        <v>143.68</v>
      </c>
      <c r="G1002" s="38">
        <v>144.94</v>
      </c>
      <c r="H1002" s="38">
        <v>141.69999999999999</v>
      </c>
      <c r="I1002" s="38">
        <v>136.6</v>
      </c>
      <c r="J1002" s="38">
        <v>133</v>
      </c>
      <c r="K1002" s="38">
        <v>130.5</v>
      </c>
      <c r="L1002" s="38">
        <v>130.91</v>
      </c>
      <c r="M1002" s="38">
        <v>131.85</v>
      </c>
      <c r="N1002" s="38">
        <v>134.80000000000001</v>
      </c>
      <c r="O1002" s="38">
        <v>135.84</v>
      </c>
      <c r="P1002" s="38">
        <v>144.49</v>
      </c>
      <c r="Q1002" s="38">
        <v>151.94</v>
      </c>
      <c r="R1002" s="38">
        <v>155.5</v>
      </c>
      <c r="S1002" s="38">
        <v>151.38999999999999</v>
      </c>
      <c r="T1002" s="38">
        <v>140.25</v>
      </c>
      <c r="U1002" s="38">
        <v>120.51</v>
      </c>
      <c r="V1002" s="38">
        <v>112.52</v>
      </c>
      <c r="W1002" s="38">
        <v>107.02</v>
      </c>
      <c r="X1002" s="38">
        <v>109</v>
      </c>
      <c r="Y1002" s="38">
        <v>110.76</v>
      </c>
      <c r="Z1002" s="38">
        <v>112.31</v>
      </c>
      <c r="AA1002" s="38">
        <v>116.06</v>
      </c>
      <c r="AB1002" s="38">
        <v>118.54</v>
      </c>
      <c r="AC1002" s="38">
        <v>120.47</v>
      </c>
      <c r="AD1002" s="38">
        <v>126.31</v>
      </c>
      <c r="AE1002" s="38">
        <v>127.77</v>
      </c>
      <c r="AF1002" s="38">
        <v>120.36</v>
      </c>
      <c r="AG1002" s="38">
        <v>104.87</v>
      </c>
      <c r="AH1002" s="38">
        <v>97.47</v>
      </c>
      <c r="AI1002" s="38">
        <v>91.95</v>
      </c>
      <c r="AJ1002" s="38">
        <v>89.89</v>
      </c>
      <c r="AK1002" s="38">
        <v>87.9</v>
      </c>
      <c r="AL1002" s="38">
        <v>90.27</v>
      </c>
      <c r="AM1002" s="38">
        <v>94.98</v>
      </c>
      <c r="AN1002" s="38">
        <v>99.18</v>
      </c>
      <c r="AO1002" s="38">
        <v>103.28</v>
      </c>
      <c r="AP1002" s="38">
        <v>105.23</v>
      </c>
      <c r="AQ1002" s="38">
        <v>107.24</v>
      </c>
      <c r="AR1002" s="38">
        <v>99.58</v>
      </c>
      <c r="AS1002" s="38">
        <v>88.38</v>
      </c>
      <c r="AT1002" s="38">
        <v>79.58</v>
      </c>
      <c r="AU1002" s="38">
        <v>75.58</v>
      </c>
      <c r="AV1002" s="38">
        <v>69.83</v>
      </c>
      <c r="AW1002" s="38">
        <v>70.3</v>
      </c>
      <c r="AX1002" s="38">
        <v>74.260000000000005</v>
      </c>
      <c r="AY1002" s="38">
        <v>77.36</v>
      </c>
      <c r="BA1002" s="37">
        <v>90.14</v>
      </c>
      <c r="BB1002" s="38">
        <v>1.2143999999999999</v>
      </c>
    </row>
    <row r="1003" spans="1:54" x14ac:dyDescent="0.35">
      <c r="A1003" s="2">
        <f t="shared" si="15"/>
        <v>45225</v>
      </c>
      <c r="B1003" t="s">
        <v>1045</v>
      </c>
      <c r="C1003" s="32">
        <v>45225</v>
      </c>
      <c r="D1003" s="38">
        <v>126.12</v>
      </c>
      <c r="E1003" s="38">
        <v>137.41999999999999</v>
      </c>
      <c r="F1003" s="38">
        <v>144.38999999999999</v>
      </c>
      <c r="G1003" s="38">
        <v>146.38999999999999</v>
      </c>
      <c r="H1003" s="38">
        <v>142.99</v>
      </c>
      <c r="I1003" s="38">
        <v>137.4</v>
      </c>
      <c r="J1003" s="38">
        <v>133.30000000000001</v>
      </c>
      <c r="K1003" s="38">
        <v>130.9</v>
      </c>
      <c r="L1003" s="38">
        <v>131.31</v>
      </c>
      <c r="M1003" s="38">
        <v>132.25</v>
      </c>
      <c r="N1003" s="38">
        <v>135.19999999999999</v>
      </c>
      <c r="O1003" s="38">
        <v>136.62</v>
      </c>
      <c r="P1003" s="38">
        <v>145.31</v>
      </c>
      <c r="Q1003" s="38">
        <v>152.91999999999999</v>
      </c>
      <c r="R1003" s="38">
        <v>156.66</v>
      </c>
      <c r="S1003" s="38">
        <v>152.54</v>
      </c>
      <c r="T1003" s="38">
        <v>141.4</v>
      </c>
      <c r="U1003" s="38">
        <v>121.24</v>
      </c>
      <c r="V1003" s="38">
        <v>113.25</v>
      </c>
      <c r="W1003" s="38">
        <v>107.75</v>
      </c>
      <c r="X1003" s="38">
        <v>109.25</v>
      </c>
      <c r="Y1003" s="38">
        <v>111.01</v>
      </c>
      <c r="Z1003" s="38">
        <v>112.56</v>
      </c>
      <c r="AA1003" s="38">
        <v>116.46</v>
      </c>
      <c r="AB1003" s="38">
        <v>118.94</v>
      </c>
      <c r="AC1003" s="38">
        <v>120.87</v>
      </c>
      <c r="AD1003" s="38">
        <v>126.76</v>
      </c>
      <c r="AE1003" s="38">
        <v>128.22</v>
      </c>
      <c r="AF1003" s="38">
        <v>120.81</v>
      </c>
      <c r="AG1003" s="38">
        <v>103.48</v>
      </c>
      <c r="AH1003" s="38">
        <v>96.08</v>
      </c>
      <c r="AI1003" s="38">
        <v>90.57</v>
      </c>
      <c r="AJ1003" s="38">
        <v>90.13</v>
      </c>
      <c r="AK1003" s="38">
        <v>89.83</v>
      </c>
      <c r="AL1003" s="38">
        <v>92.2</v>
      </c>
      <c r="AM1003" s="38">
        <v>96.85</v>
      </c>
      <c r="AN1003" s="38">
        <v>101.05</v>
      </c>
      <c r="AO1003" s="38">
        <v>105.15</v>
      </c>
      <c r="AP1003" s="38">
        <v>106.77</v>
      </c>
      <c r="AQ1003" s="38">
        <v>108.78</v>
      </c>
      <c r="AR1003" s="38">
        <v>101.12</v>
      </c>
      <c r="AS1003" s="38">
        <v>90.22</v>
      </c>
      <c r="AT1003" s="38">
        <v>81.42</v>
      </c>
      <c r="AU1003" s="38">
        <v>77.42</v>
      </c>
      <c r="AV1003" s="38">
        <v>71.67</v>
      </c>
      <c r="AW1003" s="38">
        <v>72.14</v>
      </c>
      <c r="AX1003" s="38">
        <v>76.099999999999994</v>
      </c>
      <c r="AY1003" s="38">
        <v>79.5</v>
      </c>
      <c r="BA1003" s="37">
        <v>88.45</v>
      </c>
      <c r="BB1003" s="38">
        <v>1.2121</v>
      </c>
    </row>
    <row r="1004" spans="1:54" x14ac:dyDescent="0.35">
      <c r="A1004" s="2">
        <f t="shared" si="15"/>
        <v>45226</v>
      </c>
      <c r="B1004" t="s">
        <v>1046</v>
      </c>
      <c r="C1004" s="32">
        <v>45226</v>
      </c>
      <c r="D1004" s="38">
        <v>125.78</v>
      </c>
      <c r="E1004" s="38">
        <v>137.72999999999999</v>
      </c>
      <c r="F1004" s="38">
        <v>144.66</v>
      </c>
      <c r="G1004" s="38">
        <v>146.38999999999999</v>
      </c>
      <c r="H1004" s="38">
        <v>142.99</v>
      </c>
      <c r="I1004" s="38">
        <v>137.49</v>
      </c>
      <c r="J1004" s="38">
        <v>133.38999999999999</v>
      </c>
      <c r="K1004" s="38">
        <v>130.99</v>
      </c>
      <c r="L1004" s="38">
        <v>131.34</v>
      </c>
      <c r="M1004" s="38">
        <v>132.28</v>
      </c>
      <c r="N1004" s="38">
        <v>135.22999999999999</v>
      </c>
      <c r="O1004" s="38">
        <v>136.66</v>
      </c>
      <c r="P1004" s="38">
        <v>145.35</v>
      </c>
      <c r="Q1004" s="38">
        <v>152.96</v>
      </c>
      <c r="R1004" s="38">
        <v>156.71</v>
      </c>
      <c r="S1004" s="38">
        <v>152.59</v>
      </c>
      <c r="T1004" s="38">
        <v>141.44999999999999</v>
      </c>
      <c r="U1004" s="38">
        <v>122.35</v>
      </c>
      <c r="V1004" s="38">
        <v>114.36</v>
      </c>
      <c r="W1004" s="38">
        <v>108.86</v>
      </c>
      <c r="X1004" s="38">
        <v>110.36</v>
      </c>
      <c r="Y1004" s="38">
        <v>112.12</v>
      </c>
      <c r="Z1004" s="38">
        <v>113.67</v>
      </c>
      <c r="AA1004" s="38">
        <v>117.57</v>
      </c>
      <c r="AB1004" s="38">
        <v>120.05</v>
      </c>
      <c r="AC1004" s="38">
        <v>121.98</v>
      </c>
      <c r="AD1004" s="38">
        <v>126.98</v>
      </c>
      <c r="AE1004" s="38">
        <v>128.44</v>
      </c>
      <c r="AF1004" s="38">
        <v>121.03</v>
      </c>
      <c r="AG1004" s="38">
        <v>103.53</v>
      </c>
      <c r="AH1004" s="38">
        <v>96.13</v>
      </c>
      <c r="AI1004" s="38">
        <v>90.62</v>
      </c>
      <c r="AJ1004" s="38">
        <v>90.18</v>
      </c>
      <c r="AK1004" s="38">
        <v>89.88</v>
      </c>
      <c r="AL1004" s="38">
        <v>92.25</v>
      </c>
      <c r="AM1004" s="38">
        <v>96.35</v>
      </c>
      <c r="AN1004" s="38">
        <v>100.55</v>
      </c>
      <c r="AO1004" s="38">
        <v>104.66</v>
      </c>
      <c r="AP1004" s="38">
        <v>106.28</v>
      </c>
      <c r="AQ1004" s="38">
        <v>108.29</v>
      </c>
      <c r="AR1004" s="38">
        <v>100.63</v>
      </c>
      <c r="AS1004" s="38">
        <v>90.03</v>
      </c>
      <c r="AT1004" s="38">
        <v>81.23</v>
      </c>
      <c r="AU1004" s="38">
        <v>77.23</v>
      </c>
      <c r="AV1004" s="38">
        <v>71.48</v>
      </c>
      <c r="AW1004" s="38">
        <v>71.959999999999994</v>
      </c>
      <c r="AX1004" s="38">
        <v>75.92</v>
      </c>
      <c r="AY1004" s="38">
        <v>79.319999999999993</v>
      </c>
      <c r="BA1004" s="37">
        <v>90.73</v>
      </c>
      <c r="BB1004" s="38">
        <v>1.2141</v>
      </c>
    </row>
    <row r="1005" spans="1:54" x14ac:dyDescent="0.35">
      <c r="A1005" s="2">
        <f t="shared" si="15"/>
        <v>45229</v>
      </c>
      <c r="B1005" t="s">
        <v>1047</v>
      </c>
      <c r="C1005" s="32">
        <v>45229</v>
      </c>
      <c r="D1005" s="38">
        <v>127.86</v>
      </c>
      <c r="E1005" s="38">
        <v>137.99</v>
      </c>
      <c r="F1005" s="38">
        <v>144.94</v>
      </c>
      <c r="G1005" s="38">
        <v>147.21</v>
      </c>
      <c r="H1005" s="38">
        <v>143.47</v>
      </c>
      <c r="I1005" s="38">
        <v>137.83000000000001</v>
      </c>
      <c r="J1005" s="38">
        <v>133.51</v>
      </c>
      <c r="K1005" s="38">
        <v>131.11000000000001</v>
      </c>
      <c r="L1005" s="38">
        <v>131.46</v>
      </c>
      <c r="M1005" s="38">
        <v>132.4</v>
      </c>
      <c r="N1005" s="38">
        <v>135.35</v>
      </c>
      <c r="O1005" s="38">
        <v>136.47999999999999</v>
      </c>
      <c r="P1005" s="38">
        <v>144.91999999999999</v>
      </c>
      <c r="Q1005" s="38">
        <v>152.53</v>
      </c>
      <c r="R1005" s="38">
        <v>156.28</v>
      </c>
      <c r="S1005" s="38">
        <v>152.16</v>
      </c>
      <c r="T1005" s="38">
        <v>141.02000000000001</v>
      </c>
      <c r="U1005" s="38">
        <v>121.75</v>
      </c>
      <c r="V1005" s="38">
        <v>113.76</v>
      </c>
      <c r="W1005" s="38">
        <v>108.26</v>
      </c>
      <c r="X1005" s="38">
        <v>109.76</v>
      </c>
      <c r="Y1005" s="38">
        <v>111.52</v>
      </c>
      <c r="Z1005" s="38">
        <v>113.07</v>
      </c>
      <c r="AA1005" s="38">
        <v>117.33</v>
      </c>
      <c r="AB1005" s="38">
        <v>119.81</v>
      </c>
      <c r="AC1005" s="38">
        <v>121.74</v>
      </c>
      <c r="AD1005" s="38">
        <v>126.74</v>
      </c>
      <c r="AE1005" s="38">
        <v>128.19999999999999</v>
      </c>
      <c r="AF1005" s="38">
        <v>120.79</v>
      </c>
      <c r="AG1005" s="38">
        <v>103.79</v>
      </c>
      <c r="AH1005" s="38">
        <v>96.39</v>
      </c>
      <c r="AI1005" s="38">
        <v>90.88</v>
      </c>
      <c r="AJ1005" s="38">
        <v>90.44</v>
      </c>
      <c r="AK1005" s="38">
        <v>90.14</v>
      </c>
      <c r="AL1005" s="38">
        <v>92.51</v>
      </c>
      <c r="AM1005" s="38">
        <v>96.51</v>
      </c>
      <c r="AN1005" s="38">
        <v>100.71</v>
      </c>
      <c r="AO1005" s="38">
        <v>104.82</v>
      </c>
      <c r="AP1005" s="38">
        <v>106.44</v>
      </c>
      <c r="AQ1005" s="38">
        <v>108.45</v>
      </c>
      <c r="AR1005" s="38">
        <v>100.79</v>
      </c>
      <c r="AS1005" s="38">
        <v>90.09</v>
      </c>
      <c r="AT1005" s="38">
        <v>81.290000000000006</v>
      </c>
      <c r="AU1005" s="38">
        <v>77.290000000000006</v>
      </c>
      <c r="AV1005" s="38">
        <v>71.540000000000006</v>
      </c>
      <c r="AW1005" s="38">
        <v>72.02</v>
      </c>
      <c r="AX1005" s="38">
        <v>75.98</v>
      </c>
      <c r="AY1005" s="38">
        <v>79.38</v>
      </c>
      <c r="BA1005" s="37">
        <v>90.73</v>
      </c>
      <c r="BB1005" s="38">
        <v>1.2156</v>
      </c>
    </row>
    <row r="1006" spans="1:54" x14ac:dyDescent="0.35">
      <c r="A1006" s="2">
        <f t="shared" si="15"/>
        <v>45230</v>
      </c>
      <c r="B1006" t="s">
        <v>1048</v>
      </c>
      <c r="C1006" s="32">
        <v>45230</v>
      </c>
      <c r="D1006" s="38">
        <v>124.07</v>
      </c>
      <c r="E1006" s="38">
        <v>131.51</v>
      </c>
      <c r="F1006" s="38">
        <v>133.91</v>
      </c>
      <c r="G1006" s="38">
        <v>130.56</v>
      </c>
      <c r="H1006" s="38">
        <v>125.76</v>
      </c>
      <c r="I1006" s="38">
        <v>121.36</v>
      </c>
      <c r="J1006" s="38">
        <v>119.06</v>
      </c>
      <c r="K1006" s="38">
        <v>119.41</v>
      </c>
      <c r="L1006" s="38">
        <v>120.35</v>
      </c>
      <c r="M1006" s="38">
        <v>123.75</v>
      </c>
      <c r="N1006" s="38">
        <v>126.37</v>
      </c>
      <c r="O1006" s="38">
        <v>135.11000000000001</v>
      </c>
      <c r="P1006" s="38">
        <v>142.72</v>
      </c>
      <c r="Q1006" s="38">
        <v>146.02000000000001</v>
      </c>
      <c r="R1006" s="38">
        <v>141.9</v>
      </c>
      <c r="S1006" s="38">
        <v>130.9</v>
      </c>
      <c r="T1006" s="38">
        <v>114.64</v>
      </c>
      <c r="U1006" s="38">
        <v>107.64</v>
      </c>
      <c r="V1006" s="38">
        <v>102.14</v>
      </c>
      <c r="W1006" s="38">
        <v>103.64</v>
      </c>
      <c r="X1006" s="38">
        <v>105.4</v>
      </c>
      <c r="Y1006" s="38">
        <v>106.95</v>
      </c>
      <c r="Z1006" s="38">
        <v>112.23</v>
      </c>
      <c r="AA1006" s="38">
        <v>114.71</v>
      </c>
      <c r="AB1006" s="38">
        <v>116.64</v>
      </c>
      <c r="AC1006" s="38">
        <v>121.64</v>
      </c>
      <c r="AD1006" s="38">
        <v>123.1</v>
      </c>
      <c r="AE1006" s="38">
        <v>115.69</v>
      </c>
      <c r="AF1006" s="38">
        <v>101.29</v>
      </c>
      <c r="AG1006" s="38">
        <v>93.89</v>
      </c>
      <c r="AH1006" s="38">
        <v>88.38</v>
      </c>
      <c r="AI1006" s="38">
        <v>87.94</v>
      </c>
      <c r="AJ1006" s="38">
        <v>87.64</v>
      </c>
      <c r="AK1006" s="38">
        <v>90.01</v>
      </c>
      <c r="AL1006" s="38">
        <v>94.01</v>
      </c>
      <c r="AM1006" s="38">
        <v>98.21</v>
      </c>
      <c r="AN1006" s="38">
        <v>102.32</v>
      </c>
      <c r="AO1006" s="38">
        <v>103.94</v>
      </c>
      <c r="AP1006" s="38">
        <v>105.95</v>
      </c>
      <c r="AQ1006" s="38">
        <v>98.29</v>
      </c>
      <c r="AR1006" s="38">
        <v>88.09</v>
      </c>
      <c r="AS1006" s="38">
        <v>79.290000000000006</v>
      </c>
      <c r="AT1006" s="38">
        <v>75.290000000000006</v>
      </c>
      <c r="AU1006" s="38">
        <v>69.540000000000006</v>
      </c>
      <c r="AV1006" s="38">
        <v>70.02</v>
      </c>
      <c r="AW1006" s="38">
        <v>73.98</v>
      </c>
      <c r="AX1006" s="38">
        <v>77.38</v>
      </c>
      <c r="AY1006" s="38">
        <v>80.88</v>
      </c>
      <c r="BA1006" s="37">
        <v>86.82</v>
      </c>
      <c r="BB1006" s="38">
        <v>1.2134</v>
      </c>
    </row>
    <row r="1007" spans="1:54" x14ac:dyDescent="0.35">
      <c r="A1007" s="2">
        <f t="shared" si="15"/>
        <v>45231</v>
      </c>
      <c r="B1007" t="s">
        <v>1049</v>
      </c>
      <c r="C1007" s="32">
        <v>45231</v>
      </c>
      <c r="D1007" s="38">
        <v>122.31</v>
      </c>
      <c r="E1007" s="38">
        <v>130.34</v>
      </c>
      <c r="F1007" s="38">
        <v>132.56</v>
      </c>
      <c r="G1007" s="38">
        <v>129.43</v>
      </c>
      <c r="H1007" s="38">
        <v>124.84</v>
      </c>
      <c r="I1007" s="38">
        <v>120.74</v>
      </c>
      <c r="J1007" s="38">
        <v>118.74</v>
      </c>
      <c r="K1007" s="38">
        <v>119.09</v>
      </c>
      <c r="L1007" s="38">
        <v>120.03</v>
      </c>
      <c r="M1007" s="38">
        <v>123.43</v>
      </c>
      <c r="N1007" s="38">
        <v>125.43</v>
      </c>
      <c r="O1007" s="38">
        <v>133.88999999999999</v>
      </c>
      <c r="P1007" s="38">
        <v>141.76</v>
      </c>
      <c r="Q1007" s="38">
        <v>145.1</v>
      </c>
      <c r="R1007" s="38">
        <v>140.99</v>
      </c>
      <c r="S1007" s="38">
        <v>130.01</v>
      </c>
      <c r="T1007" s="38">
        <v>113.67</v>
      </c>
      <c r="U1007" s="38">
        <v>106.67</v>
      </c>
      <c r="V1007" s="38">
        <v>101.17</v>
      </c>
      <c r="W1007" s="38">
        <v>102.67</v>
      </c>
      <c r="X1007" s="38">
        <v>104.43</v>
      </c>
      <c r="Y1007" s="38">
        <v>105.98</v>
      </c>
      <c r="Z1007" s="38">
        <v>110.72</v>
      </c>
      <c r="AA1007" s="38">
        <v>113.2</v>
      </c>
      <c r="AB1007" s="38">
        <v>115.13</v>
      </c>
      <c r="AC1007" s="38">
        <v>120.13</v>
      </c>
      <c r="AD1007" s="38">
        <v>121.59</v>
      </c>
      <c r="AE1007" s="38">
        <v>114.18</v>
      </c>
      <c r="AF1007" s="38">
        <v>99.78</v>
      </c>
      <c r="AG1007" s="38">
        <v>92.78</v>
      </c>
      <c r="AH1007" s="38">
        <v>87.27</v>
      </c>
      <c r="AI1007" s="38">
        <v>86.83</v>
      </c>
      <c r="AJ1007" s="38">
        <v>86.53</v>
      </c>
      <c r="AK1007" s="38">
        <v>88.9</v>
      </c>
      <c r="AL1007" s="38">
        <v>93</v>
      </c>
      <c r="AM1007" s="38">
        <v>97.2</v>
      </c>
      <c r="AN1007" s="38">
        <v>101.31</v>
      </c>
      <c r="AO1007" s="38">
        <v>102.93</v>
      </c>
      <c r="AP1007" s="38">
        <v>104.94</v>
      </c>
      <c r="AQ1007" s="38">
        <v>97.28</v>
      </c>
      <c r="AR1007" s="38">
        <v>87.48</v>
      </c>
      <c r="AS1007" s="38">
        <v>78.680000000000007</v>
      </c>
      <c r="AT1007" s="38">
        <v>74.680000000000007</v>
      </c>
      <c r="AU1007" s="38">
        <v>68.930000000000007</v>
      </c>
      <c r="AV1007" s="38">
        <v>69.41</v>
      </c>
      <c r="AW1007" s="38">
        <v>73.37</v>
      </c>
      <c r="AX1007" s="38">
        <v>76.87</v>
      </c>
      <c r="AY1007" s="38">
        <v>80.47</v>
      </c>
      <c r="BA1007" s="37">
        <v>86.92</v>
      </c>
      <c r="BB1007" s="38">
        <v>1.2125999999999999</v>
      </c>
    </row>
    <row r="1008" spans="1:54" x14ac:dyDescent="0.35">
      <c r="A1008" s="2">
        <f t="shared" si="15"/>
        <v>45232</v>
      </c>
      <c r="B1008" t="s">
        <v>1050</v>
      </c>
      <c r="C1008" s="32">
        <v>45232</v>
      </c>
      <c r="D1008" s="38">
        <v>124.47</v>
      </c>
      <c r="E1008" s="38">
        <v>131.91999999999999</v>
      </c>
      <c r="F1008" s="38">
        <v>134.21</v>
      </c>
      <c r="G1008" s="38">
        <v>130.93</v>
      </c>
      <c r="H1008" s="38">
        <v>126.43</v>
      </c>
      <c r="I1008" s="38">
        <v>122.38</v>
      </c>
      <c r="J1008" s="38">
        <v>120.43</v>
      </c>
      <c r="K1008" s="38">
        <v>120.78</v>
      </c>
      <c r="L1008" s="38">
        <v>121.72</v>
      </c>
      <c r="M1008" s="38">
        <v>125.12</v>
      </c>
      <c r="N1008" s="38">
        <v>126.55</v>
      </c>
      <c r="O1008" s="38">
        <v>135.01</v>
      </c>
      <c r="P1008" s="38">
        <v>142.88</v>
      </c>
      <c r="Q1008" s="38">
        <v>146.22</v>
      </c>
      <c r="R1008" s="38">
        <v>142.11000000000001</v>
      </c>
      <c r="S1008" s="38">
        <v>131.13</v>
      </c>
      <c r="T1008" s="38">
        <v>115.13</v>
      </c>
      <c r="U1008" s="38">
        <v>108.13</v>
      </c>
      <c r="V1008" s="38">
        <v>102.63</v>
      </c>
      <c r="W1008" s="38">
        <v>104.13</v>
      </c>
      <c r="X1008" s="38">
        <v>105.89</v>
      </c>
      <c r="Y1008" s="38">
        <v>107.44</v>
      </c>
      <c r="Z1008" s="38">
        <v>111.94</v>
      </c>
      <c r="AA1008" s="38">
        <v>114.42</v>
      </c>
      <c r="AB1008" s="38">
        <v>116.35</v>
      </c>
      <c r="AC1008" s="38">
        <v>121.35</v>
      </c>
      <c r="AD1008" s="38">
        <v>122.81</v>
      </c>
      <c r="AE1008" s="38">
        <v>115.4</v>
      </c>
      <c r="AF1008" s="38">
        <v>100.6</v>
      </c>
      <c r="AG1008" s="38">
        <v>94.1</v>
      </c>
      <c r="AH1008" s="38">
        <v>88.59</v>
      </c>
      <c r="AI1008" s="38">
        <v>88.39</v>
      </c>
      <c r="AJ1008" s="38">
        <v>88.39</v>
      </c>
      <c r="AK1008" s="38">
        <v>90.76</v>
      </c>
      <c r="AL1008" s="38">
        <v>94.86</v>
      </c>
      <c r="AM1008" s="38">
        <v>99.06</v>
      </c>
      <c r="AN1008" s="38">
        <v>103.17</v>
      </c>
      <c r="AO1008" s="38">
        <v>104.79</v>
      </c>
      <c r="AP1008" s="38">
        <v>106.8</v>
      </c>
      <c r="AQ1008" s="38">
        <v>99.14</v>
      </c>
      <c r="AR1008" s="38">
        <v>88.94</v>
      </c>
      <c r="AS1008" s="38">
        <v>80.14</v>
      </c>
      <c r="AT1008" s="38">
        <v>76.14</v>
      </c>
      <c r="AU1008" s="38">
        <v>70.39</v>
      </c>
      <c r="AV1008" s="38">
        <v>70.87</v>
      </c>
      <c r="AW1008" s="38">
        <v>74.83</v>
      </c>
      <c r="AX1008" s="38">
        <v>78.03</v>
      </c>
      <c r="AY1008" s="38">
        <v>81.63</v>
      </c>
      <c r="BA1008" s="37">
        <v>89.02</v>
      </c>
      <c r="BB1008" s="38">
        <v>1.2173</v>
      </c>
    </row>
    <row r="1009" spans="1:54" x14ac:dyDescent="0.35">
      <c r="A1009" s="2">
        <f t="shared" si="15"/>
        <v>45233</v>
      </c>
      <c r="B1009" t="s">
        <v>1051</v>
      </c>
      <c r="C1009" s="32">
        <v>45233</v>
      </c>
      <c r="D1009" s="38">
        <v>122.55</v>
      </c>
      <c r="E1009" s="38">
        <v>130.41999999999999</v>
      </c>
      <c r="F1009" s="38">
        <v>133.26</v>
      </c>
      <c r="G1009" s="38">
        <v>129.85</v>
      </c>
      <c r="H1009" s="38">
        <v>125.61</v>
      </c>
      <c r="I1009" s="38">
        <v>121.58</v>
      </c>
      <c r="J1009" s="38">
        <v>119.63</v>
      </c>
      <c r="K1009" s="38">
        <v>121.17</v>
      </c>
      <c r="L1009" s="38">
        <v>122.11</v>
      </c>
      <c r="M1009" s="38">
        <v>125.51</v>
      </c>
      <c r="N1009" s="38">
        <v>126.56</v>
      </c>
      <c r="O1009" s="38">
        <v>135.02000000000001</v>
      </c>
      <c r="P1009" s="38">
        <v>142.88999999999999</v>
      </c>
      <c r="Q1009" s="38">
        <v>146.09</v>
      </c>
      <c r="R1009" s="38">
        <v>141.97999999999999</v>
      </c>
      <c r="S1009" s="38">
        <v>131</v>
      </c>
      <c r="T1009" s="38">
        <v>115.87</v>
      </c>
      <c r="U1009" s="38">
        <v>108.87</v>
      </c>
      <c r="V1009" s="38">
        <v>103.37</v>
      </c>
      <c r="W1009" s="38">
        <v>104.87</v>
      </c>
      <c r="X1009" s="38">
        <v>106.63</v>
      </c>
      <c r="Y1009" s="38">
        <v>108.18</v>
      </c>
      <c r="Z1009" s="38">
        <v>111.98</v>
      </c>
      <c r="AA1009" s="38">
        <v>114.46</v>
      </c>
      <c r="AB1009" s="38">
        <v>116.39</v>
      </c>
      <c r="AC1009" s="38">
        <v>121.39</v>
      </c>
      <c r="AD1009" s="38">
        <v>122.85</v>
      </c>
      <c r="AE1009" s="38">
        <v>115.44</v>
      </c>
      <c r="AF1009" s="38">
        <v>100.57</v>
      </c>
      <c r="AG1009" s="38">
        <v>94.07</v>
      </c>
      <c r="AH1009" s="38">
        <v>88.56</v>
      </c>
      <c r="AI1009" s="38">
        <v>88.36</v>
      </c>
      <c r="AJ1009" s="38">
        <v>88.36</v>
      </c>
      <c r="AK1009" s="38">
        <v>90.73</v>
      </c>
      <c r="AL1009" s="38">
        <v>94.86</v>
      </c>
      <c r="AM1009" s="38">
        <v>99.06</v>
      </c>
      <c r="AN1009" s="38">
        <v>103.17</v>
      </c>
      <c r="AO1009" s="38">
        <v>104.79</v>
      </c>
      <c r="AP1009" s="38">
        <v>106.8</v>
      </c>
      <c r="AQ1009" s="38">
        <v>99.14</v>
      </c>
      <c r="AR1009" s="38">
        <v>88.94</v>
      </c>
      <c r="AS1009" s="38">
        <v>80.14</v>
      </c>
      <c r="AT1009" s="38">
        <v>76.14</v>
      </c>
      <c r="AU1009" s="38">
        <v>70.39</v>
      </c>
      <c r="AV1009" s="38">
        <v>70.87</v>
      </c>
      <c r="AW1009" s="38">
        <v>74.83</v>
      </c>
      <c r="AX1009" s="38">
        <v>78.03</v>
      </c>
      <c r="AY1009" s="38">
        <v>81.63</v>
      </c>
      <c r="BA1009" s="37">
        <v>87.55</v>
      </c>
      <c r="BB1009" s="38">
        <v>1.2373000000000001</v>
      </c>
    </row>
    <row r="1010" spans="1:54" x14ac:dyDescent="0.35">
      <c r="A1010" s="2">
        <f t="shared" si="15"/>
        <v>45236</v>
      </c>
      <c r="B1010" t="s">
        <v>1052</v>
      </c>
      <c r="C1010" s="32">
        <v>45236</v>
      </c>
      <c r="D1010" s="38">
        <v>113.66</v>
      </c>
      <c r="E1010" s="38">
        <v>121.45</v>
      </c>
      <c r="F1010" s="38">
        <v>124.27</v>
      </c>
      <c r="G1010" s="38">
        <v>121.22</v>
      </c>
      <c r="H1010" s="38">
        <v>117.26</v>
      </c>
      <c r="I1010" s="38">
        <v>113.28</v>
      </c>
      <c r="J1010" s="38">
        <v>111.29</v>
      </c>
      <c r="K1010" s="38">
        <v>112.48</v>
      </c>
      <c r="L1010" s="38">
        <v>113.38</v>
      </c>
      <c r="M1010" s="38">
        <v>116.84</v>
      </c>
      <c r="N1010" s="38">
        <v>119.18</v>
      </c>
      <c r="O1010" s="38">
        <v>127.82</v>
      </c>
      <c r="P1010" s="38">
        <v>135.68</v>
      </c>
      <c r="Q1010" s="38">
        <v>138.68</v>
      </c>
      <c r="R1010" s="38">
        <v>134.56</v>
      </c>
      <c r="S1010" s="38">
        <v>123.54</v>
      </c>
      <c r="T1010" s="38">
        <v>111.42</v>
      </c>
      <c r="U1010" s="38">
        <v>104.42</v>
      </c>
      <c r="V1010" s="38">
        <v>98.92</v>
      </c>
      <c r="W1010" s="38">
        <v>100.42</v>
      </c>
      <c r="X1010" s="38">
        <v>102.18</v>
      </c>
      <c r="Y1010" s="38">
        <v>103.73</v>
      </c>
      <c r="Z1010" s="38">
        <v>108.97</v>
      </c>
      <c r="AA1010" s="38">
        <v>111.45</v>
      </c>
      <c r="AB1010" s="38">
        <v>113.39</v>
      </c>
      <c r="AC1010" s="38">
        <v>118.39</v>
      </c>
      <c r="AD1010" s="38">
        <v>119.85</v>
      </c>
      <c r="AE1010" s="38">
        <v>112.44</v>
      </c>
      <c r="AF1010" s="38">
        <v>98.95</v>
      </c>
      <c r="AG1010" s="38">
        <v>92.45</v>
      </c>
      <c r="AH1010" s="38">
        <v>87.05</v>
      </c>
      <c r="AI1010" s="38">
        <v>86.85</v>
      </c>
      <c r="AJ1010" s="38">
        <v>86.85</v>
      </c>
      <c r="AK1010" s="38">
        <v>89.22</v>
      </c>
      <c r="AL1010" s="38">
        <v>93.13</v>
      </c>
      <c r="AM1010" s="38">
        <v>97.33</v>
      </c>
      <c r="AN1010" s="38">
        <v>101.44</v>
      </c>
      <c r="AO1010" s="38">
        <v>103.06</v>
      </c>
      <c r="AP1010" s="38">
        <v>105.08</v>
      </c>
      <c r="AQ1010" s="38">
        <v>97.42</v>
      </c>
      <c r="AR1010" s="38">
        <v>87.82</v>
      </c>
      <c r="AS1010" s="38">
        <v>79.02</v>
      </c>
      <c r="AT1010" s="38">
        <v>75.02</v>
      </c>
      <c r="AU1010" s="38">
        <v>69.27</v>
      </c>
      <c r="AV1010" s="38">
        <v>69.75</v>
      </c>
      <c r="AW1010" s="38">
        <v>73.709999999999994</v>
      </c>
      <c r="AX1010" s="38">
        <v>77.81</v>
      </c>
      <c r="AY1010" s="38">
        <v>81.61</v>
      </c>
      <c r="BA1010" s="37">
        <v>87.31</v>
      </c>
      <c r="BB1010" s="38">
        <v>1.2397</v>
      </c>
    </row>
    <row r="1011" spans="1:54" x14ac:dyDescent="0.35">
      <c r="A1011" s="2">
        <f t="shared" si="15"/>
        <v>45237</v>
      </c>
      <c r="B1011" t="s">
        <v>1053</v>
      </c>
      <c r="C1011" s="32">
        <v>45237</v>
      </c>
      <c r="D1011" s="38">
        <v>116.57</v>
      </c>
      <c r="E1011" s="38">
        <v>124.41</v>
      </c>
      <c r="F1011" s="38">
        <v>126.95</v>
      </c>
      <c r="G1011" s="38">
        <v>124</v>
      </c>
      <c r="H1011" s="38">
        <v>120.05</v>
      </c>
      <c r="I1011" s="38">
        <v>116.18</v>
      </c>
      <c r="J1011" s="38">
        <v>114.3</v>
      </c>
      <c r="K1011" s="38">
        <v>115.49</v>
      </c>
      <c r="L1011" s="38">
        <v>116.39</v>
      </c>
      <c r="M1011" s="38">
        <v>119.85</v>
      </c>
      <c r="N1011" s="38">
        <v>121.05</v>
      </c>
      <c r="O1011" s="38">
        <v>129.69</v>
      </c>
      <c r="P1011" s="38">
        <v>137.55000000000001</v>
      </c>
      <c r="Q1011" s="38">
        <v>140.57</v>
      </c>
      <c r="R1011" s="38">
        <v>136.44999999999999</v>
      </c>
      <c r="S1011" s="38">
        <v>125.43</v>
      </c>
      <c r="T1011" s="38">
        <v>112.43</v>
      </c>
      <c r="U1011" s="38">
        <v>105.43</v>
      </c>
      <c r="V1011" s="38">
        <v>99.93</v>
      </c>
      <c r="W1011" s="38">
        <v>101.43</v>
      </c>
      <c r="X1011" s="38">
        <v>103.19</v>
      </c>
      <c r="Y1011" s="38">
        <v>104.74</v>
      </c>
      <c r="Z1011" s="38">
        <v>109.47</v>
      </c>
      <c r="AA1011" s="38">
        <v>111.95</v>
      </c>
      <c r="AB1011" s="38">
        <v>113.89</v>
      </c>
      <c r="AC1011" s="38">
        <v>118.89</v>
      </c>
      <c r="AD1011" s="38">
        <v>120.35</v>
      </c>
      <c r="AE1011" s="38">
        <v>112.94</v>
      </c>
      <c r="AF1011" s="38">
        <v>99.04</v>
      </c>
      <c r="AG1011" s="38">
        <v>92.54</v>
      </c>
      <c r="AH1011" s="38">
        <v>87.14</v>
      </c>
      <c r="AI1011" s="38">
        <v>86.94</v>
      </c>
      <c r="AJ1011" s="38">
        <v>86.94</v>
      </c>
      <c r="AK1011" s="38">
        <v>89.31</v>
      </c>
      <c r="AL1011" s="38">
        <v>93.22</v>
      </c>
      <c r="AM1011" s="38">
        <v>97.42</v>
      </c>
      <c r="AN1011" s="38">
        <v>101.53</v>
      </c>
      <c r="AO1011" s="38">
        <v>103.15</v>
      </c>
      <c r="AP1011" s="38">
        <v>105.17</v>
      </c>
      <c r="AQ1011" s="38">
        <v>97.51</v>
      </c>
      <c r="AR1011" s="38">
        <v>87.91</v>
      </c>
      <c r="AS1011" s="38">
        <v>79.11</v>
      </c>
      <c r="AT1011" s="38">
        <v>75.11</v>
      </c>
      <c r="AU1011" s="38">
        <v>69.36</v>
      </c>
      <c r="AV1011" s="38">
        <v>69.84</v>
      </c>
      <c r="AW1011" s="38">
        <v>73.8</v>
      </c>
      <c r="AX1011" s="38">
        <v>77.900000000000006</v>
      </c>
      <c r="AY1011" s="38">
        <v>81.7</v>
      </c>
      <c r="BA1011" s="37">
        <v>83.43</v>
      </c>
      <c r="BB1011" s="38">
        <v>1.2304999999999999</v>
      </c>
    </row>
    <row r="1012" spans="1:54" x14ac:dyDescent="0.35">
      <c r="A1012" s="2">
        <f t="shared" si="15"/>
        <v>45238</v>
      </c>
      <c r="B1012" t="s">
        <v>1054</v>
      </c>
      <c r="C1012" s="32">
        <v>45238</v>
      </c>
      <c r="D1012" s="38">
        <v>116.12</v>
      </c>
      <c r="E1012" s="38">
        <v>123.78</v>
      </c>
      <c r="F1012" s="38">
        <v>126.33</v>
      </c>
      <c r="G1012" s="38">
        <v>123.3</v>
      </c>
      <c r="H1012" s="38">
        <v>119</v>
      </c>
      <c r="I1012" s="38">
        <v>115.16</v>
      </c>
      <c r="J1012" s="38">
        <v>113.28</v>
      </c>
      <c r="K1012" s="38">
        <v>114.47</v>
      </c>
      <c r="L1012" s="38">
        <v>115.37</v>
      </c>
      <c r="M1012" s="38">
        <v>118.83</v>
      </c>
      <c r="N1012" s="38">
        <v>120.03</v>
      </c>
      <c r="O1012" s="38">
        <v>128.66999999999999</v>
      </c>
      <c r="P1012" s="38">
        <v>136.53</v>
      </c>
      <c r="Q1012" s="38">
        <v>139.55000000000001</v>
      </c>
      <c r="R1012" s="38">
        <v>135.56</v>
      </c>
      <c r="S1012" s="38">
        <v>124.56</v>
      </c>
      <c r="T1012" s="38">
        <v>111.93</v>
      </c>
      <c r="U1012" s="38">
        <v>104.93</v>
      </c>
      <c r="V1012" s="38">
        <v>99.43</v>
      </c>
      <c r="W1012" s="38">
        <v>100.93</v>
      </c>
      <c r="X1012" s="38">
        <v>102.69</v>
      </c>
      <c r="Y1012" s="38">
        <v>104.24</v>
      </c>
      <c r="Z1012" s="38">
        <v>108.97</v>
      </c>
      <c r="AA1012" s="38">
        <v>111.45</v>
      </c>
      <c r="AB1012" s="38">
        <v>113.39</v>
      </c>
      <c r="AC1012" s="38">
        <v>118.39</v>
      </c>
      <c r="AD1012" s="38">
        <v>119.85</v>
      </c>
      <c r="AE1012" s="38">
        <v>112.44</v>
      </c>
      <c r="AF1012" s="38">
        <v>98.59</v>
      </c>
      <c r="AG1012" s="38">
        <v>92.09</v>
      </c>
      <c r="AH1012" s="38">
        <v>86.69</v>
      </c>
      <c r="AI1012" s="38">
        <v>86.69</v>
      </c>
      <c r="AJ1012" s="38">
        <v>86.89</v>
      </c>
      <c r="AK1012" s="38">
        <v>89.26</v>
      </c>
      <c r="AL1012" s="38">
        <v>93.34</v>
      </c>
      <c r="AM1012" s="38">
        <v>97.74</v>
      </c>
      <c r="AN1012" s="38">
        <v>102.05</v>
      </c>
      <c r="AO1012" s="38">
        <v>103.67</v>
      </c>
      <c r="AP1012" s="38">
        <v>105.69</v>
      </c>
      <c r="AQ1012" s="38">
        <v>98.03</v>
      </c>
      <c r="AR1012" s="38">
        <v>88.13</v>
      </c>
      <c r="AS1012" s="38">
        <v>79.33</v>
      </c>
      <c r="AT1012" s="38">
        <v>75.33</v>
      </c>
      <c r="AU1012" s="38">
        <v>69.58</v>
      </c>
      <c r="AV1012" s="38">
        <v>70.06</v>
      </c>
      <c r="AW1012" s="38">
        <v>74.02</v>
      </c>
      <c r="AX1012" s="38">
        <v>78.12</v>
      </c>
      <c r="AY1012" s="38">
        <v>81.92</v>
      </c>
      <c r="BA1012" s="37">
        <v>81.459999999999994</v>
      </c>
      <c r="BB1012" s="38">
        <v>1.2296</v>
      </c>
    </row>
    <row r="1013" spans="1:54" x14ac:dyDescent="0.35">
      <c r="A1013" s="2">
        <f t="shared" si="15"/>
        <v>45239</v>
      </c>
      <c r="B1013" t="s">
        <v>1055</v>
      </c>
      <c r="C1013" s="32">
        <v>45239</v>
      </c>
      <c r="D1013" s="38">
        <v>122.06</v>
      </c>
      <c r="E1013" s="38">
        <v>129.93</v>
      </c>
      <c r="F1013" s="38">
        <v>132.57</v>
      </c>
      <c r="G1013" s="38">
        <v>129.63</v>
      </c>
      <c r="H1013" s="38">
        <v>124.83</v>
      </c>
      <c r="I1013" s="38">
        <v>120.93</v>
      </c>
      <c r="J1013" s="38">
        <v>119.05</v>
      </c>
      <c r="K1013" s="38">
        <v>119.65</v>
      </c>
      <c r="L1013" s="38">
        <v>120.45</v>
      </c>
      <c r="M1013" s="38">
        <v>123.91</v>
      </c>
      <c r="N1013" s="38">
        <v>125.28</v>
      </c>
      <c r="O1013" s="38">
        <v>133.91999999999999</v>
      </c>
      <c r="P1013" s="38">
        <v>141.78</v>
      </c>
      <c r="Q1013" s="38">
        <v>144.80000000000001</v>
      </c>
      <c r="R1013" s="38">
        <v>140.81</v>
      </c>
      <c r="S1013" s="38">
        <v>129.81</v>
      </c>
      <c r="T1013" s="38">
        <v>116.58</v>
      </c>
      <c r="U1013" s="38">
        <v>108.78</v>
      </c>
      <c r="V1013" s="38">
        <v>103.28</v>
      </c>
      <c r="W1013" s="38">
        <v>104.78</v>
      </c>
      <c r="X1013" s="38">
        <v>106.54</v>
      </c>
      <c r="Y1013" s="38">
        <v>108.09</v>
      </c>
      <c r="Z1013" s="38">
        <v>111.47</v>
      </c>
      <c r="AA1013" s="38">
        <v>113.95</v>
      </c>
      <c r="AB1013" s="38">
        <v>115.89</v>
      </c>
      <c r="AC1013" s="38">
        <v>120.89</v>
      </c>
      <c r="AD1013" s="38">
        <v>122.35</v>
      </c>
      <c r="AE1013" s="38">
        <v>114.93</v>
      </c>
      <c r="AF1013" s="38">
        <v>99.83</v>
      </c>
      <c r="AG1013" s="38">
        <v>93.03</v>
      </c>
      <c r="AH1013" s="38">
        <v>87.63</v>
      </c>
      <c r="AI1013" s="38">
        <v>87.63</v>
      </c>
      <c r="AJ1013" s="38">
        <v>87.83</v>
      </c>
      <c r="AK1013" s="38">
        <v>90.2</v>
      </c>
      <c r="AL1013" s="38">
        <v>94</v>
      </c>
      <c r="AM1013" s="38">
        <v>98.4</v>
      </c>
      <c r="AN1013" s="38">
        <v>102.71</v>
      </c>
      <c r="AO1013" s="38">
        <v>104.33</v>
      </c>
      <c r="AP1013" s="38">
        <v>106.35</v>
      </c>
      <c r="AQ1013" s="38">
        <v>98.69</v>
      </c>
      <c r="AR1013" s="38">
        <v>88.79</v>
      </c>
      <c r="AS1013" s="38">
        <v>79.790000000000006</v>
      </c>
      <c r="AT1013" s="38">
        <v>75.790000000000006</v>
      </c>
      <c r="AU1013" s="38">
        <v>70.040000000000006</v>
      </c>
      <c r="AV1013" s="38">
        <v>70.52</v>
      </c>
      <c r="AW1013" s="38">
        <v>74.48</v>
      </c>
      <c r="AX1013" s="38">
        <v>78.38</v>
      </c>
      <c r="AY1013" s="38">
        <v>82.18</v>
      </c>
      <c r="BA1013" s="37">
        <v>81.739999999999995</v>
      </c>
      <c r="BB1013" s="38">
        <v>1.2286999999999999</v>
      </c>
    </row>
    <row r="1014" spans="1:54" x14ac:dyDescent="0.35">
      <c r="A1014" s="2">
        <f t="shared" si="15"/>
        <v>45240</v>
      </c>
      <c r="B1014" t="s">
        <v>1056</v>
      </c>
      <c r="C1014" s="32">
        <v>45240</v>
      </c>
      <c r="D1014" s="38">
        <v>117.77</v>
      </c>
      <c r="E1014" s="38">
        <v>126.11</v>
      </c>
      <c r="F1014" s="38">
        <v>128.91999999999999</v>
      </c>
      <c r="G1014" s="38">
        <v>126.34</v>
      </c>
      <c r="H1014" s="38">
        <v>121.54</v>
      </c>
      <c r="I1014" s="38">
        <v>117.87</v>
      </c>
      <c r="J1014" s="38">
        <v>115.99</v>
      </c>
      <c r="K1014" s="38">
        <v>115.74</v>
      </c>
      <c r="L1014" s="38">
        <v>116.54</v>
      </c>
      <c r="M1014" s="38">
        <v>120</v>
      </c>
      <c r="N1014" s="38">
        <v>121.4</v>
      </c>
      <c r="O1014" s="38">
        <v>130.04</v>
      </c>
      <c r="P1014" s="38">
        <v>137.9</v>
      </c>
      <c r="Q1014" s="38">
        <v>140.91999999999999</v>
      </c>
      <c r="R1014" s="38">
        <v>136.93</v>
      </c>
      <c r="S1014" s="38">
        <v>126.73</v>
      </c>
      <c r="T1014" s="38">
        <v>113.51</v>
      </c>
      <c r="U1014" s="38">
        <v>106.11</v>
      </c>
      <c r="V1014" s="38">
        <v>100.61</v>
      </c>
      <c r="W1014" s="38">
        <v>102.11</v>
      </c>
      <c r="X1014" s="38">
        <v>103.87</v>
      </c>
      <c r="Y1014" s="38">
        <v>105.42</v>
      </c>
      <c r="Z1014" s="38">
        <v>109.85</v>
      </c>
      <c r="AA1014" s="38">
        <v>112.33</v>
      </c>
      <c r="AB1014" s="38">
        <v>114.27</v>
      </c>
      <c r="AC1014" s="38">
        <v>119.27</v>
      </c>
      <c r="AD1014" s="38">
        <v>120.73</v>
      </c>
      <c r="AE1014" s="38">
        <v>113.73</v>
      </c>
      <c r="AF1014" s="38">
        <v>99.36</v>
      </c>
      <c r="AG1014" s="38">
        <v>93.06</v>
      </c>
      <c r="AH1014" s="38">
        <v>87.66</v>
      </c>
      <c r="AI1014" s="38">
        <v>87.76</v>
      </c>
      <c r="AJ1014" s="38">
        <v>87.97</v>
      </c>
      <c r="AK1014" s="38">
        <v>90.34</v>
      </c>
      <c r="AL1014" s="38">
        <v>94.14</v>
      </c>
      <c r="AM1014" s="38">
        <v>98.54</v>
      </c>
      <c r="AN1014" s="38">
        <v>102.85</v>
      </c>
      <c r="AO1014" s="38">
        <v>104.47</v>
      </c>
      <c r="AP1014" s="38">
        <v>106.49</v>
      </c>
      <c r="AQ1014" s="38">
        <v>98.83</v>
      </c>
      <c r="AR1014" s="38">
        <v>88.93</v>
      </c>
      <c r="AS1014" s="38">
        <v>79.930000000000007</v>
      </c>
      <c r="AT1014" s="38">
        <v>75.930000000000007</v>
      </c>
      <c r="AU1014" s="38">
        <v>70.180000000000007</v>
      </c>
      <c r="AV1014" s="38">
        <v>70.66</v>
      </c>
      <c r="AW1014" s="38">
        <v>74.62</v>
      </c>
      <c r="AX1014" s="38">
        <v>78.52</v>
      </c>
      <c r="AY1014" s="38">
        <v>82.32</v>
      </c>
      <c r="BA1014" s="37">
        <v>83.66</v>
      </c>
      <c r="BB1014" s="38">
        <v>1.2198</v>
      </c>
    </row>
    <row r="1015" spans="1:54" x14ac:dyDescent="0.35">
      <c r="A1015" s="2">
        <f t="shared" si="15"/>
        <v>45243</v>
      </c>
      <c r="B1015" t="s">
        <v>1057</v>
      </c>
      <c r="C1015" s="32">
        <v>45243</v>
      </c>
      <c r="D1015" s="38">
        <v>119.66</v>
      </c>
      <c r="E1015" s="38">
        <v>127.92</v>
      </c>
      <c r="F1015" s="38">
        <v>130.72999999999999</v>
      </c>
      <c r="G1015" s="38">
        <v>127.74</v>
      </c>
      <c r="H1015" s="38">
        <v>123.39</v>
      </c>
      <c r="I1015" s="38">
        <v>119.72</v>
      </c>
      <c r="J1015" s="38">
        <v>117.98</v>
      </c>
      <c r="K1015" s="38">
        <v>117.98</v>
      </c>
      <c r="L1015" s="38">
        <v>118.78</v>
      </c>
      <c r="M1015" s="38">
        <v>122.24</v>
      </c>
      <c r="N1015" s="38">
        <v>123.44</v>
      </c>
      <c r="O1015" s="38">
        <v>132.19</v>
      </c>
      <c r="P1015" s="38">
        <v>140.05000000000001</v>
      </c>
      <c r="Q1015" s="38">
        <v>143.07</v>
      </c>
      <c r="R1015" s="38">
        <v>139.08000000000001</v>
      </c>
      <c r="S1015" s="38">
        <v>128.88</v>
      </c>
      <c r="T1015" s="38">
        <v>114.51</v>
      </c>
      <c r="U1015" s="38">
        <v>107.11</v>
      </c>
      <c r="V1015" s="38">
        <v>101.61</v>
      </c>
      <c r="W1015" s="38">
        <v>103.11</v>
      </c>
      <c r="X1015" s="38">
        <v>104.87</v>
      </c>
      <c r="Y1015" s="38">
        <v>106.42</v>
      </c>
      <c r="Z1015" s="38">
        <v>110.42</v>
      </c>
      <c r="AA1015" s="38">
        <v>112.9</v>
      </c>
      <c r="AB1015" s="38">
        <v>114.84</v>
      </c>
      <c r="AC1015" s="38">
        <v>119.84</v>
      </c>
      <c r="AD1015" s="38">
        <v>121.3</v>
      </c>
      <c r="AE1015" s="38">
        <v>114.3</v>
      </c>
      <c r="AF1015" s="38">
        <v>99.36</v>
      </c>
      <c r="AG1015" s="38">
        <v>93.06</v>
      </c>
      <c r="AH1015" s="38">
        <v>87.66</v>
      </c>
      <c r="AI1015" s="38">
        <v>87.76</v>
      </c>
      <c r="AJ1015" s="38">
        <v>87.97</v>
      </c>
      <c r="AK1015" s="38">
        <v>90.34</v>
      </c>
      <c r="AL1015" s="38">
        <v>94.33</v>
      </c>
      <c r="AM1015" s="38">
        <v>98.73</v>
      </c>
      <c r="AN1015" s="38">
        <v>103.04</v>
      </c>
      <c r="AO1015" s="38">
        <v>104.66</v>
      </c>
      <c r="AP1015" s="38">
        <v>106.68</v>
      </c>
      <c r="AQ1015" s="38">
        <v>99.02</v>
      </c>
      <c r="AR1015" s="38">
        <v>89.02</v>
      </c>
      <c r="AS1015" s="38">
        <v>80.02</v>
      </c>
      <c r="AT1015" s="38">
        <v>76.02</v>
      </c>
      <c r="AU1015" s="38">
        <v>70.27</v>
      </c>
      <c r="AV1015" s="38">
        <v>70.75</v>
      </c>
      <c r="AW1015" s="38">
        <v>74.709999999999994</v>
      </c>
      <c r="AX1015" s="38">
        <v>78.56</v>
      </c>
      <c r="AY1015" s="38">
        <v>82.36</v>
      </c>
      <c r="BA1015" s="37">
        <v>84.09</v>
      </c>
      <c r="BB1015" s="38">
        <v>1.2253000000000001</v>
      </c>
    </row>
    <row r="1016" spans="1:54" x14ac:dyDescent="0.35">
      <c r="A1016" s="2">
        <f t="shared" si="15"/>
        <v>45244</v>
      </c>
      <c r="B1016" t="s">
        <v>1058</v>
      </c>
      <c r="C1016" s="32">
        <v>45244</v>
      </c>
      <c r="D1016" s="38">
        <v>119.11</v>
      </c>
      <c r="E1016" s="38">
        <v>127.01</v>
      </c>
      <c r="F1016" s="38">
        <v>130</v>
      </c>
      <c r="G1016" s="38">
        <v>127.62</v>
      </c>
      <c r="H1016" s="38">
        <v>123.43</v>
      </c>
      <c r="I1016" s="38">
        <v>119.76</v>
      </c>
      <c r="J1016" s="38">
        <v>118.02</v>
      </c>
      <c r="K1016" s="38">
        <v>118.24</v>
      </c>
      <c r="L1016" s="38">
        <v>119.04</v>
      </c>
      <c r="M1016" s="38">
        <v>122.5</v>
      </c>
      <c r="N1016" s="38">
        <v>123.37</v>
      </c>
      <c r="O1016" s="38">
        <v>131.87</v>
      </c>
      <c r="P1016" s="38">
        <v>139.72999999999999</v>
      </c>
      <c r="Q1016" s="38">
        <v>142.75</v>
      </c>
      <c r="R1016" s="38">
        <v>138.76</v>
      </c>
      <c r="S1016" s="38">
        <v>128.56</v>
      </c>
      <c r="T1016" s="38">
        <v>114.76</v>
      </c>
      <c r="U1016" s="38">
        <v>107.36</v>
      </c>
      <c r="V1016" s="38">
        <v>101.86</v>
      </c>
      <c r="W1016" s="38">
        <v>103.36</v>
      </c>
      <c r="X1016" s="38">
        <v>105.12</v>
      </c>
      <c r="Y1016" s="38">
        <v>106.67</v>
      </c>
      <c r="Z1016" s="38">
        <v>110.65</v>
      </c>
      <c r="AA1016" s="38">
        <v>113.13</v>
      </c>
      <c r="AB1016" s="38">
        <v>115.07</v>
      </c>
      <c r="AC1016" s="38">
        <v>120.07</v>
      </c>
      <c r="AD1016" s="38">
        <v>121.53</v>
      </c>
      <c r="AE1016" s="38">
        <v>114.53</v>
      </c>
      <c r="AF1016" s="38">
        <v>99.59</v>
      </c>
      <c r="AG1016" s="38">
        <v>92.89</v>
      </c>
      <c r="AH1016" s="38">
        <v>87.49</v>
      </c>
      <c r="AI1016" s="38">
        <v>87.89</v>
      </c>
      <c r="AJ1016" s="38">
        <v>88.35</v>
      </c>
      <c r="AK1016" s="38">
        <v>90.73</v>
      </c>
      <c r="AL1016" s="38">
        <v>94.67</v>
      </c>
      <c r="AM1016" s="38">
        <v>98.97</v>
      </c>
      <c r="AN1016" s="38">
        <v>103.28</v>
      </c>
      <c r="AO1016" s="38">
        <v>104.9</v>
      </c>
      <c r="AP1016" s="38">
        <v>106.92</v>
      </c>
      <c r="AQ1016" s="38">
        <v>99.26</v>
      </c>
      <c r="AR1016" s="38">
        <v>89.16</v>
      </c>
      <c r="AS1016" s="38">
        <v>80.16</v>
      </c>
      <c r="AT1016" s="38">
        <v>76.16</v>
      </c>
      <c r="AU1016" s="38">
        <v>70.41</v>
      </c>
      <c r="AV1016" s="38">
        <v>70.89</v>
      </c>
      <c r="AW1016" s="38">
        <v>74.849999999999994</v>
      </c>
      <c r="AX1016" s="38">
        <v>78.7</v>
      </c>
      <c r="AY1016" s="38">
        <v>82.5</v>
      </c>
      <c r="BA1016" s="37">
        <v>84.2</v>
      </c>
      <c r="BB1016" s="38">
        <v>1.2455000000000001</v>
      </c>
    </row>
    <row r="1017" spans="1:54" x14ac:dyDescent="0.35">
      <c r="A1017" s="2">
        <f t="shared" si="15"/>
        <v>45245</v>
      </c>
      <c r="B1017" t="s">
        <v>1059</v>
      </c>
      <c r="C1017" s="32">
        <v>45245</v>
      </c>
      <c r="D1017" s="38">
        <v>118.15</v>
      </c>
      <c r="E1017" s="38">
        <v>126.13</v>
      </c>
      <c r="F1017" s="38">
        <v>128.81</v>
      </c>
      <c r="G1017" s="38">
        <v>126.93</v>
      </c>
      <c r="H1017" s="38">
        <v>122.93</v>
      </c>
      <c r="I1017" s="38">
        <v>119.23</v>
      </c>
      <c r="J1017" s="38">
        <v>117.18</v>
      </c>
      <c r="K1017" s="38">
        <v>117.68</v>
      </c>
      <c r="L1017" s="38">
        <v>118.68</v>
      </c>
      <c r="M1017" s="38">
        <v>122.14</v>
      </c>
      <c r="N1017" s="38">
        <v>123.44</v>
      </c>
      <c r="O1017" s="38">
        <v>131.94</v>
      </c>
      <c r="P1017" s="38">
        <v>139.80000000000001</v>
      </c>
      <c r="Q1017" s="38">
        <v>142.82</v>
      </c>
      <c r="R1017" s="38">
        <v>138.83000000000001</v>
      </c>
      <c r="S1017" s="38">
        <v>128.63</v>
      </c>
      <c r="T1017" s="38">
        <v>114.76</v>
      </c>
      <c r="U1017" s="38">
        <v>107.36</v>
      </c>
      <c r="V1017" s="38">
        <v>101.86</v>
      </c>
      <c r="W1017" s="38">
        <v>103.36</v>
      </c>
      <c r="X1017" s="38">
        <v>105.12</v>
      </c>
      <c r="Y1017" s="38">
        <v>106.67</v>
      </c>
      <c r="Z1017" s="38">
        <v>111.17</v>
      </c>
      <c r="AA1017" s="38">
        <v>113.65</v>
      </c>
      <c r="AB1017" s="38">
        <v>115.59</v>
      </c>
      <c r="AC1017" s="38">
        <v>120.59</v>
      </c>
      <c r="AD1017" s="38">
        <v>122.05</v>
      </c>
      <c r="AE1017" s="38">
        <v>115.05</v>
      </c>
      <c r="AF1017" s="38">
        <v>99.75</v>
      </c>
      <c r="AG1017" s="38">
        <v>93.25</v>
      </c>
      <c r="AH1017" s="38">
        <v>87.85</v>
      </c>
      <c r="AI1017" s="38">
        <v>88.25</v>
      </c>
      <c r="AJ1017" s="38">
        <v>88.71</v>
      </c>
      <c r="AK1017" s="38">
        <v>91.09</v>
      </c>
      <c r="AL1017" s="38">
        <v>94.42</v>
      </c>
      <c r="AM1017" s="38">
        <v>98.72</v>
      </c>
      <c r="AN1017" s="38">
        <v>103.03</v>
      </c>
      <c r="AO1017" s="38">
        <v>104.65</v>
      </c>
      <c r="AP1017" s="38">
        <v>106.67</v>
      </c>
      <c r="AQ1017" s="38">
        <v>99.01</v>
      </c>
      <c r="AR1017" s="38">
        <v>89.01</v>
      </c>
      <c r="AS1017" s="38">
        <v>80.010000000000005</v>
      </c>
      <c r="AT1017" s="38">
        <v>76.010000000000005</v>
      </c>
      <c r="AU1017" s="38">
        <v>70.260000000000005</v>
      </c>
      <c r="AV1017" s="38">
        <v>70.739999999999995</v>
      </c>
      <c r="AW1017" s="38">
        <v>74.7</v>
      </c>
      <c r="AX1017" s="38">
        <v>78.55</v>
      </c>
      <c r="AY1017" s="38">
        <v>82.35</v>
      </c>
      <c r="BA1017" s="37">
        <v>82.4</v>
      </c>
      <c r="BB1017" s="38">
        <v>1.2444</v>
      </c>
    </row>
    <row r="1018" spans="1:54" x14ac:dyDescent="0.35">
      <c r="A1018" s="2">
        <f t="shared" si="15"/>
        <v>45246</v>
      </c>
      <c r="B1018" t="s">
        <v>1060</v>
      </c>
      <c r="C1018" s="32">
        <v>45246</v>
      </c>
      <c r="D1018" s="38">
        <v>115.47</v>
      </c>
      <c r="E1018" s="38">
        <v>122.79</v>
      </c>
      <c r="F1018" s="38">
        <v>125.27</v>
      </c>
      <c r="G1018" s="38">
        <v>122.79</v>
      </c>
      <c r="H1018" s="38">
        <v>119.77</v>
      </c>
      <c r="I1018" s="38">
        <v>116.96</v>
      </c>
      <c r="J1018" s="38">
        <v>115.36</v>
      </c>
      <c r="K1018" s="38">
        <v>115.66</v>
      </c>
      <c r="L1018" s="38">
        <v>116.26</v>
      </c>
      <c r="M1018" s="38">
        <v>119.72</v>
      </c>
      <c r="N1018" s="38">
        <v>121.32</v>
      </c>
      <c r="O1018" s="38">
        <v>130.32</v>
      </c>
      <c r="P1018" s="38">
        <v>138.32</v>
      </c>
      <c r="Q1018" s="38">
        <v>141.35</v>
      </c>
      <c r="R1018" s="38">
        <v>138.5</v>
      </c>
      <c r="S1018" s="38">
        <v>127.19</v>
      </c>
      <c r="T1018" s="38">
        <v>114.04</v>
      </c>
      <c r="U1018" s="38">
        <v>106.64</v>
      </c>
      <c r="V1018" s="38">
        <v>101.14</v>
      </c>
      <c r="W1018" s="38">
        <v>102.64</v>
      </c>
      <c r="X1018" s="38">
        <v>104.4</v>
      </c>
      <c r="Y1018" s="38">
        <v>105.95</v>
      </c>
      <c r="Z1018" s="38">
        <v>110.45</v>
      </c>
      <c r="AA1018" s="38">
        <v>112.93</v>
      </c>
      <c r="AB1018" s="38">
        <v>114.87</v>
      </c>
      <c r="AC1018" s="38">
        <v>119.87</v>
      </c>
      <c r="AD1018" s="38">
        <v>121.33</v>
      </c>
      <c r="AE1018" s="38">
        <v>114.33</v>
      </c>
      <c r="AF1018" s="38">
        <v>99.03</v>
      </c>
      <c r="AG1018" s="38">
        <v>92.84</v>
      </c>
      <c r="AH1018" s="38">
        <v>87.44</v>
      </c>
      <c r="AI1018" s="38">
        <v>87.84</v>
      </c>
      <c r="AJ1018" s="38">
        <v>88.3</v>
      </c>
      <c r="AK1018" s="38">
        <v>90.68</v>
      </c>
      <c r="AL1018" s="38">
        <v>93.92</v>
      </c>
      <c r="AM1018" s="38">
        <v>98.22</v>
      </c>
      <c r="AN1018" s="38">
        <v>102.53</v>
      </c>
      <c r="AO1018" s="38">
        <v>104.15</v>
      </c>
      <c r="AP1018" s="38">
        <v>106.17</v>
      </c>
      <c r="AQ1018" s="38">
        <v>98.51</v>
      </c>
      <c r="AR1018" s="38">
        <v>89.11</v>
      </c>
      <c r="AS1018" s="38">
        <v>80.11</v>
      </c>
      <c r="AT1018" s="38">
        <v>76.11</v>
      </c>
      <c r="AU1018" s="38">
        <v>70.36</v>
      </c>
      <c r="AV1018" s="38">
        <v>70.84</v>
      </c>
      <c r="AW1018" s="38">
        <v>75.040000000000006</v>
      </c>
      <c r="AX1018" s="38">
        <v>79.040000000000006</v>
      </c>
      <c r="AY1018" s="38">
        <v>82.84</v>
      </c>
      <c r="BA1018" s="37">
        <v>77.73</v>
      </c>
      <c r="BB1018" s="38">
        <v>1.2444</v>
      </c>
    </row>
    <row r="1019" spans="1:54" x14ac:dyDescent="0.35">
      <c r="A1019" s="2">
        <f t="shared" si="15"/>
        <v>45247</v>
      </c>
      <c r="B1019" t="s">
        <v>1061</v>
      </c>
      <c r="C1019" s="32">
        <v>45247</v>
      </c>
      <c r="D1019" s="38">
        <v>113.74</v>
      </c>
      <c r="E1019" s="38">
        <v>120.6</v>
      </c>
      <c r="F1019" s="38">
        <v>123.55</v>
      </c>
      <c r="G1019" s="38">
        <v>121.2</v>
      </c>
      <c r="H1019" s="38">
        <v>118.18</v>
      </c>
      <c r="I1019" s="38">
        <v>115.72</v>
      </c>
      <c r="J1019" s="38">
        <v>114.12</v>
      </c>
      <c r="K1019" s="38">
        <v>113.71</v>
      </c>
      <c r="L1019" s="38">
        <v>114.33</v>
      </c>
      <c r="M1019" s="38">
        <v>117.7</v>
      </c>
      <c r="N1019" s="38">
        <v>119.72</v>
      </c>
      <c r="O1019" s="38">
        <v>128.72</v>
      </c>
      <c r="P1019" s="38">
        <v>136.72</v>
      </c>
      <c r="Q1019" s="38">
        <v>139.74</v>
      </c>
      <c r="R1019" s="38">
        <v>136.84</v>
      </c>
      <c r="S1019" s="38">
        <v>125.42</v>
      </c>
      <c r="T1019" s="38">
        <v>113.92</v>
      </c>
      <c r="U1019" s="38">
        <v>106.71</v>
      </c>
      <c r="V1019" s="38">
        <v>101.21</v>
      </c>
      <c r="W1019" s="38">
        <v>102.71</v>
      </c>
      <c r="X1019" s="38">
        <v>104.46</v>
      </c>
      <c r="Y1019" s="38">
        <v>106</v>
      </c>
      <c r="Z1019" s="38">
        <v>110.7</v>
      </c>
      <c r="AA1019" s="38">
        <v>113.17</v>
      </c>
      <c r="AB1019" s="38">
        <v>115.1</v>
      </c>
      <c r="AC1019" s="38">
        <v>120.09</v>
      </c>
      <c r="AD1019" s="38">
        <v>121.54</v>
      </c>
      <c r="AE1019" s="38">
        <v>114.52</v>
      </c>
      <c r="AF1019" s="38">
        <v>98.82</v>
      </c>
      <c r="AG1019" s="38">
        <v>92.63</v>
      </c>
      <c r="AH1019" s="38">
        <v>87.23</v>
      </c>
      <c r="AI1019" s="38">
        <v>87.63</v>
      </c>
      <c r="AJ1019" s="38">
        <v>88.09</v>
      </c>
      <c r="AK1019" s="38">
        <v>90.47</v>
      </c>
      <c r="AL1019" s="38">
        <v>93.82</v>
      </c>
      <c r="AM1019" s="38">
        <v>98.12</v>
      </c>
      <c r="AN1019" s="38">
        <v>102.43</v>
      </c>
      <c r="AO1019" s="38">
        <v>104.05</v>
      </c>
      <c r="AP1019" s="38">
        <v>106.07</v>
      </c>
      <c r="AQ1019" s="38">
        <v>98.41</v>
      </c>
      <c r="AR1019" s="38">
        <v>89.06</v>
      </c>
      <c r="AS1019" s="38">
        <v>80.06</v>
      </c>
      <c r="AT1019" s="38">
        <v>76.06</v>
      </c>
      <c r="AU1019" s="38">
        <v>70.31</v>
      </c>
      <c r="AV1019" s="38">
        <v>70.790000000000006</v>
      </c>
      <c r="AW1019" s="38">
        <v>74.989999999999995</v>
      </c>
      <c r="AX1019" s="38">
        <v>78.989999999999995</v>
      </c>
      <c r="AY1019" s="38">
        <v>82.79</v>
      </c>
      <c r="BA1019" s="37">
        <v>81.22</v>
      </c>
      <c r="BB1019" s="38">
        <v>1.2433000000000001</v>
      </c>
    </row>
    <row r="1020" spans="1:54" x14ac:dyDescent="0.35">
      <c r="A1020" s="2">
        <f t="shared" si="15"/>
        <v>45250</v>
      </c>
      <c r="B1020" t="s">
        <v>1062</v>
      </c>
      <c r="C1020" s="32">
        <v>45250</v>
      </c>
      <c r="D1020" s="38">
        <v>116.27</v>
      </c>
      <c r="E1020" s="38">
        <v>122</v>
      </c>
      <c r="F1020" s="38">
        <v>124.13</v>
      </c>
      <c r="G1020" s="38">
        <v>122.21</v>
      </c>
      <c r="H1020" s="38">
        <v>119.06</v>
      </c>
      <c r="I1020" s="38">
        <v>116.68</v>
      </c>
      <c r="J1020" s="38">
        <v>115.08</v>
      </c>
      <c r="K1020" s="38">
        <v>114.79</v>
      </c>
      <c r="L1020" s="38">
        <v>115.49</v>
      </c>
      <c r="M1020" s="38">
        <v>118.87</v>
      </c>
      <c r="N1020" s="38">
        <v>120.93</v>
      </c>
      <c r="O1020" s="38">
        <v>129.94</v>
      </c>
      <c r="P1020" s="38">
        <v>138.01</v>
      </c>
      <c r="Q1020" s="38">
        <v>140.99</v>
      </c>
      <c r="R1020" s="38">
        <v>138.03</v>
      </c>
      <c r="S1020" s="38">
        <v>126.58</v>
      </c>
      <c r="T1020" s="38">
        <v>114.86</v>
      </c>
      <c r="U1020" s="38">
        <v>107.6</v>
      </c>
      <c r="V1020" s="38">
        <v>102.07</v>
      </c>
      <c r="W1020" s="38">
        <v>103.51</v>
      </c>
      <c r="X1020" s="38">
        <v>105.32</v>
      </c>
      <c r="Y1020" s="38">
        <v>106.87</v>
      </c>
      <c r="Z1020" s="38">
        <v>111.77</v>
      </c>
      <c r="AA1020" s="38">
        <v>114.23</v>
      </c>
      <c r="AB1020" s="38">
        <v>116.25</v>
      </c>
      <c r="AC1020" s="38">
        <v>121.25</v>
      </c>
      <c r="AD1020" s="38">
        <v>122.7</v>
      </c>
      <c r="AE1020" s="38">
        <v>115.57</v>
      </c>
      <c r="AF1020" s="38">
        <v>99.34</v>
      </c>
      <c r="AG1020" s="38">
        <v>93.19</v>
      </c>
      <c r="AH1020" s="38">
        <v>87.79</v>
      </c>
      <c r="AI1020" s="38">
        <v>88.19</v>
      </c>
      <c r="AJ1020" s="38">
        <v>88.65</v>
      </c>
      <c r="AK1020" s="38">
        <v>91.04</v>
      </c>
      <c r="AL1020" s="38">
        <v>94.24</v>
      </c>
      <c r="AM1020" s="38">
        <v>98.54</v>
      </c>
      <c r="AN1020" s="38">
        <v>102.85</v>
      </c>
      <c r="AO1020" s="38">
        <v>104.47</v>
      </c>
      <c r="AP1020" s="38">
        <v>106.49</v>
      </c>
      <c r="AQ1020" s="38">
        <v>98.84</v>
      </c>
      <c r="AR1020" s="38">
        <v>89.45</v>
      </c>
      <c r="AS1020" s="38">
        <v>80.45</v>
      </c>
      <c r="AT1020" s="38">
        <v>76.45</v>
      </c>
      <c r="AU1020" s="38">
        <v>70.7</v>
      </c>
      <c r="AV1020" s="38">
        <v>71.16</v>
      </c>
      <c r="AW1020" s="38">
        <v>75.36</v>
      </c>
      <c r="AX1020" s="38">
        <v>79.36</v>
      </c>
      <c r="AY1020" s="38">
        <v>83.16</v>
      </c>
      <c r="BA1020" s="37">
        <v>83.25</v>
      </c>
      <c r="BB1020" s="38">
        <v>1.2493000000000001</v>
      </c>
    </row>
    <row r="1021" spans="1:54" x14ac:dyDescent="0.35">
      <c r="A1021" s="2">
        <f t="shared" si="15"/>
        <v>45251</v>
      </c>
      <c r="B1021" t="s">
        <v>1063</v>
      </c>
      <c r="C1021" s="32">
        <v>45251</v>
      </c>
      <c r="D1021" s="38">
        <v>111.82</v>
      </c>
      <c r="E1021" s="38">
        <v>117.01</v>
      </c>
      <c r="F1021" s="38">
        <v>119.06</v>
      </c>
      <c r="G1021" s="38">
        <v>117.61</v>
      </c>
      <c r="H1021" s="38">
        <v>115.35</v>
      </c>
      <c r="I1021" s="38">
        <v>113.21</v>
      </c>
      <c r="J1021" s="38">
        <v>111.74</v>
      </c>
      <c r="K1021" s="38">
        <v>111.31</v>
      </c>
      <c r="L1021" s="38">
        <v>112.08</v>
      </c>
      <c r="M1021" s="38">
        <v>115.58</v>
      </c>
      <c r="N1021" s="38">
        <v>117.67</v>
      </c>
      <c r="O1021" s="38">
        <v>126.76</v>
      </c>
      <c r="P1021" s="38">
        <v>134.83000000000001</v>
      </c>
      <c r="Q1021" s="38">
        <v>137.81</v>
      </c>
      <c r="R1021" s="38">
        <v>134.85</v>
      </c>
      <c r="S1021" s="38">
        <v>123.71</v>
      </c>
      <c r="T1021" s="38">
        <v>113.21</v>
      </c>
      <c r="U1021" s="38">
        <v>105.95</v>
      </c>
      <c r="V1021" s="38">
        <v>100.41</v>
      </c>
      <c r="W1021" s="38">
        <v>101.9</v>
      </c>
      <c r="X1021" s="38">
        <v>103.71</v>
      </c>
      <c r="Y1021" s="38">
        <v>105.27</v>
      </c>
      <c r="Z1021" s="38">
        <v>109.35</v>
      </c>
      <c r="AA1021" s="38">
        <v>111.79</v>
      </c>
      <c r="AB1021" s="38">
        <v>113.79</v>
      </c>
      <c r="AC1021" s="38">
        <v>118.76</v>
      </c>
      <c r="AD1021" s="38">
        <v>120.18</v>
      </c>
      <c r="AE1021" s="38">
        <v>113.02</v>
      </c>
      <c r="AF1021" s="38">
        <v>98</v>
      </c>
      <c r="AG1021" s="38">
        <v>92.1</v>
      </c>
      <c r="AH1021" s="38">
        <v>86.71</v>
      </c>
      <c r="AI1021" s="38">
        <v>87.23</v>
      </c>
      <c r="AJ1021" s="38">
        <v>87.7</v>
      </c>
      <c r="AK1021" s="38">
        <v>90.08</v>
      </c>
      <c r="AL1021" s="38">
        <v>93.28</v>
      </c>
      <c r="AM1021" s="38">
        <v>97.59</v>
      </c>
      <c r="AN1021" s="38">
        <v>101.9</v>
      </c>
      <c r="AO1021" s="38">
        <v>103.52</v>
      </c>
      <c r="AP1021" s="38">
        <v>105.54</v>
      </c>
      <c r="AQ1021" s="38">
        <v>97.89</v>
      </c>
      <c r="AR1021" s="38">
        <v>88.5</v>
      </c>
      <c r="AS1021" s="38">
        <v>79.5</v>
      </c>
      <c r="AT1021" s="38">
        <v>75.5</v>
      </c>
      <c r="AU1021" s="38">
        <v>69.75</v>
      </c>
      <c r="AV1021" s="38">
        <v>70.22</v>
      </c>
      <c r="AW1021" s="38">
        <v>74.42</v>
      </c>
      <c r="AX1021" s="38">
        <v>78.42</v>
      </c>
      <c r="AY1021" s="38">
        <v>82.22</v>
      </c>
      <c r="BA1021" s="37">
        <v>82.42</v>
      </c>
      <c r="BB1021" s="38">
        <v>1.2533000000000001</v>
      </c>
    </row>
    <row r="1022" spans="1:54" x14ac:dyDescent="0.35">
      <c r="A1022" s="2">
        <f t="shared" si="15"/>
        <v>45252</v>
      </c>
      <c r="B1022" t="s">
        <v>1064</v>
      </c>
      <c r="C1022" s="32">
        <v>45252</v>
      </c>
      <c r="D1022" s="38">
        <v>113.05</v>
      </c>
      <c r="E1022" s="38">
        <v>117.74</v>
      </c>
      <c r="F1022" s="38">
        <v>119.57</v>
      </c>
      <c r="G1022" s="38">
        <v>117.9</v>
      </c>
      <c r="H1022" s="38">
        <v>115.67</v>
      </c>
      <c r="I1022" s="38">
        <v>113.68</v>
      </c>
      <c r="J1022" s="38">
        <v>112.24</v>
      </c>
      <c r="K1022" s="38">
        <v>111.41</v>
      </c>
      <c r="L1022" s="38">
        <v>112.1</v>
      </c>
      <c r="M1022" s="38">
        <v>115.48</v>
      </c>
      <c r="N1022" s="38">
        <v>117.48</v>
      </c>
      <c r="O1022" s="38">
        <v>126.36</v>
      </c>
      <c r="P1022" s="38">
        <v>134.38</v>
      </c>
      <c r="Q1022" s="38">
        <v>137.28</v>
      </c>
      <c r="R1022" s="38">
        <v>134.24</v>
      </c>
      <c r="S1022" s="38">
        <v>124.77</v>
      </c>
      <c r="T1022" s="38">
        <v>114.2</v>
      </c>
      <c r="U1022" s="38">
        <v>106.88</v>
      </c>
      <c r="V1022" s="38">
        <v>101.26</v>
      </c>
      <c r="W1022" s="38">
        <v>102.68</v>
      </c>
      <c r="X1022" s="38">
        <v>104.42</v>
      </c>
      <c r="Y1022" s="38">
        <v>106.09</v>
      </c>
      <c r="Z1022" s="38">
        <v>110.11</v>
      </c>
      <c r="AA1022" s="38">
        <v>112.56</v>
      </c>
      <c r="AB1022" s="38">
        <v>114.56</v>
      </c>
      <c r="AC1022" s="38">
        <v>119.53</v>
      </c>
      <c r="AD1022" s="38">
        <v>120.95</v>
      </c>
      <c r="AE1022" s="38">
        <v>113.79</v>
      </c>
      <c r="AF1022" s="38">
        <v>98.77</v>
      </c>
      <c r="AG1022" s="38">
        <v>92.87</v>
      </c>
      <c r="AH1022" s="38">
        <v>87.48</v>
      </c>
      <c r="AI1022" s="38">
        <v>88</v>
      </c>
      <c r="AJ1022" s="38">
        <v>88.47</v>
      </c>
      <c r="AK1022" s="38">
        <v>90.85</v>
      </c>
      <c r="AL1022" s="38">
        <v>94.05</v>
      </c>
      <c r="AM1022" s="38">
        <v>98.36</v>
      </c>
      <c r="AN1022" s="38">
        <v>102.67</v>
      </c>
      <c r="AO1022" s="38">
        <v>104.29</v>
      </c>
      <c r="AP1022" s="38">
        <v>106.31</v>
      </c>
      <c r="AQ1022" s="38">
        <v>98.66</v>
      </c>
      <c r="AR1022" s="38">
        <v>89.27</v>
      </c>
      <c r="AS1022" s="38">
        <v>80.27</v>
      </c>
      <c r="AT1022" s="38">
        <v>76.27</v>
      </c>
      <c r="AU1022" s="38">
        <v>70.52</v>
      </c>
      <c r="AV1022" s="38">
        <v>70.989999999999995</v>
      </c>
      <c r="AW1022" s="38">
        <v>75.19</v>
      </c>
      <c r="AX1022" s="38">
        <v>79.19</v>
      </c>
      <c r="AY1022" s="38">
        <v>82.99</v>
      </c>
      <c r="BA1022" s="37">
        <v>81.760000000000005</v>
      </c>
      <c r="BB1022" s="38">
        <v>1.246</v>
      </c>
    </row>
    <row r="1023" spans="1:54" x14ac:dyDescent="0.35">
      <c r="A1023" s="2">
        <f t="shared" si="15"/>
        <v>45253</v>
      </c>
      <c r="B1023" t="s">
        <v>1065</v>
      </c>
      <c r="C1023" s="32">
        <v>45253</v>
      </c>
      <c r="D1023" s="38">
        <v>119.87</v>
      </c>
      <c r="E1023" s="38">
        <v>123.67</v>
      </c>
      <c r="F1023" s="38">
        <v>125.09</v>
      </c>
      <c r="G1023" s="38">
        <v>123.17</v>
      </c>
      <c r="H1023" s="38">
        <v>120.54</v>
      </c>
      <c r="I1023" s="38">
        <v>118.79</v>
      </c>
      <c r="J1023" s="38">
        <v>115.55</v>
      </c>
      <c r="K1023" s="38">
        <v>115.59</v>
      </c>
      <c r="L1023" s="38">
        <v>116.21</v>
      </c>
      <c r="M1023" s="38">
        <v>119.55</v>
      </c>
      <c r="N1023" s="38">
        <v>121.06</v>
      </c>
      <c r="O1023" s="38">
        <v>129.85</v>
      </c>
      <c r="P1023" s="38">
        <v>137.78</v>
      </c>
      <c r="Q1023" s="38">
        <v>140.25</v>
      </c>
      <c r="R1023" s="38">
        <v>136.91</v>
      </c>
      <c r="S1023" s="38">
        <v>127.07</v>
      </c>
      <c r="T1023" s="38">
        <v>116.13</v>
      </c>
      <c r="U1023" s="38">
        <v>107.8</v>
      </c>
      <c r="V1023" s="38">
        <v>102.02</v>
      </c>
      <c r="W1023" s="38">
        <v>103</v>
      </c>
      <c r="X1023" s="38">
        <v>104.83</v>
      </c>
      <c r="Y1023" s="38">
        <v>106.49</v>
      </c>
      <c r="Z1023" s="38">
        <v>111.22</v>
      </c>
      <c r="AA1023" s="38">
        <v>114.21</v>
      </c>
      <c r="AB1023" s="38">
        <v>115.97</v>
      </c>
      <c r="AC1023" s="38">
        <v>120.76</v>
      </c>
      <c r="AD1023" s="38">
        <v>122.24</v>
      </c>
      <c r="AE1023" s="38">
        <v>115.08</v>
      </c>
      <c r="AF1023" s="38">
        <v>99.67</v>
      </c>
      <c r="AG1023" s="38">
        <v>93.77</v>
      </c>
      <c r="AH1023" s="38">
        <v>88.37</v>
      </c>
      <c r="AI1023" s="38">
        <v>88.89</v>
      </c>
      <c r="AJ1023" s="38">
        <v>89.38</v>
      </c>
      <c r="AK1023" s="38">
        <v>91.76</v>
      </c>
      <c r="AL1023" s="38">
        <v>95.01</v>
      </c>
      <c r="AM1023" s="38">
        <v>99.32</v>
      </c>
      <c r="AN1023" s="38">
        <v>103.64</v>
      </c>
      <c r="AO1023" s="38">
        <v>102.62</v>
      </c>
      <c r="AP1023" s="38">
        <v>104.64</v>
      </c>
      <c r="AQ1023" s="38">
        <v>96.99</v>
      </c>
      <c r="AR1023" s="38">
        <v>87.51</v>
      </c>
      <c r="AS1023" s="38">
        <v>78.510000000000005</v>
      </c>
      <c r="AT1023" s="38">
        <v>74.510000000000005</v>
      </c>
      <c r="AU1023" s="38">
        <v>68.760000000000005</v>
      </c>
      <c r="AV1023" s="38">
        <v>69.23</v>
      </c>
      <c r="AW1023" s="38">
        <v>73.430000000000007</v>
      </c>
      <c r="AX1023" s="38">
        <v>77.12</v>
      </c>
      <c r="AY1023" s="38">
        <v>80.92</v>
      </c>
      <c r="BA1023" s="37">
        <v>80.849999999999994</v>
      </c>
      <c r="BB1023" s="38">
        <v>1.2531000000000001</v>
      </c>
    </row>
    <row r="1024" spans="1:54" x14ac:dyDescent="0.35">
      <c r="A1024" s="2">
        <f t="shared" si="15"/>
        <v>45254</v>
      </c>
      <c r="B1024" t="s">
        <v>1066</v>
      </c>
      <c r="C1024" s="32">
        <v>45254</v>
      </c>
      <c r="D1024" s="38">
        <v>119.79</v>
      </c>
      <c r="E1024" s="38">
        <v>122.91</v>
      </c>
      <c r="F1024" s="38">
        <v>124.39</v>
      </c>
      <c r="G1024" s="38">
        <v>122.19</v>
      </c>
      <c r="H1024" s="38">
        <v>119.51</v>
      </c>
      <c r="I1024" s="38">
        <v>116.96</v>
      </c>
      <c r="J1024" s="38">
        <v>114.83</v>
      </c>
      <c r="K1024" s="38">
        <v>114.51</v>
      </c>
      <c r="L1024" s="38">
        <v>115.27</v>
      </c>
      <c r="M1024" s="38">
        <v>118.56</v>
      </c>
      <c r="N1024" s="38">
        <v>120.16</v>
      </c>
      <c r="O1024" s="38">
        <v>128.9</v>
      </c>
      <c r="P1024" s="38">
        <v>136.79</v>
      </c>
      <c r="Q1024" s="38">
        <v>139.21</v>
      </c>
      <c r="R1024" s="38">
        <v>135.99</v>
      </c>
      <c r="S1024" s="38">
        <v>126.29</v>
      </c>
      <c r="T1024" s="38">
        <v>115.5</v>
      </c>
      <c r="U1024" s="38">
        <v>107.35</v>
      </c>
      <c r="V1024" s="38">
        <v>101.49</v>
      </c>
      <c r="W1024" s="38">
        <v>102.36</v>
      </c>
      <c r="X1024" s="38">
        <v>104.19</v>
      </c>
      <c r="Y1024" s="38">
        <v>105.85</v>
      </c>
      <c r="Z1024" s="38">
        <v>110.68</v>
      </c>
      <c r="AA1024" s="38">
        <v>113.67</v>
      </c>
      <c r="AB1024" s="38">
        <v>115.41</v>
      </c>
      <c r="AC1024" s="38">
        <v>120.4</v>
      </c>
      <c r="AD1024" s="38">
        <v>121.88</v>
      </c>
      <c r="AE1024" s="38">
        <v>114.72</v>
      </c>
      <c r="AF1024" s="38">
        <v>98.87</v>
      </c>
      <c r="AG1024" s="38">
        <v>92.97</v>
      </c>
      <c r="AH1024" s="38">
        <v>87.57</v>
      </c>
      <c r="AI1024" s="38">
        <v>88.09</v>
      </c>
      <c r="AJ1024" s="38">
        <v>88.58</v>
      </c>
      <c r="AK1024" s="38">
        <v>90.95</v>
      </c>
      <c r="AL1024" s="38">
        <v>94.37</v>
      </c>
      <c r="AM1024" s="38">
        <v>98.67</v>
      </c>
      <c r="AN1024" s="38">
        <v>102.99</v>
      </c>
      <c r="AO1024" s="38">
        <v>102.06</v>
      </c>
      <c r="AP1024" s="38">
        <v>104.08</v>
      </c>
      <c r="AQ1024" s="38">
        <v>96.43</v>
      </c>
      <c r="AR1024" s="38">
        <v>86.95</v>
      </c>
      <c r="AS1024" s="38">
        <v>77.95</v>
      </c>
      <c r="AT1024" s="38">
        <v>73.95</v>
      </c>
      <c r="AU1024" s="38">
        <v>68.2</v>
      </c>
      <c r="AV1024" s="38">
        <v>68.67</v>
      </c>
      <c r="AW1024" s="38">
        <v>72.86</v>
      </c>
      <c r="AX1024" s="38">
        <v>76.77</v>
      </c>
      <c r="AY1024" s="38">
        <v>80.569999999999993</v>
      </c>
      <c r="BA1024" s="37">
        <v>79.819999999999993</v>
      </c>
      <c r="BB1024" s="38">
        <v>1.2607999999999999</v>
      </c>
    </row>
    <row r="1025" spans="1:54" x14ac:dyDescent="0.35">
      <c r="A1025" s="2">
        <f t="shared" si="15"/>
        <v>45257</v>
      </c>
      <c r="B1025" t="s">
        <v>1067</v>
      </c>
      <c r="C1025" s="32">
        <v>45257</v>
      </c>
      <c r="D1025" s="38">
        <v>112.21</v>
      </c>
      <c r="E1025" s="38">
        <v>116.03</v>
      </c>
      <c r="F1025" s="38">
        <v>117.46</v>
      </c>
      <c r="G1025" s="38">
        <v>115.52</v>
      </c>
      <c r="H1025" s="38">
        <v>113.77</v>
      </c>
      <c r="I1025" s="38">
        <v>111.7</v>
      </c>
      <c r="J1025" s="38">
        <v>109.78</v>
      </c>
      <c r="K1025" s="38">
        <v>109.01</v>
      </c>
      <c r="L1025" s="38">
        <v>109.74</v>
      </c>
      <c r="M1025" s="38">
        <v>113.02</v>
      </c>
      <c r="N1025" s="38">
        <v>114.69</v>
      </c>
      <c r="O1025" s="38">
        <v>123.43</v>
      </c>
      <c r="P1025" s="38">
        <v>131.32</v>
      </c>
      <c r="Q1025" s="38">
        <v>134.12</v>
      </c>
      <c r="R1025" s="38">
        <v>130.9</v>
      </c>
      <c r="S1025" s="38">
        <v>121.9</v>
      </c>
      <c r="T1025" s="38">
        <v>112.5</v>
      </c>
      <c r="U1025" s="38">
        <v>104.9</v>
      </c>
      <c r="V1025" s="38">
        <v>99.04</v>
      </c>
      <c r="W1025" s="38">
        <v>99.91</v>
      </c>
      <c r="X1025" s="38">
        <v>101.74</v>
      </c>
      <c r="Y1025" s="38">
        <v>103.4</v>
      </c>
      <c r="Z1025" s="38">
        <v>108.23</v>
      </c>
      <c r="AA1025" s="38">
        <v>111.22</v>
      </c>
      <c r="AB1025" s="38">
        <v>112.96</v>
      </c>
      <c r="AC1025" s="38">
        <v>117.95</v>
      </c>
      <c r="AD1025" s="38">
        <v>119.43</v>
      </c>
      <c r="AE1025" s="38">
        <v>112.27</v>
      </c>
      <c r="AF1025" s="38">
        <v>96.42</v>
      </c>
      <c r="AG1025" s="38">
        <v>90.52</v>
      </c>
      <c r="AH1025" s="38">
        <v>85.12</v>
      </c>
      <c r="AI1025" s="38">
        <v>85.64</v>
      </c>
      <c r="AJ1025" s="38">
        <v>86.13</v>
      </c>
      <c r="AK1025" s="38">
        <v>88.5</v>
      </c>
      <c r="AL1025" s="38">
        <v>91.92</v>
      </c>
      <c r="AM1025" s="38">
        <v>96.22</v>
      </c>
      <c r="AN1025" s="38">
        <v>100.54</v>
      </c>
      <c r="AO1025" s="38">
        <v>99.61</v>
      </c>
      <c r="AP1025" s="38">
        <v>101.63</v>
      </c>
      <c r="AQ1025" s="38">
        <v>93.98</v>
      </c>
      <c r="AR1025" s="38">
        <v>85.78</v>
      </c>
      <c r="AS1025" s="38">
        <v>77.88</v>
      </c>
      <c r="AT1025" s="38">
        <v>73.88</v>
      </c>
      <c r="AU1025" s="38">
        <v>68.13</v>
      </c>
      <c r="AV1025" s="38">
        <v>68.599999999999994</v>
      </c>
      <c r="AW1025" s="38">
        <v>72.790000000000006</v>
      </c>
      <c r="AX1025" s="38">
        <v>76.7</v>
      </c>
      <c r="AY1025" s="38">
        <v>80.5</v>
      </c>
      <c r="BA1025" s="37">
        <v>79.489999999999995</v>
      </c>
      <c r="BB1025" s="38">
        <v>1.2606999999999999</v>
      </c>
    </row>
    <row r="1026" spans="1:54" x14ac:dyDescent="0.35">
      <c r="A1026" s="2">
        <f t="shared" si="15"/>
        <v>45258</v>
      </c>
      <c r="B1026" t="s">
        <v>1068</v>
      </c>
      <c r="C1026" s="32">
        <v>45258</v>
      </c>
      <c r="D1026" s="38">
        <v>108.68</v>
      </c>
      <c r="E1026" s="38">
        <v>111.95</v>
      </c>
      <c r="F1026" s="38">
        <v>113.62</v>
      </c>
      <c r="G1026" s="38">
        <v>111.85</v>
      </c>
      <c r="H1026" s="38">
        <v>110.17</v>
      </c>
      <c r="I1026" s="38">
        <v>108.66</v>
      </c>
      <c r="J1026" s="38">
        <v>106.72</v>
      </c>
      <c r="K1026" s="38">
        <v>105.94</v>
      </c>
      <c r="L1026" s="38">
        <v>106.67</v>
      </c>
      <c r="M1026" s="38">
        <v>109.93</v>
      </c>
      <c r="N1026" s="38">
        <v>111.83</v>
      </c>
      <c r="O1026" s="38">
        <v>120.56</v>
      </c>
      <c r="P1026" s="38">
        <v>128.43</v>
      </c>
      <c r="Q1026" s="38">
        <v>131.19</v>
      </c>
      <c r="R1026" s="38">
        <v>127.91</v>
      </c>
      <c r="S1026" s="38">
        <v>119.43</v>
      </c>
      <c r="T1026" s="38">
        <v>110.62</v>
      </c>
      <c r="U1026" s="38">
        <v>103.42</v>
      </c>
      <c r="V1026" s="38">
        <v>97.56</v>
      </c>
      <c r="W1026" s="38">
        <v>98.43</v>
      </c>
      <c r="X1026" s="38">
        <v>100.26</v>
      </c>
      <c r="Y1026" s="38">
        <v>101.92</v>
      </c>
      <c r="Z1026" s="38">
        <v>106.92</v>
      </c>
      <c r="AA1026" s="38">
        <v>110.12</v>
      </c>
      <c r="AB1026" s="38">
        <v>111.86</v>
      </c>
      <c r="AC1026" s="38">
        <v>116.85</v>
      </c>
      <c r="AD1026" s="38">
        <v>118.33</v>
      </c>
      <c r="AE1026" s="38">
        <v>111.17</v>
      </c>
      <c r="AF1026" s="38">
        <v>96.37</v>
      </c>
      <c r="AG1026" s="38">
        <v>90.87</v>
      </c>
      <c r="AH1026" s="38">
        <v>85.47</v>
      </c>
      <c r="AI1026" s="38">
        <v>85.99</v>
      </c>
      <c r="AJ1026" s="38">
        <v>86.48</v>
      </c>
      <c r="AK1026" s="38">
        <v>88.85</v>
      </c>
      <c r="AL1026" s="38">
        <v>92.55</v>
      </c>
      <c r="AM1026" s="38">
        <v>96.85</v>
      </c>
      <c r="AN1026" s="38">
        <v>101.17</v>
      </c>
      <c r="AO1026" s="38">
        <v>100.24</v>
      </c>
      <c r="AP1026" s="38">
        <v>101.24</v>
      </c>
      <c r="AQ1026" s="38">
        <v>94.59</v>
      </c>
      <c r="AR1026" s="38">
        <v>86.31</v>
      </c>
      <c r="AS1026" s="38">
        <v>78.41</v>
      </c>
      <c r="AT1026" s="38">
        <v>74.41</v>
      </c>
      <c r="AU1026" s="38">
        <v>68.66</v>
      </c>
      <c r="AV1026" s="38">
        <v>69.13</v>
      </c>
      <c r="AW1026" s="38">
        <v>73.319999999999993</v>
      </c>
      <c r="AX1026" s="38">
        <v>77.12</v>
      </c>
      <c r="AY1026" s="38">
        <v>80.92</v>
      </c>
      <c r="BA1026" s="37">
        <v>81.66</v>
      </c>
      <c r="BB1026" s="38">
        <v>1.2683</v>
      </c>
    </row>
    <row r="1027" spans="1:54" x14ac:dyDescent="0.35">
      <c r="A1027" s="2">
        <f t="shared" si="15"/>
        <v>45259</v>
      </c>
      <c r="B1027" t="s">
        <v>1069</v>
      </c>
      <c r="C1027" s="32">
        <v>45259</v>
      </c>
      <c r="D1027" s="38">
        <v>102.34</v>
      </c>
      <c r="E1027" s="38">
        <v>105.66</v>
      </c>
      <c r="F1027" s="38">
        <v>107.51</v>
      </c>
      <c r="G1027" s="38">
        <v>106.09</v>
      </c>
      <c r="H1027" s="38">
        <v>104.34</v>
      </c>
      <c r="I1027" s="38">
        <v>103.06</v>
      </c>
      <c r="J1027" s="38">
        <v>101.15</v>
      </c>
      <c r="K1027" s="38">
        <v>100.51</v>
      </c>
      <c r="L1027" s="38">
        <v>101.24</v>
      </c>
      <c r="M1027" s="38">
        <v>104.5</v>
      </c>
      <c r="N1027" s="38">
        <v>106.38</v>
      </c>
      <c r="O1027" s="38">
        <v>115.11</v>
      </c>
      <c r="P1027" s="38">
        <v>122.98</v>
      </c>
      <c r="Q1027" s="38">
        <v>125.74</v>
      </c>
      <c r="R1027" s="38">
        <v>122.46</v>
      </c>
      <c r="S1027" s="38">
        <v>114.74</v>
      </c>
      <c r="T1027" s="38">
        <v>106.69</v>
      </c>
      <c r="U1027" s="38">
        <v>99.69</v>
      </c>
      <c r="V1027" s="38">
        <v>93.83</v>
      </c>
      <c r="W1027" s="38">
        <v>94.7</v>
      </c>
      <c r="X1027" s="38">
        <v>96.53</v>
      </c>
      <c r="Y1027" s="38">
        <v>98.19</v>
      </c>
      <c r="Z1027" s="38">
        <v>102.89</v>
      </c>
      <c r="AA1027" s="38">
        <v>105.89</v>
      </c>
      <c r="AB1027" s="38">
        <v>107.63</v>
      </c>
      <c r="AC1027" s="38">
        <v>112.62</v>
      </c>
      <c r="AD1027" s="38">
        <v>114.1</v>
      </c>
      <c r="AE1027" s="38">
        <v>106.94</v>
      </c>
      <c r="AF1027" s="38">
        <v>93.64</v>
      </c>
      <c r="AG1027" s="38">
        <v>88.14</v>
      </c>
      <c r="AH1027" s="38">
        <v>82.74</v>
      </c>
      <c r="AI1027" s="38">
        <v>83.26</v>
      </c>
      <c r="AJ1027" s="38">
        <v>83.75</v>
      </c>
      <c r="AK1027" s="38">
        <v>86.15</v>
      </c>
      <c r="AL1027" s="38">
        <v>90.35</v>
      </c>
      <c r="AM1027" s="38">
        <v>94.65</v>
      </c>
      <c r="AN1027" s="38">
        <v>98.97</v>
      </c>
      <c r="AO1027" s="38">
        <v>98.04</v>
      </c>
      <c r="AP1027" s="38">
        <v>99.04</v>
      </c>
      <c r="AQ1027" s="38">
        <v>92.39</v>
      </c>
      <c r="AR1027" s="38">
        <v>83.89</v>
      </c>
      <c r="AS1027" s="38">
        <v>75.989999999999995</v>
      </c>
      <c r="AT1027" s="38">
        <v>71.989999999999995</v>
      </c>
      <c r="AU1027" s="38">
        <v>66.239999999999995</v>
      </c>
      <c r="AV1027" s="38">
        <v>66.709999999999994</v>
      </c>
      <c r="AW1027" s="38">
        <v>70.900000000000006</v>
      </c>
      <c r="AX1027" s="38">
        <v>75.099999999999994</v>
      </c>
      <c r="AY1027" s="38">
        <v>78.900000000000006</v>
      </c>
      <c r="BA1027" s="37">
        <v>82.98</v>
      </c>
      <c r="BB1027" s="38">
        <v>1.2697000000000001</v>
      </c>
    </row>
    <row r="1028" spans="1:54" x14ac:dyDescent="0.35">
      <c r="A1028" s="2">
        <f t="shared" si="15"/>
        <v>45260</v>
      </c>
      <c r="B1028" t="s">
        <v>1070</v>
      </c>
      <c r="C1028" s="32">
        <v>45260</v>
      </c>
      <c r="D1028" s="38">
        <v>107.13</v>
      </c>
      <c r="E1028" s="38">
        <v>108.98</v>
      </c>
      <c r="F1028" s="38">
        <v>107.58</v>
      </c>
      <c r="G1028" s="38">
        <v>105.64</v>
      </c>
      <c r="H1028" s="38">
        <v>104.36</v>
      </c>
      <c r="I1028" s="38">
        <v>102.45</v>
      </c>
      <c r="J1028" s="38">
        <v>102.45</v>
      </c>
      <c r="K1028" s="38">
        <v>102.95</v>
      </c>
      <c r="L1028" s="38">
        <v>105.95</v>
      </c>
      <c r="M1028" s="38">
        <v>107.46</v>
      </c>
      <c r="N1028" s="38">
        <v>116.39</v>
      </c>
      <c r="O1028" s="38">
        <v>124.46</v>
      </c>
      <c r="P1028" s="38">
        <v>127.22</v>
      </c>
      <c r="Q1028" s="38">
        <v>123.94</v>
      </c>
      <c r="R1028" s="38">
        <v>116.14</v>
      </c>
      <c r="S1028" s="38">
        <v>107.84</v>
      </c>
      <c r="T1028" s="38">
        <v>100.84</v>
      </c>
      <c r="U1028" s="38">
        <v>94.98</v>
      </c>
      <c r="V1028" s="38">
        <v>95.85</v>
      </c>
      <c r="W1028" s="38">
        <v>97.68</v>
      </c>
      <c r="X1028" s="38">
        <v>99.34</v>
      </c>
      <c r="Y1028" s="38">
        <v>103.24</v>
      </c>
      <c r="Z1028" s="38">
        <v>106.04</v>
      </c>
      <c r="AA1028" s="38">
        <v>107.78</v>
      </c>
      <c r="AB1028" s="38">
        <v>112.77</v>
      </c>
      <c r="AC1028" s="38">
        <v>114.25</v>
      </c>
      <c r="AD1028" s="38">
        <v>107.09</v>
      </c>
      <c r="AE1028" s="38">
        <v>93.88</v>
      </c>
      <c r="AF1028" s="38">
        <v>88.38</v>
      </c>
      <c r="AG1028" s="38">
        <v>82.98</v>
      </c>
      <c r="AH1028" s="38">
        <v>83.5</v>
      </c>
      <c r="AI1028" s="38">
        <v>83.99</v>
      </c>
      <c r="AJ1028" s="38">
        <v>86.39</v>
      </c>
      <c r="AK1028" s="38">
        <v>90.64</v>
      </c>
      <c r="AL1028" s="38">
        <v>94.94</v>
      </c>
      <c r="AM1028" s="38">
        <v>99.26</v>
      </c>
      <c r="AN1028" s="38">
        <v>98.33</v>
      </c>
      <c r="AO1028" s="38">
        <v>99.33</v>
      </c>
      <c r="AP1028" s="38">
        <v>92.68</v>
      </c>
      <c r="AQ1028" s="38">
        <v>84.18</v>
      </c>
      <c r="AR1028" s="38">
        <v>76.48</v>
      </c>
      <c r="AS1028" s="38">
        <v>72.48</v>
      </c>
      <c r="AT1028" s="38">
        <v>66.73</v>
      </c>
      <c r="AU1028" s="38">
        <v>67.2</v>
      </c>
      <c r="AV1028" s="38">
        <v>71.39</v>
      </c>
      <c r="AW1028" s="38">
        <v>75.58</v>
      </c>
      <c r="AX1028" s="38">
        <v>79.38</v>
      </c>
      <c r="AY1028" s="38">
        <v>83.51</v>
      </c>
      <c r="BA1028" s="37">
        <v>81.72</v>
      </c>
      <c r="BB1028" s="38">
        <v>1.2656000000000001</v>
      </c>
    </row>
    <row r="1029" spans="1:54" x14ac:dyDescent="0.35">
      <c r="A1029" s="2">
        <f t="shared" si="15"/>
        <v>45261</v>
      </c>
      <c r="B1029" t="s">
        <v>1071</v>
      </c>
      <c r="C1029" s="32">
        <v>45261</v>
      </c>
      <c r="D1029" s="38">
        <v>109.65</v>
      </c>
      <c r="E1029" s="38">
        <v>111.65</v>
      </c>
      <c r="F1029" s="38">
        <v>110.73</v>
      </c>
      <c r="G1029" s="38">
        <v>108.54</v>
      </c>
      <c r="H1029" s="38">
        <v>107.14</v>
      </c>
      <c r="I1029" s="38">
        <v>105.74</v>
      </c>
      <c r="J1029" s="38">
        <v>105.95</v>
      </c>
      <c r="K1029" s="38">
        <v>105.72</v>
      </c>
      <c r="L1029" s="38">
        <v>108.2</v>
      </c>
      <c r="M1029" s="38">
        <v>109.79</v>
      </c>
      <c r="N1029" s="38">
        <v>118.72</v>
      </c>
      <c r="O1029" s="38">
        <v>126.79</v>
      </c>
      <c r="P1029" s="38">
        <v>129.55000000000001</v>
      </c>
      <c r="Q1029" s="38">
        <v>126.27</v>
      </c>
      <c r="R1029" s="38">
        <v>118.47</v>
      </c>
      <c r="S1029" s="38">
        <v>109.69</v>
      </c>
      <c r="T1029" s="38">
        <v>102.66</v>
      </c>
      <c r="U1029" s="38">
        <v>96.78</v>
      </c>
      <c r="V1029" s="38">
        <v>97.63</v>
      </c>
      <c r="W1029" s="38">
        <v>99.45</v>
      </c>
      <c r="X1029" s="38">
        <v>101.11</v>
      </c>
      <c r="Y1029" s="38">
        <v>104.8</v>
      </c>
      <c r="Z1029" s="38">
        <v>107.6</v>
      </c>
      <c r="AA1029" s="38">
        <v>109.34</v>
      </c>
      <c r="AB1029" s="38">
        <v>114.33</v>
      </c>
      <c r="AC1029" s="38">
        <v>115.81</v>
      </c>
      <c r="AD1029" s="38">
        <v>108.65</v>
      </c>
      <c r="AE1029" s="38">
        <v>95.44</v>
      </c>
      <c r="AF1029" s="38">
        <v>89.94</v>
      </c>
      <c r="AG1029" s="38">
        <v>84.54</v>
      </c>
      <c r="AH1029" s="38">
        <v>85.06</v>
      </c>
      <c r="AI1029" s="38">
        <v>85.55</v>
      </c>
      <c r="AJ1029" s="38">
        <v>87.95</v>
      </c>
      <c r="AK1029" s="38">
        <v>91.75</v>
      </c>
      <c r="AL1029" s="38">
        <v>96.05</v>
      </c>
      <c r="AM1029" s="38">
        <v>100.37</v>
      </c>
      <c r="AN1029" s="38">
        <v>99.44</v>
      </c>
      <c r="AO1029" s="38">
        <v>100.44</v>
      </c>
      <c r="AP1029" s="38">
        <v>93.79</v>
      </c>
      <c r="AQ1029" s="38">
        <v>84.89</v>
      </c>
      <c r="AR1029" s="38">
        <v>77.19</v>
      </c>
      <c r="AS1029" s="38">
        <v>73.19</v>
      </c>
      <c r="AT1029" s="38">
        <v>67.44</v>
      </c>
      <c r="AU1029" s="38">
        <v>67.91</v>
      </c>
      <c r="AV1029" s="38">
        <v>72.099999999999994</v>
      </c>
      <c r="AW1029" s="38">
        <v>76.099999999999994</v>
      </c>
      <c r="AX1029" s="38">
        <v>79.900000000000006</v>
      </c>
      <c r="AY1029" s="38">
        <v>84.03</v>
      </c>
      <c r="BA1029" s="37">
        <v>78.72</v>
      </c>
      <c r="BB1029" s="38">
        <v>1.2635000000000001</v>
      </c>
    </row>
    <row r="1030" spans="1:54" x14ac:dyDescent="0.35">
      <c r="A1030" s="2">
        <f t="shared" si="15"/>
        <v>45264</v>
      </c>
      <c r="B1030" t="s">
        <v>1072</v>
      </c>
      <c r="C1030" s="32">
        <v>45264</v>
      </c>
      <c r="D1030" s="38">
        <v>100.76</v>
      </c>
      <c r="E1030" s="38">
        <v>102.84</v>
      </c>
      <c r="F1030" s="38">
        <v>102.18</v>
      </c>
      <c r="G1030" s="38">
        <v>100.92</v>
      </c>
      <c r="H1030" s="38">
        <v>99.74</v>
      </c>
      <c r="I1030" s="38">
        <v>98.16</v>
      </c>
      <c r="J1030" s="38">
        <v>100.29</v>
      </c>
      <c r="K1030" s="38">
        <v>99.34</v>
      </c>
      <c r="L1030" s="38">
        <v>97.34</v>
      </c>
      <c r="M1030" s="38">
        <v>102.26</v>
      </c>
      <c r="N1030" s="38">
        <v>113.45</v>
      </c>
      <c r="O1030" s="38">
        <v>121.86</v>
      </c>
      <c r="P1030" s="38">
        <v>122.24</v>
      </c>
      <c r="Q1030" s="38">
        <v>119.04</v>
      </c>
      <c r="R1030" s="38">
        <v>111.54</v>
      </c>
      <c r="S1030" s="38">
        <v>105.3</v>
      </c>
      <c r="T1030" s="38">
        <v>99.37</v>
      </c>
      <c r="U1030" s="38">
        <v>93.52</v>
      </c>
      <c r="V1030" s="38">
        <v>94.38</v>
      </c>
      <c r="W1030" s="38">
        <v>96.19</v>
      </c>
      <c r="X1030" s="38">
        <v>97.86</v>
      </c>
      <c r="Y1030" s="38">
        <v>101.78</v>
      </c>
      <c r="Z1030" s="38">
        <v>104.75</v>
      </c>
      <c r="AA1030" s="38">
        <v>106.68</v>
      </c>
      <c r="AB1030" s="38">
        <v>111.9</v>
      </c>
      <c r="AC1030" s="38">
        <v>113.38</v>
      </c>
      <c r="AD1030" s="38">
        <v>106.22</v>
      </c>
      <c r="AE1030" s="38">
        <v>93.48</v>
      </c>
      <c r="AF1030" s="38">
        <v>87.98</v>
      </c>
      <c r="AG1030" s="38">
        <v>82.58</v>
      </c>
      <c r="AH1030" s="38">
        <v>83.32</v>
      </c>
      <c r="AI1030" s="38">
        <v>83.81</v>
      </c>
      <c r="AJ1030" s="38">
        <v>86.21</v>
      </c>
      <c r="AK1030" s="38">
        <v>90.3</v>
      </c>
      <c r="AL1030" s="38">
        <v>94.6</v>
      </c>
      <c r="AM1030" s="38">
        <v>98.91</v>
      </c>
      <c r="AN1030" s="38">
        <v>98.23</v>
      </c>
      <c r="AO1030" s="38">
        <v>99.22</v>
      </c>
      <c r="AP1030" s="38">
        <v>92.57</v>
      </c>
      <c r="AQ1030" s="38">
        <v>83.97</v>
      </c>
      <c r="AR1030" s="38">
        <v>76.27</v>
      </c>
      <c r="AS1030" s="38">
        <v>72.27</v>
      </c>
      <c r="AT1030" s="38">
        <v>66.52</v>
      </c>
      <c r="AU1030" s="38">
        <v>66.989999999999995</v>
      </c>
      <c r="AV1030" s="38">
        <v>71.180000000000007</v>
      </c>
      <c r="AW1030" s="38">
        <v>75.180000000000007</v>
      </c>
      <c r="AX1030" s="38">
        <v>78.98</v>
      </c>
      <c r="AY1030" s="38">
        <v>83.11</v>
      </c>
      <c r="BA1030" s="37">
        <v>78.16</v>
      </c>
      <c r="BB1030" s="38">
        <v>1.2612000000000001</v>
      </c>
    </row>
    <row r="1031" spans="1:54" x14ac:dyDescent="0.35">
      <c r="A1031" s="2">
        <f t="shared" si="15"/>
        <v>45265</v>
      </c>
      <c r="B1031" t="s">
        <v>1073</v>
      </c>
      <c r="C1031" s="32">
        <v>45265</v>
      </c>
      <c r="D1031" s="38">
        <v>95.38</v>
      </c>
      <c r="E1031" s="38">
        <v>97.91</v>
      </c>
      <c r="F1031" s="38">
        <v>97.13</v>
      </c>
      <c r="G1031" s="38">
        <v>95.8</v>
      </c>
      <c r="H1031" s="38">
        <v>94.3</v>
      </c>
      <c r="I1031" s="38">
        <v>92.7</v>
      </c>
      <c r="J1031" s="38">
        <v>93.2</v>
      </c>
      <c r="K1031" s="38">
        <v>93.52</v>
      </c>
      <c r="L1031" s="38">
        <v>94.54</v>
      </c>
      <c r="M1031" s="38">
        <v>97.56</v>
      </c>
      <c r="N1031" s="38">
        <v>108.98</v>
      </c>
      <c r="O1031" s="38">
        <v>117.39</v>
      </c>
      <c r="P1031" s="38">
        <v>117.77</v>
      </c>
      <c r="Q1031" s="38">
        <v>114.57</v>
      </c>
      <c r="R1031" s="38">
        <v>107.07</v>
      </c>
      <c r="S1031" s="38">
        <v>100.84</v>
      </c>
      <c r="T1031" s="38">
        <v>94.92</v>
      </c>
      <c r="U1031" s="38">
        <v>89.08</v>
      </c>
      <c r="V1031" s="38">
        <v>89.94</v>
      </c>
      <c r="W1031" s="38">
        <v>92.38</v>
      </c>
      <c r="X1031" s="38">
        <v>94.43</v>
      </c>
      <c r="Y1031" s="38">
        <v>98.35</v>
      </c>
      <c r="Z1031" s="38">
        <v>101.33</v>
      </c>
      <c r="AA1031" s="38">
        <v>103.26</v>
      </c>
      <c r="AB1031" s="38">
        <v>108.48</v>
      </c>
      <c r="AC1031" s="38">
        <v>109.96</v>
      </c>
      <c r="AD1031" s="38">
        <v>103.12</v>
      </c>
      <c r="AE1031" s="38">
        <v>91.54</v>
      </c>
      <c r="AF1031" s="38">
        <v>86.04</v>
      </c>
      <c r="AG1031" s="38">
        <v>81.28</v>
      </c>
      <c r="AH1031" s="38">
        <v>82.02</v>
      </c>
      <c r="AI1031" s="38">
        <v>82.51</v>
      </c>
      <c r="AJ1031" s="38">
        <v>85.13</v>
      </c>
      <c r="AK1031" s="38">
        <v>89.41</v>
      </c>
      <c r="AL1031" s="38">
        <v>94.11</v>
      </c>
      <c r="AM1031" s="38">
        <v>98.42</v>
      </c>
      <c r="AN1031" s="38">
        <v>97.74</v>
      </c>
      <c r="AO1031" s="38">
        <v>98.73</v>
      </c>
      <c r="AP1031" s="38">
        <v>92.08</v>
      </c>
      <c r="AQ1031" s="38">
        <v>83.48</v>
      </c>
      <c r="AR1031" s="38">
        <v>75.78</v>
      </c>
      <c r="AS1031" s="38">
        <v>71.78</v>
      </c>
      <c r="AT1031" s="38">
        <v>66.03</v>
      </c>
      <c r="AU1031" s="38">
        <v>66.5</v>
      </c>
      <c r="AV1031" s="38">
        <v>70.69</v>
      </c>
      <c r="AW1031" s="38">
        <v>74.69</v>
      </c>
      <c r="AX1031" s="38">
        <v>78.489999999999995</v>
      </c>
      <c r="AY1031" s="38">
        <v>82.62</v>
      </c>
      <c r="BA1031" s="37">
        <v>77.27</v>
      </c>
      <c r="BB1031" s="38">
        <v>1.2613000000000001</v>
      </c>
    </row>
    <row r="1032" spans="1:54" x14ac:dyDescent="0.35">
      <c r="A1032" s="2">
        <f t="shared" si="15"/>
        <v>45266</v>
      </c>
      <c r="B1032" t="s">
        <v>1074</v>
      </c>
      <c r="C1032" s="32">
        <v>45266</v>
      </c>
      <c r="D1032" s="38">
        <v>98.25</v>
      </c>
      <c r="E1032" s="38">
        <v>100.45</v>
      </c>
      <c r="F1032" s="38">
        <v>99.93</v>
      </c>
      <c r="G1032" s="38">
        <v>98.5</v>
      </c>
      <c r="H1032" s="38">
        <v>96.89</v>
      </c>
      <c r="I1032" s="38">
        <v>95.54</v>
      </c>
      <c r="J1032" s="38">
        <v>95.79</v>
      </c>
      <c r="K1032" s="38">
        <v>96.04</v>
      </c>
      <c r="L1032" s="38">
        <v>97.58</v>
      </c>
      <c r="M1032" s="38">
        <v>99.98</v>
      </c>
      <c r="N1032" s="38">
        <v>111.78</v>
      </c>
      <c r="O1032" s="38">
        <v>119.78</v>
      </c>
      <c r="P1032" s="38">
        <v>120.84</v>
      </c>
      <c r="Q1032" s="38">
        <v>117.92</v>
      </c>
      <c r="R1032" s="38">
        <v>110.42</v>
      </c>
      <c r="S1032" s="38">
        <v>101.17</v>
      </c>
      <c r="T1032" s="38">
        <v>95.74</v>
      </c>
      <c r="U1032" s="38">
        <v>91.48</v>
      </c>
      <c r="V1032" s="38">
        <v>92.34</v>
      </c>
      <c r="W1032" s="38">
        <v>94.78</v>
      </c>
      <c r="X1032" s="38">
        <v>96.76</v>
      </c>
      <c r="Y1032" s="38">
        <v>100.14</v>
      </c>
      <c r="Z1032" s="38">
        <v>103.06</v>
      </c>
      <c r="AA1032" s="38">
        <v>104.88</v>
      </c>
      <c r="AB1032" s="38">
        <v>109.8</v>
      </c>
      <c r="AC1032" s="38">
        <v>111.28</v>
      </c>
      <c r="AD1032" s="38">
        <v>104.44</v>
      </c>
      <c r="AE1032" s="38">
        <v>92.31</v>
      </c>
      <c r="AF1032" s="38">
        <v>86.81</v>
      </c>
      <c r="AG1032" s="38">
        <v>82.05</v>
      </c>
      <c r="AH1032" s="38">
        <v>82.79</v>
      </c>
      <c r="AI1032" s="38">
        <v>83.28</v>
      </c>
      <c r="AJ1032" s="38">
        <v>85.9</v>
      </c>
      <c r="AK1032" s="38">
        <v>90</v>
      </c>
      <c r="AL1032" s="38">
        <v>94.7</v>
      </c>
      <c r="AM1032" s="38">
        <v>99.01</v>
      </c>
      <c r="AN1032" s="38">
        <v>99.1</v>
      </c>
      <c r="AO1032" s="38">
        <v>100.09</v>
      </c>
      <c r="AP1032" s="38">
        <v>93.44</v>
      </c>
      <c r="AQ1032" s="38">
        <v>84.84</v>
      </c>
      <c r="AR1032" s="38">
        <v>77.14</v>
      </c>
      <c r="AS1032" s="38">
        <v>73.14</v>
      </c>
      <c r="AT1032" s="38">
        <v>67.39</v>
      </c>
      <c r="AU1032" s="38">
        <v>67.86</v>
      </c>
      <c r="AV1032" s="38">
        <v>72.05</v>
      </c>
      <c r="AW1032" s="38">
        <v>76.05</v>
      </c>
      <c r="AX1032" s="38">
        <v>79.849999999999994</v>
      </c>
      <c r="AY1032" s="38">
        <v>83.98</v>
      </c>
      <c r="BA1032" s="37">
        <v>74.33</v>
      </c>
      <c r="BB1032" s="38">
        <v>1.2593000000000001</v>
      </c>
    </row>
    <row r="1033" spans="1:54" x14ac:dyDescent="0.35">
      <c r="A1033" s="2">
        <f t="shared" si="15"/>
        <v>45267</v>
      </c>
      <c r="B1033" t="s">
        <v>1075</v>
      </c>
      <c r="C1033" s="32">
        <v>45267</v>
      </c>
      <c r="D1033" s="38">
        <v>99.94</v>
      </c>
      <c r="E1033" s="38">
        <v>101.84</v>
      </c>
      <c r="F1033" s="38">
        <v>101.44</v>
      </c>
      <c r="G1033" s="38">
        <v>99.84</v>
      </c>
      <c r="H1033" s="38">
        <v>98.17</v>
      </c>
      <c r="I1033" s="38">
        <v>96.89</v>
      </c>
      <c r="J1033" s="38">
        <v>96.98</v>
      </c>
      <c r="K1033" s="38">
        <v>97.68</v>
      </c>
      <c r="L1033" s="38">
        <v>98.95</v>
      </c>
      <c r="M1033" s="38">
        <v>100.84</v>
      </c>
      <c r="N1033" s="38">
        <v>112.44</v>
      </c>
      <c r="O1033" s="38">
        <v>120.58</v>
      </c>
      <c r="P1033" s="38">
        <v>121.92</v>
      </c>
      <c r="Q1033" s="38">
        <v>119.17</v>
      </c>
      <c r="R1033" s="38">
        <v>111.67</v>
      </c>
      <c r="S1033" s="38">
        <v>101.43</v>
      </c>
      <c r="T1033" s="38">
        <v>95.95</v>
      </c>
      <c r="U1033" s="38">
        <v>91.66</v>
      </c>
      <c r="V1033" s="38">
        <v>92.11</v>
      </c>
      <c r="W1033" s="38">
        <v>94.38</v>
      </c>
      <c r="X1033" s="38">
        <v>96.4</v>
      </c>
      <c r="Y1033" s="38">
        <v>99.83</v>
      </c>
      <c r="Z1033" s="38">
        <v>102.73</v>
      </c>
      <c r="AA1033" s="38">
        <v>104.64</v>
      </c>
      <c r="AB1033" s="38">
        <v>109.66</v>
      </c>
      <c r="AC1033" s="38">
        <v>111.14</v>
      </c>
      <c r="AD1033" s="38">
        <v>104.3</v>
      </c>
      <c r="AE1033" s="38">
        <v>90.36</v>
      </c>
      <c r="AF1033" s="38">
        <v>87.06</v>
      </c>
      <c r="AG1033" s="38">
        <v>84.66</v>
      </c>
      <c r="AH1033" s="38">
        <v>83.58</v>
      </c>
      <c r="AI1033" s="38">
        <v>83.75</v>
      </c>
      <c r="AJ1033" s="38">
        <v>86.37</v>
      </c>
      <c r="AK1033" s="38">
        <v>90.47</v>
      </c>
      <c r="AL1033" s="38">
        <v>95.17</v>
      </c>
      <c r="AM1033" s="38">
        <v>99.48</v>
      </c>
      <c r="AN1033" s="38">
        <v>99.57</v>
      </c>
      <c r="AO1033" s="38">
        <v>100.56</v>
      </c>
      <c r="AP1033" s="38">
        <v>93.91</v>
      </c>
      <c r="AQ1033" s="38">
        <v>85.31</v>
      </c>
      <c r="AR1033" s="38">
        <v>77.61</v>
      </c>
      <c r="AS1033" s="38">
        <v>73.61</v>
      </c>
      <c r="AT1033" s="38">
        <v>67.86</v>
      </c>
      <c r="AU1033" s="38">
        <v>68.33</v>
      </c>
      <c r="AV1033" s="38">
        <v>72.52</v>
      </c>
      <c r="AW1033" s="38">
        <v>76.52</v>
      </c>
      <c r="AX1033" s="38">
        <v>80.319999999999993</v>
      </c>
      <c r="AY1033" s="38">
        <v>84.45</v>
      </c>
      <c r="BA1033" s="37">
        <v>74.209999999999994</v>
      </c>
      <c r="BB1033" s="38">
        <v>1.2574000000000001</v>
      </c>
    </row>
    <row r="1034" spans="1:54" x14ac:dyDescent="0.35">
      <c r="A1034" s="2">
        <f t="shared" si="15"/>
        <v>45268</v>
      </c>
      <c r="B1034" t="s">
        <v>1076</v>
      </c>
      <c r="C1034" s="32">
        <v>45268</v>
      </c>
      <c r="D1034" s="38">
        <v>97.1</v>
      </c>
      <c r="E1034" s="38">
        <v>98.3</v>
      </c>
      <c r="F1034" s="38">
        <v>98.01</v>
      </c>
      <c r="G1034" s="38">
        <v>97.45</v>
      </c>
      <c r="H1034" s="38">
        <v>95.79</v>
      </c>
      <c r="I1034" s="38">
        <v>94.52</v>
      </c>
      <c r="J1034" s="38">
        <v>94.16</v>
      </c>
      <c r="K1034" s="38">
        <v>95.1</v>
      </c>
      <c r="L1034" s="38">
        <v>97.26</v>
      </c>
      <c r="M1034" s="38">
        <v>99.19</v>
      </c>
      <c r="N1034" s="38">
        <v>109.65</v>
      </c>
      <c r="O1034" s="38">
        <v>117.83</v>
      </c>
      <c r="P1034" s="38">
        <v>119.22</v>
      </c>
      <c r="Q1034" s="38">
        <v>116.64</v>
      </c>
      <c r="R1034" s="38">
        <v>109.14</v>
      </c>
      <c r="S1034" s="38">
        <v>99.8</v>
      </c>
      <c r="T1034" s="38">
        <v>94.48</v>
      </c>
      <c r="U1034" s="38">
        <v>90.48</v>
      </c>
      <c r="V1034" s="38">
        <v>90.93</v>
      </c>
      <c r="W1034" s="38">
        <v>93.2</v>
      </c>
      <c r="X1034" s="38">
        <v>95.22</v>
      </c>
      <c r="Y1034" s="38">
        <v>98.65</v>
      </c>
      <c r="Z1034" s="38">
        <v>101.55</v>
      </c>
      <c r="AA1034" s="38">
        <v>103.46</v>
      </c>
      <c r="AB1034" s="38">
        <v>108.48</v>
      </c>
      <c r="AC1034" s="38">
        <v>109.96</v>
      </c>
      <c r="AD1034" s="38">
        <v>103.12</v>
      </c>
      <c r="AE1034" s="38">
        <v>89.18</v>
      </c>
      <c r="AF1034" s="38">
        <v>85.88</v>
      </c>
      <c r="AG1034" s="38">
        <v>83.48</v>
      </c>
      <c r="AH1034" s="38">
        <v>82.4</v>
      </c>
      <c r="AI1034" s="38">
        <v>82.57</v>
      </c>
      <c r="AJ1034" s="38">
        <v>85.19</v>
      </c>
      <c r="AK1034" s="38">
        <v>89.29</v>
      </c>
      <c r="AL1034" s="38">
        <v>93.99</v>
      </c>
      <c r="AM1034" s="38">
        <v>98.3</v>
      </c>
      <c r="AN1034" s="38">
        <v>98.39</v>
      </c>
      <c r="AO1034" s="38">
        <v>99.38</v>
      </c>
      <c r="AP1034" s="38">
        <v>92.73</v>
      </c>
      <c r="AQ1034" s="38">
        <v>84.13</v>
      </c>
      <c r="AR1034" s="38">
        <v>76.430000000000007</v>
      </c>
      <c r="AS1034" s="38">
        <v>72.430000000000007</v>
      </c>
      <c r="AT1034" s="38">
        <v>66.680000000000007</v>
      </c>
      <c r="AU1034" s="38">
        <v>67.150000000000006</v>
      </c>
      <c r="AV1034" s="38">
        <v>71.34</v>
      </c>
      <c r="AW1034" s="38">
        <v>75.34</v>
      </c>
      <c r="AX1034" s="38">
        <v>79.14</v>
      </c>
      <c r="AY1034" s="38">
        <v>83.27</v>
      </c>
      <c r="BA1034" s="37">
        <v>75.94</v>
      </c>
      <c r="BB1034" s="38">
        <v>1.2546999999999999</v>
      </c>
    </row>
    <row r="1035" spans="1:54" x14ac:dyDescent="0.35">
      <c r="A1035" s="2">
        <f t="shared" si="15"/>
        <v>45271</v>
      </c>
      <c r="B1035" t="s">
        <v>1077</v>
      </c>
      <c r="C1035" s="32">
        <v>45271</v>
      </c>
      <c r="D1035" s="38">
        <v>90.18</v>
      </c>
      <c r="E1035" s="38">
        <v>91.42</v>
      </c>
      <c r="F1035" s="38">
        <v>91.32</v>
      </c>
      <c r="G1035" s="38">
        <v>90.9</v>
      </c>
      <c r="H1035" s="38">
        <v>90.85</v>
      </c>
      <c r="I1035" s="38">
        <v>88.32</v>
      </c>
      <c r="J1035" s="38">
        <v>88.66</v>
      </c>
      <c r="K1035" s="38">
        <v>89.6</v>
      </c>
      <c r="L1035" s="38">
        <v>91.79</v>
      </c>
      <c r="M1035" s="38">
        <v>93.74</v>
      </c>
      <c r="N1035" s="38">
        <v>104.01</v>
      </c>
      <c r="O1035" s="38">
        <v>112.4</v>
      </c>
      <c r="P1035" s="38">
        <v>114.23</v>
      </c>
      <c r="Q1035" s="38">
        <v>111.65</v>
      </c>
      <c r="R1035" s="38">
        <v>104.34</v>
      </c>
      <c r="S1035" s="38">
        <v>95.82</v>
      </c>
      <c r="T1035" s="38">
        <v>90.82</v>
      </c>
      <c r="U1035" s="38">
        <v>86.85</v>
      </c>
      <c r="V1035" s="38">
        <v>87.43</v>
      </c>
      <c r="W1035" s="38">
        <v>89.81</v>
      </c>
      <c r="X1035" s="38">
        <v>91.96</v>
      </c>
      <c r="Y1035" s="38">
        <v>95.32</v>
      </c>
      <c r="Z1035" s="38">
        <v>98.23</v>
      </c>
      <c r="AA1035" s="38">
        <v>100.13</v>
      </c>
      <c r="AB1035" s="38">
        <v>105.39</v>
      </c>
      <c r="AC1035" s="38">
        <v>106.87</v>
      </c>
      <c r="AD1035" s="38">
        <v>100.57</v>
      </c>
      <c r="AE1035" s="38">
        <v>87.57</v>
      </c>
      <c r="AF1035" s="38">
        <v>84.33</v>
      </c>
      <c r="AG1035" s="38">
        <v>81.93</v>
      </c>
      <c r="AH1035" s="38">
        <v>80.73</v>
      </c>
      <c r="AI1035" s="38">
        <v>80.900000000000006</v>
      </c>
      <c r="AJ1035" s="38">
        <v>83.54</v>
      </c>
      <c r="AK1035" s="38">
        <v>87.79</v>
      </c>
      <c r="AL1035" s="38">
        <v>92.49</v>
      </c>
      <c r="AM1035" s="38">
        <v>96.82</v>
      </c>
      <c r="AN1035" s="38">
        <v>96.45</v>
      </c>
      <c r="AO1035" s="38">
        <v>97.44</v>
      </c>
      <c r="AP1035" s="38">
        <v>90.77</v>
      </c>
      <c r="AQ1035" s="38">
        <v>82.36</v>
      </c>
      <c r="AR1035" s="38">
        <v>76.39</v>
      </c>
      <c r="AS1035" s="38">
        <v>72.39</v>
      </c>
      <c r="AT1035" s="38">
        <v>64.91</v>
      </c>
      <c r="AU1035" s="38">
        <v>65.38</v>
      </c>
      <c r="AV1035" s="38">
        <v>69.569999999999993</v>
      </c>
      <c r="AW1035" s="38">
        <v>74.069999999999993</v>
      </c>
      <c r="AX1035" s="38">
        <v>77.87</v>
      </c>
      <c r="AY1035" s="38">
        <v>81.99</v>
      </c>
      <c r="BA1035" s="37">
        <v>75.75</v>
      </c>
      <c r="BB1035" s="38">
        <v>1.2551000000000001</v>
      </c>
    </row>
    <row r="1036" spans="1:54" x14ac:dyDescent="0.35">
      <c r="A1036" s="2">
        <f t="shared" si="15"/>
        <v>45272</v>
      </c>
      <c r="B1036" t="s">
        <v>1078</v>
      </c>
      <c r="C1036" s="32">
        <v>45272</v>
      </c>
      <c r="D1036" s="38">
        <v>86.7</v>
      </c>
      <c r="E1036" s="38">
        <v>88.01</v>
      </c>
      <c r="F1036" s="38">
        <v>87.98</v>
      </c>
      <c r="G1036" s="38">
        <v>87.75</v>
      </c>
      <c r="H1036" s="38">
        <v>86.95</v>
      </c>
      <c r="I1036" s="38">
        <v>85.47</v>
      </c>
      <c r="J1036" s="38">
        <v>85.18</v>
      </c>
      <c r="K1036" s="38">
        <v>86.15</v>
      </c>
      <c r="L1036" s="38">
        <v>88.19</v>
      </c>
      <c r="M1036" s="38">
        <v>90.55</v>
      </c>
      <c r="N1036" s="38">
        <v>100.98</v>
      </c>
      <c r="O1036" s="38">
        <v>110.02</v>
      </c>
      <c r="P1036" s="38">
        <v>111.19</v>
      </c>
      <c r="Q1036" s="38">
        <v>108.61</v>
      </c>
      <c r="R1036" s="38">
        <v>101.3</v>
      </c>
      <c r="S1036" s="38">
        <v>93.5</v>
      </c>
      <c r="T1036" s="38">
        <v>88.73</v>
      </c>
      <c r="U1036" s="38">
        <v>84.91</v>
      </c>
      <c r="V1036" s="38">
        <v>85.25</v>
      </c>
      <c r="W1036" s="38">
        <v>87.69</v>
      </c>
      <c r="X1036" s="38">
        <v>89.86</v>
      </c>
      <c r="Y1036" s="38">
        <v>93.36</v>
      </c>
      <c r="Z1036" s="38">
        <v>96.29</v>
      </c>
      <c r="AA1036" s="38">
        <v>98.19</v>
      </c>
      <c r="AB1036" s="38">
        <v>104.02</v>
      </c>
      <c r="AC1036" s="38">
        <v>105.52</v>
      </c>
      <c r="AD1036" s="38">
        <v>98.83</v>
      </c>
      <c r="AE1036" s="38">
        <v>85.13</v>
      </c>
      <c r="AF1036" s="38">
        <v>81.89</v>
      </c>
      <c r="AG1036" s="38">
        <v>79.48</v>
      </c>
      <c r="AH1036" s="38">
        <v>78.260000000000005</v>
      </c>
      <c r="AI1036" s="38">
        <v>78.42</v>
      </c>
      <c r="AJ1036" s="38">
        <v>81.05</v>
      </c>
      <c r="AK1036" s="38">
        <v>85.42</v>
      </c>
      <c r="AL1036" s="38">
        <v>90.13</v>
      </c>
      <c r="AM1036" s="38">
        <v>94.48</v>
      </c>
      <c r="AN1036" s="38">
        <v>94.32</v>
      </c>
      <c r="AO1036" s="38">
        <v>95.34</v>
      </c>
      <c r="AP1036" s="38">
        <v>88.69</v>
      </c>
      <c r="AQ1036" s="38">
        <v>81.14</v>
      </c>
      <c r="AR1036" s="38">
        <v>75.849999999999994</v>
      </c>
      <c r="AS1036" s="38">
        <v>71.89</v>
      </c>
      <c r="AT1036" s="38">
        <v>63.8</v>
      </c>
      <c r="AU1036" s="38">
        <v>64.31</v>
      </c>
      <c r="AV1036" s="38">
        <v>68.569999999999993</v>
      </c>
      <c r="AW1036" s="38">
        <v>75.349999999999994</v>
      </c>
      <c r="AX1036" s="38">
        <v>79.150000000000006</v>
      </c>
      <c r="AY1036" s="38">
        <v>83.26</v>
      </c>
      <c r="BA1036" s="37">
        <v>74.11</v>
      </c>
      <c r="BB1036" s="38">
        <v>1.2561</v>
      </c>
    </row>
    <row r="1037" spans="1:54" x14ac:dyDescent="0.35">
      <c r="A1037" s="2">
        <f t="shared" ref="A1037:A1100" si="16">+A1032+7</f>
        <v>45273</v>
      </c>
      <c r="B1037" t="s">
        <v>1079</v>
      </c>
      <c r="C1037" s="32">
        <v>45273</v>
      </c>
      <c r="D1037" s="38">
        <v>89.65</v>
      </c>
      <c r="E1037" s="38">
        <v>90.89</v>
      </c>
      <c r="F1037" s="38">
        <v>91.03</v>
      </c>
      <c r="G1037" s="38">
        <v>90.42</v>
      </c>
      <c r="H1037" s="38">
        <v>89.24</v>
      </c>
      <c r="I1037" s="38">
        <v>88.03</v>
      </c>
      <c r="J1037" s="38">
        <v>87.76</v>
      </c>
      <c r="K1037" s="38">
        <v>88.73</v>
      </c>
      <c r="L1037" s="38">
        <v>90.76</v>
      </c>
      <c r="M1037" s="38">
        <v>93.12</v>
      </c>
      <c r="N1037" s="38">
        <v>103.55</v>
      </c>
      <c r="O1037" s="38">
        <v>112.59</v>
      </c>
      <c r="P1037" s="38">
        <v>114.2</v>
      </c>
      <c r="Q1037" s="38">
        <v>111.6</v>
      </c>
      <c r="R1037" s="38">
        <v>104.28</v>
      </c>
      <c r="S1037" s="38">
        <v>95.87</v>
      </c>
      <c r="T1037" s="38">
        <v>91.09</v>
      </c>
      <c r="U1037" s="38">
        <v>87.27</v>
      </c>
      <c r="V1037" s="38">
        <v>87.6</v>
      </c>
      <c r="W1037" s="38">
        <v>90.04</v>
      </c>
      <c r="X1037" s="38">
        <v>92.21</v>
      </c>
      <c r="Y1037" s="38">
        <v>94.2</v>
      </c>
      <c r="Z1037" s="38">
        <v>97.13</v>
      </c>
      <c r="AA1037" s="38">
        <v>99.03</v>
      </c>
      <c r="AB1037" s="38">
        <v>104.85</v>
      </c>
      <c r="AC1037" s="38">
        <v>106.35</v>
      </c>
      <c r="AD1037" s="38">
        <v>99.66</v>
      </c>
      <c r="AE1037" s="38">
        <v>85.86</v>
      </c>
      <c r="AF1037" s="38">
        <v>82.62</v>
      </c>
      <c r="AG1037" s="38">
        <v>80.2</v>
      </c>
      <c r="AH1037" s="38">
        <v>78.98</v>
      </c>
      <c r="AI1037" s="38">
        <v>79.14</v>
      </c>
      <c r="AJ1037" s="38">
        <v>81.77</v>
      </c>
      <c r="AK1037" s="38">
        <v>86.14</v>
      </c>
      <c r="AL1037" s="38">
        <v>90.55</v>
      </c>
      <c r="AM1037" s="38">
        <v>94.9</v>
      </c>
      <c r="AN1037" s="38">
        <v>94.74</v>
      </c>
      <c r="AO1037" s="38">
        <v>95.76</v>
      </c>
      <c r="AP1037" s="38">
        <v>89.11</v>
      </c>
      <c r="AQ1037" s="38">
        <v>81.56</v>
      </c>
      <c r="AR1037" s="38">
        <v>76.27</v>
      </c>
      <c r="AS1037" s="38">
        <v>72.31</v>
      </c>
      <c r="AT1037" s="38">
        <v>64.22</v>
      </c>
      <c r="AU1037" s="38">
        <v>64.73</v>
      </c>
      <c r="AV1037" s="38">
        <v>68.989999999999995</v>
      </c>
      <c r="AW1037" s="38">
        <v>75.77</v>
      </c>
      <c r="AX1037" s="38">
        <v>79.569999999999993</v>
      </c>
      <c r="AY1037" s="38">
        <v>83.68</v>
      </c>
      <c r="BA1037" s="37">
        <v>74.14</v>
      </c>
      <c r="BB1037" s="38">
        <v>1.2525999999999999</v>
      </c>
    </row>
    <row r="1038" spans="1:54" x14ac:dyDescent="0.35">
      <c r="A1038" s="2">
        <f t="shared" si="16"/>
        <v>45274</v>
      </c>
      <c r="B1038" t="s">
        <v>1080</v>
      </c>
      <c r="C1038" s="32">
        <v>45274</v>
      </c>
      <c r="D1038" s="38">
        <v>86.8</v>
      </c>
      <c r="E1038" s="38">
        <v>88.01</v>
      </c>
      <c r="F1038" s="38">
        <v>88.36</v>
      </c>
      <c r="G1038" s="38">
        <v>88.07</v>
      </c>
      <c r="H1038" s="38">
        <v>87.6</v>
      </c>
      <c r="I1038" s="38">
        <v>86.07</v>
      </c>
      <c r="J1038" s="38">
        <v>86.22</v>
      </c>
      <c r="K1038" s="38">
        <v>87.09</v>
      </c>
      <c r="L1038" s="38">
        <v>88.32</v>
      </c>
      <c r="M1038" s="38">
        <v>91.12</v>
      </c>
      <c r="N1038" s="38">
        <v>102.55</v>
      </c>
      <c r="O1038" s="38">
        <v>111.59</v>
      </c>
      <c r="P1038" s="38">
        <v>113.2</v>
      </c>
      <c r="Q1038" s="38">
        <v>110.6</v>
      </c>
      <c r="R1038" s="38">
        <v>103.28</v>
      </c>
      <c r="S1038" s="38">
        <v>94.71</v>
      </c>
      <c r="T1038" s="38">
        <v>89.97</v>
      </c>
      <c r="U1038" s="38">
        <v>86.19</v>
      </c>
      <c r="V1038" s="38">
        <v>86.55</v>
      </c>
      <c r="W1038" s="38">
        <v>89.01</v>
      </c>
      <c r="X1038" s="38">
        <v>91.2</v>
      </c>
      <c r="Y1038" s="38">
        <v>93.21</v>
      </c>
      <c r="Z1038" s="38">
        <v>96.16</v>
      </c>
      <c r="AA1038" s="38">
        <v>98.08</v>
      </c>
      <c r="AB1038" s="38">
        <v>103.91</v>
      </c>
      <c r="AC1038" s="38">
        <v>105.43</v>
      </c>
      <c r="AD1038" s="38">
        <v>98.76</v>
      </c>
      <c r="AE1038" s="38">
        <v>84.99</v>
      </c>
      <c r="AF1038" s="38">
        <v>81.78</v>
      </c>
      <c r="AG1038" s="38">
        <v>79.39</v>
      </c>
      <c r="AH1038" s="38">
        <v>78.22</v>
      </c>
      <c r="AI1038" s="38">
        <v>78.44</v>
      </c>
      <c r="AJ1038" s="38">
        <v>81.150000000000006</v>
      </c>
      <c r="AK1038" s="38">
        <v>85.43</v>
      </c>
      <c r="AL1038" s="38">
        <v>89.44</v>
      </c>
      <c r="AM1038" s="38">
        <v>93.49</v>
      </c>
      <c r="AN1038" s="38">
        <v>93.33</v>
      </c>
      <c r="AO1038" s="38">
        <v>94.35</v>
      </c>
      <c r="AP1038" s="38">
        <v>87.7</v>
      </c>
      <c r="AQ1038" s="38">
        <v>80.650000000000006</v>
      </c>
      <c r="AR1038" s="38">
        <v>75.36</v>
      </c>
      <c r="AS1038" s="38">
        <v>71.400000000000006</v>
      </c>
      <c r="AT1038" s="38">
        <v>63.31</v>
      </c>
      <c r="AU1038" s="38">
        <v>63.82</v>
      </c>
      <c r="AV1038" s="38">
        <v>68.08</v>
      </c>
      <c r="AW1038" s="38">
        <v>74.86</v>
      </c>
      <c r="AX1038" s="38">
        <v>78.66</v>
      </c>
      <c r="AY1038" s="38">
        <v>82.77</v>
      </c>
      <c r="BA1038" s="37">
        <v>77.05</v>
      </c>
      <c r="BB1038" s="38">
        <v>1.276</v>
      </c>
    </row>
    <row r="1039" spans="1:54" x14ac:dyDescent="0.35">
      <c r="A1039" s="2">
        <f t="shared" si="16"/>
        <v>45275</v>
      </c>
      <c r="B1039" t="s">
        <v>1081</v>
      </c>
      <c r="C1039" s="32">
        <v>45275</v>
      </c>
      <c r="D1039" s="38">
        <v>82.55</v>
      </c>
      <c r="E1039" s="38">
        <v>83.64</v>
      </c>
      <c r="F1039" s="38">
        <v>84</v>
      </c>
      <c r="G1039" s="38">
        <v>83.85</v>
      </c>
      <c r="H1039" s="38">
        <v>83.31</v>
      </c>
      <c r="I1039" s="38">
        <v>82.31</v>
      </c>
      <c r="J1039" s="38">
        <v>82.46</v>
      </c>
      <c r="K1039" s="38">
        <v>83.23</v>
      </c>
      <c r="L1039" s="38">
        <v>84.26</v>
      </c>
      <c r="M1039" s="38">
        <v>87.76</v>
      </c>
      <c r="N1039" s="38">
        <v>99.19</v>
      </c>
      <c r="O1039" s="38">
        <v>108.22</v>
      </c>
      <c r="P1039" s="38">
        <v>109.8</v>
      </c>
      <c r="Q1039" s="38">
        <v>107.2</v>
      </c>
      <c r="R1039" s="38">
        <v>100.18</v>
      </c>
      <c r="S1039" s="38">
        <v>92.71</v>
      </c>
      <c r="T1039" s="38">
        <v>87.97</v>
      </c>
      <c r="U1039" s="38">
        <v>84.19</v>
      </c>
      <c r="V1039" s="38">
        <v>84.25</v>
      </c>
      <c r="W1039" s="38">
        <v>86.71</v>
      </c>
      <c r="X1039" s="38">
        <v>88.9</v>
      </c>
      <c r="Y1039" s="38">
        <v>91.31</v>
      </c>
      <c r="Z1039" s="38">
        <v>93.36</v>
      </c>
      <c r="AA1039" s="38">
        <v>95.28</v>
      </c>
      <c r="AB1039" s="38">
        <v>101.11</v>
      </c>
      <c r="AC1039" s="38">
        <v>102.63</v>
      </c>
      <c r="AD1039" s="38">
        <v>95.96</v>
      </c>
      <c r="AE1039" s="38">
        <v>83.19</v>
      </c>
      <c r="AF1039" s="38">
        <v>79.98</v>
      </c>
      <c r="AG1039" s="38">
        <v>77.59</v>
      </c>
      <c r="AH1039" s="38">
        <v>76.42</v>
      </c>
      <c r="AI1039" s="38">
        <v>76.64</v>
      </c>
      <c r="AJ1039" s="38">
        <v>79.349999999999994</v>
      </c>
      <c r="AK1039" s="38">
        <v>83.63</v>
      </c>
      <c r="AL1039" s="38">
        <v>87.64</v>
      </c>
      <c r="AM1039" s="38">
        <v>91.69</v>
      </c>
      <c r="AN1039" s="38">
        <v>91.53</v>
      </c>
      <c r="AO1039" s="38">
        <v>92.55</v>
      </c>
      <c r="AP1039" s="38">
        <v>86.4</v>
      </c>
      <c r="AQ1039" s="38">
        <v>79.849999999999994</v>
      </c>
      <c r="AR1039" s="38">
        <v>74.56</v>
      </c>
      <c r="AS1039" s="38">
        <v>70.599999999999994</v>
      </c>
      <c r="AT1039" s="38">
        <v>62.51</v>
      </c>
      <c r="AU1039" s="38">
        <v>63.02</v>
      </c>
      <c r="AV1039" s="38">
        <v>67.28</v>
      </c>
      <c r="AW1039" s="38">
        <v>74.06</v>
      </c>
      <c r="AX1039" s="38">
        <v>77.86</v>
      </c>
      <c r="AY1039" s="38">
        <v>81.97</v>
      </c>
      <c r="BA1039" s="37">
        <v>76.84</v>
      </c>
      <c r="BB1039" s="38">
        <v>1.2699</v>
      </c>
    </row>
    <row r="1040" spans="1:54" x14ac:dyDescent="0.35">
      <c r="A1040" s="2">
        <f t="shared" si="16"/>
        <v>45278</v>
      </c>
      <c r="B1040" t="s">
        <v>1082</v>
      </c>
      <c r="C1040" s="32">
        <v>45278</v>
      </c>
      <c r="D1040" s="38">
        <v>88.74</v>
      </c>
      <c r="E1040" s="38">
        <v>89.57</v>
      </c>
      <c r="F1040" s="38">
        <v>89.81</v>
      </c>
      <c r="G1040" s="38">
        <v>89.12</v>
      </c>
      <c r="H1040" s="38">
        <v>88.31</v>
      </c>
      <c r="I1040" s="38">
        <v>87.78</v>
      </c>
      <c r="J1040" s="38">
        <v>87.76</v>
      </c>
      <c r="K1040" s="38">
        <v>88.18</v>
      </c>
      <c r="L1040" s="38">
        <v>89.27</v>
      </c>
      <c r="M1040" s="38">
        <v>92.66</v>
      </c>
      <c r="N1040" s="38">
        <v>103.78</v>
      </c>
      <c r="O1040" s="38">
        <v>112.55</v>
      </c>
      <c r="P1040" s="38">
        <v>114.75</v>
      </c>
      <c r="Q1040" s="38">
        <v>111.71</v>
      </c>
      <c r="R1040" s="38">
        <v>104.56</v>
      </c>
      <c r="S1040" s="38">
        <v>96.28</v>
      </c>
      <c r="T1040" s="38">
        <v>91.24</v>
      </c>
      <c r="U1040" s="38">
        <v>87.46</v>
      </c>
      <c r="V1040" s="38">
        <v>87.52</v>
      </c>
      <c r="W1040" s="38">
        <v>89.98</v>
      </c>
      <c r="X1040" s="38">
        <v>92.17</v>
      </c>
      <c r="Y1040" s="38">
        <v>94.58</v>
      </c>
      <c r="Z1040" s="38">
        <v>96.63</v>
      </c>
      <c r="AA1040" s="38">
        <v>98.55</v>
      </c>
      <c r="AB1040" s="38">
        <v>102.58</v>
      </c>
      <c r="AC1040" s="38">
        <v>104.1</v>
      </c>
      <c r="AD1040" s="38">
        <v>97.43</v>
      </c>
      <c r="AE1040" s="38">
        <v>84.66</v>
      </c>
      <c r="AF1040" s="38">
        <v>81.45</v>
      </c>
      <c r="AG1040" s="38">
        <v>79.06</v>
      </c>
      <c r="AH1040" s="38">
        <v>77.89</v>
      </c>
      <c r="AI1040" s="38">
        <v>78.11</v>
      </c>
      <c r="AJ1040" s="38">
        <v>80.819999999999993</v>
      </c>
      <c r="AK1040" s="38">
        <v>85.1</v>
      </c>
      <c r="AL1040" s="38">
        <v>89.11</v>
      </c>
      <c r="AM1040" s="38">
        <v>93.16</v>
      </c>
      <c r="AN1040" s="38">
        <v>93</v>
      </c>
      <c r="AO1040" s="38">
        <v>94.02</v>
      </c>
      <c r="AP1040" s="38">
        <v>87.87</v>
      </c>
      <c r="AQ1040" s="38">
        <v>81.319999999999993</v>
      </c>
      <c r="AR1040" s="38">
        <v>76.03</v>
      </c>
      <c r="AS1040" s="38">
        <v>72.069999999999993</v>
      </c>
      <c r="AT1040" s="38">
        <v>63.98</v>
      </c>
      <c r="AU1040" s="38">
        <v>64.489999999999995</v>
      </c>
      <c r="AV1040" s="38">
        <v>68.75</v>
      </c>
      <c r="AW1040" s="38">
        <v>75.53</v>
      </c>
      <c r="AX1040" s="38">
        <v>79.33</v>
      </c>
      <c r="AY1040" s="38">
        <v>83.44</v>
      </c>
      <c r="BA1040" s="37">
        <v>78.89</v>
      </c>
      <c r="BB1040" s="38">
        <v>1.2645</v>
      </c>
    </row>
    <row r="1041" spans="1:54" x14ac:dyDescent="0.35">
      <c r="A1041" s="2">
        <f t="shared" si="16"/>
        <v>45279</v>
      </c>
      <c r="B1041" t="s">
        <v>1083</v>
      </c>
      <c r="C1041" s="32">
        <v>45279</v>
      </c>
      <c r="D1041" s="38">
        <v>80.55</v>
      </c>
      <c r="E1041" s="38">
        <v>82.16</v>
      </c>
      <c r="F1041" s="38">
        <v>82.16</v>
      </c>
      <c r="G1041" s="38">
        <v>82</v>
      </c>
      <c r="H1041" s="38">
        <v>81.66</v>
      </c>
      <c r="I1041" s="38">
        <v>81.349999999999994</v>
      </c>
      <c r="J1041" s="38">
        <v>81.63</v>
      </c>
      <c r="K1041" s="38">
        <v>82.05</v>
      </c>
      <c r="L1041" s="38">
        <v>83.14</v>
      </c>
      <c r="M1041" s="38">
        <v>86.06</v>
      </c>
      <c r="N1041" s="38">
        <v>97.18</v>
      </c>
      <c r="O1041" s="38">
        <v>105.95</v>
      </c>
      <c r="P1041" s="38">
        <v>108.15</v>
      </c>
      <c r="Q1041" s="38">
        <v>105.11</v>
      </c>
      <c r="R1041" s="38">
        <v>98.32</v>
      </c>
      <c r="S1041" s="38">
        <v>90.65</v>
      </c>
      <c r="T1041" s="38">
        <v>85.61</v>
      </c>
      <c r="U1041" s="38">
        <v>81.83</v>
      </c>
      <c r="V1041" s="38">
        <v>81.97</v>
      </c>
      <c r="W1041" s="38">
        <v>84.43</v>
      </c>
      <c r="X1041" s="38">
        <v>87.1</v>
      </c>
      <c r="Y1041" s="38">
        <v>90.18</v>
      </c>
      <c r="Z1041" s="38">
        <v>92.42</v>
      </c>
      <c r="AA1041" s="38">
        <v>94.73</v>
      </c>
      <c r="AB1041" s="38">
        <v>98.76</v>
      </c>
      <c r="AC1041" s="38">
        <v>100.28</v>
      </c>
      <c r="AD1041" s="38">
        <v>94.04</v>
      </c>
      <c r="AE1041" s="38">
        <v>81.96</v>
      </c>
      <c r="AF1041" s="38">
        <v>78.73</v>
      </c>
      <c r="AG1041" s="38">
        <v>76.319999999999993</v>
      </c>
      <c r="AH1041" s="38">
        <v>75.13</v>
      </c>
      <c r="AI1041" s="38">
        <v>75.33</v>
      </c>
      <c r="AJ1041" s="38">
        <v>77.849999999999994</v>
      </c>
      <c r="AK1041" s="38">
        <v>81.91</v>
      </c>
      <c r="AL1041" s="38">
        <v>85.91</v>
      </c>
      <c r="AM1041" s="38">
        <v>89.95</v>
      </c>
      <c r="AN1041" s="38">
        <v>90.38</v>
      </c>
      <c r="AO1041" s="38">
        <v>91.39</v>
      </c>
      <c r="AP1041" s="38">
        <v>85.39</v>
      </c>
      <c r="AQ1041" s="38">
        <v>79.150000000000006</v>
      </c>
      <c r="AR1041" s="38">
        <v>74</v>
      </c>
      <c r="AS1041" s="38">
        <v>70.040000000000006</v>
      </c>
      <c r="AT1041" s="38">
        <v>61.95</v>
      </c>
      <c r="AU1041" s="38">
        <v>62.46</v>
      </c>
      <c r="AV1041" s="38">
        <v>66.72</v>
      </c>
      <c r="AW1041" s="38">
        <v>73.5</v>
      </c>
      <c r="AX1041" s="38">
        <v>77.3</v>
      </c>
      <c r="AY1041" s="38">
        <v>81.41</v>
      </c>
      <c r="BA1041" s="37">
        <v>79.819999999999993</v>
      </c>
      <c r="BB1041" s="38">
        <v>1.2739</v>
      </c>
    </row>
    <row r="1042" spans="1:54" x14ac:dyDescent="0.35">
      <c r="A1042" s="2">
        <f t="shared" si="16"/>
        <v>45280</v>
      </c>
      <c r="B1042" t="s">
        <v>1084</v>
      </c>
      <c r="C1042" s="32">
        <v>45280</v>
      </c>
      <c r="D1042" s="38">
        <v>83.4</v>
      </c>
      <c r="E1042" s="38">
        <v>84.59</v>
      </c>
      <c r="F1042" s="38">
        <v>84.42</v>
      </c>
      <c r="G1042" s="38">
        <v>84.34</v>
      </c>
      <c r="H1042" s="38">
        <v>83.76</v>
      </c>
      <c r="I1042" s="38">
        <v>83.59</v>
      </c>
      <c r="J1042" s="38">
        <v>84.06</v>
      </c>
      <c r="K1042" s="38">
        <v>84.42</v>
      </c>
      <c r="L1042" s="38">
        <v>84.97</v>
      </c>
      <c r="M1042" s="38">
        <v>88.42</v>
      </c>
      <c r="N1042" s="38">
        <v>99.59</v>
      </c>
      <c r="O1042" s="38">
        <v>108.29</v>
      </c>
      <c r="P1042" s="38">
        <v>110.22</v>
      </c>
      <c r="Q1042" s="38">
        <v>107.23</v>
      </c>
      <c r="R1042" s="38">
        <v>100.49</v>
      </c>
      <c r="S1042" s="38">
        <v>92.6</v>
      </c>
      <c r="T1042" s="38">
        <v>87.36</v>
      </c>
      <c r="U1042" s="38">
        <v>83.33</v>
      </c>
      <c r="V1042" s="38">
        <v>83.24</v>
      </c>
      <c r="W1042" s="38">
        <v>85.4</v>
      </c>
      <c r="X1042" s="38">
        <v>87.89</v>
      </c>
      <c r="Y1042" s="38">
        <v>90.67</v>
      </c>
      <c r="Z1042" s="38">
        <v>92.84</v>
      </c>
      <c r="AA1042" s="38">
        <v>95.15</v>
      </c>
      <c r="AB1042" s="38">
        <v>99.13</v>
      </c>
      <c r="AC1042" s="38">
        <v>100.65</v>
      </c>
      <c r="AD1042" s="38">
        <v>94.41</v>
      </c>
      <c r="AE1042" s="38">
        <v>82.33</v>
      </c>
      <c r="AF1042" s="38">
        <v>79.099999999999994</v>
      </c>
      <c r="AG1042" s="38">
        <v>76.680000000000007</v>
      </c>
      <c r="AH1042" s="38">
        <v>75.489999999999995</v>
      </c>
      <c r="AI1042" s="38">
        <v>75.69</v>
      </c>
      <c r="AJ1042" s="38">
        <v>78.2</v>
      </c>
      <c r="AK1042" s="38">
        <v>82.26</v>
      </c>
      <c r="AL1042" s="38">
        <v>86.26</v>
      </c>
      <c r="AM1042" s="38">
        <v>90.3</v>
      </c>
      <c r="AN1042" s="38">
        <v>90.73</v>
      </c>
      <c r="AO1042" s="38">
        <v>91.72</v>
      </c>
      <c r="AP1042" s="38">
        <v>85.72</v>
      </c>
      <c r="AQ1042" s="38">
        <v>79.37</v>
      </c>
      <c r="AR1042" s="38">
        <v>74.02</v>
      </c>
      <c r="AS1042" s="38">
        <v>69.97</v>
      </c>
      <c r="AT1042" s="38">
        <v>61.7</v>
      </c>
      <c r="AU1042" s="38">
        <v>62.01</v>
      </c>
      <c r="AV1042" s="38">
        <v>65.510000000000005</v>
      </c>
      <c r="AW1042" s="38">
        <v>72.010000000000005</v>
      </c>
      <c r="AX1042" s="38">
        <v>75.540000000000006</v>
      </c>
      <c r="AY1042" s="38">
        <v>79.459999999999994</v>
      </c>
      <c r="BA1042" s="37">
        <v>81.099999999999994</v>
      </c>
      <c r="BB1042" s="38">
        <v>1.2667999999999999</v>
      </c>
    </row>
    <row r="1043" spans="1:54" x14ac:dyDescent="0.35">
      <c r="A1043" s="2">
        <f t="shared" si="16"/>
        <v>45281</v>
      </c>
      <c r="B1043" t="s">
        <v>1085</v>
      </c>
      <c r="C1043" s="32">
        <v>45281</v>
      </c>
      <c r="D1043" s="38">
        <v>85.55</v>
      </c>
      <c r="E1043" s="38">
        <v>86.56</v>
      </c>
      <c r="F1043" s="38">
        <v>86.04</v>
      </c>
      <c r="G1043" s="38">
        <v>85.5</v>
      </c>
      <c r="H1043" s="38">
        <v>85</v>
      </c>
      <c r="I1043" s="38">
        <v>84.74</v>
      </c>
      <c r="J1043" s="38">
        <v>84.75</v>
      </c>
      <c r="K1043" s="38">
        <v>85.11</v>
      </c>
      <c r="L1043" s="38">
        <v>85.76</v>
      </c>
      <c r="M1043" s="38">
        <v>88.96</v>
      </c>
      <c r="N1043" s="38">
        <v>99.7</v>
      </c>
      <c r="O1043" s="38">
        <v>108.26</v>
      </c>
      <c r="P1043" s="38">
        <v>110.49</v>
      </c>
      <c r="Q1043" s="38">
        <v>107.5</v>
      </c>
      <c r="R1043" s="38">
        <v>100.95</v>
      </c>
      <c r="S1043" s="38">
        <v>93.23</v>
      </c>
      <c r="T1043" s="38">
        <v>88.21</v>
      </c>
      <c r="U1043" s="38">
        <v>84.33</v>
      </c>
      <c r="V1043" s="38">
        <v>84.24</v>
      </c>
      <c r="W1043" s="38">
        <v>86.4</v>
      </c>
      <c r="X1043" s="38">
        <v>88.89</v>
      </c>
      <c r="Y1043" s="38">
        <v>91.66</v>
      </c>
      <c r="Z1043" s="38">
        <v>93.83</v>
      </c>
      <c r="AA1043" s="38">
        <v>96.13</v>
      </c>
      <c r="AB1043" s="38">
        <v>99.97</v>
      </c>
      <c r="AC1043" s="38">
        <v>101.39</v>
      </c>
      <c r="AD1043" s="38">
        <v>95.04</v>
      </c>
      <c r="AE1043" s="38">
        <v>82.94</v>
      </c>
      <c r="AF1043" s="38">
        <v>79.7</v>
      </c>
      <c r="AG1043" s="38">
        <v>77.28</v>
      </c>
      <c r="AH1043" s="38">
        <v>76.09</v>
      </c>
      <c r="AI1043" s="38">
        <v>76.290000000000006</v>
      </c>
      <c r="AJ1043" s="38">
        <v>78.8</v>
      </c>
      <c r="AK1043" s="38">
        <v>82.86</v>
      </c>
      <c r="AL1043" s="38">
        <v>86.86</v>
      </c>
      <c r="AM1043" s="38">
        <v>90.9</v>
      </c>
      <c r="AN1043" s="38">
        <v>91.33</v>
      </c>
      <c r="AO1043" s="38">
        <v>92.32</v>
      </c>
      <c r="AP1043" s="38">
        <v>86.32</v>
      </c>
      <c r="AQ1043" s="38">
        <v>79.97</v>
      </c>
      <c r="AR1043" s="38">
        <v>74.62</v>
      </c>
      <c r="AS1043" s="38">
        <v>70.569999999999993</v>
      </c>
      <c r="AT1043" s="38">
        <v>62.3</v>
      </c>
      <c r="AU1043" s="38">
        <v>62.61</v>
      </c>
      <c r="AV1043" s="38">
        <v>65.900000000000006</v>
      </c>
      <c r="AW1043" s="38">
        <v>72.36</v>
      </c>
      <c r="AX1043" s="38">
        <v>75.89</v>
      </c>
      <c r="AY1043" s="38">
        <v>79.81</v>
      </c>
      <c r="BA1043" s="37">
        <v>80.73</v>
      </c>
      <c r="BB1043" s="38">
        <v>1.2656000000000001</v>
      </c>
    </row>
    <row r="1044" spans="1:54" x14ac:dyDescent="0.35">
      <c r="A1044" s="2">
        <f t="shared" si="16"/>
        <v>45282</v>
      </c>
      <c r="B1044" t="s">
        <v>1086</v>
      </c>
      <c r="C1044" s="32">
        <v>45282</v>
      </c>
      <c r="D1044" s="38">
        <v>85.32</v>
      </c>
      <c r="E1044" s="38">
        <v>86.44</v>
      </c>
      <c r="F1044" s="38">
        <v>85.93</v>
      </c>
      <c r="G1044" s="38">
        <v>85.71</v>
      </c>
      <c r="H1044" s="38">
        <v>85.45</v>
      </c>
      <c r="I1044" s="38">
        <v>85.06</v>
      </c>
      <c r="J1044" s="38">
        <v>84.15</v>
      </c>
      <c r="K1044" s="38">
        <v>85.46</v>
      </c>
      <c r="L1044" s="38">
        <v>86.08</v>
      </c>
      <c r="M1044" s="38">
        <v>89.03</v>
      </c>
      <c r="N1044" s="38">
        <v>99.27</v>
      </c>
      <c r="O1044" s="38">
        <v>107.94</v>
      </c>
      <c r="P1044" s="38">
        <v>110.21</v>
      </c>
      <c r="Q1044" s="38">
        <v>107.28</v>
      </c>
      <c r="R1044" s="38">
        <v>100.46</v>
      </c>
      <c r="S1044" s="38">
        <v>93.13</v>
      </c>
      <c r="T1044" s="38">
        <v>88.11</v>
      </c>
      <c r="U1044" s="38">
        <v>84.21</v>
      </c>
      <c r="V1044" s="38">
        <v>84.32</v>
      </c>
      <c r="W1044" s="38">
        <v>86.48</v>
      </c>
      <c r="X1044" s="38">
        <v>88.98</v>
      </c>
      <c r="Y1044" s="38">
        <v>91.57</v>
      </c>
      <c r="Z1044" s="38">
        <v>93.8</v>
      </c>
      <c r="AA1044" s="38">
        <v>96.39</v>
      </c>
      <c r="AB1044" s="38">
        <v>99.88</v>
      </c>
      <c r="AC1044" s="38">
        <v>101.3</v>
      </c>
      <c r="AD1044" s="38">
        <v>94.96</v>
      </c>
      <c r="AE1044" s="38">
        <v>82.99</v>
      </c>
      <c r="AF1044" s="38">
        <v>79.739999999999995</v>
      </c>
      <c r="AG1044" s="38">
        <v>77.319999999999993</v>
      </c>
      <c r="AH1044" s="38">
        <v>76.13</v>
      </c>
      <c r="AI1044" s="38">
        <v>76.33</v>
      </c>
      <c r="AJ1044" s="38">
        <v>78.84</v>
      </c>
      <c r="AK1044" s="38">
        <v>83.31</v>
      </c>
      <c r="AL1044" s="38">
        <v>87.31</v>
      </c>
      <c r="AM1044" s="38">
        <v>91.35</v>
      </c>
      <c r="AN1044" s="38">
        <v>91.78</v>
      </c>
      <c r="AO1044" s="38">
        <v>92.77</v>
      </c>
      <c r="AP1044" s="38">
        <v>86.79</v>
      </c>
      <c r="AQ1044" s="38">
        <v>80.209999999999994</v>
      </c>
      <c r="AR1044" s="38">
        <v>74.86</v>
      </c>
      <c r="AS1044" s="38">
        <v>70.81</v>
      </c>
      <c r="AT1044" s="38">
        <v>62.52</v>
      </c>
      <c r="AU1044" s="38">
        <v>62.83</v>
      </c>
      <c r="AV1044" s="38">
        <v>66.12</v>
      </c>
      <c r="AW1044" s="38">
        <v>72.64</v>
      </c>
      <c r="AX1044" s="38">
        <v>76.17</v>
      </c>
      <c r="AY1044" s="38">
        <v>80.11</v>
      </c>
      <c r="BA1044" s="37">
        <v>80.23</v>
      </c>
      <c r="BB1044" s="38">
        <v>1.2716000000000001</v>
      </c>
    </row>
    <row r="1045" spans="1:54" x14ac:dyDescent="0.35">
      <c r="A1045" s="2">
        <f t="shared" si="16"/>
        <v>45285</v>
      </c>
      <c r="B1045" t="s">
        <v>1087</v>
      </c>
      <c r="C1045" s="32">
        <v>45285</v>
      </c>
      <c r="D1045" s="38" t="e">
        <v>#N/A</v>
      </c>
      <c r="E1045" s="38" t="e">
        <v>#N/A</v>
      </c>
      <c r="F1045" s="38" t="e">
        <v>#N/A</v>
      </c>
      <c r="G1045" s="38" t="e">
        <v>#N/A</v>
      </c>
      <c r="H1045" s="38" t="e">
        <v>#N/A</v>
      </c>
      <c r="I1045" s="38" t="e">
        <v>#N/A</v>
      </c>
      <c r="J1045" s="38" t="e">
        <v>#N/A</v>
      </c>
      <c r="K1045" s="38" t="e">
        <v>#N/A</v>
      </c>
      <c r="L1045" s="38" t="e">
        <v>#N/A</v>
      </c>
      <c r="M1045" s="38" t="e">
        <v>#N/A</v>
      </c>
      <c r="N1045" s="38" t="e">
        <v>#N/A</v>
      </c>
      <c r="O1045" s="38" t="e">
        <v>#N/A</v>
      </c>
      <c r="P1045" s="38" t="e">
        <v>#N/A</v>
      </c>
      <c r="Q1045" s="38" t="e">
        <v>#N/A</v>
      </c>
      <c r="R1045" s="38" t="e">
        <v>#N/A</v>
      </c>
      <c r="S1045" s="38" t="e">
        <v>#N/A</v>
      </c>
      <c r="T1045" s="38" t="e">
        <v>#N/A</v>
      </c>
      <c r="U1045" s="38" t="e">
        <v>#N/A</v>
      </c>
      <c r="V1045" s="38" t="e">
        <v>#N/A</v>
      </c>
      <c r="W1045" s="38" t="e">
        <v>#N/A</v>
      </c>
      <c r="X1045" s="38" t="e">
        <v>#N/A</v>
      </c>
      <c r="Y1045" s="38" t="e">
        <v>#N/A</v>
      </c>
      <c r="Z1045" s="38" t="e">
        <v>#N/A</v>
      </c>
      <c r="AA1045" s="38" t="e">
        <v>#N/A</v>
      </c>
      <c r="AB1045" s="38" t="e">
        <v>#N/A</v>
      </c>
      <c r="AC1045" s="38" t="e">
        <v>#N/A</v>
      </c>
      <c r="AD1045" s="38" t="e">
        <v>#N/A</v>
      </c>
      <c r="AE1045" s="38" t="e">
        <v>#N/A</v>
      </c>
      <c r="AF1045" s="38" t="e">
        <v>#N/A</v>
      </c>
      <c r="AG1045" s="38" t="e">
        <v>#N/A</v>
      </c>
      <c r="AH1045" s="38" t="e">
        <v>#N/A</v>
      </c>
      <c r="AI1045" s="38" t="e">
        <v>#N/A</v>
      </c>
      <c r="AJ1045" s="38" t="e">
        <v>#N/A</v>
      </c>
      <c r="AK1045" s="38" t="e">
        <v>#N/A</v>
      </c>
      <c r="AL1045" s="38" t="e">
        <v>#N/A</v>
      </c>
      <c r="AM1045" s="38" t="e">
        <v>#N/A</v>
      </c>
      <c r="AN1045" s="38" t="e">
        <v>#N/A</v>
      </c>
      <c r="AO1045" s="38" t="e">
        <v>#N/A</v>
      </c>
      <c r="AP1045" s="38" t="e">
        <v>#N/A</v>
      </c>
      <c r="AQ1045" s="38" t="e">
        <v>#N/A</v>
      </c>
      <c r="AR1045" s="38" t="e">
        <v>#N/A</v>
      </c>
      <c r="AS1045" s="38" t="e">
        <v>#N/A</v>
      </c>
      <c r="AT1045" s="38" t="e">
        <v>#N/A</v>
      </c>
      <c r="AU1045" s="38" t="e">
        <v>#N/A</v>
      </c>
      <c r="AV1045" s="38" t="e">
        <v>#N/A</v>
      </c>
      <c r="AW1045" s="38" t="e">
        <v>#N/A</v>
      </c>
      <c r="AX1045" s="38" t="e">
        <v>#N/A</v>
      </c>
      <c r="AY1045" s="38" t="e">
        <v>#N/A</v>
      </c>
      <c r="BA1045" s="37" t="e">
        <v>#N/A</v>
      </c>
      <c r="BB1045" s="38" t="e">
        <v>#N/A</v>
      </c>
    </row>
    <row r="1046" spans="1:54" x14ac:dyDescent="0.35">
      <c r="A1046" s="2">
        <f t="shared" si="16"/>
        <v>45286</v>
      </c>
      <c r="B1046" t="s">
        <v>1088</v>
      </c>
      <c r="C1046" s="32">
        <v>45286</v>
      </c>
      <c r="D1046" s="38">
        <v>85.32</v>
      </c>
      <c r="E1046" s="38">
        <v>86.44</v>
      </c>
      <c r="F1046" s="38">
        <v>85.93</v>
      </c>
      <c r="G1046" s="38">
        <v>85.71</v>
      </c>
      <c r="H1046" s="38">
        <v>85.45</v>
      </c>
      <c r="I1046" s="38">
        <v>85.06</v>
      </c>
      <c r="J1046" s="38">
        <v>84.15</v>
      </c>
      <c r="K1046" s="38">
        <v>85.46</v>
      </c>
      <c r="L1046" s="38">
        <v>86.08</v>
      </c>
      <c r="M1046" s="38">
        <v>89.03</v>
      </c>
      <c r="N1046" s="38">
        <v>99.27</v>
      </c>
      <c r="O1046" s="38">
        <v>107.94</v>
      </c>
      <c r="P1046" s="38">
        <v>110.21</v>
      </c>
      <c r="Q1046" s="38">
        <v>107.28</v>
      </c>
      <c r="R1046" s="38">
        <v>100.46</v>
      </c>
      <c r="S1046" s="38">
        <v>93.13</v>
      </c>
      <c r="T1046" s="38">
        <v>88.11</v>
      </c>
      <c r="U1046" s="38">
        <v>84.21</v>
      </c>
      <c r="V1046" s="38">
        <v>84.32</v>
      </c>
      <c r="W1046" s="38">
        <v>86.48</v>
      </c>
      <c r="X1046" s="38">
        <v>88.98</v>
      </c>
      <c r="Y1046" s="38">
        <v>91.57</v>
      </c>
      <c r="Z1046" s="38">
        <v>93.8</v>
      </c>
      <c r="AA1046" s="38">
        <v>96.39</v>
      </c>
      <c r="AB1046" s="38">
        <v>99.88</v>
      </c>
      <c r="AC1046" s="38">
        <v>101.3</v>
      </c>
      <c r="AD1046" s="38">
        <v>94.96</v>
      </c>
      <c r="AE1046" s="38">
        <v>82.99</v>
      </c>
      <c r="AF1046" s="38">
        <v>79.739999999999995</v>
      </c>
      <c r="AG1046" s="38">
        <v>77.319999999999993</v>
      </c>
      <c r="AH1046" s="38">
        <v>76.13</v>
      </c>
      <c r="AI1046" s="38">
        <v>76.33</v>
      </c>
      <c r="AJ1046" s="38">
        <v>78.84</v>
      </c>
      <c r="AK1046" s="38">
        <v>83.31</v>
      </c>
      <c r="AL1046" s="38">
        <v>87.31</v>
      </c>
      <c r="AM1046" s="38">
        <v>91.35</v>
      </c>
      <c r="AN1046" s="38">
        <v>91.78</v>
      </c>
      <c r="AO1046" s="38">
        <v>92.77</v>
      </c>
      <c r="AP1046" s="38">
        <v>86.79</v>
      </c>
      <c r="AQ1046" s="38">
        <v>80.209999999999994</v>
      </c>
      <c r="AR1046" s="38">
        <v>74.86</v>
      </c>
      <c r="AS1046" s="38">
        <v>70.81</v>
      </c>
      <c r="AT1046" s="38">
        <v>62.52</v>
      </c>
      <c r="AU1046" s="38">
        <v>62.83</v>
      </c>
      <c r="AV1046" s="38">
        <v>66.12</v>
      </c>
      <c r="AW1046" s="38">
        <v>72.64</v>
      </c>
      <c r="AX1046" s="38">
        <v>76.17</v>
      </c>
      <c r="AY1046" s="38">
        <v>80.11</v>
      </c>
      <c r="BA1046" s="37" t="e">
        <v>#N/A</v>
      </c>
      <c r="BB1046" s="38" t="e">
        <v>#N/A</v>
      </c>
    </row>
    <row r="1047" spans="1:54" x14ac:dyDescent="0.35">
      <c r="A1047" s="2">
        <f t="shared" si="16"/>
        <v>45287</v>
      </c>
      <c r="B1047" t="s">
        <v>1089</v>
      </c>
      <c r="C1047" s="32">
        <v>45287</v>
      </c>
      <c r="D1047" s="38">
        <v>90.03</v>
      </c>
      <c r="E1047" s="38">
        <v>90.81</v>
      </c>
      <c r="F1047" s="38">
        <v>90.01</v>
      </c>
      <c r="G1047" s="38">
        <v>89.54</v>
      </c>
      <c r="H1047" s="38">
        <v>89.11</v>
      </c>
      <c r="I1047" s="38">
        <v>88.84</v>
      </c>
      <c r="J1047" s="38">
        <v>87.72</v>
      </c>
      <c r="K1047" s="38">
        <v>88.88</v>
      </c>
      <c r="L1047" s="38">
        <v>89.74</v>
      </c>
      <c r="M1047" s="38">
        <v>92.18</v>
      </c>
      <c r="N1047" s="38">
        <v>101.83</v>
      </c>
      <c r="O1047" s="38">
        <v>110.49</v>
      </c>
      <c r="P1047" s="38">
        <v>112.62</v>
      </c>
      <c r="Q1047" s="38">
        <v>109.65</v>
      </c>
      <c r="R1047" s="38">
        <v>102.8</v>
      </c>
      <c r="S1047" s="38">
        <v>95.08</v>
      </c>
      <c r="T1047" s="38">
        <v>89.96</v>
      </c>
      <c r="U1047" s="38">
        <v>85.83</v>
      </c>
      <c r="V1047" s="38">
        <v>85.77</v>
      </c>
      <c r="W1047" s="38">
        <v>87.93</v>
      </c>
      <c r="X1047" s="38">
        <v>90.45</v>
      </c>
      <c r="Y1047" s="38">
        <v>92.97</v>
      </c>
      <c r="Z1047" s="38">
        <v>95.21</v>
      </c>
      <c r="AA1047" s="38">
        <v>97.8</v>
      </c>
      <c r="AB1047" s="38">
        <v>101.45</v>
      </c>
      <c r="AC1047" s="38">
        <v>103.23</v>
      </c>
      <c r="AD1047" s="38">
        <v>96.38</v>
      </c>
      <c r="AE1047" s="38">
        <v>83.66</v>
      </c>
      <c r="AF1047" s="38">
        <v>80.400000000000006</v>
      </c>
      <c r="AG1047" s="38">
        <v>77.98</v>
      </c>
      <c r="AH1047" s="38">
        <v>76.790000000000006</v>
      </c>
      <c r="AI1047" s="38">
        <v>76.989999999999995</v>
      </c>
      <c r="AJ1047" s="38">
        <v>79.5</v>
      </c>
      <c r="AK1047" s="38">
        <v>83.66</v>
      </c>
      <c r="AL1047" s="38">
        <v>87.66</v>
      </c>
      <c r="AM1047" s="38">
        <v>91.69</v>
      </c>
      <c r="AN1047" s="38">
        <v>92.01</v>
      </c>
      <c r="AO1047" s="38">
        <v>93</v>
      </c>
      <c r="AP1047" s="38">
        <v>87.02</v>
      </c>
      <c r="AQ1047" s="38">
        <v>80.44</v>
      </c>
      <c r="AR1047" s="38">
        <v>75.09</v>
      </c>
      <c r="AS1047" s="38">
        <v>71.040000000000006</v>
      </c>
      <c r="AT1047" s="38">
        <v>62.75</v>
      </c>
      <c r="AU1047" s="38">
        <v>63.06</v>
      </c>
      <c r="AV1047" s="38">
        <v>66.33</v>
      </c>
      <c r="AW1047" s="38">
        <v>72.849999999999994</v>
      </c>
      <c r="AX1047" s="38">
        <v>76.38</v>
      </c>
      <c r="AY1047" s="38">
        <v>80.319999999999993</v>
      </c>
      <c r="BA1047" s="37">
        <v>80.97</v>
      </c>
      <c r="BB1047" s="38">
        <v>1.2788999999999999</v>
      </c>
    </row>
    <row r="1048" spans="1:54" x14ac:dyDescent="0.35">
      <c r="A1048" s="2">
        <f t="shared" si="16"/>
        <v>45288</v>
      </c>
      <c r="B1048" t="s">
        <v>1090</v>
      </c>
      <c r="C1048" s="32">
        <v>45288</v>
      </c>
      <c r="D1048" s="38">
        <v>83.56</v>
      </c>
      <c r="E1048" s="38">
        <v>84.65</v>
      </c>
      <c r="F1048" s="38">
        <v>84.43</v>
      </c>
      <c r="G1048" s="38">
        <v>83.96</v>
      </c>
      <c r="H1048" s="38">
        <v>83.84</v>
      </c>
      <c r="I1048" s="38">
        <v>83.74</v>
      </c>
      <c r="J1048" s="38">
        <v>83.85</v>
      </c>
      <c r="K1048" s="38">
        <v>84.08</v>
      </c>
      <c r="L1048" s="38">
        <v>85.02</v>
      </c>
      <c r="M1048" s="38">
        <v>88.49</v>
      </c>
      <c r="N1048" s="38">
        <v>98.27</v>
      </c>
      <c r="O1048" s="38">
        <v>106.95</v>
      </c>
      <c r="P1048" s="38">
        <v>109.14</v>
      </c>
      <c r="Q1048" s="38">
        <v>106.17</v>
      </c>
      <c r="R1048" s="38">
        <v>99.15</v>
      </c>
      <c r="S1048" s="38">
        <v>91.78</v>
      </c>
      <c r="T1048" s="38">
        <v>86.84</v>
      </c>
      <c r="U1048" s="38">
        <v>82.72</v>
      </c>
      <c r="V1048" s="38">
        <v>82.53</v>
      </c>
      <c r="W1048" s="38">
        <v>84.69</v>
      </c>
      <c r="X1048" s="38">
        <v>87.13</v>
      </c>
      <c r="Y1048" s="38">
        <v>89.64</v>
      </c>
      <c r="Z1048" s="38">
        <v>91.88</v>
      </c>
      <c r="AA1048" s="38">
        <v>94.47</v>
      </c>
      <c r="AB1048" s="38">
        <v>98.12</v>
      </c>
      <c r="AC1048" s="38">
        <v>99.9</v>
      </c>
      <c r="AD1048" s="38">
        <v>93.05</v>
      </c>
      <c r="AE1048" s="38">
        <v>80.05</v>
      </c>
      <c r="AF1048" s="38">
        <v>76.81</v>
      </c>
      <c r="AG1048" s="38">
        <v>74.39</v>
      </c>
      <c r="AH1048" s="38">
        <v>73.2</v>
      </c>
      <c r="AI1048" s="38">
        <v>73.41</v>
      </c>
      <c r="AJ1048" s="38">
        <v>75.92</v>
      </c>
      <c r="AK1048" s="38">
        <v>80.28</v>
      </c>
      <c r="AL1048" s="38">
        <v>84.26</v>
      </c>
      <c r="AM1048" s="38">
        <v>88.29</v>
      </c>
      <c r="AN1048" s="38">
        <v>88.58</v>
      </c>
      <c r="AO1048" s="38">
        <v>89.57</v>
      </c>
      <c r="AP1048" s="38">
        <v>83.6</v>
      </c>
      <c r="AQ1048" s="38">
        <v>77.41</v>
      </c>
      <c r="AR1048" s="38">
        <v>72.069999999999993</v>
      </c>
      <c r="AS1048" s="38">
        <v>68.02</v>
      </c>
      <c r="AT1048" s="38">
        <v>59.75</v>
      </c>
      <c r="AU1048" s="38">
        <v>60.06</v>
      </c>
      <c r="AV1048" s="38">
        <v>63.33</v>
      </c>
      <c r="AW1048" s="38">
        <v>70.39</v>
      </c>
      <c r="AX1048" s="38">
        <v>73.930000000000007</v>
      </c>
      <c r="AY1048" s="38">
        <v>77.87</v>
      </c>
      <c r="BA1048" s="37">
        <v>79.040000000000006</v>
      </c>
      <c r="BB1048" s="38">
        <v>1.2769999999999999</v>
      </c>
    </row>
    <row r="1049" spans="1:54" x14ac:dyDescent="0.35">
      <c r="A1049" s="2">
        <f t="shared" si="16"/>
        <v>45289</v>
      </c>
      <c r="B1049" t="s">
        <v>1091</v>
      </c>
      <c r="C1049" s="32">
        <v>45289</v>
      </c>
      <c r="D1049" s="38">
        <v>80.709999999999994</v>
      </c>
      <c r="E1049" s="38">
        <v>80.81</v>
      </c>
      <c r="F1049" s="38">
        <v>81.010000000000005</v>
      </c>
      <c r="G1049" s="38">
        <v>80.75</v>
      </c>
      <c r="H1049" s="38">
        <v>80.650000000000006</v>
      </c>
      <c r="I1049" s="38">
        <v>80.91</v>
      </c>
      <c r="J1049" s="38">
        <v>80.849999999999994</v>
      </c>
      <c r="K1049" s="38">
        <v>81.84</v>
      </c>
      <c r="L1049" s="38">
        <v>85.35</v>
      </c>
      <c r="M1049" s="38">
        <v>95.16</v>
      </c>
      <c r="N1049" s="38">
        <v>104.01</v>
      </c>
      <c r="O1049" s="38">
        <v>106.41</v>
      </c>
      <c r="P1049" s="38">
        <v>103.63</v>
      </c>
      <c r="Q1049" s="38">
        <v>96.54</v>
      </c>
      <c r="R1049" s="38">
        <v>89.8</v>
      </c>
      <c r="S1049" s="38">
        <v>85.22</v>
      </c>
      <c r="T1049" s="38">
        <v>80.760000000000005</v>
      </c>
      <c r="U1049" s="38">
        <v>81.53</v>
      </c>
      <c r="V1049" s="38">
        <v>83.66</v>
      </c>
      <c r="W1049" s="38">
        <v>86.08</v>
      </c>
      <c r="X1049" s="38">
        <v>88.69</v>
      </c>
      <c r="Y1049" s="38">
        <v>90.91</v>
      </c>
      <c r="Z1049" s="38">
        <v>93.47</v>
      </c>
      <c r="AA1049" s="38">
        <v>96.95</v>
      </c>
      <c r="AB1049" s="38">
        <v>98.69</v>
      </c>
      <c r="AC1049" s="38">
        <v>91.75</v>
      </c>
      <c r="AD1049" s="38">
        <v>79.06</v>
      </c>
      <c r="AE1049" s="38">
        <v>75.819999999999993</v>
      </c>
      <c r="AF1049" s="38">
        <v>73.400000000000006</v>
      </c>
      <c r="AG1049" s="38">
        <v>72.19</v>
      </c>
      <c r="AH1049" s="38">
        <v>72.41</v>
      </c>
      <c r="AI1049" s="38">
        <v>74.92</v>
      </c>
      <c r="AJ1049" s="38">
        <v>78.98</v>
      </c>
      <c r="AK1049" s="38">
        <v>83</v>
      </c>
      <c r="AL1049" s="38">
        <v>87.07</v>
      </c>
      <c r="AM1049" s="38">
        <v>87.15</v>
      </c>
      <c r="AN1049" s="38">
        <v>88.18</v>
      </c>
      <c r="AO1049" s="38">
        <v>82.25</v>
      </c>
      <c r="AP1049" s="38">
        <v>76.44</v>
      </c>
      <c r="AQ1049" s="38">
        <v>71.13</v>
      </c>
      <c r="AR1049" s="38">
        <v>67.13</v>
      </c>
      <c r="AS1049" s="38">
        <v>58.9</v>
      </c>
      <c r="AT1049" s="38">
        <v>59.27</v>
      </c>
      <c r="AU1049" s="38">
        <v>62.59</v>
      </c>
      <c r="AV1049" s="38">
        <v>69.400000000000006</v>
      </c>
      <c r="AW1049" s="38">
        <v>73.010000000000005</v>
      </c>
      <c r="AX1049" s="38">
        <v>77.010000000000005</v>
      </c>
      <c r="AY1049" s="38">
        <v>81.239999999999995</v>
      </c>
      <c r="BA1049" s="37">
        <v>77.69</v>
      </c>
      <c r="BB1049" s="38">
        <v>1.2746999999999999</v>
      </c>
    </row>
    <row r="1050" spans="1:54" x14ac:dyDescent="0.35">
      <c r="A1050" s="2">
        <f t="shared" si="16"/>
        <v>45292</v>
      </c>
      <c r="B1050" t="s">
        <v>1092</v>
      </c>
      <c r="C1050" s="32">
        <v>45292</v>
      </c>
      <c r="D1050" s="38" t="e">
        <v>#N/A</v>
      </c>
      <c r="E1050" s="38" t="e">
        <v>#N/A</v>
      </c>
      <c r="F1050" s="38" t="e">
        <v>#N/A</v>
      </c>
      <c r="G1050" s="38" t="e">
        <v>#N/A</v>
      </c>
      <c r="H1050" s="38" t="e">
        <v>#N/A</v>
      </c>
      <c r="I1050" s="38" t="e">
        <v>#N/A</v>
      </c>
      <c r="J1050" s="38" t="e">
        <v>#N/A</v>
      </c>
      <c r="K1050" s="38" t="e">
        <v>#N/A</v>
      </c>
      <c r="L1050" s="38" t="e">
        <v>#N/A</v>
      </c>
      <c r="M1050" s="38" t="e">
        <v>#N/A</v>
      </c>
      <c r="N1050" s="38" t="e">
        <v>#N/A</v>
      </c>
      <c r="O1050" s="38" t="e">
        <v>#N/A</v>
      </c>
      <c r="P1050" s="38" t="e">
        <v>#N/A</v>
      </c>
      <c r="Q1050" s="38" t="e">
        <v>#N/A</v>
      </c>
      <c r="R1050" s="38" t="e">
        <v>#N/A</v>
      </c>
      <c r="S1050" s="38" t="e">
        <v>#N/A</v>
      </c>
      <c r="T1050" s="38" t="e">
        <v>#N/A</v>
      </c>
      <c r="U1050" s="38" t="e">
        <v>#N/A</v>
      </c>
      <c r="V1050" s="38" t="e">
        <v>#N/A</v>
      </c>
      <c r="W1050" s="38" t="e">
        <v>#N/A</v>
      </c>
      <c r="X1050" s="38" t="e">
        <v>#N/A</v>
      </c>
      <c r="Y1050" s="38" t="e">
        <v>#N/A</v>
      </c>
      <c r="Z1050" s="38" t="e">
        <v>#N/A</v>
      </c>
      <c r="AA1050" s="38" t="e">
        <v>#N/A</v>
      </c>
      <c r="AB1050" s="38" t="e">
        <v>#N/A</v>
      </c>
      <c r="AC1050" s="38" t="e">
        <v>#N/A</v>
      </c>
      <c r="AD1050" s="38" t="e">
        <v>#N/A</v>
      </c>
      <c r="AE1050" s="38" t="e">
        <v>#N/A</v>
      </c>
      <c r="AF1050" s="38" t="e">
        <v>#N/A</v>
      </c>
      <c r="AG1050" s="38" t="e">
        <v>#N/A</v>
      </c>
      <c r="AH1050" s="38" t="e">
        <v>#N/A</v>
      </c>
      <c r="AI1050" s="38" t="e">
        <v>#N/A</v>
      </c>
      <c r="AJ1050" s="38" t="e">
        <v>#N/A</v>
      </c>
      <c r="AK1050" s="38" t="e">
        <v>#N/A</v>
      </c>
      <c r="AL1050" s="38" t="e">
        <v>#N/A</v>
      </c>
      <c r="AM1050" s="38" t="e">
        <v>#N/A</v>
      </c>
      <c r="AN1050" s="38" t="e">
        <v>#N/A</v>
      </c>
      <c r="AO1050" s="38" t="e">
        <v>#N/A</v>
      </c>
      <c r="AP1050" s="38" t="e">
        <v>#N/A</v>
      </c>
      <c r="AQ1050" s="38" t="e">
        <v>#N/A</v>
      </c>
      <c r="AR1050" s="38" t="e">
        <v>#N/A</v>
      </c>
      <c r="AS1050" s="38" t="e">
        <v>#N/A</v>
      </c>
      <c r="AT1050" s="38" t="e">
        <v>#N/A</v>
      </c>
      <c r="AU1050" s="38" t="e">
        <v>#N/A</v>
      </c>
      <c r="AV1050" s="38" t="e">
        <v>#N/A</v>
      </c>
      <c r="AW1050" s="38" t="e">
        <v>#N/A</v>
      </c>
      <c r="AX1050" s="38" t="e">
        <v>#N/A</v>
      </c>
      <c r="AY1050" s="38" t="e">
        <v>#N/A</v>
      </c>
      <c r="BA1050" s="37" t="e">
        <v>#N/A</v>
      </c>
      <c r="BB1050" s="38" t="e">
        <v>#N/A</v>
      </c>
    </row>
    <row r="1051" spans="1:54" x14ac:dyDescent="0.35">
      <c r="A1051" s="2">
        <f t="shared" si="16"/>
        <v>45293</v>
      </c>
      <c r="B1051" t="s">
        <v>1093</v>
      </c>
      <c r="C1051" s="32">
        <v>45293</v>
      </c>
      <c r="D1051" s="38">
        <v>76.27</v>
      </c>
      <c r="E1051" s="38">
        <v>76.19</v>
      </c>
      <c r="F1051" s="38">
        <v>76.2</v>
      </c>
      <c r="G1051" s="38">
        <v>76.180000000000007</v>
      </c>
      <c r="H1051" s="38">
        <v>76.260000000000005</v>
      </c>
      <c r="I1051" s="38">
        <v>76.02</v>
      </c>
      <c r="J1051" s="38">
        <v>76.27</v>
      </c>
      <c r="K1051" s="38">
        <v>77.37</v>
      </c>
      <c r="L1051" s="38">
        <v>80.650000000000006</v>
      </c>
      <c r="M1051" s="38">
        <v>90.49</v>
      </c>
      <c r="N1051" s="38">
        <v>99.33</v>
      </c>
      <c r="O1051" s="38">
        <v>101.94</v>
      </c>
      <c r="P1051" s="38">
        <v>99.16</v>
      </c>
      <c r="Q1051" s="38">
        <v>92.08</v>
      </c>
      <c r="R1051" s="38">
        <v>85.74</v>
      </c>
      <c r="S1051" s="38">
        <v>81.62</v>
      </c>
      <c r="T1051" s="38">
        <v>77.98</v>
      </c>
      <c r="U1051" s="38">
        <v>77.84</v>
      </c>
      <c r="V1051" s="38">
        <v>79.97</v>
      </c>
      <c r="W1051" s="38">
        <v>82.39</v>
      </c>
      <c r="X1051" s="38">
        <v>85</v>
      </c>
      <c r="Y1051" s="38">
        <v>87.22</v>
      </c>
      <c r="Z1051" s="38">
        <v>89.78</v>
      </c>
      <c r="AA1051" s="38">
        <v>93.26</v>
      </c>
      <c r="AB1051" s="38">
        <v>95</v>
      </c>
      <c r="AC1051" s="38">
        <v>88.16</v>
      </c>
      <c r="AD1051" s="38">
        <v>76.58</v>
      </c>
      <c r="AE1051" s="38">
        <v>73.34</v>
      </c>
      <c r="AF1051" s="38">
        <v>70.92</v>
      </c>
      <c r="AG1051" s="38">
        <v>69.709999999999994</v>
      </c>
      <c r="AH1051" s="38">
        <v>69.930000000000007</v>
      </c>
      <c r="AI1051" s="38">
        <v>72.44</v>
      </c>
      <c r="AJ1051" s="38">
        <v>76.5</v>
      </c>
      <c r="AK1051" s="38">
        <v>80.52</v>
      </c>
      <c r="AL1051" s="38">
        <v>84.59</v>
      </c>
      <c r="AM1051" s="38">
        <v>84.67</v>
      </c>
      <c r="AN1051" s="38">
        <v>85.7</v>
      </c>
      <c r="AO1051" s="38">
        <v>79.77</v>
      </c>
      <c r="AP1051" s="38">
        <v>73.959999999999994</v>
      </c>
      <c r="AQ1051" s="38">
        <v>68.650000000000006</v>
      </c>
      <c r="AR1051" s="38">
        <v>64.650000000000006</v>
      </c>
      <c r="AS1051" s="38">
        <v>56.42</v>
      </c>
      <c r="AT1051" s="38">
        <v>56.79</v>
      </c>
      <c r="AU1051" s="38">
        <v>60.11</v>
      </c>
      <c r="AV1051" s="38">
        <v>66.92</v>
      </c>
      <c r="AW1051" s="38">
        <v>70.53</v>
      </c>
      <c r="AX1051" s="38">
        <v>74.55</v>
      </c>
      <c r="AY1051" s="38">
        <v>79.11</v>
      </c>
      <c r="BA1051" s="37">
        <v>76.239999999999995</v>
      </c>
      <c r="BB1051" s="38">
        <v>1.2625</v>
      </c>
    </row>
    <row r="1052" spans="1:54" x14ac:dyDescent="0.35">
      <c r="A1052" s="2">
        <f t="shared" si="16"/>
        <v>45294</v>
      </c>
      <c r="B1052" t="s">
        <v>1094</v>
      </c>
      <c r="C1052" s="32">
        <v>45294</v>
      </c>
      <c r="D1052" s="38">
        <v>81.489999999999995</v>
      </c>
      <c r="E1052" s="38">
        <v>80.97</v>
      </c>
      <c r="F1052" s="38">
        <v>80.650000000000006</v>
      </c>
      <c r="G1052" s="38">
        <v>80.569999999999993</v>
      </c>
      <c r="H1052" s="38">
        <v>80.63</v>
      </c>
      <c r="I1052" s="38">
        <v>79.959999999999994</v>
      </c>
      <c r="J1052" s="38">
        <v>80.11</v>
      </c>
      <c r="K1052" s="38">
        <v>81.11</v>
      </c>
      <c r="L1052" s="38">
        <v>83.58</v>
      </c>
      <c r="M1052" s="38">
        <v>93.26</v>
      </c>
      <c r="N1052" s="38">
        <v>102</v>
      </c>
      <c r="O1052" s="38">
        <v>104.61</v>
      </c>
      <c r="P1052" s="38">
        <v>101.7</v>
      </c>
      <c r="Q1052" s="38">
        <v>94.26</v>
      </c>
      <c r="R1052" s="38">
        <v>87.62</v>
      </c>
      <c r="S1052" s="38">
        <v>83.03</v>
      </c>
      <c r="T1052" s="38">
        <v>79.430000000000007</v>
      </c>
      <c r="U1052" s="38">
        <v>79.239999999999995</v>
      </c>
      <c r="V1052" s="38">
        <v>81.400000000000006</v>
      </c>
      <c r="W1052" s="38">
        <v>83.85</v>
      </c>
      <c r="X1052" s="38">
        <v>86.49</v>
      </c>
      <c r="Y1052" s="38">
        <v>88.88</v>
      </c>
      <c r="Z1052" s="38">
        <v>91.46</v>
      </c>
      <c r="AA1052" s="38">
        <v>94.98</v>
      </c>
      <c r="AB1052" s="38">
        <v>96.75</v>
      </c>
      <c r="AC1052" s="38">
        <v>89.96</v>
      </c>
      <c r="AD1052" s="38">
        <v>78.44</v>
      </c>
      <c r="AE1052" s="38">
        <v>75.2</v>
      </c>
      <c r="AF1052" s="38">
        <v>72.78</v>
      </c>
      <c r="AG1052" s="38">
        <v>71.569999999999993</v>
      </c>
      <c r="AH1052" s="38">
        <v>71.790000000000006</v>
      </c>
      <c r="AI1052" s="38">
        <v>74.3</v>
      </c>
      <c r="AJ1052" s="38">
        <v>78.36</v>
      </c>
      <c r="AK1052" s="38">
        <v>82.38</v>
      </c>
      <c r="AL1052" s="38">
        <v>86.45</v>
      </c>
      <c r="AM1052" s="38">
        <v>86.53</v>
      </c>
      <c r="AN1052" s="38">
        <v>87.56</v>
      </c>
      <c r="AO1052" s="38">
        <v>81.63</v>
      </c>
      <c r="AP1052" s="38">
        <v>75.819999999999993</v>
      </c>
      <c r="AQ1052" s="38">
        <v>70.510000000000005</v>
      </c>
      <c r="AR1052" s="38">
        <v>66.510000000000005</v>
      </c>
      <c r="AS1052" s="38">
        <v>58.28</v>
      </c>
      <c r="AT1052" s="38">
        <v>58.65</v>
      </c>
      <c r="AU1052" s="38">
        <v>61.97</v>
      </c>
      <c r="AV1052" s="38">
        <v>68.78</v>
      </c>
      <c r="AW1052" s="38">
        <v>72.39</v>
      </c>
      <c r="AX1052" s="38">
        <v>76.41</v>
      </c>
      <c r="AY1052" s="38">
        <v>80.97</v>
      </c>
      <c r="BA1052" s="37">
        <v>77.180000000000007</v>
      </c>
      <c r="BB1052" s="38">
        <v>1.2627999999999999</v>
      </c>
    </row>
    <row r="1053" spans="1:54" x14ac:dyDescent="0.35">
      <c r="A1053" s="2">
        <f t="shared" si="16"/>
        <v>45295</v>
      </c>
      <c r="B1053" t="s">
        <v>1321</v>
      </c>
      <c r="C1053" s="32">
        <v>45295</v>
      </c>
      <c r="D1053" s="38">
        <v>83.86</v>
      </c>
      <c r="E1053" s="38">
        <v>83.35</v>
      </c>
      <c r="F1053" s="38">
        <v>82.75</v>
      </c>
      <c r="G1053" s="38">
        <v>82.26</v>
      </c>
      <c r="H1053" s="38">
        <v>82.06</v>
      </c>
      <c r="I1053" s="38">
        <v>81.72</v>
      </c>
      <c r="J1053" s="38">
        <v>82.2</v>
      </c>
      <c r="K1053" s="38">
        <v>83.75</v>
      </c>
      <c r="L1053" s="38">
        <v>85.75</v>
      </c>
      <c r="M1053" s="38">
        <v>94.95</v>
      </c>
      <c r="N1053" s="38">
        <v>104</v>
      </c>
      <c r="O1053" s="38">
        <v>106.66</v>
      </c>
      <c r="P1053" s="38">
        <v>103.75</v>
      </c>
      <c r="Q1053" s="38">
        <v>96.31</v>
      </c>
      <c r="R1053" s="38">
        <v>89.84</v>
      </c>
      <c r="S1053" s="38">
        <v>85.29</v>
      </c>
      <c r="T1053" s="38">
        <v>81.72</v>
      </c>
      <c r="U1053" s="38">
        <v>81.55</v>
      </c>
      <c r="V1053" s="38">
        <v>83.73</v>
      </c>
      <c r="W1053" s="38">
        <v>86.2</v>
      </c>
      <c r="X1053" s="38">
        <v>88.8</v>
      </c>
      <c r="Y1053" s="38">
        <v>91.12</v>
      </c>
      <c r="Z1053" s="38">
        <v>93.66</v>
      </c>
      <c r="AA1053" s="38">
        <v>97.11</v>
      </c>
      <c r="AB1053" s="38">
        <v>98.81</v>
      </c>
      <c r="AC1053" s="38">
        <v>91.89</v>
      </c>
      <c r="AD1053" s="38">
        <v>80.27</v>
      </c>
      <c r="AE1053" s="38">
        <v>76.94</v>
      </c>
      <c r="AF1053" s="38">
        <v>74.45</v>
      </c>
      <c r="AG1053" s="38">
        <v>73.239999999999995</v>
      </c>
      <c r="AH1053" s="38">
        <v>73.459999999999994</v>
      </c>
      <c r="AI1053" s="38">
        <v>75.97</v>
      </c>
      <c r="AJ1053" s="38">
        <v>80.03</v>
      </c>
      <c r="AK1053" s="38">
        <v>84.05</v>
      </c>
      <c r="AL1053" s="38">
        <v>88.12</v>
      </c>
      <c r="AM1053" s="38">
        <v>88.2</v>
      </c>
      <c r="AN1053" s="38">
        <v>89.23</v>
      </c>
      <c r="AO1053" s="38">
        <v>83.3</v>
      </c>
      <c r="AP1053" s="38">
        <v>77.489999999999995</v>
      </c>
      <c r="AQ1053" s="38">
        <v>72.180000000000007</v>
      </c>
      <c r="AR1053" s="38">
        <v>68.180000000000007</v>
      </c>
      <c r="AS1053" s="38">
        <v>59.95</v>
      </c>
      <c r="AT1053" s="38">
        <v>60.32</v>
      </c>
      <c r="AU1053" s="38">
        <v>63.64</v>
      </c>
      <c r="AV1053" s="38">
        <v>70.45</v>
      </c>
      <c r="AW1053" s="38">
        <v>74.06</v>
      </c>
      <c r="AX1053" s="38">
        <v>78.08</v>
      </c>
      <c r="AY1053" s="38">
        <v>82.64</v>
      </c>
      <c r="BA1053" s="37">
        <v>75.790000000000006</v>
      </c>
      <c r="BB1053" s="38">
        <v>1.2699</v>
      </c>
    </row>
    <row r="1054" spans="1:54" x14ac:dyDescent="0.35">
      <c r="A1054" s="2">
        <f t="shared" si="16"/>
        <v>45296</v>
      </c>
      <c r="B1054" t="s">
        <v>1625</v>
      </c>
      <c r="C1054" s="32">
        <v>45296</v>
      </c>
      <c r="D1054" s="38">
        <v>87.02</v>
      </c>
      <c r="E1054" s="38">
        <v>86.39</v>
      </c>
      <c r="F1054" s="38">
        <v>85.67</v>
      </c>
      <c r="G1054" s="38">
        <v>85.17</v>
      </c>
      <c r="H1054" s="38">
        <v>84.65</v>
      </c>
      <c r="I1054" s="38">
        <v>84.88</v>
      </c>
      <c r="J1054" s="38">
        <v>85.28</v>
      </c>
      <c r="K1054" s="38">
        <v>86.43</v>
      </c>
      <c r="L1054" s="38">
        <v>87.7</v>
      </c>
      <c r="M1054" s="38">
        <v>96.46</v>
      </c>
      <c r="N1054" s="38">
        <v>105.42</v>
      </c>
      <c r="O1054" s="38">
        <v>108.08</v>
      </c>
      <c r="P1054" s="38">
        <v>105.17</v>
      </c>
      <c r="Q1054" s="38">
        <v>98.17</v>
      </c>
      <c r="R1054" s="38">
        <v>91.7</v>
      </c>
      <c r="S1054" s="38">
        <v>87.15</v>
      </c>
      <c r="T1054" s="38">
        <v>83.58</v>
      </c>
      <c r="U1054" s="38">
        <v>82.96</v>
      </c>
      <c r="V1054" s="38">
        <v>85.14</v>
      </c>
      <c r="W1054" s="38">
        <v>87.61</v>
      </c>
      <c r="X1054" s="38">
        <v>90.21</v>
      </c>
      <c r="Y1054" s="38">
        <v>92.53</v>
      </c>
      <c r="Z1054" s="38">
        <v>95.07</v>
      </c>
      <c r="AA1054" s="38">
        <v>98.52</v>
      </c>
      <c r="AB1054" s="38">
        <v>100.22</v>
      </c>
      <c r="AC1054" s="38">
        <v>93.3</v>
      </c>
      <c r="AD1054" s="38">
        <v>81.680000000000007</v>
      </c>
      <c r="AE1054" s="38">
        <v>78.349999999999994</v>
      </c>
      <c r="AF1054" s="38">
        <v>75.86</v>
      </c>
      <c r="AG1054" s="38">
        <v>74.650000000000006</v>
      </c>
      <c r="AH1054" s="38">
        <v>74.87</v>
      </c>
      <c r="AI1054" s="38">
        <v>77.38</v>
      </c>
      <c r="AJ1054" s="38">
        <v>81.44</v>
      </c>
      <c r="AK1054" s="38">
        <v>85.46</v>
      </c>
      <c r="AL1054" s="38">
        <v>89.53</v>
      </c>
      <c r="AM1054" s="38">
        <v>89.61</v>
      </c>
      <c r="AN1054" s="38">
        <v>90.64</v>
      </c>
      <c r="AO1054" s="38">
        <v>84.71</v>
      </c>
      <c r="AP1054" s="38">
        <v>78.900000000000006</v>
      </c>
      <c r="AQ1054" s="38">
        <v>73.59</v>
      </c>
      <c r="AR1054" s="38">
        <v>69.59</v>
      </c>
      <c r="AS1054" s="38">
        <v>61.36</v>
      </c>
      <c r="AT1054" s="38">
        <v>61.73</v>
      </c>
      <c r="AU1054" s="38">
        <v>65.05</v>
      </c>
      <c r="AV1054" s="38">
        <v>71.86</v>
      </c>
      <c r="AW1054" s="38">
        <v>75.47</v>
      </c>
      <c r="AX1054" s="38">
        <v>79.489999999999995</v>
      </c>
      <c r="AY1054" s="38">
        <v>84.05</v>
      </c>
      <c r="BA1054" s="37">
        <v>78.31</v>
      </c>
      <c r="BB1054" s="38">
        <v>1.2751999999999999</v>
      </c>
    </row>
    <row r="1055" spans="1:54" x14ac:dyDescent="0.35">
      <c r="A1055" s="2">
        <f t="shared" si="16"/>
        <v>45299</v>
      </c>
      <c r="B1055" t="s">
        <v>1626</v>
      </c>
      <c r="C1055" s="32">
        <v>45299</v>
      </c>
      <c r="D1055" s="38">
        <v>78.760000000000005</v>
      </c>
      <c r="E1055" s="38">
        <v>78.430000000000007</v>
      </c>
      <c r="F1055" s="38">
        <v>78.09</v>
      </c>
      <c r="G1055" s="38">
        <v>78.37</v>
      </c>
      <c r="H1055" s="38">
        <v>77.989999999999995</v>
      </c>
      <c r="I1055" s="38">
        <v>77.66</v>
      </c>
      <c r="J1055" s="38">
        <v>78.209999999999994</v>
      </c>
      <c r="K1055" s="38">
        <v>79.709999999999994</v>
      </c>
      <c r="L1055" s="38">
        <v>81.510000000000005</v>
      </c>
      <c r="M1055" s="38">
        <v>89.8</v>
      </c>
      <c r="N1055" s="38">
        <v>99.41</v>
      </c>
      <c r="O1055" s="38">
        <v>102.14</v>
      </c>
      <c r="P1055" s="38">
        <v>99.64</v>
      </c>
      <c r="Q1055" s="38">
        <v>93.2</v>
      </c>
      <c r="R1055" s="38">
        <v>87.09</v>
      </c>
      <c r="S1055" s="38">
        <v>82.6</v>
      </c>
      <c r="T1055" s="38">
        <v>79.11</v>
      </c>
      <c r="U1055" s="38">
        <v>78.31</v>
      </c>
      <c r="V1055" s="38">
        <v>80.5</v>
      </c>
      <c r="W1055" s="38">
        <v>82.96</v>
      </c>
      <c r="X1055" s="38">
        <v>85.82</v>
      </c>
      <c r="Y1055" s="38">
        <v>88.25</v>
      </c>
      <c r="Z1055" s="38">
        <v>90.79</v>
      </c>
      <c r="AA1055" s="38">
        <v>94.04</v>
      </c>
      <c r="AB1055" s="38">
        <v>95.75</v>
      </c>
      <c r="AC1055" s="38">
        <v>88.81</v>
      </c>
      <c r="AD1055" s="38">
        <v>78.010000000000005</v>
      </c>
      <c r="AE1055" s="38">
        <v>74.709999999999994</v>
      </c>
      <c r="AF1055" s="38">
        <v>72.22</v>
      </c>
      <c r="AG1055" s="38">
        <v>71.55</v>
      </c>
      <c r="AH1055" s="38">
        <v>71.77</v>
      </c>
      <c r="AI1055" s="38">
        <v>74.3</v>
      </c>
      <c r="AJ1055" s="38">
        <v>78.8</v>
      </c>
      <c r="AK1055" s="38">
        <v>82.83</v>
      </c>
      <c r="AL1055" s="38">
        <v>86.88</v>
      </c>
      <c r="AM1055" s="38">
        <v>86.38</v>
      </c>
      <c r="AN1055" s="38">
        <v>87.4</v>
      </c>
      <c r="AO1055" s="38">
        <v>81.47</v>
      </c>
      <c r="AP1055" s="38">
        <v>76.22</v>
      </c>
      <c r="AQ1055" s="38">
        <v>70.91</v>
      </c>
      <c r="AR1055" s="38">
        <v>66.900000000000006</v>
      </c>
      <c r="AS1055" s="38">
        <v>58.67</v>
      </c>
      <c r="AT1055" s="38">
        <v>59.04</v>
      </c>
      <c r="AU1055" s="38">
        <v>62.36</v>
      </c>
      <c r="AV1055" s="38">
        <v>69.19</v>
      </c>
      <c r="AW1055" s="38">
        <v>72.8</v>
      </c>
      <c r="AX1055" s="38">
        <v>76.83</v>
      </c>
      <c r="AY1055" s="38">
        <v>81.8</v>
      </c>
      <c r="BA1055" s="37">
        <v>75.47</v>
      </c>
      <c r="BB1055" s="38">
        <v>1.2749999999999999</v>
      </c>
    </row>
    <row r="1056" spans="1:54" x14ac:dyDescent="0.35">
      <c r="A1056" s="2">
        <f t="shared" si="16"/>
        <v>45300</v>
      </c>
      <c r="B1056" t="s">
        <v>1628</v>
      </c>
      <c r="C1056" s="32">
        <v>45300</v>
      </c>
      <c r="D1056" s="38">
        <v>76.45</v>
      </c>
      <c r="E1056" s="38">
        <v>75.89</v>
      </c>
      <c r="F1056" s="38">
        <v>75.42</v>
      </c>
      <c r="G1056" s="38">
        <v>75.67</v>
      </c>
      <c r="H1056" s="38">
        <v>75.569999999999993</v>
      </c>
      <c r="I1056" s="38">
        <v>75.489999999999995</v>
      </c>
      <c r="J1056" s="38">
        <v>76.38</v>
      </c>
      <c r="K1056" s="38">
        <v>77.430000000000007</v>
      </c>
      <c r="L1056" s="38">
        <v>79.23</v>
      </c>
      <c r="M1056" s="38">
        <v>87.89</v>
      </c>
      <c r="N1056" s="38">
        <v>97.46</v>
      </c>
      <c r="O1056" s="38">
        <v>100.09</v>
      </c>
      <c r="P1056" s="38">
        <v>97.8</v>
      </c>
      <c r="Q1056" s="38">
        <v>91.43</v>
      </c>
      <c r="R1056" s="38">
        <v>84.93</v>
      </c>
      <c r="S1056" s="38">
        <v>81.78</v>
      </c>
      <c r="T1056" s="38">
        <v>78.290000000000006</v>
      </c>
      <c r="U1056" s="38">
        <v>77.489999999999995</v>
      </c>
      <c r="V1056" s="38">
        <v>79.680000000000007</v>
      </c>
      <c r="W1056" s="38">
        <v>82.14</v>
      </c>
      <c r="X1056" s="38">
        <v>84.72</v>
      </c>
      <c r="Y1056" s="38">
        <v>87.19</v>
      </c>
      <c r="Z1056" s="38">
        <v>89.73</v>
      </c>
      <c r="AA1056" s="38">
        <v>92.99</v>
      </c>
      <c r="AB1056" s="38">
        <v>94.7</v>
      </c>
      <c r="AC1056" s="38">
        <v>87.76</v>
      </c>
      <c r="AD1056" s="38">
        <v>76.819999999999993</v>
      </c>
      <c r="AE1056" s="38">
        <v>74.31</v>
      </c>
      <c r="AF1056" s="38">
        <v>71.819999999999993</v>
      </c>
      <c r="AG1056" s="38">
        <v>71.150000000000006</v>
      </c>
      <c r="AH1056" s="38">
        <v>71.37</v>
      </c>
      <c r="AI1056" s="38">
        <v>73.900000000000006</v>
      </c>
      <c r="AJ1056" s="38">
        <v>78.489999999999995</v>
      </c>
      <c r="AK1056" s="38">
        <v>82.52</v>
      </c>
      <c r="AL1056" s="38">
        <v>86.57</v>
      </c>
      <c r="AM1056" s="38">
        <v>86.05</v>
      </c>
      <c r="AN1056" s="38">
        <v>87.07</v>
      </c>
      <c r="AO1056" s="38">
        <v>81.14</v>
      </c>
      <c r="AP1056" s="38">
        <v>76.02</v>
      </c>
      <c r="AQ1056" s="38">
        <v>70.709999999999994</v>
      </c>
      <c r="AR1056" s="38">
        <v>66.7</v>
      </c>
      <c r="AS1056" s="38">
        <v>58.47</v>
      </c>
      <c r="AT1056" s="38">
        <v>58.84</v>
      </c>
      <c r="AU1056" s="38">
        <v>62.16</v>
      </c>
      <c r="AV1056" s="38">
        <v>68.989999999999995</v>
      </c>
      <c r="AW1056" s="38">
        <v>72.599999999999994</v>
      </c>
      <c r="AX1056" s="38">
        <v>76.63</v>
      </c>
      <c r="AY1056" s="38">
        <v>81.599999999999994</v>
      </c>
      <c r="BA1056" s="37">
        <v>77.97</v>
      </c>
      <c r="BB1056" s="38">
        <v>1.2704</v>
      </c>
    </row>
    <row r="1057" spans="1:54" x14ac:dyDescent="0.35">
      <c r="A1057" s="2">
        <f t="shared" si="16"/>
        <v>45301</v>
      </c>
      <c r="B1057" t="s">
        <v>1644</v>
      </c>
      <c r="C1057" s="32">
        <v>45301</v>
      </c>
      <c r="D1057" s="38">
        <v>77.13</v>
      </c>
      <c r="E1057" s="38">
        <v>76.55</v>
      </c>
      <c r="F1057" s="38">
        <v>76.05</v>
      </c>
      <c r="G1057" s="38">
        <v>76.23</v>
      </c>
      <c r="H1057" s="38">
        <v>76.260000000000005</v>
      </c>
      <c r="I1057" s="38">
        <v>76.16</v>
      </c>
      <c r="J1057" s="38">
        <v>77</v>
      </c>
      <c r="K1057" s="38">
        <v>78.11</v>
      </c>
      <c r="L1057" s="38">
        <v>79.849999999999994</v>
      </c>
      <c r="M1057" s="38">
        <v>88.5</v>
      </c>
      <c r="N1057" s="38">
        <v>97.95</v>
      </c>
      <c r="O1057" s="38">
        <v>100.53</v>
      </c>
      <c r="P1057" s="38">
        <v>98.18</v>
      </c>
      <c r="Q1057" s="38">
        <v>92.42</v>
      </c>
      <c r="R1057" s="38">
        <v>85.83</v>
      </c>
      <c r="S1057" s="38">
        <v>82.64</v>
      </c>
      <c r="T1057" s="38">
        <v>79.150000000000006</v>
      </c>
      <c r="U1057" s="38">
        <v>78.41</v>
      </c>
      <c r="V1057" s="38">
        <v>80.47</v>
      </c>
      <c r="W1057" s="38">
        <v>82.66</v>
      </c>
      <c r="X1057" s="38">
        <v>85.59</v>
      </c>
      <c r="Y1057" s="38">
        <v>88.03</v>
      </c>
      <c r="Z1057" s="38">
        <v>90.54</v>
      </c>
      <c r="AA1057" s="38">
        <v>93.87</v>
      </c>
      <c r="AB1057" s="38">
        <v>95.57</v>
      </c>
      <c r="AC1057" s="38">
        <v>88.63</v>
      </c>
      <c r="AD1057" s="38">
        <v>77.63</v>
      </c>
      <c r="AE1057" s="38">
        <v>75.040000000000006</v>
      </c>
      <c r="AF1057" s="38">
        <v>72.55</v>
      </c>
      <c r="AG1057" s="38">
        <v>71.86</v>
      </c>
      <c r="AH1057" s="38">
        <v>72.06</v>
      </c>
      <c r="AI1057" s="38">
        <v>74.59</v>
      </c>
      <c r="AJ1057" s="38">
        <v>79.5</v>
      </c>
      <c r="AK1057" s="38">
        <v>83.53</v>
      </c>
      <c r="AL1057" s="38">
        <v>87.58</v>
      </c>
      <c r="AM1057" s="38">
        <v>87.27</v>
      </c>
      <c r="AN1057" s="38">
        <v>88.29</v>
      </c>
      <c r="AO1057" s="38">
        <v>82.34</v>
      </c>
      <c r="AP1057" s="38">
        <v>77.08</v>
      </c>
      <c r="AQ1057" s="38">
        <v>71.77</v>
      </c>
      <c r="AR1057" s="38">
        <v>67.75</v>
      </c>
      <c r="AS1057" s="38">
        <v>59.52</v>
      </c>
      <c r="AT1057" s="38">
        <v>59.89</v>
      </c>
      <c r="AU1057" s="38">
        <v>63.21</v>
      </c>
      <c r="AV1057" s="38">
        <v>70.12</v>
      </c>
      <c r="AW1057" s="38">
        <v>73.73</v>
      </c>
      <c r="AX1057" s="38">
        <v>77.760000000000005</v>
      </c>
      <c r="AY1057" s="38">
        <v>82.94</v>
      </c>
      <c r="BA1057" s="37">
        <v>78.459999999999994</v>
      </c>
      <c r="BB1057" s="38">
        <v>1.2736000000000001</v>
      </c>
    </row>
    <row r="1058" spans="1:54" x14ac:dyDescent="0.35">
      <c r="A1058" s="2">
        <f t="shared" si="16"/>
        <v>45302</v>
      </c>
      <c r="B1058" t="s">
        <v>1645</v>
      </c>
      <c r="C1058" s="32">
        <v>45302</v>
      </c>
      <c r="D1058" s="38">
        <v>76.73</v>
      </c>
      <c r="E1058" s="38">
        <v>76.02</v>
      </c>
      <c r="F1058" s="38">
        <v>75.64</v>
      </c>
      <c r="G1058" s="38">
        <v>75.83</v>
      </c>
      <c r="H1058" s="38">
        <v>76.14</v>
      </c>
      <c r="I1058" s="38">
        <v>76.09</v>
      </c>
      <c r="J1058" s="38">
        <v>76.680000000000007</v>
      </c>
      <c r="K1058" s="38">
        <v>77.45</v>
      </c>
      <c r="L1058" s="38">
        <v>79.25</v>
      </c>
      <c r="M1058" s="38">
        <v>88.43</v>
      </c>
      <c r="N1058" s="38">
        <v>97.43</v>
      </c>
      <c r="O1058" s="38">
        <v>100.01</v>
      </c>
      <c r="P1058" s="38">
        <v>97.93</v>
      </c>
      <c r="Q1058" s="38">
        <v>92.68</v>
      </c>
      <c r="R1058" s="38">
        <v>85.98</v>
      </c>
      <c r="S1058" s="38">
        <v>82.27</v>
      </c>
      <c r="T1058" s="38">
        <v>78.790000000000006</v>
      </c>
      <c r="U1058" s="38">
        <v>78.05</v>
      </c>
      <c r="V1058" s="38">
        <v>80.12</v>
      </c>
      <c r="W1058" s="38">
        <v>82.31</v>
      </c>
      <c r="X1058" s="38">
        <v>85.23</v>
      </c>
      <c r="Y1058" s="38">
        <v>87.67</v>
      </c>
      <c r="Z1058" s="38">
        <v>90.18</v>
      </c>
      <c r="AA1058" s="38">
        <v>93.51</v>
      </c>
      <c r="AB1058" s="38">
        <v>95.21</v>
      </c>
      <c r="AC1058" s="38">
        <v>88.27</v>
      </c>
      <c r="AD1058" s="38">
        <v>77.31</v>
      </c>
      <c r="AE1058" s="38">
        <v>74.72</v>
      </c>
      <c r="AF1058" s="38">
        <v>72.23</v>
      </c>
      <c r="AG1058" s="38">
        <v>71.55</v>
      </c>
      <c r="AH1058" s="38">
        <v>71.75</v>
      </c>
      <c r="AI1058" s="38">
        <v>74.28</v>
      </c>
      <c r="AJ1058" s="38">
        <v>78.849999999999994</v>
      </c>
      <c r="AK1058" s="38">
        <v>82.88</v>
      </c>
      <c r="AL1058" s="38">
        <v>86.93</v>
      </c>
      <c r="AM1058" s="38">
        <v>86.44</v>
      </c>
      <c r="AN1058" s="38">
        <v>87.46</v>
      </c>
      <c r="AO1058" s="38">
        <v>81.510000000000005</v>
      </c>
      <c r="AP1058" s="38">
        <v>76.260000000000005</v>
      </c>
      <c r="AQ1058" s="38">
        <v>70.95</v>
      </c>
      <c r="AR1058" s="38">
        <v>66.930000000000007</v>
      </c>
      <c r="AS1058" s="38">
        <v>58.68</v>
      </c>
      <c r="AT1058" s="38">
        <v>59.05</v>
      </c>
      <c r="AU1058" s="38">
        <v>62.39</v>
      </c>
      <c r="AV1058" s="38">
        <v>69.28</v>
      </c>
      <c r="AW1058" s="38">
        <v>72.89</v>
      </c>
      <c r="AX1058" s="38">
        <v>76.92</v>
      </c>
      <c r="AY1058" s="38">
        <v>82.1</v>
      </c>
      <c r="BA1058" s="37">
        <v>80.209999999999994</v>
      </c>
      <c r="BB1058" s="38">
        <v>1.2714000000000001</v>
      </c>
    </row>
    <row r="1059" spans="1:54" x14ac:dyDescent="0.35">
      <c r="A1059" s="2">
        <f t="shared" si="16"/>
        <v>45303</v>
      </c>
      <c r="B1059" t="s">
        <v>1646</v>
      </c>
      <c r="C1059" s="32">
        <v>45303</v>
      </c>
      <c r="D1059" s="38">
        <v>79.92</v>
      </c>
      <c r="E1059" s="38">
        <v>78.66</v>
      </c>
      <c r="F1059" s="38">
        <v>77.91</v>
      </c>
      <c r="G1059" s="38">
        <v>78.069999999999993</v>
      </c>
      <c r="H1059" s="38">
        <v>78.27</v>
      </c>
      <c r="I1059" s="38">
        <v>78.12</v>
      </c>
      <c r="J1059" s="38">
        <v>78.62</v>
      </c>
      <c r="K1059" s="38">
        <v>80.78</v>
      </c>
      <c r="L1059" s="38">
        <v>82.03</v>
      </c>
      <c r="M1059" s="38">
        <v>90.72</v>
      </c>
      <c r="N1059" s="38">
        <v>99.22</v>
      </c>
      <c r="O1059" s="38">
        <v>101.79</v>
      </c>
      <c r="P1059" s="38">
        <v>99.34</v>
      </c>
      <c r="Q1059" s="38">
        <v>94.34</v>
      </c>
      <c r="R1059" s="38">
        <v>87.07</v>
      </c>
      <c r="S1059" s="38">
        <v>83.35</v>
      </c>
      <c r="T1059" s="38">
        <v>79.87</v>
      </c>
      <c r="U1059" s="38">
        <v>79.13</v>
      </c>
      <c r="V1059" s="38">
        <v>81.2</v>
      </c>
      <c r="W1059" s="38">
        <v>83.39</v>
      </c>
      <c r="X1059" s="38">
        <v>86.41</v>
      </c>
      <c r="Y1059" s="38">
        <v>88.85</v>
      </c>
      <c r="Z1059" s="38">
        <v>91.35</v>
      </c>
      <c r="AA1059" s="38">
        <v>94.88</v>
      </c>
      <c r="AB1059" s="38">
        <v>96.58</v>
      </c>
      <c r="AC1059" s="38">
        <v>89.64</v>
      </c>
      <c r="AD1059" s="38">
        <v>78.3</v>
      </c>
      <c r="AE1059" s="38">
        <v>75.7</v>
      </c>
      <c r="AF1059" s="38">
        <v>73.209999999999994</v>
      </c>
      <c r="AG1059" s="38">
        <v>72.53</v>
      </c>
      <c r="AH1059" s="38">
        <v>72.73</v>
      </c>
      <c r="AI1059" s="38">
        <v>75.260000000000005</v>
      </c>
      <c r="AJ1059" s="38">
        <v>79.81</v>
      </c>
      <c r="AK1059" s="38">
        <v>83.84</v>
      </c>
      <c r="AL1059" s="38">
        <v>87.89</v>
      </c>
      <c r="AM1059" s="38">
        <v>88.42</v>
      </c>
      <c r="AN1059" s="38">
        <v>87.4</v>
      </c>
      <c r="AO1059" s="38">
        <v>82.47</v>
      </c>
      <c r="AP1059" s="38">
        <v>76.61</v>
      </c>
      <c r="AQ1059" s="38">
        <v>71.28</v>
      </c>
      <c r="AR1059" s="38">
        <v>67.260000000000005</v>
      </c>
      <c r="AS1059" s="38">
        <v>59.01</v>
      </c>
      <c r="AT1059" s="38">
        <v>59.38</v>
      </c>
      <c r="AU1059" s="38">
        <v>62.72</v>
      </c>
      <c r="AV1059" s="38">
        <v>69.599999999999994</v>
      </c>
      <c r="AW1059" s="38">
        <v>73.209999999999994</v>
      </c>
      <c r="AX1059" s="38">
        <v>77.239999999999995</v>
      </c>
      <c r="AY1059" s="38">
        <v>82.42</v>
      </c>
      <c r="BA1059" s="37">
        <v>79.89</v>
      </c>
      <c r="BB1059" s="38">
        <v>1.2761</v>
      </c>
    </row>
    <row r="1060" spans="1:54" x14ac:dyDescent="0.35">
      <c r="A1060" s="2">
        <f t="shared" si="16"/>
        <v>45306</v>
      </c>
      <c r="B1060" t="s">
        <v>1647</v>
      </c>
      <c r="C1060" s="32">
        <v>45306</v>
      </c>
      <c r="D1060" s="38">
        <v>74.12</v>
      </c>
      <c r="E1060" s="38">
        <v>73.23</v>
      </c>
      <c r="F1060" s="38">
        <v>72.81</v>
      </c>
      <c r="G1060" s="38">
        <v>73.150000000000006</v>
      </c>
      <c r="H1060" s="38">
        <v>73.459999999999994</v>
      </c>
      <c r="I1060" s="38">
        <v>73.31</v>
      </c>
      <c r="J1060" s="38">
        <v>73.81</v>
      </c>
      <c r="K1060" s="38">
        <v>76.27</v>
      </c>
      <c r="L1060" s="38">
        <v>77.739999999999995</v>
      </c>
      <c r="M1060" s="38">
        <v>86.41</v>
      </c>
      <c r="N1060" s="38">
        <v>94.89</v>
      </c>
      <c r="O1060" s="38">
        <v>97.24</v>
      </c>
      <c r="P1060" s="38">
        <v>95.29</v>
      </c>
      <c r="Q1060" s="38">
        <v>90.29</v>
      </c>
      <c r="R1060" s="38">
        <v>84.02</v>
      </c>
      <c r="S1060" s="38">
        <v>80.3</v>
      </c>
      <c r="T1060" s="38">
        <v>76.819999999999993</v>
      </c>
      <c r="U1060" s="38">
        <v>76.38</v>
      </c>
      <c r="V1060" s="38">
        <v>78.45</v>
      </c>
      <c r="W1060" s="38">
        <v>80.64</v>
      </c>
      <c r="X1060" s="38">
        <v>83.81</v>
      </c>
      <c r="Y1060" s="38">
        <v>86.25</v>
      </c>
      <c r="Z1060" s="38">
        <v>88.75</v>
      </c>
      <c r="AA1060" s="38">
        <v>92.28</v>
      </c>
      <c r="AB1060" s="38">
        <v>93.98</v>
      </c>
      <c r="AC1060" s="38">
        <v>87.04</v>
      </c>
      <c r="AD1060" s="38">
        <v>76.2</v>
      </c>
      <c r="AE1060" s="38">
        <v>73.599999999999994</v>
      </c>
      <c r="AF1060" s="38">
        <v>71.11</v>
      </c>
      <c r="AG1060" s="38">
        <v>70.430000000000007</v>
      </c>
      <c r="AH1060" s="38">
        <v>70.63</v>
      </c>
      <c r="AI1060" s="38">
        <v>73.16</v>
      </c>
      <c r="AJ1060" s="38">
        <v>77.709999999999994</v>
      </c>
      <c r="AK1060" s="38">
        <v>81.739999999999995</v>
      </c>
      <c r="AL1060" s="38">
        <v>85.79</v>
      </c>
      <c r="AM1060" s="38">
        <v>86.32</v>
      </c>
      <c r="AN1060" s="38">
        <v>85.3</v>
      </c>
      <c r="AO1060" s="38">
        <v>80.37</v>
      </c>
      <c r="AP1060" s="38">
        <v>74.81</v>
      </c>
      <c r="AQ1060" s="38">
        <v>69.78</v>
      </c>
      <c r="AR1060" s="38">
        <v>65.760000000000005</v>
      </c>
      <c r="AS1060" s="38">
        <v>57.51</v>
      </c>
      <c r="AT1060" s="38">
        <v>57.88</v>
      </c>
      <c r="AU1060" s="38">
        <v>61.22</v>
      </c>
      <c r="AV1060" s="38">
        <v>68.099999999999994</v>
      </c>
      <c r="AW1060" s="38">
        <v>71.709999999999994</v>
      </c>
      <c r="AX1060" s="38">
        <v>75.739999999999995</v>
      </c>
      <c r="AY1060" s="38">
        <v>80.92</v>
      </c>
      <c r="BA1060" s="37">
        <v>79.760000000000005</v>
      </c>
      <c r="BB1060" s="38">
        <v>1.2730999999999999</v>
      </c>
    </row>
    <row r="1061" spans="1:54" x14ac:dyDescent="0.35">
      <c r="A1061" s="2">
        <f t="shared" si="16"/>
        <v>45307</v>
      </c>
      <c r="B1061" t="s">
        <v>1654</v>
      </c>
      <c r="C1061" s="32">
        <v>45307</v>
      </c>
      <c r="D1061" s="38">
        <v>73.52</v>
      </c>
      <c r="E1061" s="38">
        <v>72.569999999999993</v>
      </c>
      <c r="F1061" s="38">
        <v>72.3</v>
      </c>
      <c r="G1061" s="38">
        <v>72.59</v>
      </c>
      <c r="H1061" s="38">
        <v>72.790000000000006</v>
      </c>
      <c r="I1061" s="38">
        <v>72.56</v>
      </c>
      <c r="J1061" s="38">
        <v>73.040000000000006</v>
      </c>
      <c r="K1061" s="38">
        <v>75.42</v>
      </c>
      <c r="L1061" s="38">
        <v>77.12</v>
      </c>
      <c r="M1061" s="38">
        <v>86.32</v>
      </c>
      <c r="N1061" s="38">
        <v>94.22</v>
      </c>
      <c r="O1061" s="38">
        <v>96.56</v>
      </c>
      <c r="P1061" s="38">
        <v>94.61</v>
      </c>
      <c r="Q1061" s="38">
        <v>89.61</v>
      </c>
      <c r="R1061" s="38">
        <v>83.94</v>
      </c>
      <c r="S1061" s="38">
        <v>80.22</v>
      </c>
      <c r="T1061" s="38">
        <v>76.739999999999995</v>
      </c>
      <c r="U1061" s="38">
        <v>76.3</v>
      </c>
      <c r="V1061" s="38">
        <v>78.37</v>
      </c>
      <c r="W1061" s="38">
        <v>80.56</v>
      </c>
      <c r="X1061" s="38">
        <v>83.73</v>
      </c>
      <c r="Y1061" s="38">
        <v>86.17</v>
      </c>
      <c r="Z1061" s="38">
        <v>88.67</v>
      </c>
      <c r="AA1061" s="38">
        <v>92.2</v>
      </c>
      <c r="AB1061" s="38">
        <v>93.9</v>
      </c>
      <c r="AC1061" s="38">
        <v>86.96</v>
      </c>
      <c r="AD1061" s="38">
        <v>76.12</v>
      </c>
      <c r="AE1061" s="38">
        <v>73.52</v>
      </c>
      <c r="AF1061" s="38">
        <v>71.03</v>
      </c>
      <c r="AG1061" s="38">
        <v>70.349999999999994</v>
      </c>
      <c r="AH1061" s="38">
        <v>70.55</v>
      </c>
      <c r="AI1061" s="38">
        <v>73.08</v>
      </c>
      <c r="AJ1061" s="38">
        <v>77.63</v>
      </c>
      <c r="AK1061" s="38">
        <v>81.66</v>
      </c>
      <c r="AL1061" s="38">
        <v>85.71</v>
      </c>
      <c r="AM1061" s="38">
        <v>86.24</v>
      </c>
      <c r="AN1061" s="38">
        <v>85.22</v>
      </c>
      <c r="AO1061" s="38">
        <v>80.290000000000006</v>
      </c>
      <c r="AP1061" s="38">
        <v>75.73</v>
      </c>
      <c r="AQ1061" s="38">
        <v>71.7</v>
      </c>
      <c r="AR1061" s="38">
        <v>67.680000000000007</v>
      </c>
      <c r="AS1061" s="38">
        <v>59.43</v>
      </c>
      <c r="AT1061" s="38">
        <v>59.8</v>
      </c>
      <c r="AU1061" s="38">
        <v>63.14</v>
      </c>
      <c r="AV1061" s="38">
        <v>70.02</v>
      </c>
      <c r="AW1061" s="38">
        <v>73.63</v>
      </c>
      <c r="AX1061" s="38">
        <v>77.66</v>
      </c>
      <c r="AY1061" s="38">
        <v>82.84</v>
      </c>
      <c r="BA1061" s="37">
        <v>80.150000000000006</v>
      </c>
      <c r="BB1061" s="38">
        <v>1.2665</v>
      </c>
    </row>
    <row r="1062" spans="1:54" x14ac:dyDescent="0.35">
      <c r="A1062" s="2">
        <f t="shared" si="16"/>
        <v>45308</v>
      </c>
      <c r="B1062" t="s">
        <v>1655</v>
      </c>
      <c r="C1062" s="32">
        <v>45308</v>
      </c>
      <c r="D1062" s="38">
        <v>68.36</v>
      </c>
      <c r="E1062" s="38">
        <v>67.22</v>
      </c>
      <c r="F1062" s="38">
        <v>66.86</v>
      </c>
      <c r="G1062" s="38">
        <v>67.290000000000006</v>
      </c>
      <c r="H1062" s="38">
        <v>67.739999999999995</v>
      </c>
      <c r="I1062" s="38">
        <v>67.739999999999995</v>
      </c>
      <c r="J1062" s="38">
        <v>68.319999999999993</v>
      </c>
      <c r="K1062" s="38">
        <v>70.7</v>
      </c>
      <c r="L1062" s="38">
        <v>72.260000000000005</v>
      </c>
      <c r="M1062" s="38">
        <v>82.06</v>
      </c>
      <c r="N1062" s="38">
        <v>89.96</v>
      </c>
      <c r="O1062" s="38">
        <v>91.96</v>
      </c>
      <c r="P1062" s="38">
        <v>90.49</v>
      </c>
      <c r="Q1062" s="38">
        <v>85.49</v>
      </c>
      <c r="R1062" s="38">
        <v>80.349999999999994</v>
      </c>
      <c r="S1062" s="38">
        <v>76.63</v>
      </c>
      <c r="T1062" s="38">
        <v>73.150000000000006</v>
      </c>
      <c r="U1062" s="38">
        <v>72.709999999999994</v>
      </c>
      <c r="V1062" s="38">
        <v>74.78</v>
      </c>
      <c r="W1062" s="38">
        <v>76.97</v>
      </c>
      <c r="X1062" s="38">
        <v>80.25</v>
      </c>
      <c r="Y1062" s="38">
        <v>82.69</v>
      </c>
      <c r="Z1062" s="38">
        <v>85.19</v>
      </c>
      <c r="AA1062" s="38">
        <v>88.72</v>
      </c>
      <c r="AB1062" s="38">
        <v>90.42</v>
      </c>
      <c r="AC1062" s="38">
        <v>83.48</v>
      </c>
      <c r="AD1062" s="38">
        <v>73.64</v>
      </c>
      <c r="AE1062" s="38">
        <v>71.040000000000006</v>
      </c>
      <c r="AF1062" s="38">
        <v>68.55</v>
      </c>
      <c r="AG1062" s="38">
        <v>67.87</v>
      </c>
      <c r="AH1062" s="38">
        <v>68.069999999999993</v>
      </c>
      <c r="AI1062" s="38">
        <v>70.599999999999994</v>
      </c>
      <c r="AJ1062" s="38">
        <v>75.150000000000006</v>
      </c>
      <c r="AK1062" s="38">
        <v>79.180000000000007</v>
      </c>
      <c r="AL1062" s="38">
        <v>83.23</v>
      </c>
      <c r="AM1062" s="38">
        <v>83.76</v>
      </c>
      <c r="AN1062" s="38">
        <v>82.74</v>
      </c>
      <c r="AO1062" s="38">
        <v>78.489999999999995</v>
      </c>
      <c r="AP1062" s="38">
        <v>74.239999999999995</v>
      </c>
      <c r="AQ1062" s="38">
        <v>70.209999999999994</v>
      </c>
      <c r="AR1062" s="38">
        <v>66.19</v>
      </c>
      <c r="AS1062" s="38">
        <v>57.94</v>
      </c>
      <c r="AT1062" s="38">
        <v>58.31</v>
      </c>
      <c r="AU1062" s="38">
        <v>61.65</v>
      </c>
      <c r="AV1062" s="38">
        <v>68.53</v>
      </c>
      <c r="AW1062" s="38">
        <v>72.14</v>
      </c>
      <c r="AX1062" s="38">
        <v>76.17</v>
      </c>
      <c r="AY1062" s="38">
        <v>81.349999999999994</v>
      </c>
      <c r="BA1062" s="37">
        <v>78.88</v>
      </c>
      <c r="BB1062" s="38">
        <v>1.2658</v>
      </c>
    </row>
    <row r="1063" spans="1:54" x14ac:dyDescent="0.35">
      <c r="A1063" s="2">
        <f t="shared" si="16"/>
        <v>45309</v>
      </c>
      <c r="B1063" t="s">
        <v>1656</v>
      </c>
      <c r="C1063" s="32">
        <v>45309</v>
      </c>
      <c r="D1063" s="38">
        <v>68.42</v>
      </c>
      <c r="E1063" s="38">
        <v>67.28</v>
      </c>
      <c r="F1063" s="38">
        <v>67.36</v>
      </c>
      <c r="G1063" s="38">
        <v>67.81</v>
      </c>
      <c r="H1063" s="38">
        <v>68.31</v>
      </c>
      <c r="I1063" s="38">
        <v>68.66</v>
      </c>
      <c r="J1063" s="38">
        <v>69.06</v>
      </c>
      <c r="K1063" s="38">
        <v>71.11</v>
      </c>
      <c r="L1063" s="38">
        <v>72.81</v>
      </c>
      <c r="M1063" s="38">
        <v>82.97</v>
      </c>
      <c r="N1063" s="38">
        <v>90.87</v>
      </c>
      <c r="O1063" s="38">
        <v>92.98</v>
      </c>
      <c r="P1063" s="38">
        <v>91.5</v>
      </c>
      <c r="Q1063" s="38">
        <v>86.53</v>
      </c>
      <c r="R1063" s="38">
        <v>81.040000000000006</v>
      </c>
      <c r="S1063" s="38">
        <v>77.2</v>
      </c>
      <c r="T1063" s="38">
        <v>73.72</v>
      </c>
      <c r="U1063" s="38">
        <v>73.569999999999993</v>
      </c>
      <c r="V1063" s="38">
        <v>75.66</v>
      </c>
      <c r="W1063" s="38">
        <v>77.849999999999994</v>
      </c>
      <c r="X1063" s="38">
        <v>81.260000000000005</v>
      </c>
      <c r="Y1063" s="38">
        <v>83.8</v>
      </c>
      <c r="Z1063" s="38">
        <v>86.27</v>
      </c>
      <c r="AA1063" s="38">
        <v>89.83</v>
      </c>
      <c r="AB1063" s="38">
        <v>91.53</v>
      </c>
      <c r="AC1063" s="38">
        <v>84.58</v>
      </c>
      <c r="AD1063" s="38">
        <v>74.150000000000006</v>
      </c>
      <c r="AE1063" s="38">
        <v>71.55</v>
      </c>
      <c r="AF1063" s="38">
        <v>69.06</v>
      </c>
      <c r="AG1063" s="38">
        <v>68.38</v>
      </c>
      <c r="AH1063" s="38">
        <v>68.58</v>
      </c>
      <c r="AI1063" s="38">
        <v>70.930000000000007</v>
      </c>
      <c r="AJ1063" s="38">
        <v>75.48</v>
      </c>
      <c r="AK1063" s="38">
        <v>79.510000000000005</v>
      </c>
      <c r="AL1063" s="38">
        <v>83.56</v>
      </c>
      <c r="AM1063" s="38">
        <v>84.09</v>
      </c>
      <c r="AN1063" s="38">
        <v>83.08</v>
      </c>
      <c r="AO1063" s="38">
        <v>78.83</v>
      </c>
      <c r="AP1063" s="38">
        <v>74.58</v>
      </c>
      <c r="AQ1063" s="38">
        <v>70.55</v>
      </c>
      <c r="AR1063" s="38">
        <v>66.53</v>
      </c>
      <c r="AS1063" s="38">
        <v>58.28</v>
      </c>
      <c r="AT1063" s="38">
        <v>58.65</v>
      </c>
      <c r="AU1063" s="38">
        <v>62</v>
      </c>
      <c r="AV1063" s="38">
        <v>68.739999999999995</v>
      </c>
      <c r="AW1063" s="38">
        <v>72.349999999999994</v>
      </c>
      <c r="AX1063" s="38">
        <v>76.38</v>
      </c>
      <c r="AY1063" s="38">
        <v>81.56</v>
      </c>
      <c r="BA1063" s="37">
        <v>81.040000000000006</v>
      </c>
      <c r="BB1063" s="38">
        <v>1.2672000000000001</v>
      </c>
    </row>
    <row r="1064" spans="1:54" x14ac:dyDescent="0.35">
      <c r="A1064" s="2">
        <f t="shared" si="16"/>
        <v>45310</v>
      </c>
      <c r="B1064" t="s">
        <v>1657</v>
      </c>
      <c r="C1064" s="32">
        <v>45310</v>
      </c>
      <c r="D1064" s="38">
        <v>69.86</v>
      </c>
      <c r="E1064" s="38">
        <v>68.849999999999994</v>
      </c>
      <c r="F1064" s="38">
        <v>69.05</v>
      </c>
      <c r="G1064" s="38">
        <v>69.63</v>
      </c>
      <c r="H1064" s="38">
        <v>70.13</v>
      </c>
      <c r="I1064" s="38">
        <v>70.41</v>
      </c>
      <c r="J1064" s="38">
        <v>70.790000000000006</v>
      </c>
      <c r="K1064" s="38">
        <v>72.78</v>
      </c>
      <c r="L1064" s="38">
        <v>74.63</v>
      </c>
      <c r="M1064" s="38">
        <v>84.73</v>
      </c>
      <c r="N1064" s="38">
        <v>92.63</v>
      </c>
      <c r="O1064" s="38">
        <v>94.74</v>
      </c>
      <c r="P1064" s="38">
        <v>93.26</v>
      </c>
      <c r="Q1064" s="38">
        <v>88.29</v>
      </c>
      <c r="R1064" s="38">
        <v>82.2</v>
      </c>
      <c r="S1064" s="38">
        <v>78.36</v>
      </c>
      <c r="T1064" s="38">
        <v>74.88</v>
      </c>
      <c r="U1064" s="38">
        <v>74.73</v>
      </c>
      <c r="V1064" s="38">
        <v>76.819999999999993</v>
      </c>
      <c r="W1064" s="38">
        <v>79.010000000000005</v>
      </c>
      <c r="X1064" s="38">
        <v>82.42</v>
      </c>
      <c r="Y1064" s="38">
        <v>84.96</v>
      </c>
      <c r="Z1064" s="38">
        <v>87.43</v>
      </c>
      <c r="AA1064" s="38">
        <v>90.99</v>
      </c>
      <c r="AB1064" s="38">
        <v>92.69</v>
      </c>
      <c r="AC1064" s="38">
        <v>85.74</v>
      </c>
      <c r="AD1064" s="38">
        <v>75.010000000000005</v>
      </c>
      <c r="AE1064" s="38">
        <v>72.41</v>
      </c>
      <c r="AF1064" s="38">
        <v>69.92</v>
      </c>
      <c r="AG1064" s="38">
        <v>69.239999999999995</v>
      </c>
      <c r="AH1064" s="38">
        <v>69.44</v>
      </c>
      <c r="AI1064" s="38">
        <v>71.790000000000006</v>
      </c>
      <c r="AJ1064" s="38">
        <v>76.34</v>
      </c>
      <c r="AK1064" s="38">
        <v>80.37</v>
      </c>
      <c r="AL1064" s="38">
        <v>84.42</v>
      </c>
      <c r="AM1064" s="38">
        <v>84.95</v>
      </c>
      <c r="AN1064" s="38">
        <v>83.94</v>
      </c>
      <c r="AO1064" s="38">
        <v>79.69</v>
      </c>
      <c r="AP1064" s="38">
        <v>75.44</v>
      </c>
      <c r="AQ1064" s="38">
        <v>71.41</v>
      </c>
      <c r="AR1064" s="38">
        <v>67.39</v>
      </c>
      <c r="AS1064" s="38">
        <v>59.14</v>
      </c>
      <c r="AT1064" s="38">
        <v>59.51</v>
      </c>
      <c r="AU1064" s="38">
        <v>62.86</v>
      </c>
      <c r="AV1064" s="38">
        <v>69.599999999999994</v>
      </c>
      <c r="AW1064" s="38">
        <v>73.209999999999994</v>
      </c>
      <c r="AX1064" s="38">
        <v>77.239999999999995</v>
      </c>
      <c r="AY1064" s="38">
        <v>82.42</v>
      </c>
      <c r="BA1064" s="37">
        <v>80.709999999999994</v>
      </c>
      <c r="BB1064" s="38">
        <v>1.268</v>
      </c>
    </row>
    <row r="1065" spans="1:54" x14ac:dyDescent="0.35">
      <c r="A1065" s="2">
        <f t="shared" si="16"/>
        <v>45313</v>
      </c>
      <c r="B1065" t="s">
        <v>1658</v>
      </c>
      <c r="C1065" s="32">
        <v>45313</v>
      </c>
      <c r="D1065" s="38">
        <v>66.91</v>
      </c>
      <c r="E1065" s="38">
        <v>65.72</v>
      </c>
      <c r="F1065" s="38">
        <v>66.45</v>
      </c>
      <c r="G1065" s="38">
        <v>67.209999999999994</v>
      </c>
      <c r="H1065" s="38">
        <v>67.489999999999995</v>
      </c>
      <c r="I1065" s="38">
        <v>67.89</v>
      </c>
      <c r="J1065" s="38">
        <v>68.400000000000006</v>
      </c>
      <c r="K1065" s="38">
        <v>70.790000000000006</v>
      </c>
      <c r="L1065" s="38">
        <v>72.94</v>
      </c>
      <c r="M1065" s="38">
        <v>82.61</v>
      </c>
      <c r="N1065" s="38">
        <v>90.46</v>
      </c>
      <c r="O1065" s="38">
        <v>92.55</v>
      </c>
      <c r="P1065" s="38">
        <v>91.08</v>
      </c>
      <c r="Q1065" s="38">
        <v>86.06</v>
      </c>
      <c r="R1065" s="38">
        <v>79.86</v>
      </c>
      <c r="S1065" s="38">
        <v>76.23</v>
      </c>
      <c r="T1065" s="38">
        <v>72.89</v>
      </c>
      <c r="U1065" s="38">
        <v>72.760000000000005</v>
      </c>
      <c r="V1065" s="38">
        <v>74.89</v>
      </c>
      <c r="W1065" s="38">
        <v>77.12</v>
      </c>
      <c r="X1065" s="38">
        <v>80.489999999999995</v>
      </c>
      <c r="Y1065" s="38">
        <v>83.23</v>
      </c>
      <c r="Z1065" s="38">
        <v>85.63</v>
      </c>
      <c r="AA1065" s="38">
        <v>89.1</v>
      </c>
      <c r="AB1065" s="38">
        <v>90.78</v>
      </c>
      <c r="AC1065" s="38">
        <v>83.83</v>
      </c>
      <c r="AD1065" s="38">
        <v>73.510000000000005</v>
      </c>
      <c r="AE1065" s="38">
        <v>70.91</v>
      </c>
      <c r="AF1065" s="38">
        <v>68.42</v>
      </c>
      <c r="AG1065" s="38">
        <v>67.739999999999995</v>
      </c>
      <c r="AH1065" s="38">
        <v>67.94</v>
      </c>
      <c r="AI1065" s="38">
        <v>70.290000000000006</v>
      </c>
      <c r="AJ1065" s="38">
        <v>74.42</v>
      </c>
      <c r="AK1065" s="38">
        <v>78.45</v>
      </c>
      <c r="AL1065" s="38">
        <v>82.52</v>
      </c>
      <c r="AM1065" s="38">
        <v>83.18</v>
      </c>
      <c r="AN1065" s="38">
        <v>82.17</v>
      </c>
      <c r="AO1065" s="38">
        <v>77.92</v>
      </c>
      <c r="AP1065" s="38">
        <v>73.680000000000007</v>
      </c>
      <c r="AQ1065" s="38">
        <v>70.040000000000006</v>
      </c>
      <c r="AR1065" s="38">
        <v>66.02</v>
      </c>
      <c r="AS1065" s="38">
        <v>57.8</v>
      </c>
      <c r="AT1065" s="38">
        <v>58.17</v>
      </c>
      <c r="AU1065" s="38">
        <v>61.52</v>
      </c>
      <c r="AV1065" s="38">
        <v>68.28</v>
      </c>
      <c r="AW1065" s="38">
        <v>71.89</v>
      </c>
      <c r="AX1065" s="38">
        <v>75.92</v>
      </c>
      <c r="AY1065" s="38">
        <v>81.14</v>
      </c>
      <c r="BA1065" s="37">
        <v>81.7</v>
      </c>
      <c r="BB1065" s="38">
        <v>1.2721</v>
      </c>
    </row>
    <row r="1066" spans="1:54" x14ac:dyDescent="0.35">
      <c r="A1066" s="2">
        <f t="shared" si="16"/>
        <v>45314</v>
      </c>
      <c r="B1066" t="s">
        <v>1659</v>
      </c>
      <c r="C1066" s="32">
        <v>45314</v>
      </c>
      <c r="D1066" s="38">
        <v>66.75</v>
      </c>
      <c r="E1066" s="38">
        <v>65.430000000000007</v>
      </c>
      <c r="F1066" s="38">
        <v>66.39</v>
      </c>
      <c r="G1066" s="38">
        <v>67.37</v>
      </c>
      <c r="H1066" s="38">
        <v>68.14</v>
      </c>
      <c r="I1066" s="38">
        <v>68.37</v>
      </c>
      <c r="J1066" s="38">
        <v>69.14</v>
      </c>
      <c r="K1066" s="38">
        <v>70.989999999999995</v>
      </c>
      <c r="L1066" s="38">
        <v>72.819999999999993</v>
      </c>
      <c r="M1066" s="38">
        <v>83.37</v>
      </c>
      <c r="N1066" s="38">
        <v>91.31</v>
      </c>
      <c r="O1066" s="38">
        <v>93.35</v>
      </c>
      <c r="P1066" s="38">
        <v>91.88</v>
      </c>
      <c r="Q1066" s="38">
        <v>86.86</v>
      </c>
      <c r="R1066" s="38">
        <v>80.430000000000007</v>
      </c>
      <c r="S1066" s="38">
        <v>76.78</v>
      </c>
      <c r="T1066" s="38">
        <v>73.42</v>
      </c>
      <c r="U1066" s="38">
        <v>73.27</v>
      </c>
      <c r="V1066" s="38">
        <v>74.900000000000006</v>
      </c>
      <c r="W1066" s="38">
        <v>77.11</v>
      </c>
      <c r="X1066" s="38">
        <v>80.540000000000006</v>
      </c>
      <c r="Y1066" s="38">
        <v>83.28</v>
      </c>
      <c r="Z1066" s="38">
        <v>85.68</v>
      </c>
      <c r="AA1066" s="38">
        <v>89.15</v>
      </c>
      <c r="AB1066" s="38">
        <v>90.83</v>
      </c>
      <c r="AC1066" s="38">
        <v>83.88</v>
      </c>
      <c r="AD1066" s="38">
        <v>73.56</v>
      </c>
      <c r="AE1066" s="38">
        <v>70.959999999999994</v>
      </c>
      <c r="AF1066" s="38">
        <v>68.47</v>
      </c>
      <c r="AG1066" s="38">
        <v>67.790000000000006</v>
      </c>
      <c r="AH1066" s="38">
        <v>67.989999999999995</v>
      </c>
      <c r="AI1066" s="38">
        <v>70.34</v>
      </c>
      <c r="AJ1066" s="38">
        <v>74.47</v>
      </c>
      <c r="AK1066" s="38">
        <v>78.45</v>
      </c>
      <c r="AL1066" s="38">
        <v>81.93</v>
      </c>
      <c r="AM1066" s="38">
        <v>82.59</v>
      </c>
      <c r="AN1066" s="38">
        <v>81.58</v>
      </c>
      <c r="AO1066" s="38">
        <v>78.16</v>
      </c>
      <c r="AP1066" s="38">
        <v>74.34</v>
      </c>
      <c r="AQ1066" s="38">
        <v>70.7</v>
      </c>
      <c r="AR1066" s="38">
        <v>66.680000000000007</v>
      </c>
      <c r="AS1066" s="38">
        <v>59.49</v>
      </c>
      <c r="AT1066" s="38">
        <v>59.86</v>
      </c>
      <c r="AU1066" s="38">
        <v>63.21</v>
      </c>
      <c r="AV1066" s="38">
        <v>69.8</v>
      </c>
      <c r="AW1066" s="38">
        <v>73.41</v>
      </c>
      <c r="AX1066" s="38">
        <v>77.44</v>
      </c>
      <c r="AY1066" s="38">
        <v>82.66</v>
      </c>
      <c r="BA1066" s="37">
        <v>82.04</v>
      </c>
      <c r="BB1066" s="38">
        <v>1.2665999999999999</v>
      </c>
    </row>
    <row r="1067" spans="1:54" x14ac:dyDescent="0.35">
      <c r="A1067" s="2">
        <f t="shared" si="16"/>
        <v>45315</v>
      </c>
      <c r="B1067" t="s">
        <v>1660</v>
      </c>
      <c r="C1067" s="32">
        <v>45315</v>
      </c>
      <c r="D1067" s="38">
        <v>71.37</v>
      </c>
      <c r="E1067" s="38">
        <v>70.349999999999994</v>
      </c>
      <c r="F1067" s="38">
        <v>70.75</v>
      </c>
      <c r="G1067" s="38">
        <v>71.38</v>
      </c>
      <c r="H1067" s="38">
        <v>72.03</v>
      </c>
      <c r="I1067" s="38">
        <v>72.209999999999994</v>
      </c>
      <c r="J1067" s="38">
        <v>72.650000000000006</v>
      </c>
      <c r="K1067" s="38">
        <v>74.599999999999994</v>
      </c>
      <c r="L1067" s="38">
        <v>76.239999999999995</v>
      </c>
      <c r="M1067" s="38">
        <v>86.52</v>
      </c>
      <c r="N1067" s="38">
        <v>94.45</v>
      </c>
      <c r="O1067" s="38">
        <v>96.36</v>
      </c>
      <c r="P1067" s="38">
        <v>94.89</v>
      </c>
      <c r="Q1067" s="38">
        <v>89.97</v>
      </c>
      <c r="R1067" s="38">
        <v>83.59</v>
      </c>
      <c r="S1067" s="38">
        <v>79.97</v>
      </c>
      <c r="T1067" s="38">
        <v>76.650000000000006</v>
      </c>
      <c r="U1067" s="38">
        <v>76.53</v>
      </c>
      <c r="V1067" s="38">
        <v>78.06</v>
      </c>
      <c r="W1067" s="38">
        <v>80.09</v>
      </c>
      <c r="X1067" s="38">
        <v>83.37</v>
      </c>
      <c r="Y1067" s="38">
        <v>86.07</v>
      </c>
      <c r="Z1067" s="38">
        <v>88.49</v>
      </c>
      <c r="AA1067" s="38">
        <v>91.88</v>
      </c>
      <c r="AB1067" s="38">
        <v>93.49</v>
      </c>
      <c r="AC1067" s="38">
        <v>86.35</v>
      </c>
      <c r="AD1067" s="38">
        <v>75.67</v>
      </c>
      <c r="AE1067" s="38">
        <v>72.53</v>
      </c>
      <c r="AF1067" s="38">
        <v>70.03</v>
      </c>
      <c r="AG1067" s="38">
        <v>69.239999999999995</v>
      </c>
      <c r="AH1067" s="38">
        <v>69.38</v>
      </c>
      <c r="AI1067" s="38">
        <v>71.64</v>
      </c>
      <c r="AJ1067" s="38">
        <v>75.7</v>
      </c>
      <c r="AK1067" s="38">
        <v>79.650000000000006</v>
      </c>
      <c r="AL1067" s="38">
        <v>83.13</v>
      </c>
      <c r="AM1067" s="38">
        <v>83.63</v>
      </c>
      <c r="AN1067" s="38">
        <v>82.62</v>
      </c>
      <c r="AO1067" s="38">
        <v>79.64</v>
      </c>
      <c r="AP1067" s="38">
        <v>75.98</v>
      </c>
      <c r="AQ1067" s="38">
        <v>72.34</v>
      </c>
      <c r="AR1067" s="38">
        <v>68.28</v>
      </c>
      <c r="AS1067" s="38">
        <v>61.03</v>
      </c>
      <c r="AT1067" s="38">
        <v>61.29</v>
      </c>
      <c r="AU1067" s="38">
        <v>64.44</v>
      </c>
      <c r="AV1067" s="38">
        <v>70.94</v>
      </c>
      <c r="AW1067" s="38">
        <v>74.55</v>
      </c>
      <c r="AX1067" s="38">
        <v>78.569999999999993</v>
      </c>
      <c r="AY1067" s="38">
        <v>84.04</v>
      </c>
      <c r="BA1067" s="37">
        <v>82.15</v>
      </c>
      <c r="BB1067" s="38">
        <v>1.2753000000000001</v>
      </c>
    </row>
    <row r="1068" spans="1:54" x14ac:dyDescent="0.35">
      <c r="A1068" s="2">
        <f t="shared" si="16"/>
        <v>45316</v>
      </c>
      <c r="B1068" t="s">
        <v>1661</v>
      </c>
      <c r="C1068" s="32">
        <v>45316</v>
      </c>
      <c r="D1068" s="38">
        <v>68.48</v>
      </c>
      <c r="E1068" s="38">
        <v>67.239999999999995</v>
      </c>
      <c r="F1068" s="38">
        <v>68.099999999999994</v>
      </c>
      <c r="G1068" s="38">
        <v>68.92</v>
      </c>
      <c r="H1068" s="38">
        <v>69.83</v>
      </c>
      <c r="I1068" s="38">
        <v>70.03</v>
      </c>
      <c r="J1068" s="38">
        <v>70.34</v>
      </c>
      <c r="K1068" s="38">
        <v>72.23</v>
      </c>
      <c r="L1068" s="38">
        <v>74.06</v>
      </c>
      <c r="M1068" s="38">
        <v>84.46</v>
      </c>
      <c r="N1068" s="38">
        <v>92.31</v>
      </c>
      <c r="O1068" s="38">
        <v>94.05</v>
      </c>
      <c r="P1068" s="38">
        <v>92.59</v>
      </c>
      <c r="Q1068" s="38">
        <v>87.93</v>
      </c>
      <c r="R1068" s="38">
        <v>82.49</v>
      </c>
      <c r="S1068" s="38">
        <v>78.12</v>
      </c>
      <c r="T1068" s="38">
        <v>74.650000000000006</v>
      </c>
      <c r="U1068" s="38">
        <v>74.64</v>
      </c>
      <c r="V1068" s="38">
        <v>76.16</v>
      </c>
      <c r="W1068" s="38">
        <v>78.180000000000007</v>
      </c>
      <c r="X1068" s="38">
        <v>81.540000000000006</v>
      </c>
      <c r="Y1068" s="38">
        <v>84.28</v>
      </c>
      <c r="Z1068" s="38">
        <v>86.89</v>
      </c>
      <c r="AA1068" s="38">
        <v>90.39</v>
      </c>
      <c r="AB1068" s="38">
        <v>92.08</v>
      </c>
      <c r="AC1068" s="38">
        <v>85.27</v>
      </c>
      <c r="AD1068" s="38">
        <v>74.819999999999993</v>
      </c>
      <c r="AE1068" s="38">
        <v>71.75</v>
      </c>
      <c r="AF1068" s="38">
        <v>69.12</v>
      </c>
      <c r="AG1068" s="38">
        <v>68.349999999999994</v>
      </c>
      <c r="AH1068" s="38">
        <v>68.510000000000005</v>
      </c>
      <c r="AI1068" s="38">
        <v>70.88</v>
      </c>
      <c r="AJ1068" s="38">
        <v>75</v>
      </c>
      <c r="AK1068" s="38">
        <v>78.94</v>
      </c>
      <c r="AL1068" s="38">
        <v>82.42</v>
      </c>
      <c r="AM1068" s="38">
        <v>82.71</v>
      </c>
      <c r="AN1068" s="38">
        <v>81.72</v>
      </c>
      <c r="AO1068" s="38">
        <v>78.739999999999995</v>
      </c>
      <c r="AP1068" s="38">
        <v>75.11</v>
      </c>
      <c r="AQ1068" s="38">
        <v>71.47</v>
      </c>
      <c r="AR1068" s="38">
        <v>67.41</v>
      </c>
      <c r="AS1068" s="38">
        <v>60.17</v>
      </c>
      <c r="AT1068" s="38">
        <v>60.42</v>
      </c>
      <c r="AU1068" s="38">
        <v>63.56</v>
      </c>
      <c r="AV1068" s="38">
        <v>70.19</v>
      </c>
      <c r="AW1068" s="38">
        <v>73.790000000000006</v>
      </c>
      <c r="AX1068" s="38">
        <v>77.81</v>
      </c>
      <c r="AY1068" s="38">
        <v>82.54</v>
      </c>
      <c r="BA1068" s="37">
        <v>82.33</v>
      </c>
      <c r="BB1068" s="38">
        <v>1.27</v>
      </c>
    </row>
    <row r="1069" spans="1:54" x14ac:dyDescent="0.35">
      <c r="A1069" s="2">
        <f t="shared" si="16"/>
        <v>45317</v>
      </c>
      <c r="B1069" t="s">
        <v>1662</v>
      </c>
      <c r="C1069" s="32">
        <v>45317</v>
      </c>
      <c r="D1069" s="38">
        <v>69.349999999999994</v>
      </c>
      <c r="E1069" s="38">
        <v>68.150000000000006</v>
      </c>
      <c r="F1069" s="38">
        <v>69</v>
      </c>
      <c r="G1069" s="38">
        <v>69.790000000000006</v>
      </c>
      <c r="H1069" s="38">
        <v>70.430000000000007</v>
      </c>
      <c r="I1069" s="38">
        <v>70.63</v>
      </c>
      <c r="J1069" s="38">
        <v>71.19</v>
      </c>
      <c r="K1069" s="38">
        <v>72.91</v>
      </c>
      <c r="L1069" s="38">
        <v>74.44</v>
      </c>
      <c r="M1069" s="38">
        <v>85.39</v>
      </c>
      <c r="N1069" s="38">
        <v>92.99</v>
      </c>
      <c r="O1069" s="38">
        <v>93.23</v>
      </c>
      <c r="P1069" s="38">
        <v>92.32</v>
      </c>
      <c r="Q1069" s="38">
        <v>88.21</v>
      </c>
      <c r="R1069" s="38">
        <v>82.62</v>
      </c>
      <c r="S1069" s="38">
        <v>77.900000000000006</v>
      </c>
      <c r="T1069" s="38">
        <v>74.37</v>
      </c>
      <c r="U1069" s="38">
        <v>74.260000000000005</v>
      </c>
      <c r="V1069" s="38">
        <v>75.97</v>
      </c>
      <c r="W1069" s="38">
        <v>78.19</v>
      </c>
      <c r="X1069" s="38">
        <v>81.88</v>
      </c>
      <c r="Y1069" s="38">
        <v>84.43</v>
      </c>
      <c r="Z1069" s="38">
        <v>87.14</v>
      </c>
      <c r="AA1069" s="38">
        <v>90.72</v>
      </c>
      <c r="AB1069" s="38">
        <v>92.56</v>
      </c>
      <c r="AC1069" s="38">
        <v>85.74</v>
      </c>
      <c r="AD1069" s="38">
        <v>74.92</v>
      </c>
      <c r="AE1069" s="38">
        <v>71.84</v>
      </c>
      <c r="AF1069" s="38">
        <v>69.209999999999994</v>
      </c>
      <c r="AG1069" s="38">
        <v>68.44</v>
      </c>
      <c r="AH1069" s="38">
        <v>68.599999999999994</v>
      </c>
      <c r="AI1069" s="38">
        <v>70.97</v>
      </c>
      <c r="AJ1069" s="38">
        <v>75.069999999999993</v>
      </c>
      <c r="AK1069" s="38">
        <v>79.010000000000005</v>
      </c>
      <c r="AL1069" s="38">
        <v>82.49</v>
      </c>
      <c r="AM1069" s="38">
        <v>82.79</v>
      </c>
      <c r="AN1069" s="38">
        <v>81.8</v>
      </c>
      <c r="AO1069" s="38">
        <v>78.819999999999993</v>
      </c>
      <c r="AP1069" s="38">
        <v>75.41</v>
      </c>
      <c r="AQ1069" s="38">
        <v>71.77</v>
      </c>
      <c r="AR1069" s="38">
        <v>67.709999999999994</v>
      </c>
      <c r="AS1069" s="38">
        <v>60.46</v>
      </c>
      <c r="AT1069" s="38">
        <v>60.71</v>
      </c>
      <c r="AU1069" s="38">
        <v>63.85</v>
      </c>
      <c r="AV1069" s="38">
        <v>70.48</v>
      </c>
      <c r="AW1069" s="38">
        <v>74.069999999999993</v>
      </c>
      <c r="AX1069" s="38">
        <v>78.09</v>
      </c>
      <c r="AY1069" s="38">
        <v>83.41</v>
      </c>
      <c r="BA1069" s="37">
        <v>83.34</v>
      </c>
      <c r="BB1069" s="38">
        <v>1.2723</v>
      </c>
    </row>
    <row r="1070" spans="1:54" x14ac:dyDescent="0.35">
      <c r="A1070" s="2">
        <f t="shared" si="16"/>
        <v>45320</v>
      </c>
      <c r="B1070" t="s">
        <v>1663</v>
      </c>
      <c r="C1070" s="32">
        <v>45320</v>
      </c>
      <c r="D1070" s="38">
        <v>69.48</v>
      </c>
      <c r="E1070" s="38">
        <v>68.319999999999993</v>
      </c>
      <c r="F1070" s="38">
        <v>69.11</v>
      </c>
      <c r="G1070" s="38">
        <v>69.709999999999994</v>
      </c>
      <c r="H1070" s="38">
        <v>70.239999999999995</v>
      </c>
      <c r="I1070" s="38">
        <v>70.61</v>
      </c>
      <c r="J1070" s="38">
        <v>71.2</v>
      </c>
      <c r="K1070" s="38">
        <v>72.92</v>
      </c>
      <c r="L1070" s="38">
        <v>74.349999999999994</v>
      </c>
      <c r="M1070" s="38">
        <v>85.2</v>
      </c>
      <c r="N1070" s="38">
        <v>92.7</v>
      </c>
      <c r="O1070" s="38">
        <v>93.34</v>
      </c>
      <c r="P1070" s="38">
        <v>92.43</v>
      </c>
      <c r="Q1070" s="38">
        <v>88.32</v>
      </c>
      <c r="R1070" s="38">
        <v>82.6</v>
      </c>
      <c r="S1070" s="38">
        <v>77.72</v>
      </c>
      <c r="T1070" s="38">
        <v>74.47</v>
      </c>
      <c r="U1070" s="38">
        <v>74.400000000000006</v>
      </c>
      <c r="V1070" s="38">
        <v>76.11</v>
      </c>
      <c r="W1070" s="38">
        <v>78.33</v>
      </c>
      <c r="X1070" s="38">
        <v>81.55</v>
      </c>
      <c r="Y1070" s="38">
        <v>84.1</v>
      </c>
      <c r="Z1070" s="38">
        <v>86.81</v>
      </c>
      <c r="AA1070" s="38">
        <v>90.39</v>
      </c>
      <c r="AB1070" s="38">
        <v>92.23</v>
      </c>
      <c r="AC1070" s="38">
        <v>85.41</v>
      </c>
      <c r="AD1070" s="38">
        <v>74.819999999999993</v>
      </c>
      <c r="AE1070" s="38">
        <v>71.739999999999995</v>
      </c>
      <c r="AF1070" s="38">
        <v>69.11</v>
      </c>
      <c r="AG1070" s="38">
        <v>68.34</v>
      </c>
      <c r="AH1070" s="38">
        <v>68.5</v>
      </c>
      <c r="AI1070" s="38">
        <v>70.87</v>
      </c>
      <c r="AJ1070" s="38">
        <v>75.34</v>
      </c>
      <c r="AK1070" s="38">
        <v>79.28</v>
      </c>
      <c r="AL1070" s="38">
        <v>82.76</v>
      </c>
      <c r="AM1070" s="38">
        <v>83.06</v>
      </c>
      <c r="AN1070" s="38">
        <v>82.07</v>
      </c>
      <c r="AO1070" s="38">
        <v>79.09</v>
      </c>
      <c r="AP1070" s="38">
        <v>75.510000000000005</v>
      </c>
      <c r="AQ1070" s="38">
        <v>71.87</v>
      </c>
      <c r="AR1070" s="38">
        <v>67.81</v>
      </c>
      <c r="AS1070" s="38">
        <v>60.56</v>
      </c>
      <c r="AT1070" s="38">
        <v>60.81</v>
      </c>
      <c r="AU1070" s="38">
        <v>63.95</v>
      </c>
      <c r="AV1070" s="38">
        <v>70.459999999999994</v>
      </c>
      <c r="AW1070" s="38">
        <v>74.05</v>
      </c>
      <c r="AX1070" s="38">
        <v>78.069999999999993</v>
      </c>
      <c r="AY1070" s="38">
        <v>83.39</v>
      </c>
      <c r="BA1070" s="37">
        <v>83.99</v>
      </c>
      <c r="BB1070" s="38">
        <v>1.2678</v>
      </c>
    </row>
    <row r="1071" spans="1:54" x14ac:dyDescent="0.35">
      <c r="A1071" s="2">
        <f t="shared" si="16"/>
        <v>45321</v>
      </c>
      <c r="B1071" t="s">
        <v>1664</v>
      </c>
      <c r="C1071" s="32">
        <v>45321</v>
      </c>
      <c r="D1071" s="38">
        <v>73.09</v>
      </c>
      <c r="E1071" s="38">
        <v>72.45</v>
      </c>
      <c r="F1071" s="38">
        <v>72.790000000000006</v>
      </c>
      <c r="G1071" s="38">
        <v>73.09</v>
      </c>
      <c r="H1071" s="38">
        <v>73.36</v>
      </c>
      <c r="I1071" s="38">
        <v>73.44</v>
      </c>
      <c r="J1071" s="38">
        <v>74</v>
      </c>
      <c r="K1071" s="38">
        <v>75.790000000000006</v>
      </c>
      <c r="L1071" s="38">
        <v>77.06</v>
      </c>
      <c r="M1071" s="38">
        <v>86.92</v>
      </c>
      <c r="N1071" s="38">
        <v>93.75</v>
      </c>
      <c r="O1071" s="38">
        <v>95.07</v>
      </c>
      <c r="P1071" s="38">
        <v>93.77</v>
      </c>
      <c r="Q1071" s="38">
        <v>89.65</v>
      </c>
      <c r="R1071" s="38">
        <v>83.38</v>
      </c>
      <c r="S1071" s="38">
        <v>78.510000000000005</v>
      </c>
      <c r="T1071" s="38">
        <v>75.28</v>
      </c>
      <c r="U1071" s="38">
        <v>75.31</v>
      </c>
      <c r="V1071" s="38">
        <v>77.03</v>
      </c>
      <c r="W1071" s="38">
        <v>79.260000000000005</v>
      </c>
      <c r="X1071" s="38">
        <v>82.26</v>
      </c>
      <c r="Y1071" s="38">
        <v>84.65</v>
      </c>
      <c r="Z1071" s="38">
        <v>87.36</v>
      </c>
      <c r="AA1071" s="38">
        <v>90.94</v>
      </c>
      <c r="AB1071" s="38">
        <v>92.78</v>
      </c>
      <c r="AC1071" s="38">
        <v>85.96</v>
      </c>
      <c r="AD1071" s="38">
        <v>75.14</v>
      </c>
      <c r="AE1071" s="38">
        <v>71.94</v>
      </c>
      <c r="AF1071" s="38">
        <v>69.31</v>
      </c>
      <c r="AG1071" s="38">
        <v>68.540000000000006</v>
      </c>
      <c r="AH1071" s="38">
        <v>68.7</v>
      </c>
      <c r="AI1071" s="38">
        <v>71.069999999999993</v>
      </c>
      <c r="AJ1071" s="38">
        <v>75.540000000000006</v>
      </c>
      <c r="AK1071" s="38">
        <v>79.48</v>
      </c>
      <c r="AL1071" s="38">
        <v>82.96</v>
      </c>
      <c r="AM1071" s="38">
        <v>83.26</v>
      </c>
      <c r="AN1071" s="38">
        <v>82.27</v>
      </c>
      <c r="AO1071" s="38">
        <v>79.290000000000006</v>
      </c>
      <c r="AP1071" s="38">
        <v>75.709999999999994</v>
      </c>
      <c r="AQ1071" s="38">
        <v>72.069999999999993</v>
      </c>
      <c r="AR1071" s="38">
        <v>68.010000000000005</v>
      </c>
      <c r="AS1071" s="38">
        <v>60.76</v>
      </c>
      <c r="AT1071" s="38">
        <v>61.01</v>
      </c>
      <c r="AU1071" s="38">
        <v>64.150000000000006</v>
      </c>
      <c r="AV1071" s="38">
        <v>70.66</v>
      </c>
      <c r="AW1071" s="38">
        <v>74.25</v>
      </c>
      <c r="AX1071" s="38">
        <v>78.27</v>
      </c>
      <c r="AY1071" s="38">
        <v>83.59</v>
      </c>
      <c r="BA1071" s="37">
        <v>84.14</v>
      </c>
      <c r="BB1071" s="38">
        <v>1.2665999999999999</v>
      </c>
    </row>
    <row r="1072" spans="1:54" x14ac:dyDescent="0.35">
      <c r="A1072" s="2">
        <f t="shared" si="16"/>
        <v>45322</v>
      </c>
      <c r="B1072" t="s">
        <v>1665</v>
      </c>
      <c r="C1072" s="32">
        <v>45322</v>
      </c>
      <c r="D1072" s="38">
        <v>74.3</v>
      </c>
      <c r="E1072" s="38">
        <v>74.53</v>
      </c>
      <c r="F1072" s="38">
        <v>74.55</v>
      </c>
      <c r="G1072" s="38">
        <v>74.77</v>
      </c>
      <c r="H1072" s="38">
        <v>74.819999999999993</v>
      </c>
      <c r="I1072" s="38">
        <v>75.28</v>
      </c>
      <c r="J1072" s="38">
        <v>77.08</v>
      </c>
      <c r="K1072" s="38">
        <v>78.430000000000007</v>
      </c>
      <c r="L1072" s="38">
        <v>87.81</v>
      </c>
      <c r="M1072" s="38">
        <v>94.64</v>
      </c>
      <c r="N1072" s="38">
        <v>95.89</v>
      </c>
      <c r="O1072" s="38">
        <v>94.74</v>
      </c>
      <c r="P1072" s="38">
        <v>90.62</v>
      </c>
      <c r="Q1072" s="38">
        <v>85.28</v>
      </c>
      <c r="R1072" s="38">
        <v>80.41</v>
      </c>
      <c r="S1072" s="38">
        <v>77.180000000000007</v>
      </c>
      <c r="T1072" s="38">
        <v>77.209999999999994</v>
      </c>
      <c r="U1072" s="38">
        <v>78.930000000000007</v>
      </c>
      <c r="V1072" s="38">
        <v>81.16</v>
      </c>
      <c r="W1072" s="38">
        <v>83.66</v>
      </c>
      <c r="X1072" s="38">
        <v>86.05</v>
      </c>
      <c r="Y1072" s="38">
        <v>88.76</v>
      </c>
      <c r="Z1072" s="38">
        <v>92.34</v>
      </c>
      <c r="AA1072" s="38">
        <v>94.18</v>
      </c>
      <c r="AB1072" s="38">
        <v>87.36</v>
      </c>
      <c r="AC1072" s="38">
        <v>75.84</v>
      </c>
      <c r="AD1072" s="38">
        <v>72.64</v>
      </c>
      <c r="AE1072" s="38">
        <v>70.010000000000005</v>
      </c>
      <c r="AF1072" s="38">
        <v>69.239999999999995</v>
      </c>
      <c r="AG1072" s="38">
        <v>69.400000000000006</v>
      </c>
      <c r="AH1072" s="38">
        <v>71.77</v>
      </c>
      <c r="AI1072" s="38">
        <v>75.69</v>
      </c>
      <c r="AJ1072" s="38">
        <v>79.23</v>
      </c>
      <c r="AK1072" s="38">
        <v>82.71</v>
      </c>
      <c r="AL1072" s="38">
        <v>84.88</v>
      </c>
      <c r="AM1072" s="38">
        <v>83.9</v>
      </c>
      <c r="AN1072" s="38">
        <v>80.92</v>
      </c>
      <c r="AO1072" s="38">
        <v>76.34</v>
      </c>
      <c r="AP1072" s="38">
        <v>72.7</v>
      </c>
      <c r="AQ1072" s="38">
        <v>68.64</v>
      </c>
      <c r="AR1072" s="38">
        <v>61.39</v>
      </c>
      <c r="AS1072" s="38">
        <v>61.64</v>
      </c>
      <c r="AT1072" s="38">
        <v>64.78</v>
      </c>
      <c r="AU1072" s="38">
        <v>70.790000000000006</v>
      </c>
      <c r="AV1072" s="38">
        <v>74.38</v>
      </c>
      <c r="AW1072" s="38">
        <v>78.400000000000006</v>
      </c>
      <c r="AX1072" s="38">
        <v>83.72</v>
      </c>
      <c r="AY1072" s="38">
        <v>84.64</v>
      </c>
      <c r="BA1072" s="37">
        <v>82.98</v>
      </c>
      <c r="BB1072" s="38">
        <v>1.2733000000000001</v>
      </c>
    </row>
    <row r="1073" spans="1:54" x14ac:dyDescent="0.35">
      <c r="A1073" s="2">
        <f t="shared" si="16"/>
        <v>45323</v>
      </c>
      <c r="B1073" t="s">
        <v>1666</v>
      </c>
      <c r="C1073" s="32">
        <v>45323</v>
      </c>
      <c r="D1073" s="38">
        <v>71.25</v>
      </c>
      <c r="E1073" s="38">
        <v>71.84</v>
      </c>
      <c r="F1073" s="38">
        <v>72.33</v>
      </c>
      <c r="G1073" s="38">
        <v>72.59</v>
      </c>
      <c r="H1073" s="38">
        <v>72.75</v>
      </c>
      <c r="I1073" s="38">
        <v>73.28</v>
      </c>
      <c r="J1073" s="38">
        <v>74.81</v>
      </c>
      <c r="K1073" s="38">
        <v>76.89</v>
      </c>
      <c r="L1073" s="38">
        <v>86.27</v>
      </c>
      <c r="M1073" s="38">
        <v>93.23</v>
      </c>
      <c r="N1073" s="38">
        <v>94.46</v>
      </c>
      <c r="O1073" s="38">
        <v>93.42</v>
      </c>
      <c r="P1073" s="38">
        <v>89.28</v>
      </c>
      <c r="Q1073" s="38">
        <v>84.02</v>
      </c>
      <c r="R1073" s="38">
        <v>79.64</v>
      </c>
      <c r="S1073" s="38">
        <v>76.400000000000006</v>
      </c>
      <c r="T1073" s="38">
        <v>76.42</v>
      </c>
      <c r="U1073" s="38">
        <v>78.14</v>
      </c>
      <c r="V1073" s="38">
        <v>80.36</v>
      </c>
      <c r="W1073" s="38">
        <v>83.91</v>
      </c>
      <c r="X1073" s="38">
        <v>86.3</v>
      </c>
      <c r="Y1073" s="38">
        <v>89.01</v>
      </c>
      <c r="Z1073" s="38">
        <v>92.02</v>
      </c>
      <c r="AA1073" s="38">
        <v>93.86</v>
      </c>
      <c r="AB1073" s="38">
        <v>87.04</v>
      </c>
      <c r="AC1073" s="38">
        <v>76.08</v>
      </c>
      <c r="AD1073" s="38">
        <v>72.88</v>
      </c>
      <c r="AE1073" s="38">
        <v>70.25</v>
      </c>
      <c r="AF1073" s="38">
        <v>69.75</v>
      </c>
      <c r="AG1073" s="38">
        <v>69.91</v>
      </c>
      <c r="AH1073" s="38">
        <v>72.28</v>
      </c>
      <c r="AI1073" s="38">
        <v>76.58</v>
      </c>
      <c r="AJ1073" s="38">
        <v>80.12</v>
      </c>
      <c r="AK1073" s="38">
        <v>83.6</v>
      </c>
      <c r="AL1073" s="38">
        <v>86.27</v>
      </c>
      <c r="AM1073" s="38">
        <v>85.29</v>
      </c>
      <c r="AN1073" s="38">
        <v>82.31</v>
      </c>
      <c r="AO1073" s="38">
        <v>77.23</v>
      </c>
      <c r="AP1073" s="38">
        <v>73.59</v>
      </c>
      <c r="AQ1073" s="38">
        <v>69.53</v>
      </c>
      <c r="AR1073" s="38">
        <v>62.28</v>
      </c>
      <c r="AS1073" s="38">
        <v>62.53</v>
      </c>
      <c r="AT1073" s="38">
        <v>65.67</v>
      </c>
      <c r="AU1073" s="38">
        <v>71.680000000000007</v>
      </c>
      <c r="AV1073" s="38">
        <v>75.27</v>
      </c>
      <c r="AW1073" s="38">
        <v>79.290000000000006</v>
      </c>
      <c r="AX1073" s="38">
        <v>84.61</v>
      </c>
      <c r="AY1073" s="38">
        <v>85.53</v>
      </c>
      <c r="BA1073" s="37">
        <v>82.2</v>
      </c>
      <c r="BB1073" s="38">
        <v>1.2682</v>
      </c>
    </row>
    <row r="1074" spans="1:54" x14ac:dyDescent="0.35">
      <c r="A1074" s="2">
        <f t="shared" si="16"/>
        <v>45324</v>
      </c>
      <c r="B1074" t="s">
        <v>1667</v>
      </c>
      <c r="C1074" s="32">
        <v>45324</v>
      </c>
      <c r="D1074" s="38">
        <v>71.48</v>
      </c>
      <c r="E1074" s="38">
        <v>71.989999999999995</v>
      </c>
      <c r="F1074" s="38">
        <v>72.459999999999994</v>
      </c>
      <c r="G1074" s="38">
        <v>72.7</v>
      </c>
      <c r="H1074" s="38">
        <v>72.91</v>
      </c>
      <c r="I1074" s="38">
        <v>73.37</v>
      </c>
      <c r="J1074" s="38">
        <v>74.900000000000006</v>
      </c>
      <c r="K1074" s="38">
        <v>76.81</v>
      </c>
      <c r="L1074" s="38">
        <v>86.19</v>
      </c>
      <c r="M1074" s="38">
        <v>93.15</v>
      </c>
      <c r="N1074" s="38">
        <v>94.5</v>
      </c>
      <c r="O1074" s="38">
        <v>93.46</v>
      </c>
      <c r="P1074" s="38">
        <v>89.32</v>
      </c>
      <c r="Q1074" s="38">
        <v>83.82</v>
      </c>
      <c r="R1074" s="38">
        <v>79.44</v>
      </c>
      <c r="S1074" s="38">
        <v>76.2</v>
      </c>
      <c r="T1074" s="38">
        <v>76.22</v>
      </c>
      <c r="U1074" s="38">
        <v>77.94</v>
      </c>
      <c r="V1074" s="38">
        <v>80.16</v>
      </c>
      <c r="W1074" s="38">
        <v>83.56</v>
      </c>
      <c r="X1074" s="38">
        <v>85.95</v>
      </c>
      <c r="Y1074" s="38">
        <v>88.66</v>
      </c>
      <c r="Z1074" s="38">
        <v>91.67</v>
      </c>
      <c r="AA1074" s="38">
        <v>93.51</v>
      </c>
      <c r="AB1074" s="38">
        <v>86.69</v>
      </c>
      <c r="AC1074" s="38">
        <v>76.849999999999994</v>
      </c>
      <c r="AD1074" s="38">
        <v>73.650000000000006</v>
      </c>
      <c r="AE1074" s="38">
        <v>71.02</v>
      </c>
      <c r="AF1074" s="38">
        <v>70.31</v>
      </c>
      <c r="AG1074" s="38">
        <v>70.47</v>
      </c>
      <c r="AH1074" s="38">
        <v>72.84</v>
      </c>
      <c r="AI1074" s="38">
        <v>76.739999999999995</v>
      </c>
      <c r="AJ1074" s="38">
        <v>80.28</v>
      </c>
      <c r="AK1074" s="38">
        <v>83.76</v>
      </c>
      <c r="AL1074" s="38">
        <v>86.43</v>
      </c>
      <c r="AM1074" s="38">
        <v>85.45</v>
      </c>
      <c r="AN1074" s="38">
        <v>82.47</v>
      </c>
      <c r="AO1074" s="38">
        <v>77.39</v>
      </c>
      <c r="AP1074" s="38">
        <v>73.75</v>
      </c>
      <c r="AQ1074" s="38">
        <v>69.69</v>
      </c>
      <c r="AR1074" s="38">
        <v>62.44</v>
      </c>
      <c r="AS1074" s="38">
        <v>62.69</v>
      </c>
      <c r="AT1074" s="38">
        <v>65.83</v>
      </c>
      <c r="AU1074" s="38">
        <v>71.34</v>
      </c>
      <c r="AV1074" s="38">
        <v>74.930000000000007</v>
      </c>
      <c r="AW1074" s="38">
        <v>78.95</v>
      </c>
      <c r="AX1074" s="38">
        <v>84.27</v>
      </c>
      <c r="AY1074" s="38">
        <v>85.19</v>
      </c>
      <c r="BA1074" s="37">
        <v>79.540000000000006</v>
      </c>
      <c r="BB1074" s="38">
        <v>1.2657</v>
      </c>
    </row>
    <row r="1075" spans="1:54" x14ac:dyDescent="0.35">
      <c r="A1075" s="2">
        <f t="shared" si="16"/>
        <v>45327</v>
      </c>
      <c r="B1075" t="s">
        <v>1668</v>
      </c>
      <c r="C1075" s="32">
        <v>45327</v>
      </c>
      <c r="D1075" s="38">
        <v>69.33</v>
      </c>
      <c r="E1075" s="38">
        <v>69.81</v>
      </c>
      <c r="F1075" s="38">
        <v>70.33</v>
      </c>
      <c r="G1075" s="38">
        <v>70.64</v>
      </c>
      <c r="H1075" s="38">
        <v>70.81</v>
      </c>
      <c r="I1075" s="38">
        <v>71.239999999999995</v>
      </c>
      <c r="J1075" s="38">
        <v>72.77</v>
      </c>
      <c r="K1075" s="38">
        <v>74.709999999999994</v>
      </c>
      <c r="L1075" s="38">
        <v>83.96</v>
      </c>
      <c r="M1075" s="38">
        <v>90.96</v>
      </c>
      <c r="N1075" s="38">
        <v>92.34</v>
      </c>
      <c r="O1075" s="38">
        <v>91.3</v>
      </c>
      <c r="P1075" s="38">
        <v>87.18</v>
      </c>
      <c r="Q1075" s="38">
        <v>81.77</v>
      </c>
      <c r="R1075" s="38">
        <v>77.39</v>
      </c>
      <c r="S1075" s="38">
        <v>74.209999999999994</v>
      </c>
      <c r="T1075" s="38">
        <v>74.31</v>
      </c>
      <c r="U1075" s="38">
        <v>76.099999999999994</v>
      </c>
      <c r="V1075" s="38">
        <v>78.180000000000007</v>
      </c>
      <c r="W1075" s="38">
        <v>81.760000000000005</v>
      </c>
      <c r="X1075" s="38">
        <v>84.15</v>
      </c>
      <c r="Y1075" s="38">
        <v>86.86</v>
      </c>
      <c r="Z1075" s="38">
        <v>89.87</v>
      </c>
      <c r="AA1075" s="38">
        <v>91.71</v>
      </c>
      <c r="AB1075" s="38">
        <v>84.88</v>
      </c>
      <c r="AC1075" s="38">
        <v>75.41</v>
      </c>
      <c r="AD1075" s="38">
        <v>71.959999999999994</v>
      </c>
      <c r="AE1075" s="38">
        <v>69.33</v>
      </c>
      <c r="AF1075" s="38">
        <v>68.709999999999994</v>
      </c>
      <c r="AG1075" s="38">
        <v>68.87</v>
      </c>
      <c r="AH1075" s="38">
        <v>71.239999999999995</v>
      </c>
      <c r="AI1075" s="38">
        <v>75.56</v>
      </c>
      <c r="AJ1075" s="38">
        <v>79.099999999999994</v>
      </c>
      <c r="AK1075" s="38">
        <v>82.58</v>
      </c>
      <c r="AL1075" s="38">
        <v>85.34</v>
      </c>
      <c r="AM1075" s="38">
        <v>84.75</v>
      </c>
      <c r="AN1075" s="38">
        <v>82.12</v>
      </c>
      <c r="AO1075" s="38">
        <v>77.489999999999995</v>
      </c>
      <c r="AP1075" s="38">
        <v>73.849999999999994</v>
      </c>
      <c r="AQ1075" s="38">
        <v>69.790000000000006</v>
      </c>
      <c r="AR1075" s="38">
        <v>62.54</v>
      </c>
      <c r="AS1075" s="38">
        <v>62.79</v>
      </c>
      <c r="AT1075" s="38">
        <v>65.930000000000007</v>
      </c>
      <c r="AU1075" s="38">
        <v>71.44</v>
      </c>
      <c r="AV1075" s="38">
        <v>75.03</v>
      </c>
      <c r="AW1075" s="38">
        <v>79.05</v>
      </c>
      <c r="AX1075" s="38">
        <v>84.37</v>
      </c>
      <c r="AY1075" s="38">
        <v>85.29</v>
      </c>
      <c r="BA1075" s="37">
        <v>79.3</v>
      </c>
      <c r="BB1075" s="38">
        <v>1.2521</v>
      </c>
    </row>
    <row r="1076" spans="1:54" x14ac:dyDescent="0.35">
      <c r="A1076" s="2">
        <f t="shared" si="16"/>
        <v>45328</v>
      </c>
      <c r="B1076" t="s">
        <v>1669</v>
      </c>
      <c r="C1076" s="32">
        <v>45328</v>
      </c>
      <c r="D1076" s="38">
        <v>70.09</v>
      </c>
      <c r="E1076" s="38">
        <v>70.47</v>
      </c>
      <c r="F1076" s="38">
        <v>70.69</v>
      </c>
      <c r="G1076" s="38">
        <v>70.930000000000007</v>
      </c>
      <c r="H1076" s="38">
        <v>71</v>
      </c>
      <c r="I1076" s="38">
        <v>71.400000000000006</v>
      </c>
      <c r="J1076" s="38">
        <v>72.95</v>
      </c>
      <c r="K1076" s="38">
        <v>74.239999999999995</v>
      </c>
      <c r="L1076" s="38">
        <v>83.67</v>
      </c>
      <c r="M1076" s="38">
        <v>90.62</v>
      </c>
      <c r="N1076" s="38">
        <v>91.98</v>
      </c>
      <c r="O1076" s="38">
        <v>90.88</v>
      </c>
      <c r="P1076" s="38">
        <v>86.68</v>
      </c>
      <c r="Q1076" s="38">
        <v>81.38</v>
      </c>
      <c r="R1076" s="38">
        <v>76.81</v>
      </c>
      <c r="S1076" s="38">
        <v>73.61</v>
      </c>
      <c r="T1076" s="38">
        <v>73.930000000000007</v>
      </c>
      <c r="U1076" s="38">
        <v>75.430000000000007</v>
      </c>
      <c r="V1076" s="38">
        <v>77.53</v>
      </c>
      <c r="W1076" s="38">
        <v>81</v>
      </c>
      <c r="X1076" s="38">
        <v>83.41</v>
      </c>
      <c r="Y1076" s="38">
        <v>86.13</v>
      </c>
      <c r="Z1076" s="38">
        <v>89.21</v>
      </c>
      <c r="AA1076" s="38">
        <v>91.25</v>
      </c>
      <c r="AB1076" s="38">
        <v>84.65</v>
      </c>
      <c r="AC1076" s="38">
        <v>75.569999999999993</v>
      </c>
      <c r="AD1076" s="38">
        <v>72.12</v>
      </c>
      <c r="AE1076" s="38">
        <v>69.489999999999995</v>
      </c>
      <c r="AF1076" s="38">
        <v>68.989999999999995</v>
      </c>
      <c r="AG1076" s="38">
        <v>69.16</v>
      </c>
      <c r="AH1076" s="38">
        <v>71.3</v>
      </c>
      <c r="AI1076" s="38">
        <v>75.28</v>
      </c>
      <c r="AJ1076" s="38">
        <v>78.819999999999993</v>
      </c>
      <c r="AK1076" s="38">
        <v>82.3</v>
      </c>
      <c r="AL1076" s="38">
        <v>84.55</v>
      </c>
      <c r="AM1076" s="38">
        <v>83.96</v>
      </c>
      <c r="AN1076" s="38">
        <v>81.33</v>
      </c>
      <c r="AO1076" s="38">
        <v>76.7</v>
      </c>
      <c r="AP1076" s="38">
        <v>73.06</v>
      </c>
      <c r="AQ1076" s="38">
        <v>69</v>
      </c>
      <c r="AR1076" s="38">
        <v>61.75</v>
      </c>
      <c r="AS1076" s="38">
        <v>62</v>
      </c>
      <c r="AT1076" s="38">
        <v>65.14</v>
      </c>
      <c r="AU1076" s="38">
        <v>70.650000000000006</v>
      </c>
      <c r="AV1076" s="38">
        <v>74.239999999999995</v>
      </c>
      <c r="AW1076" s="38">
        <v>78.28</v>
      </c>
      <c r="AX1076" s="38">
        <v>83.6</v>
      </c>
      <c r="AY1076" s="38">
        <v>84.52</v>
      </c>
      <c r="BA1076" s="37">
        <v>80.459999999999994</v>
      </c>
      <c r="BB1076" s="38">
        <v>1.2577</v>
      </c>
    </row>
    <row r="1077" spans="1:54" x14ac:dyDescent="0.35">
      <c r="A1077" s="2">
        <f t="shared" si="16"/>
        <v>45329</v>
      </c>
      <c r="B1077" t="s">
        <v>1670</v>
      </c>
      <c r="C1077" s="32">
        <v>45329</v>
      </c>
      <c r="D1077" s="38">
        <v>68.98</v>
      </c>
      <c r="E1077" s="38">
        <v>69.290000000000006</v>
      </c>
      <c r="F1077" s="38">
        <v>69.510000000000005</v>
      </c>
      <c r="G1077" s="38">
        <v>69.72</v>
      </c>
      <c r="H1077" s="38">
        <v>69.77</v>
      </c>
      <c r="I1077" s="38">
        <v>70.17</v>
      </c>
      <c r="J1077" s="38">
        <v>71.81</v>
      </c>
      <c r="K1077" s="38">
        <v>73.52</v>
      </c>
      <c r="L1077" s="38">
        <v>81.52</v>
      </c>
      <c r="M1077" s="38">
        <v>88.02</v>
      </c>
      <c r="N1077" s="38">
        <v>89.77</v>
      </c>
      <c r="O1077" s="38">
        <v>89.28</v>
      </c>
      <c r="P1077" s="38">
        <v>85.48</v>
      </c>
      <c r="Q1077" s="38">
        <v>80.180000000000007</v>
      </c>
      <c r="R1077" s="38">
        <v>75.66</v>
      </c>
      <c r="S1077" s="38">
        <v>72.459999999999994</v>
      </c>
      <c r="T1077" s="38">
        <v>72.78</v>
      </c>
      <c r="U1077" s="38">
        <v>74.28</v>
      </c>
      <c r="V1077" s="38">
        <v>76.38</v>
      </c>
      <c r="W1077" s="38">
        <v>79.97</v>
      </c>
      <c r="X1077" s="38">
        <v>82.38</v>
      </c>
      <c r="Y1077" s="38">
        <v>85.1</v>
      </c>
      <c r="Z1077" s="38">
        <v>88.22</v>
      </c>
      <c r="AA1077" s="38">
        <v>90.26</v>
      </c>
      <c r="AB1077" s="38">
        <v>83.66</v>
      </c>
      <c r="AC1077" s="38">
        <v>74.58</v>
      </c>
      <c r="AD1077" s="38">
        <v>71.13</v>
      </c>
      <c r="AE1077" s="38">
        <v>68.5</v>
      </c>
      <c r="AF1077" s="38">
        <v>68.28</v>
      </c>
      <c r="AG1077" s="38">
        <v>68.31</v>
      </c>
      <c r="AH1077" s="38">
        <v>70.040000000000006</v>
      </c>
      <c r="AI1077" s="38">
        <v>74.459999999999994</v>
      </c>
      <c r="AJ1077" s="38">
        <v>78</v>
      </c>
      <c r="AK1077" s="38">
        <v>81.48</v>
      </c>
      <c r="AL1077" s="38">
        <v>83.73</v>
      </c>
      <c r="AM1077" s="38">
        <v>83.14</v>
      </c>
      <c r="AN1077" s="38">
        <v>80.510000000000005</v>
      </c>
      <c r="AO1077" s="38">
        <v>75.989999999999995</v>
      </c>
      <c r="AP1077" s="38">
        <v>72.349999999999994</v>
      </c>
      <c r="AQ1077" s="38">
        <v>68.290000000000006</v>
      </c>
      <c r="AR1077" s="38">
        <v>61.04</v>
      </c>
      <c r="AS1077" s="38">
        <v>61.29</v>
      </c>
      <c r="AT1077" s="38">
        <v>64.430000000000007</v>
      </c>
      <c r="AU1077" s="38">
        <v>69.94</v>
      </c>
      <c r="AV1077" s="38">
        <v>73.53</v>
      </c>
      <c r="AW1077" s="38">
        <v>77.569999999999993</v>
      </c>
      <c r="AX1077" s="38">
        <v>82.89</v>
      </c>
      <c r="AY1077" s="38">
        <v>83.81</v>
      </c>
      <c r="BA1077" s="37">
        <v>81.180000000000007</v>
      </c>
      <c r="BB1077" s="38">
        <v>1.2632000000000001</v>
      </c>
    </row>
    <row r="1078" spans="1:54" x14ac:dyDescent="0.35">
      <c r="A1078" s="2">
        <f t="shared" si="16"/>
        <v>45330</v>
      </c>
      <c r="B1078" t="s">
        <v>1671</v>
      </c>
      <c r="C1078" s="32">
        <v>45330</v>
      </c>
      <c r="D1078" s="38">
        <v>68.349999999999994</v>
      </c>
      <c r="E1078" s="38">
        <v>68.42</v>
      </c>
      <c r="F1078" s="38">
        <v>68.510000000000005</v>
      </c>
      <c r="G1078" s="38">
        <v>68.77</v>
      </c>
      <c r="H1078" s="38">
        <v>68.89</v>
      </c>
      <c r="I1078" s="38">
        <v>69.37</v>
      </c>
      <c r="J1078" s="38">
        <v>70.87</v>
      </c>
      <c r="K1078" s="38">
        <v>72.12</v>
      </c>
      <c r="L1078" s="38">
        <v>80.13</v>
      </c>
      <c r="M1078" s="38">
        <v>86.67</v>
      </c>
      <c r="N1078" s="38">
        <v>87.97</v>
      </c>
      <c r="O1078" s="38">
        <v>86.97</v>
      </c>
      <c r="P1078" s="38">
        <v>82.97</v>
      </c>
      <c r="Q1078" s="38">
        <v>77.67</v>
      </c>
      <c r="R1078" s="38">
        <v>73.209999999999994</v>
      </c>
      <c r="S1078" s="38">
        <v>70.010000000000005</v>
      </c>
      <c r="T1078" s="38">
        <v>70.14</v>
      </c>
      <c r="U1078" s="38">
        <v>71.680000000000007</v>
      </c>
      <c r="V1078" s="38">
        <v>74.069999999999993</v>
      </c>
      <c r="W1078" s="38">
        <v>78.19</v>
      </c>
      <c r="X1078" s="38">
        <v>80.790000000000006</v>
      </c>
      <c r="Y1078" s="38">
        <v>83.17</v>
      </c>
      <c r="Z1078" s="38">
        <v>86.06</v>
      </c>
      <c r="AA1078" s="38">
        <v>87.91</v>
      </c>
      <c r="AB1078" s="38">
        <v>81.31</v>
      </c>
      <c r="AC1078" s="38">
        <v>72.709999999999994</v>
      </c>
      <c r="AD1078" s="38">
        <v>69.260000000000005</v>
      </c>
      <c r="AE1078" s="38">
        <v>66.63</v>
      </c>
      <c r="AF1078" s="38">
        <v>66.430000000000007</v>
      </c>
      <c r="AG1078" s="38">
        <v>66.459999999999994</v>
      </c>
      <c r="AH1078" s="38">
        <v>68.430000000000007</v>
      </c>
      <c r="AI1078" s="38">
        <v>72.94</v>
      </c>
      <c r="AJ1078" s="38">
        <v>76.7</v>
      </c>
      <c r="AK1078" s="38">
        <v>80.180000000000007</v>
      </c>
      <c r="AL1078" s="38">
        <v>82.66</v>
      </c>
      <c r="AM1078" s="38">
        <v>82.07</v>
      </c>
      <c r="AN1078" s="38">
        <v>79.44</v>
      </c>
      <c r="AO1078" s="38">
        <v>75.02</v>
      </c>
      <c r="AP1078" s="38">
        <v>71.38</v>
      </c>
      <c r="AQ1078" s="38">
        <v>67.319999999999993</v>
      </c>
      <c r="AR1078" s="38">
        <v>60.07</v>
      </c>
      <c r="AS1078" s="38">
        <v>60.83</v>
      </c>
      <c r="AT1078" s="38">
        <v>63.97</v>
      </c>
      <c r="AU1078" s="38">
        <v>69.48</v>
      </c>
      <c r="AV1078" s="38">
        <v>73.650000000000006</v>
      </c>
      <c r="AW1078" s="38">
        <v>77.69</v>
      </c>
      <c r="AX1078" s="38">
        <v>83.01</v>
      </c>
      <c r="AY1078" s="38">
        <v>83.93</v>
      </c>
      <c r="BA1078" s="37">
        <v>83.01</v>
      </c>
      <c r="BB1078" s="38">
        <v>1.2605</v>
      </c>
    </row>
    <row r="1079" spans="1:54" x14ac:dyDescent="0.35">
      <c r="A1079" s="2">
        <f t="shared" si="16"/>
        <v>45331</v>
      </c>
      <c r="B1079" t="s">
        <v>1672</v>
      </c>
      <c r="C1079" s="32">
        <v>45331</v>
      </c>
      <c r="D1079" s="38">
        <v>66.42</v>
      </c>
      <c r="E1079" s="38">
        <v>66.540000000000006</v>
      </c>
      <c r="F1079" s="38">
        <v>66.77</v>
      </c>
      <c r="G1079" s="38">
        <v>67.010000000000005</v>
      </c>
      <c r="H1079" s="38">
        <v>67.22</v>
      </c>
      <c r="I1079" s="38">
        <v>67.59</v>
      </c>
      <c r="J1079" s="38">
        <v>69.12</v>
      </c>
      <c r="K1079" s="38">
        <v>70.31</v>
      </c>
      <c r="L1079" s="38">
        <v>78.08</v>
      </c>
      <c r="M1079" s="38">
        <v>84.34</v>
      </c>
      <c r="N1079" s="38">
        <v>85.26</v>
      </c>
      <c r="O1079" s="38">
        <v>84.3</v>
      </c>
      <c r="P1079" s="38">
        <v>80.39</v>
      </c>
      <c r="Q1079" s="38">
        <v>75.41</v>
      </c>
      <c r="R1079" s="38">
        <v>71.069999999999993</v>
      </c>
      <c r="S1079" s="38">
        <v>67.73</v>
      </c>
      <c r="T1079" s="38">
        <v>67.8</v>
      </c>
      <c r="U1079" s="38">
        <v>69.34</v>
      </c>
      <c r="V1079" s="38">
        <v>71.8</v>
      </c>
      <c r="W1079" s="38">
        <v>75.92</v>
      </c>
      <c r="X1079" s="38">
        <v>78.52</v>
      </c>
      <c r="Y1079" s="38">
        <v>80.900000000000006</v>
      </c>
      <c r="Z1079" s="38">
        <v>83.79</v>
      </c>
      <c r="AA1079" s="38">
        <v>85.64</v>
      </c>
      <c r="AB1079" s="38">
        <v>79.290000000000006</v>
      </c>
      <c r="AC1079" s="38">
        <v>71.290000000000006</v>
      </c>
      <c r="AD1079" s="38">
        <v>68.010000000000005</v>
      </c>
      <c r="AE1079" s="38">
        <v>65.38</v>
      </c>
      <c r="AF1079" s="38">
        <v>65.180000000000007</v>
      </c>
      <c r="AG1079" s="38">
        <v>65.209999999999994</v>
      </c>
      <c r="AH1079" s="38">
        <v>67.180000000000007</v>
      </c>
      <c r="AI1079" s="38">
        <v>71.760000000000005</v>
      </c>
      <c r="AJ1079" s="38">
        <v>75.52</v>
      </c>
      <c r="AK1079" s="38">
        <v>78.78</v>
      </c>
      <c r="AL1079" s="38">
        <v>80.98</v>
      </c>
      <c r="AM1079" s="38">
        <v>80.39</v>
      </c>
      <c r="AN1079" s="38">
        <v>77.900000000000006</v>
      </c>
      <c r="AO1079" s="38">
        <v>73.72</v>
      </c>
      <c r="AP1079" s="38">
        <v>70.17</v>
      </c>
      <c r="AQ1079" s="38">
        <v>66.11</v>
      </c>
      <c r="AR1079" s="38">
        <v>58.86</v>
      </c>
      <c r="AS1079" s="38">
        <v>59.62</v>
      </c>
      <c r="AT1079" s="38">
        <v>62.76</v>
      </c>
      <c r="AU1079" s="38">
        <v>68.27</v>
      </c>
      <c r="AV1079" s="38">
        <v>72.44</v>
      </c>
      <c r="AW1079" s="38">
        <v>76.48</v>
      </c>
      <c r="AX1079" s="38">
        <v>81.8</v>
      </c>
      <c r="AY1079" s="38">
        <v>82.72</v>
      </c>
      <c r="BA1079" s="37">
        <v>83.58</v>
      </c>
      <c r="BB1079" s="38">
        <v>1.2632000000000001</v>
      </c>
    </row>
    <row r="1080" spans="1:54" x14ac:dyDescent="0.35">
      <c r="A1080" s="2">
        <f t="shared" si="16"/>
        <v>45334</v>
      </c>
      <c r="B1080" t="s">
        <v>1673</v>
      </c>
      <c r="C1080" s="32">
        <v>45334</v>
      </c>
      <c r="D1080" s="38">
        <v>62.65</v>
      </c>
      <c r="E1080" s="38">
        <v>62.81</v>
      </c>
      <c r="F1080" s="38">
        <v>63.37</v>
      </c>
      <c r="G1080" s="38">
        <v>63.87</v>
      </c>
      <c r="H1080" s="38">
        <v>64.209999999999994</v>
      </c>
      <c r="I1080" s="38">
        <v>64.930000000000007</v>
      </c>
      <c r="J1080" s="38">
        <v>66.62</v>
      </c>
      <c r="K1080" s="38">
        <v>68.08</v>
      </c>
      <c r="L1080" s="38">
        <v>76.150000000000006</v>
      </c>
      <c r="M1080" s="38">
        <v>82.41</v>
      </c>
      <c r="N1080" s="38">
        <v>83.72</v>
      </c>
      <c r="O1080" s="38">
        <v>82.76</v>
      </c>
      <c r="P1080" s="38">
        <v>78.459999999999994</v>
      </c>
      <c r="Q1080" s="38">
        <v>74.56</v>
      </c>
      <c r="R1080" s="38">
        <v>70.22</v>
      </c>
      <c r="S1080" s="38">
        <v>66.88</v>
      </c>
      <c r="T1080" s="38">
        <v>66.95</v>
      </c>
      <c r="U1080" s="38">
        <v>68.489999999999995</v>
      </c>
      <c r="V1080" s="38">
        <v>70.95</v>
      </c>
      <c r="W1080" s="38">
        <v>74.95</v>
      </c>
      <c r="X1080" s="38">
        <v>77.55</v>
      </c>
      <c r="Y1080" s="38">
        <v>79.930000000000007</v>
      </c>
      <c r="Z1080" s="38">
        <v>82.82</v>
      </c>
      <c r="AA1080" s="38">
        <v>84.67</v>
      </c>
      <c r="AB1080" s="38">
        <v>78.319999999999993</v>
      </c>
      <c r="AC1080" s="38">
        <v>70.72</v>
      </c>
      <c r="AD1080" s="38">
        <v>67.44</v>
      </c>
      <c r="AE1080" s="38">
        <v>64.81</v>
      </c>
      <c r="AF1080" s="38">
        <v>64.61</v>
      </c>
      <c r="AG1080" s="38">
        <v>64.64</v>
      </c>
      <c r="AH1080" s="38">
        <v>66.61</v>
      </c>
      <c r="AI1080" s="38">
        <v>71.59</v>
      </c>
      <c r="AJ1080" s="38">
        <v>75.349999999999994</v>
      </c>
      <c r="AK1080" s="38">
        <v>78.61</v>
      </c>
      <c r="AL1080" s="38">
        <v>80.81</v>
      </c>
      <c r="AM1080" s="38">
        <v>80.22</v>
      </c>
      <c r="AN1080" s="38">
        <v>77.73</v>
      </c>
      <c r="AO1080" s="38">
        <v>73.55</v>
      </c>
      <c r="AP1080" s="38">
        <v>70</v>
      </c>
      <c r="AQ1080" s="38">
        <v>65.94</v>
      </c>
      <c r="AR1080" s="38">
        <v>58.69</v>
      </c>
      <c r="AS1080" s="38">
        <v>59.45</v>
      </c>
      <c r="AT1080" s="38">
        <v>62.59</v>
      </c>
      <c r="AU1080" s="38">
        <v>68.099999999999994</v>
      </c>
      <c r="AV1080" s="38">
        <v>72.27</v>
      </c>
      <c r="AW1080" s="38">
        <v>76.31</v>
      </c>
      <c r="AX1080" s="38">
        <v>81.63</v>
      </c>
      <c r="AY1080" s="38">
        <v>82.55</v>
      </c>
      <c r="BA1080" s="37">
        <v>83.88</v>
      </c>
      <c r="BB1080" s="38">
        <v>1.2615000000000001</v>
      </c>
    </row>
    <row r="1081" spans="1:54" x14ac:dyDescent="0.35">
      <c r="A1081" s="2">
        <f t="shared" si="16"/>
        <v>45335</v>
      </c>
      <c r="B1081" t="s">
        <v>1674</v>
      </c>
      <c r="C1081" s="32">
        <v>45335</v>
      </c>
      <c r="D1081" s="38">
        <v>62.19</v>
      </c>
      <c r="E1081" s="38">
        <v>61.86</v>
      </c>
      <c r="F1081" s="38">
        <v>62.39</v>
      </c>
      <c r="G1081" s="38">
        <v>62.98</v>
      </c>
      <c r="H1081" s="38">
        <v>63.13</v>
      </c>
      <c r="I1081" s="38">
        <v>63.85</v>
      </c>
      <c r="J1081" s="38">
        <v>65.540000000000006</v>
      </c>
      <c r="K1081" s="38">
        <v>66.680000000000007</v>
      </c>
      <c r="L1081" s="38">
        <v>74.53</v>
      </c>
      <c r="M1081" s="38">
        <v>80.790000000000006</v>
      </c>
      <c r="N1081" s="38">
        <v>82.24</v>
      </c>
      <c r="O1081" s="38">
        <v>81.78</v>
      </c>
      <c r="P1081" s="38">
        <v>77.78</v>
      </c>
      <c r="Q1081" s="38">
        <v>73.680000000000007</v>
      </c>
      <c r="R1081" s="38">
        <v>69.64</v>
      </c>
      <c r="S1081" s="38">
        <v>66.3</v>
      </c>
      <c r="T1081" s="38">
        <v>67.010000000000005</v>
      </c>
      <c r="U1081" s="38">
        <v>68.55</v>
      </c>
      <c r="V1081" s="38">
        <v>71.010000000000005</v>
      </c>
      <c r="W1081" s="38">
        <v>74.64</v>
      </c>
      <c r="X1081" s="38">
        <v>77.260000000000005</v>
      </c>
      <c r="Y1081" s="38">
        <v>79.650000000000006</v>
      </c>
      <c r="Z1081" s="38">
        <v>82.54</v>
      </c>
      <c r="AA1081" s="38">
        <v>84.39</v>
      </c>
      <c r="AB1081" s="38">
        <v>78.040000000000006</v>
      </c>
      <c r="AC1081" s="38">
        <v>70.44</v>
      </c>
      <c r="AD1081" s="38">
        <v>67.16</v>
      </c>
      <c r="AE1081" s="38">
        <v>64.53</v>
      </c>
      <c r="AF1081" s="38">
        <v>64.34</v>
      </c>
      <c r="AG1081" s="38">
        <v>64.37</v>
      </c>
      <c r="AH1081" s="38">
        <v>66.34</v>
      </c>
      <c r="AI1081" s="38">
        <v>71.319999999999993</v>
      </c>
      <c r="AJ1081" s="38">
        <v>75.08</v>
      </c>
      <c r="AK1081" s="38">
        <v>78.349999999999994</v>
      </c>
      <c r="AL1081" s="38">
        <v>80.55</v>
      </c>
      <c r="AM1081" s="38">
        <v>79.959999999999994</v>
      </c>
      <c r="AN1081" s="38">
        <v>77.47</v>
      </c>
      <c r="AO1081" s="38">
        <v>73.3</v>
      </c>
      <c r="AP1081" s="38">
        <v>69.75</v>
      </c>
      <c r="AQ1081" s="38">
        <v>65.69</v>
      </c>
      <c r="AR1081" s="38">
        <v>58.44</v>
      </c>
      <c r="AS1081" s="38">
        <v>59.21</v>
      </c>
      <c r="AT1081" s="38">
        <v>62.35</v>
      </c>
      <c r="AU1081" s="38">
        <v>67.86</v>
      </c>
      <c r="AV1081" s="38">
        <v>72.040000000000006</v>
      </c>
      <c r="AW1081" s="38">
        <v>76.08</v>
      </c>
      <c r="AX1081" s="38">
        <v>81.41</v>
      </c>
      <c r="AY1081" s="38">
        <v>82.33</v>
      </c>
      <c r="BA1081" s="37">
        <v>84.72</v>
      </c>
      <c r="BB1081" s="38">
        <v>1.2601</v>
      </c>
    </row>
    <row r="1082" spans="1:54" x14ac:dyDescent="0.35">
      <c r="A1082" s="2">
        <f t="shared" si="16"/>
        <v>45336</v>
      </c>
      <c r="B1082" t="s">
        <v>1675</v>
      </c>
      <c r="C1082" s="32">
        <v>45336</v>
      </c>
      <c r="D1082" s="38">
        <v>61.07</v>
      </c>
      <c r="E1082" s="38">
        <v>60.63</v>
      </c>
      <c r="F1082" s="38">
        <v>61.25</v>
      </c>
      <c r="G1082" s="38">
        <v>61.83</v>
      </c>
      <c r="H1082" s="38">
        <v>62.11</v>
      </c>
      <c r="I1082" s="38">
        <v>62.71</v>
      </c>
      <c r="J1082" s="38">
        <v>64.599999999999994</v>
      </c>
      <c r="K1082" s="38">
        <v>65.739999999999995</v>
      </c>
      <c r="L1082" s="38">
        <v>73.09</v>
      </c>
      <c r="M1082" s="38">
        <v>79.349999999999994</v>
      </c>
      <c r="N1082" s="38">
        <v>80.5</v>
      </c>
      <c r="O1082" s="38">
        <v>80.040000000000006</v>
      </c>
      <c r="P1082" s="38">
        <v>76.14</v>
      </c>
      <c r="Q1082" s="38">
        <v>72.14</v>
      </c>
      <c r="R1082" s="38">
        <v>68.290000000000006</v>
      </c>
      <c r="S1082" s="38">
        <v>64.95</v>
      </c>
      <c r="T1082" s="38">
        <v>65.66</v>
      </c>
      <c r="U1082" s="38">
        <v>67.2</v>
      </c>
      <c r="V1082" s="38">
        <v>69.66</v>
      </c>
      <c r="W1082" s="38">
        <v>72.89</v>
      </c>
      <c r="X1082" s="38">
        <v>75.510000000000005</v>
      </c>
      <c r="Y1082" s="38">
        <v>78.400000000000006</v>
      </c>
      <c r="Z1082" s="38">
        <v>81.290000000000006</v>
      </c>
      <c r="AA1082" s="38">
        <v>83.14</v>
      </c>
      <c r="AB1082" s="38">
        <v>76.790000000000006</v>
      </c>
      <c r="AC1082" s="38">
        <v>69.790000000000006</v>
      </c>
      <c r="AD1082" s="38">
        <v>66.510000000000005</v>
      </c>
      <c r="AE1082" s="38">
        <v>63.88</v>
      </c>
      <c r="AF1082" s="38">
        <v>64.09</v>
      </c>
      <c r="AG1082" s="38">
        <v>64.42</v>
      </c>
      <c r="AH1082" s="38">
        <v>66.39</v>
      </c>
      <c r="AI1082" s="38">
        <v>71.37</v>
      </c>
      <c r="AJ1082" s="38">
        <v>75.13</v>
      </c>
      <c r="AK1082" s="38">
        <v>78.400000000000006</v>
      </c>
      <c r="AL1082" s="38">
        <v>80.8</v>
      </c>
      <c r="AM1082" s="38">
        <v>80.209999999999994</v>
      </c>
      <c r="AN1082" s="38">
        <v>77.72</v>
      </c>
      <c r="AO1082" s="38">
        <v>73.55</v>
      </c>
      <c r="AP1082" s="38">
        <v>70</v>
      </c>
      <c r="AQ1082" s="38">
        <v>65.94</v>
      </c>
      <c r="AR1082" s="38">
        <v>58.69</v>
      </c>
      <c r="AS1082" s="38">
        <v>59.46</v>
      </c>
      <c r="AT1082" s="38">
        <v>62.6</v>
      </c>
      <c r="AU1082" s="38">
        <v>68.11</v>
      </c>
      <c r="AV1082" s="38">
        <v>72.290000000000006</v>
      </c>
      <c r="AW1082" s="38">
        <v>76.33</v>
      </c>
      <c r="AX1082" s="38">
        <v>81.66</v>
      </c>
      <c r="AY1082" s="38">
        <v>82.58</v>
      </c>
      <c r="BA1082" s="37">
        <v>84.41</v>
      </c>
      <c r="BB1082" s="38">
        <v>1.2548999999999999</v>
      </c>
    </row>
    <row r="1083" spans="1:54" x14ac:dyDescent="0.35">
      <c r="A1083" s="2">
        <f t="shared" si="16"/>
        <v>45337</v>
      </c>
      <c r="B1083" t="s">
        <v>1676</v>
      </c>
      <c r="C1083" s="32">
        <v>45337</v>
      </c>
      <c r="D1083" s="38">
        <v>61.1</v>
      </c>
      <c r="E1083" s="38">
        <v>60.84</v>
      </c>
      <c r="F1083" s="38">
        <v>61.53</v>
      </c>
      <c r="G1083" s="38">
        <v>62.04</v>
      </c>
      <c r="H1083" s="38">
        <v>62.33</v>
      </c>
      <c r="I1083" s="38">
        <v>62.92</v>
      </c>
      <c r="J1083" s="38">
        <v>64.8</v>
      </c>
      <c r="K1083" s="38">
        <v>65.97</v>
      </c>
      <c r="L1083" s="38">
        <v>73.88</v>
      </c>
      <c r="M1083" s="38">
        <v>80.16</v>
      </c>
      <c r="N1083" s="38">
        <v>81.099999999999994</v>
      </c>
      <c r="O1083" s="38">
        <v>80.569999999999993</v>
      </c>
      <c r="P1083" s="38">
        <v>76.69</v>
      </c>
      <c r="Q1083" s="38">
        <v>72.540000000000006</v>
      </c>
      <c r="R1083" s="38">
        <v>68.7</v>
      </c>
      <c r="S1083" s="38">
        <v>65.39</v>
      </c>
      <c r="T1083" s="38">
        <v>66.13</v>
      </c>
      <c r="U1083" s="38">
        <v>67.7</v>
      </c>
      <c r="V1083" s="38">
        <v>70.2</v>
      </c>
      <c r="W1083" s="38">
        <v>73.739999999999995</v>
      </c>
      <c r="X1083" s="38">
        <v>76.36</v>
      </c>
      <c r="Y1083" s="38">
        <v>79.25</v>
      </c>
      <c r="Z1083" s="38">
        <v>82.14</v>
      </c>
      <c r="AA1083" s="38">
        <v>83.99</v>
      </c>
      <c r="AB1083" s="38">
        <v>77.64</v>
      </c>
      <c r="AC1083" s="38">
        <v>70.97</v>
      </c>
      <c r="AD1083" s="38">
        <v>67.69</v>
      </c>
      <c r="AE1083" s="38">
        <v>65.06</v>
      </c>
      <c r="AF1083" s="38">
        <v>65.27</v>
      </c>
      <c r="AG1083" s="38">
        <v>65.599999999999994</v>
      </c>
      <c r="AH1083" s="38">
        <v>67.569999999999993</v>
      </c>
      <c r="AI1083" s="38">
        <v>71.650000000000006</v>
      </c>
      <c r="AJ1083" s="38">
        <v>75.41</v>
      </c>
      <c r="AK1083" s="38">
        <v>78.680000000000007</v>
      </c>
      <c r="AL1083" s="38">
        <v>81.08</v>
      </c>
      <c r="AM1083" s="38">
        <v>80.489999999999995</v>
      </c>
      <c r="AN1083" s="38">
        <v>78</v>
      </c>
      <c r="AO1083" s="38">
        <v>74.33</v>
      </c>
      <c r="AP1083" s="38">
        <v>70.78</v>
      </c>
      <c r="AQ1083" s="38">
        <v>66.72</v>
      </c>
      <c r="AR1083" s="38">
        <v>59.47</v>
      </c>
      <c r="AS1083" s="38">
        <v>60.24</v>
      </c>
      <c r="AT1083" s="38">
        <v>63.38</v>
      </c>
      <c r="AU1083" s="38">
        <v>69.39</v>
      </c>
      <c r="AV1083" s="38">
        <v>73.569999999999993</v>
      </c>
      <c r="AW1083" s="38">
        <v>77.61</v>
      </c>
      <c r="AX1083" s="38">
        <v>82.94</v>
      </c>
      <c r="AY1083" s="38">
        <v>83.86</v>
      </c>
      <c r="BA1083" s="37">
        <v>84.33</v>
      </c>
      <c r="BB1083" s="38">
        <v>1.2585</v>
      </c>
    </row>
    <row r="1084" spans="1:54" x14ac:dyDescent="0.35">
      <c r="A1084" s="2">
        <f t="shared" si="16"/>
        <v>45338</v>
      </c>
      <c r="B1084" t="s">
        <v>1677</v>
      </c>
      <c r="C1084" s="32">
        <v>45338</v>
      </c>
      <c r="D1084" s="38">
        <v>60.56</v>
      </c>
      <c r="E1084" s="38">
        <v>60.31</v>
      </c>
      <c r="F1084" s="38">
        <v>60.98</v>
      </c>
      <c r="G1084" s="38">
        <v>61.64</v>
      </c>
      <c r="H1084" s="38">
        <v>61.99</v>
      </c>
      <c r="I1084" s="38">
        <v>62.94</v>
      </c>
      <c r="J1084" s="38">
        <v>64.64</v>
      </c>
      <c r="K1084" s="38">
        <v>65.92</v>
      </c>
      <c r="L1084" s="38">
        <v>73.8</v>
      </c>
      <c r="M1084" s="38">
        <v>80.05</v>
      </c>
      <c r="N1084" s="38">
        <v>81.290000000000006</v>
      </c>
      <c r="O1084" s="38">
        <v>80.569999999999993</v>
      </c>
      <c r="P1084" s="38">
        <v>76.510000000000005</v>
      </c>
      <c r="Q1084" s="38">
        <v>72.56</v>
      </c>
      <c r="R1084" s="38">
        <v>68.72</v>
      </c>
      <c r="S1084" s="38">
        <v>65.41</v>
      </c>
      <c r="T1084" s="38">
        <v>66.150000000000006</v>
      </c>
      <c r="U1084" s="38">
        <v>67.72</v>
      </c>
      <c r="V1084" s="38">
        <v>70.22</v>
      </c>
      <c r="W1084" s="38">
        <v>73.67</v>
      </c>
      <c r="X1084" s="38">
        <v>76.290000000000006</v>
      </c>
      <c r="Y1084" s="38">
        <v>79.180000000000007</v>
      </c>
      <c r="Z1084" s="38">
        <v>82.07</v>
      </c>
      <c r="AA1084" s="38">
        <v>83.92</v>
      </c>
      <c r="AB1084" s="38">
        <v>77.569999999999993</v>
      </c>
      <c r="AC1084" s="38">
        <v>70.45</v>
      </c>
      <c r="AD1084" s="38">
        <v>67.17</v>
      </c>
      <c r="AE1084" s="38">
        <v>64.540000000000006</v>
      </c>
      <c r="AF1084" s="38">
        <v>64.75</v>
      </c>
      <c r="AG1084" s="38">
        <v>65.08</v>
      </c>
      <c r="AH1084" s="38">
        <v>67.05</v>
      </c>
      <c r="AI1084" s="38">
        <v>70.63</v>
      </c>
      <c r="AJ1084" s="38">
        <v>74.19</v>
      </c>
      <c r="AK1084" s="38">
        <v>77.459999999999994</v>
      </c>
      <c r="AL1084" s="38">
        <v>79.86</v>
      </c>
      <c r="AM1084" s="38">
        <v>79.27</v>
      </c>
      <c r="AN1084" s="38">
        <v>76.78</v>
      </c>
      <c r="AO1084" s="38">
        <v>74.11</v>
      </c>
      <c r="AP1084" s="38">
        <v>70.56</v>
      </c>
      <c r="AQ1084" s="38">
        <v>66.5</v>
      </c>
      <c r="AR1084" s="38">
        <v>59.25</v>
      </c>
      <c r="AS1084" s="38">
        <v>60.02</v>
      </c>
      <c r="AT1084" s="38">
        <v>63.16</v>
      </c>
      <c r="AU1084" s="38">
        <v>70.17</v>
      </c>
      <c r="AV1084" s="38">
        <v>74.349999999999994</v>
      </c>
      <c r="AW1084" s="38">
        <v>78.39</v>
      </c>
      <c r="AX1084" s="38">
        <v>83.72</v>
      </c>
      <c r="AY1084" s="38">
        <v>84.64</v>
      </c>
      <c r="BA1084" s="37">
        <v>84.88</v>
      </c>
      <c r="BB1084" s="38">
        <v>1.2584</v>
      </c>
    </row>
    <row r="1085" spans="1:54" x14ac:dyDescent="0.35">
      <c r="A1085" s="2">
        <f t="shared" si="16"/>
        <v>45341</v>
      </c>
      <c r="B1085" t="s">
        <v>1678</v>
      </c>
      <c r="C1085" s="32">
        <v>45341</v>
      </c>
      <c r="D1085" s="38">
        <v>57.93</v>
      </c>
      <c r="E1085" s="38">
        <v>57.61</v>
      </c>
      <c r="F1085" s="38">
        <v>58.16</v>
      </c>
      <c r="G1085" s="38">
        <v>58.82</v>
      </c>
      <c r="H1085" s="38">
        <v>59.2</v>
      </c>
      <c r="I1085" s="38">
        <v>60.32</v>
      </c>
      <c r="J1085" s="38">
        <v>62.02</v>
      </c>
      <c r="K1085" s="38">
        <v>63.43</v>
      </c>
      <c r="L1085" s="38">
        <v>71.819999999999993</v>
      </c>
      <c r="M1085" s="38">
        <v>78.02</v>
      </c>
      <c r="N1085" s="38">
        <v>79.58</v>
      </c>
      <c r="O1085" s="38">
        <v>78.69</v>
      </c>
      <c r="P1085" s="38">
        <v>74.66</v>
      </c>
      <c r="Q1085" s="38">
        <v>70.8</v>
      </c>
      <c r="R1085" s="38">
        <v>66.97</v>
      </c>
      <c r="S1085" s="38">
        <v>63.67</v>
      </c>
      <c r="T1085" s="38">
        <v>64.430000000000007</v>
      </c>
      <c r="U1085" s="38">
        <v>66.02</v>
      </c>
      <c r="V1085" s="38">
        <v>68.52</v>
      </c>
      <c r="W1085" s="38">
        <v>72.099999999999994</v>
      </c>
      <c r="X1085" s="38">
        <v>74.73</v>
      </c>
      <c r="Y1085" s="38">
        <v>77.64</v>
      </c>
      <c r="Z1085" s="38">
        <v>80.489999999999995</v>
      </c>
      <c r="AA1085" s="38">
        <v>82.45</v>
      </c>
      <c r="AB1085" s="38">
        <v>76</v>
      </c>
      <c r="AC1085" s="38">
        <v>69.16</v>
      </c>
      <c r="AD1085" s="38">
        <v>65.900000000000006</v>
      </c>
      <c r="AE1085" s="38">
        <v>63.27</v>
      </c>
      <c r="AF1085" s="38">
        <v>63.67</v>
      </c>
      <c r="AG1085" s="38">
        <v>64</v>
      </c>
      <c r="AH1085" s="38">
        <v>65.98</v>
      </c>
      <c r="AI1085" s="38">
        <v>70.040000000000006</v>
      </c>
      <c r="AJ1085" s="38">
        <v>73.599999999999994</v>
      </c>
      <c r="AK1085" s="38">
        <v>76.87</v>
      </c>
      <c r="AL1085" s="38">
        <v>79.290000000000006</v>
      </c>
      <c r="AM1085" s="38">
        <v>78.7</v>
      </c>
      <c r="AN1085" s="38">
        <v>76.22</v>
      </c>
      <c r="AO1085" s="38">
        <v>73.489999999999995</v>
      </c>
      <c r="AP1085" s="38">
        <v>69.94</v>
      </c>
      <c r="AQ1085" s="38">
        <v>65.88</v>
      </c>
      <c r="AR1085" s="38">
        <v>58.62</v>
      </c>
      <c r="AS1085" s="38">
        <v>59.39</v>
      </c>
      <c r="AT1085" s="38">
        <v>62.53</v>
      </c>
      <c r="AU1085" s="38">
        <v>68.83</v>
      </c>
      <c r="AV1085" s="38">
        <v>73.010000000000005</v>
      </c>
      <c r="AW1085" s="38">
        <v>77.05</v>
      </c>
      <c r="AX1085" s="38">
        <v>82.37</v>
      </c>
      <c r="AY1085" s="38">
        <v>83.29</v>
      </c>
      <c r="BA1085" s="37">
        <v>85.52</v>
      </c>
      <c r="BB1085" s="38">
        <v>1.2586999999999999</v>
      </c>
    </row>
    <row r="1086" spans="1:54" x14ac:dyDescent="0.35">
      <c r="A1086" s="2">
        <f t="shared" si="16"/>
        <v>45342</v>
      </c>
      <c r="B1086" t="s">
        <v>1679</v>
      </c>
      <c r="C1086" s="32">
        <v>45342</v>
      </c>
      <c r="D1086" s="38">
        <v>59.29</v>
      </c>
      <c r="E1086" s="38">
        <v>58.94</v>
      </c>
      <c r="F1086" s="38">
        <v>59.2</v>
      </c>
      <c r="G1086" s="38">
        <v>59.76</v>
      </c>
      <c r="H1086" s="38">
        <v>60.24</v>
      </c>
      <c r="I1086" s="38">
        <v>61.16</v>
      </c>
      <c r="J1086" s="38">
        <v>63.16</v>
      </c>
      <c r="K1086" s="38">
        <v>64.709999999999994</v>
      </c>
      <c r="L1086" s="38">
        <v>73.209999999999994</v>
      </c>
      <c r="M1086" s="38">
        <v>79.77</v>
      </c>
      <c r="N1086" s="38">
        <v>81.37</v>
      </c>
      <c r="O1086" s="38">
        <v>80.66</v>
      </c>
      <c r="P1086" s="38">
        <v>76.83</v>
      </c>
      <c r="Q1086" s="38">
        <v>72.28</v>
      </c>
      <c r="R1086" s="38">
        <v>68.5</v>
      </c>
      <c r="S1086" s="38">
        <v>65.16</v>
      </c>
      <c r="T1086" s="38">
        <v>65.959999999999994</v>
      </c>
      <c r="U1086" s="38">
        <v>67.569999999999993</v>
      </c>
      <c r="V1086" s="38">
        <v>70.010000000000005</v>
      </c>
      <c r="W1086" s="38">
        <v>73.66</v>
      </c>
      <c r="X1086" s="38">
        <v>76.150000000000006</v>
      </c>
      <c r="Y1086" s="38">
        <v>79.13</v>
      </c>
      <c r="Z1086" s="38">
        <v>81.83</v>
      </c>
      <c r="AA1086" s="38">
        <v>83.82</v>
      </c>
      <c r="AB1086" s="38">
        <v>77.349999999999994</v>
      </c>
      <c r="AC1086" s="38">
        <v>69.84</v>
      </c>
      <c r="AD1086" s="38">
        <v>66.569999999999993</v>
      </c>
      <c r="AE1086" s="38">
        <v>63.93</v>
      </c>
      <c r="AF1086" s="38">
        <v>64.56</v>
      </c>
      <c r="AG1086" s="38">
        <v>64.87</v>
      </c>
      <c r="AH1086" s="38">
        <v>66.83</v>
      </c>
      <c r="AI1086" s="38">
        <v>70.760000000000005</v>
      </c>
      <c r="AJ1086" s="38">
        <v>74.319999999999993</v>
      </c>
      <c r="AK1086" s="38">
        <v>77.58</v>
      </c>
      <c r="AL1086" s="38">
        <v>79.67</v>
      </c>
      <c r="AM1086" s="38">
        <v>79.09</v>
      </c>
      <c r="AN1086" s="38">
        <v>76.61</v>
      </c>
      <c r="AO1086" s="38">
        <v>73.61</v>
      </c>
      <c r="AP1086" s="38">
        <v>70.06</v>
      </c>
      <c r="AQ1086" s="38">
        <v>66</v>
      </c>
      <c r="AR1086" s="38">
        <v>58.73</v>
      </c>
      <c r="AS1086" s="38">
        <v>59.49</v>
      </c>
      <c r="AT1086" s="38">
        <v>62.63</v>
      </c>
      <c r="AU1086" s="38">
        <v>68.930000000000007</v>
      </c>
      <c r="AV1086" s="38">
        <v>73.12</v>
      </c>
      <c r="AW1086" s="38">
        <v>77.150000000000006</v>
      </c>
      <c r="AX1086" s="38">
        <v>82.55</v>
      </c>
      <c r="AY1086" s="38">
        <v>83.47</v>
      </c>
      <c r="BA1086" s="37">
        <v>84.78</v>
      </c>
      <c r="BB1086" s="38">
        <v>1.2662</v>
      </c>
    </row>
    <row r="1087" spans="1:54" x14ac:dyDescent="0.35">
      <c r="A1087" s="2">
        <f t="shared" si="16"/>
        <v>45343</v>
      </c>
      <c r="B1087" t="s">
        <v>1680</v>
      </c>
      <c r="C1087" s="32">
        <v>45343</v>
      </c>
      <c r="D1087" s="38">
        <v>59.12</v>
      </c>
      <c r="E1087" s="38">
        <v>58.55</v>
      </c>
      <c r="F1087" s="38">
        <v>58.61</v>
      </c>
      <c r="G1087" s="38">
        <v>59.12</v>
      </c>
      <c r="H1087" s="38">
        <v>59.67</v>
      </c>
      <c r="I1087" s="38">
        <v>60.59</v>
      </c>
      <c r="J1087" s="38">
        <v>63.04</v>
      </c>
      <c r="K1087" s="38">
        <v>64.510000000000005</v>
      </c>
      <c r="L1087" s="38">
        <v>73.010000000000005</v>
      </c>
      <c r="M1087" s="38">
        <v>79.569999999999993</v>
      </c>
      <c r="N1087" s="38">
        <v>80.97</v>
      </c>
      <c r="O1087" s="38">
        <v>80.260000000000005</v>
      </c>
      <c r="P1087" s="38">
        <v>76.430000000000007</v>
      </c>
      <c r="Q1087" s="38">
        <v>72.38</v>
      </c>
      <c r="R1087" s="38">
        <v>68.599999999999994</v>
      </c>
      <c r="S1087" s="38">
        <v>65.25</v>
      </c>
      <c r="T1087" s="38">
        <v>66.05</v>
      </c>
      <c r="U1087" s="38">
        <v>67.66</v>
      </c>
      <c r="V1087" s="38">
        <v>70.099999999999994</v>
      </c>
      <c r="W1087" s="38">
        <v>73.81</v>
      </c>
      <c r="X1087" s="38">
        <v>76.3</v>
      </c>
      <c r="Y1087" s="38">
        <v>79.28</v>
      </c>
      <c r="Z1087" s="38">
        <v>81.98</v>
      </c>
      <c r="AA1087" s="38">
        <v>83.97</v>
      </c>
      <c r="AB1087" s="38">
        <v>77.5</v>
      </c>
      <c r="AC1087" s="38">
        <v>69.95</v>
      </c>
      <c r="AD1087" s="38">
        <v>66.680000000000007</v>
      </c>
      <c r="AE1087" s="38">
        <v>64.040000000000006</v>
      </c>
      <c r="AF1087" s="38">
        <v>64.67</v>
      </c>
      <c r="AG1087" s="38">
        <v>64.98</v>
      </c>
      <c r="AH1087" s="38">
        <v>66.94</v>
      </c>
      <c r="AI1087" s="38">
        <v>70.67</v>
      </c>
      <c r="AJ1087" s="38">
        <v>74.23</v>
      </c>
      <c r="AK1087" s="38">
        <v>77.489999999999995</v>
      </c>
      <c r="AL1087" s="38">
        <v>79.58</v>
      </c>
      <c r="AM1087" s="38">
        <v>79</v>
      </c>
      <c r="AN1087" s="38">
        <v>76.52</v>
      </c>
      <c r="AO1087" s="38">
        <v>73.52</v>
      </c>
      <c r="AP1087" s="38">
        <v>69.97</v>
      </c>
      <c r="AQ1087" s="38">
        <v>65.91</v>
      </c>
      <c r="AR1087" s="38">
        <v>58.64</v>
      </c>
      <c r="AS1087" s="38">
        <v>59.4</v>
      </c>
      <c r="AT1087" s="38">
        <v>62.54</v>
      </c>
      <c r="AU1087" s="38">
        <v>68.84</v>
      </c>
      <c r="AV1087" s="38">
        <v>73.03</v>
      </c>
      <c r="AW1087" s="38">
        <v>77.06</v>
      </c>
      <c r="AX1087" s="38">
        <v>82.46</v>
      </c>
      <c r="AY1087" s="38">
        <v>83.38</v>
      </c>
      <c r="BA1087" s="37">
        <v>84.77</v>
      </c>
      <c r="BB1087" s="38">
        <v>1.2612000000000001</v>
      </c>
    </row>
    <row r="1088" spans="1:54" x14ac:dyDescent="0.35">
      <c r="A1088" s="2">
        <f t="shared" si="16"/>
        <v>45344</v>
      </c>
      <c r="B1088" t="s">
        <v>1681</v>
      </c>
      <c r="C1088" s="32">
        <v>45344</v>
      </c>
      <c r="D1088" s="38">
        <v>57.3</v>
      </c>
      <c r="E1088" s="38">
        <v>56.72</v>
      </c>
      <c r="F1088" s="38">
        <v>56.85</v>
      </c>
      <c r="G1088" s="38">
        <v>57.39</v>
      </c>
      <c r="H1088" s="38">
        <v>57.95</v>
      </c>
      <c r="I1088" s="38">
        <v>58.85</v>
      </c>
      <c r="J1088" s="38">
        <v>60.93</v>
      </c>
      <c r="K1088" s="38">
        <v>62.62</v>
      </c>
      <c r="L1088" s="38">
        <v>71.42</v>
      </c>
      <c r="M1088" s="38">
        <v>77.98</v>
      </c>
      <c r="N1088" s="38">
        <v>79.11</v>
      </c>
      <c r="O1088" s="38">
        <v>78.39</v>
      </c>
      <c r="P1088" s="38">
        <v>74.739999999999995</v>
      </c>
      <c r="Q1088" s="38">
        <v>70.87</v>
      </c>
      <c r="R1088" s="38">
        <v>67.19</v>
      </c>
      <c r="S1088" s="38">
        <v>63.94</v>
      </c>
      <c r="T1088" s="38">
        <v>64.45</v>
      </c>
      <c r="U1088" s="38">
        <v>66.19</v>
      </c>
      <c r="V1088" s="38">
        <v>68.680000000000007</v>
      </c>
      <c r="W1088" s="38">
        <v>72.47</v>
      </c>
      <c r="X1088" s="38">
        <v>75.02</v>
      </c>
      <c r="Y1088" s="38">
        <v>78</v>
      </c>
      <c r="Z1088" s="38">
        <v>80.760000000000005</v>
      </c>
      <c r="AA1088" s="38">
        <v>82.75</v>
      </c>
      <c r="AB1088" s="38">
        <v>76.41</v>
      </c>
      <c r="AC1088" s="38">
        <v>68.989999999999995</v>
      </c>
      <c r="AD1088" s="38">
        <v>65.86</v>
      </c>
      <c r="AE1088" s="38">
        <v>63.1</v>
      </c>
      <c r="AF1088" s="38">
        <v>63.71</v>
      </c>
      <c r="AG1088" s="38">
        <v>64.02</v>
      </c>
      <c r="AH1088" s="38">
        <v>65.98</v>
      </c>
      <c r="AI1088" s="38">
        <v>69.849999999999994</v>
      </c>
      <c r="AJ1088" s="38">
        <v>73.41</v>
      </c>
      <c r="AK1088" s="38">
        <v>76.650000000000006</v>
      </c>
      <c r="AL1088" s="38">
        <v>78.819999999999993</v>
      </c>
      <c r="AM1088" s="38">
        <v>78.23</v>
      </c>
      <c r="AN1088" s="38">
        <v>75.75</v>
      </c>
      <c r="AO1088" s="38">
        <v>72.2</v>
      </c>
      <c r="AP1088" s="38">
        <v>68.650000000000006</v>
      </c>
      <c r="AQ1088" s="38">
        <v>64.59</v>
      </c>
      <c r="AR1088" s="38">
        <v>57.32</v>
      </c>
      <c r="AS1088" s="38">
        <v>58.08</v>
      </c>
      <c r="AT1088" s="38">
        <v>61.2</v>
      </c>
      <c r="AU1088" s="38">
        <v>67.5</v>
      </c>
      <c r="AV1088" s="38">
        <v>71.69</v>
      </c>
      <c r="AW1088" s="38">
        <v>75.73</v>
      </c>
      <c r="AX1088" s="38">
        <v>81.13</v>
      </c>
      <c r="AY1088" s="38">
        <v>82.04</v>
      </c>
      <c r="BA1088" s="37">
        <v>85.84</v>
      </c>
      <c r="BB1088" s="38">
        <v>1.2621</v>
      </c>
    </row>
    <row r="1089" spans="1:54" x14ac:dyDescent="0.35">
      <c r="A1089" s="2">
        <f t="shared" si="16"/>
        <v>45345</v>
      </c>
      <c r="B1089" t="s">
        <v>1682</v>
      </c>
      <c r="C1089" s="32">
        <v>45345</v>
      </c>
      <c r="D1089" s="38">
        <v>56.46</v>
      </c>
      <c r="E1089" s="38">
        <v>56.2</v>
      </c>
      <c r="F1089" s="38">
        <v>56.09</v>
      </c>
      <c r="G1089" s="38">
        <v>56.56</v>
      </c>
      <c r="H1089" s="38">
        <v>57.21</v>
      </c>
      <c r="I1089" s="38">
        <v>58.01</v>
      </c>
      <c r="J1089" s="38">
        <v>59.71</v>
      </c>
      <c r="K1089" s="38">
        <v>60.91</v>
      </c>
      <c r="L1089" s="38">
        <v>69.42</v>
      </c>
      <c r="M1089" s="38">
        <v>75.98</v>
      </c>
      <c r="N1089" s="38">
        <v>77.03</v>
      </c>
      <c r="O1089" s="38">
        <v>76.31</v>
      </c>
      <c r="P1089" s="38">
        <v>72.66</v>
      </c>
      <c r="Q1089" s="38">
        <v>69.12</v>
      </c>
      <c r="R1089" s="38">
        <v>65.66</v>
      </c>
      <c r="S1089" s="38">
        <v>62.43</v>
      </c>
      <c r="T1089" s="38">
        <v>62.96</v>
      </c>
      <c r="U1089" s="38">
        <v>64.709999999999994</v>
      </c>
      <c r="V1089" s="38">
        <v>67.209999999999994</v>
      </c>
      <c r="W1089" s="38">
        <v>70.650000000000006</v>
      </c>
      <c r="X1089" s="38">
        <v>73.2</v>
      </c>
      <c r="Y1089" s="38">
        <v>76.180000000000007</v>
      </c>
      <c r="Z1089" s="38">
        <v>78.94</v>
      </c>
      <c r="AA1089" s="38">
        <v>80.930000000000007</v>
      </c>
      <c r="AB1089" s="38">
        <v>74.59</v>
      </c>
      <c r="AC1089" s="38">
        <v>67.37</v>
      </c>
      <c r="AD1089" s="38">
        <v>64.239999999999995</v>
      </c>
      <c r="AE1089" s="38">
        <v>61.48</v>
      </c>
      <c r="AF1089" s="38">
        <v>62.09</v>
      </c>
      <c r="AG1089" s="38">
        <v>62.4</v>
      </c>
      <c r="AH1089" s="38">
        <v>64.36</v>
      </c>
      <c r="AI1089" s="38">
        <v>68.23</v>
      </c>
      <c r="AJ1089" s="38">
        <v>71.790000000000006</v>
      </c>
      <c r="AK1089" s="38">
        <v>75.03</v>
      </c>
      <c r="AL1089" s="38">
        <v>77.2</v>
      </c>
      <c r="AM1089" s="38">
        <v>76.61</v>
      </c>
      <c r="AN1089" s="38">
        <v>74.13</v>
      </c>
      <c r="AO1089" s="38">
        <v>69.58</v>
      </c>
      <c r="AP1089" s="38">
        <v>66.03</v>
      </c>
      <c r="AQ1089" s="38">
        <v>61.97</v>
      </c>
      <c r="AR1089" s="38">
        <v>56.7</v>
      </c>
      <c r="AS1089" s="38">
        <v>57.46</v>
      </c>
      <c r="AT1089" s="38">
        <v>60.58</v>
      </c>
      <c r="AU1089" s="38">
        <v>66.88</v>
      </c>
      <c r="AV1089" s="38">
        <v>71.069999999999993</v>
      </c>
      <c r="AW1089" s="38">
        <v>75.11</v>
      </c>
      <c r="AX1089" s="38">
        <v>80.510000000000005</v>
      </c>
      <c r="AY1089" s="38">
        <v>81.42</v>
      </c>
      <c r="BA1089" s="37">
        <v>84.18</v>
      </c>
      <c r="BB1089" s="38">
        <v>1.2677</v>
      </c>
    </row>
    <row r="1090" spans="1:54" x14ac:dyDescent="0.35">
      <c r="A1090" s="2">
        <f t="shared" si="16"/>
        <v>45348</v>
      </c>
      <c r="B1090" t="s">
        <v>1683</v>
      </c>
      <c r="C1090" s="32">
        <v>45348</v>
      </c>
      <c r="D1090" s="38">
        <v>59.3</v>
      </c>
      <c r="E1090" s="38">
        <v>58.93</v>
      </c>
      <c r="F1090" s="38">
        <v>58.84</v>
      </c>
      <c r="G1090" s="38">
        <v>59.04</v>
      </c>
      <c r="H1090" s="38">
        <v>59.64</v>
      </c>
      <c r="I1090" s="38">
        <v>60.51</v>
      </c>
      <c r="J1090" s="38">
        <v>61.8</v>
      </c>
      <c r="K1090" s="38">
        <v>62.95</v>
      </c>
      <c r="L1090" s="38">
        <v>71.319999999999993</v>
      </c>
      <c r="M1090" s="38">
        <v>77.75</v>
      </c>
      <c r="N1090" s="38">
        <v>79.09</v>
      </c>
      <c r="O1090" s="38">
        <v>78.61</v>
      </c>
      <c r="P1090" s="38">
        <v>75.11</v>
      </c>
      <c r="Q1090" s="38">
        <v>70.72</v>
      </c>
      <c r="R1090" s="38">
        <v>67.06</v>
      </c>
      <c r="S1090" s="38">
        <v>63.83</v>
      </c>
      <c r="T1090" s="38">
        <v>63.83</v>
      </c>
      <c r="U1090" s="38">
        <v>65.58</v>
      </c>
      <c r="V1090" s="38">
        <v>68.08</v>
      </c>
      <c r="W1090" s="38">
        <v>71.67</v>
      </c>
      <c r="X1090" s="38">
        <v>74.22</v>
      </c>
      <c r="Y1090" s="38">
        <v>77.2</v>
      </c>
      <c r="Z1090" s="38">
        <v>79.959999999999994</v>
      </c>
      <c r="AA1090" s="38">
        <v>81.95</v>
      </c>
      <c r="AB1090" s="38">
        <v>75.61</v>
      </c>
      <c r="AC1090" s="38">
        <v>68.09</v>
      </c>
      <c r="AD1090" s="38">
        <v>64.959999999999994</v>
      </c>
      <c r="AE1090" s="38">
        <v>62.2</v>
      </c>
      <c r="AF1090" s="38">
        <v>62.81</v>
      </c>
      <c r="AG1090" s="38">
        <v>63.12</v>
      </c>
      <c r="AH1090" s="38">
        <v>65.08</v>
      </c>
      <c r="AI1090" s="38">
        <v>68.05</v>
      </c>
      <c r="AJ1090" s="38">
        <v>71.61</v>
      </c>
      <c r="AK1090" s="38">
        <v>74.849999999999994</v>
      </c>
      <c r="AL1090" s="38">
        <v>77.02</v>
      </c>
      <c r="AM1090" s="38">
        <v>76.430000000000007</v>
      </c>
      <c r="AN1090" s="38">
        <v>73.95</v>
      </c>
      <c r="AO1090" s="38">
        <v>69.400000000000006</v>
      </c>
      <c r="AP1090" s="38">
        <v>65.849999999999994</v>
      </c>
      <c r="AQ1090" s="38">
        <v>61.79</v>
      </c>
      <c r="AR1090" s="38">
        <v>56.52</v>
      </c>
      <c r="AS1090" s="38">
        <v>57.28</v>
      </c>
      <c r="AT1090" s="38">
        <v>60.4</v>
      </c>
      <c r="AU1090" s="38">
        <v>66.7</v>
      </c>
      <c r="AV1090" s="38">
        <v>70.89</v>
      </c>
      <c r="AW1090" s="38">
        <v>74.930000000000007</v>
      </c>
      <c r="AX1090" s="38">
        <v>80.33</v>
      </c>
      <c r="AY1090" s="38">
        <v>81.239999999999995</v>
      </c>
      <c r="BA1090" s="37">
        <v>84.01</v>
      </c>
      <c r="BB1090" s="38">
        <v>1.2684</v>
      </c>
    </row>
    <row r="1091" spans="1:54" x14ac:dyDescent="0.35">
      <c r="A1091" s="2">
        <f t="shared" si="16"/>
        <v>45349</v>
      </c>
      <c r="B1091" t="s">
        <v>1684</v>
      </c>
      <c r="C1091" s="32">
        <v>45349</v>
      </c>
      <c r="D1091" s="38">
        <v>60.6</v>
      </c>
      <c r="E1091" s="38">
        <v>59.94</v>
      </c>
      <c r="F1091" s="38">
        <v>60.06</v>
      </c>
      <c r="G1091" s="38">
        <v>60.4</v>
      </c>
      <c r="H1091" s="38">
        <v>60.9</v>
      </c>
      <c r="I1091" s="38">
        <v>61.86</v>
      </c>
      <c r="J1091" s="38">
        <v>63.15</v>
      </c>
      <c r="K1091" s="38">
        <v>64.349999999999994</v>
      </c>
      <c r="L1091" s="38">
        <v>72.55</v>
      </c>
      <c r="M1091" s="38">
        <v>79</v>
      </c>
      <c r="N1091" s="38">
        <v>80.3</v>
      </c>
      <c r="O1091" s="38">
        <v>79.959999999999994</v>
      </c>
      <c r="P1091" s="38">
        <v>76.489999999999995</v>
      </c>
      <c r="Q1091" s="38">
        <v>72.239999999999995</v>
      </c>
      <c r="R1091" s="38">
        <v>69.09</v>
      </c>
      <c r="S1091" s="38">
        <v>65.86</v>
      </c>
      <c r="T1091" s="38">
        <v>65.489999999999995</v>
      </c>
      <c r="U1091" s="38">
        <v>67.239999999999995</v>
      </c>
      <c r="V1091" s="38">
        <v>69.739999999999995</v>
      </c>
      <c r="W1091" s="38">
        <v>73.69</v>
      </c>
      <c r="X1091" s="38">
        <v>76.239999999999995</v>
      </c>
      <c r="Y1091" s="38">
        <v>79.22</v>
      </c>
      <c r="Z1091" s="38">
        <v>81.98</v>
      </c>
      <c r="AA1091" s="38">
        <v>83.97</v>
      </c>
      <c r="AB1091" s="38">
        <v>77.63</v>
      </c>
      <c r="AC1091" s="38">
        <v>69.36</v>
      </c>
      <c r="AD1091" s="38">
        <v>66.23</v>
      </c>
      <c r="AE1091" s="38">
        <v>63.47</v>
      </c>
      <c r="AF1091" s="38">
        <v>64.08</v>
      </c>
      <c r="AG1091" s="38">
        <v>64.39</v>
      </c>
      <c r="AH1091" s="38">
        <v>66.349999999999994</v>
      </c>
      <c r="AI1091" s="38">
        <v>68.52</v>
      </c>
      <c r="AJ1091" s="38">
        <v>72.08</v>
      </c>
      <c r="AK1091" s="38">
        <v>75.319999999999993</v>
      </c>
      <c r="AL1091" s="38">
        <v>77.489999999999995</v>
      </c>
      <c r="AM1091" s="38">
        <v>76.900000000000006</v>
      </c>
      <c r="AN1091" s="38">
        <v>74.42</v>
      </c>
      <c r="AO1091" s="38">
        <v>69.87</v>
      </c>
      <c r="AP1091" s="38">
        <v>66.319999999999993</v>
      </c>
      <c r="AQ1091" s="38">
        <v>62.26</v>
      </c>
      <c r="AR1091" s="38">
        <v>56.99</v>
      </c>
      <c r="AS1091" s="38">
        <v>57.75</v>
      </c>
      <c r="AT1091" s="38">
        <v>60.87</v>
      </c>
      <c r="AU1091" s="38">
        <v>67.17</v>
      </c>
      <c r="AV1091" s="38">
        <v>71.36</v>
      </c>
      <c r="AW1091" s="38">
        <v>75.400000000000006</v>
      </c>
      <c r="AX1091" s="38">
        <v>80.8</v>
      </c>
      <c r="AY1091" s="38">
        <v>81.709999999999994</v>
      </c>
      <c r="BA1091" s="37">
        <v>83.8</v>
      </c>
      <c r="BB1091" s="38">
        <v>1.2683</v>
      </c>
    </row>
    <row r="1092" spans="1:54" x14ac:dyDescent="0.35">
      <c r="A1092" s="2">
        <f t="shared" si="16"/>
        <v>45350</v>
      </c>
      <c r="B1092" t="s">
        <v>1685</v>
      </c>
      <c r="C1092" s="32">
        <v>45350</v>
      </c>
      <c r="D1092" s="38">
        <v>64.069999999999993</v>
      </c>
      <c r="E1092" s="38">
        <v>63.67</v>
      </c>
      <c r="F1092" s="38">
        <v>63.59</v>
      </c>
      <c r="G1092" s="38">
        <v>63.6</v>
      </c>
      <c r="H1092" s="38">
        <v>63.91</v>
      </c>
      <c r="I1092" s="38">
        <v>64.709999999999994</v>
      </c>
      <c r="J1092" s="38">
        <v>65.91</v>
      </c>
      <c r="K1092" s="38">
        <v>67.11</v>
      </c>
      <c r="L1092" s="38">
        <v>75.2</v>
      </c>
      <c r="M1092" s="38">
        <v>81.94</v>
      </c>
      <c r="N1092" s="38">
        <v>83.44</v>
      </c>
      <c r="O1092" s="38">
        <v>83.36</v>
      </c>
      <c r="P1092" s="38">
        <v>79.89</v>
      </c>
      <c r="Q1092" s="38">
        <v>75.260000000000005</v>
      </c>
      <c r="R1092" s="38">
        <v>72.11</v>
      </c>
      <c r="S1092" s="38">
        <v>68.88</v>
      </c>
      <c r="T1092" s="38">
        <v>69.5</v>
      </c>
      <c r="U1092" s="38">
        <v>71.25</v>
      </c>
      <c r="V1092" s="38">
        <v>73.75</v>
      </c>
      <c r="W1092" s="38">
        <v>76.05</v>
      </c>
      <c r="X1092" s="38">
        <v>78.599999999999994</v>
      </c>
      <c r="Y1092" s="38">
        <v>81.58</v>
      </c>
      <c r="Z1092" s="38">
        <v>84.34</v>
      </c>
      <c r="AA1092" s="38">
        <v>86.33</v>
      </c>
      <c r="AB1092" s="38">
        <v>79.989999999999995</v>
      </c>
      <c r="AC1092" s="38">
        <v>71.510000000000005</v>
      </c>
      <c r="AD1092" s="38">
        <v>68.38</v>
      </c>
      <c r="AE1092" s="38">
        <v>65.62</v>
      </c>
      <c r="AF1092" s="38">
        <v>66.23</v>
      </c>
      <c r="AG1092" s="38">
        <v>66.540000000000006</v>
      </c>
      <c r="AH1092" s="38">
        <v>68.5</v>
      </c>
      <c r="AI1092" s="38">
        <v>71.17</v>
      </c>
      <c r="AJ1092" s="38">
        <v>74.73</v>
      </c>
      <c r="AK1092" s="38">
        <v>77.97</v>
      </c>
      <c r="AL1092" s="38">
        <v>80.14</v>
      </c>
      <c r="AM1092" s="38">
        <v>79.55</v>
      </c>
      <c r="AN1092" s="38">
        <v>77.069999999999993</v>
      </c>
      <c r="AO1092" s="38">
        <v>71.52</v>
      </c>
      <c r="AP1092" s="38">
        <v>67.97</v>
      </c>
      <c r="AQ1092" s="38">
        <v>63.91</v>
      </c>
      <c r="AR1092" s="38">
        <v>58.64</v>
      </c>
      <c r="AS1092" s="38">
        <v>59.4</v>
      </c>
      <c r="AT1092" s="38">
        <v>62.52</v>
      </c>
      <c r="AU1092" s="38">
        <v>68.819999999999993</v>
      </c>
      <c r="AV1092" s="38">
        <v>73.010000000000005</v>
      </c>
      <c r="AW1092" s="38">
        <v>77.05</v>
      </c>
      <c r="AX1092" s="38">
        <v>82.45</v>
      </c>
      <c r="AY1092" s="38">
        <v>83.36</v>
      </c>
      <c r="BA1092" s="37">
        <v>84.08</v>
      </c>
      <c r="BB1092" s="38">
        <v>1.2653000000000001</v>
      </c>
    </row>
    <row r="1093" spans="1:54" x14ac:dyDescent="0.35">
      <c r="A1093" s="2">
        <f t="shared" si="16"/>
        <v>45351</v>
      </c>
      <c r="B1093" t="s">
        <v>1686</v>
      </c>
      <c r="C1093" s="32">
        <v>45351</v>
      </c>
      <c r="D1093" s="38">
        <v>61.58</v>
      </c>
      <c r="E1093" s="38">
        <v>61.46</v>
      </c>
      <c r="F1093" s="38">
        <v>61.71</v>
      </c>
      <c r="G1093" s="38">
        <v>62.06</v>
      </c>
      <c r="H1093" s="38">
        <v>62.9</v>
      </c>
      <c r="I1093" s="38">
        <v>64.45</v>
      </c>
      <c r="J1093" s="38">
        <v>65.75</v>
      </c>
      <c r="K1093" s="38">
        <v>74.05</v>
      </c>
      <c r="L1093" s="38">
        <v>80.55</v>
      </c>
      <c r="M1093" s="38">
        <v>81.849999999999994</v>
      </c>
      <c r="N1093" s="38">
        <v>81.75</v>
      </c>
      <c r="O1093" s="38">
        <v>78.349999999999994</v>
      </c>
      <c r="P1093" s="38">
        <v>74.760000000000005</v>
      </c>
      <c r="Q1093" s="38">
        <v>71.61</v>
      </c>
      <c r="R1093" s="38">
        <v>68.37</v>
      </c>
      <c r="S1093" s="38">
        <v>68.59</v>
      </c>
      <c r="T1093" s="38">
        <v>70.34</v>
      </c>
      <c r="U1093" s="38">
        <v>72.84</v>
      </c>
      <c r="V1093" s="38">
        <v>75.790000000000006</v>
      </c>
      <c r="W1093" s="38">
        <v>78.34</v>
      </c>
      <c r="X1093" s="38">
        <v>81.319999999999993</v>
      </c>
      <c r="Y1093" s="38">
        <v>84.08</v>
      </c>
      <c r="Z1093" s="38">
        <v>86.07</v>
      </c>
      <c r="AA1093" s="38">
        <v>79.73</v>
      </c>
      <c r="AB1093" s="38">
        <v>71.760000000000005</v>
      </c>
      <c r="AC1093" s="38">
        <v>68.63</v>
      </c>
      <c r="AD1093" s="38">
        <v>65.87</v>
      </c>
      <c r="AE1093" s="38">
        <v>66.48</v>
      </c>
      <c r="AF1093" s="38">
        <v>66.790000000000006</v>
      </c>
      <c r="AG1093" s="38">
        <v>68.75</v>
      </c>
      <c r="AH1093" s="38">
        <v>72.05</v>
      </c>
      <c r="AI1093" s="38">
        <v>75.61</v>
      </c>
      <c r="AJ1093" s="38">
        <v>78.849999999999994</v>
      </c>
      <c r="AK1093" s="38">
        <v>81.02</v>
      </c>
      <c r="AL1093" s="38">
        <v>80.430000000000007</v>
      </c>
      <c r="AM1093" s="38">
        <v>77.95</v>
      </c>
      <c r="AN1093" s="38">
        <v>71.599999999999994</v>
      </c>
      <c r="AO1093" s="38">
        <v>68.05</v>
      </c>
      <c r="AP1093" s="38">
        <v>63.99</v>
      </c>
      <c r="AQ1093" s="38">
        <v>58.72</v>
      </c>
      <c r="AR1093" s="38">
        <v>59.48</v>
      </c>
      <c r="AS1093" s="38">
        <v>62.6</v>
      </c>
      <c r="AT1093" s="38">
        <v>68.900000000000006</v>
      </c>
      <c r="AU1093" s="38">
        <v>73.09</v>
      </c>
      <c r="AV1093" s="38">
        <v>77.13</v>
      </c>
      <c r="AW1093" s="38">
        <v>82.53</v>
      </c>
      <c r="AX1093" s="38">
        <v>83.44</v>
      </c>
      <c r="AY1093" s="38">
        <v>81.180000000000007</v>
      </c>
      <c r="BA1093" s="37">
        <v>84.57</v>
      </c>
      <c r="BB1093" s="38">
        <v>1.2649999999999999</v>
      </c>
    </row>
    <row r="1094" spans="1:54" x14ac:dyDescent="0.35">
      <c r="A1094" s="2">
        <f t="shared" si="16"/>
        <v>45352</v>
      </c>
      <c r="B1094" t="s">
        <v>1687</v>
      </c>
      <c r="C1094" s="32">
        <v>45352</v>
      </c>
      <c r="D1094" s="38">
        <v>64.28</v>
      </c>
      <c r="E1094" s="38">
        <v>64.010000000000005</v>
      </c>
      <c r="F1094" s="38">
        <v>64.19</v>
      </c>
      <c r="G1094" s="38">
        <v>64.45</v>
      </c>
      <c r="H1094" s="38">
        <v>65.22</v>
      </c>
      <c r="I1094" s="38">
        <v>67.02</v>
      </c>
      <c r="J1094" s="38">
        <v>67.900000000000006</v>
      </c>
      <c r="K1094" s="38">
        <v>76.099999999999994</v>
      </c>
      <c r="L1094" s="38">
        <v>82.47</v>
      </c>
      <c r="M1094" s="38">
        <v>83.67</v>
      </c>
      <c r="N1094" s="38">
        <v>83.52</v>
      </c>
      <c r="O1094" s="38">
        <v>80.12</v>
      </c>
      <c r="P1094" s="38">
        <v>75.94</v>
      </c>
      <c r="Q1094" s="38">
        <v>72.790000000000006</v>
      </c>
      <c r="R1094" s="38">
        <v>69.55</v>
      </c>
      <c r="S1094" s="38">
        <v>69.77</v>
      </c>
      <c r="T1094" s="38">
        <v>71.52</v>
      </c>
      <c r="U1094" s="38">
        <v>74.02</v>
      </c>
      <c r="V1094" s="38">
        <v>76.98</v>
      </c>
      <c r="W1094" s="38">
        <v>79.53</v>
      </c>
      <c r="X1094" s="38">
        <v>82.51</v>
      </c>
      <c r="Y1094" s="38">
        <v>85.27</v>
      </c>
      <c r="Z1094" s="38">
        <v>87.26</v>
      </c>
      <c r="AA1094" s="38">
        <v>80.92</v>
      </c>
      <c r="AB1094" s="38">
        <v>72</v>
      </c>
      <c r="AC1094" s="38">
        <v>68.67</v>
      </c>
      <c r="AD1094" s="38">
        <v>65.91</v>
      </c>
      <c r="AE1094" s="38">
        <v>66.52</v>
      </c>
      <c r="AF1094" s="38">
        <v>66.83</v>
      </c>
      <c r="AG1094" s="38">
        <v>68.790000000000006</v>
      </c>
      <c r="AH1094" s="38">
        <v>73.09</v>
      </c>
      <c r="AI1094" s="38">
        <v>76.650000000000006</v>
      </c>
      <c r="AJ1094" s="38">
        <v>79.89</v>
      </c>
      <c r="AK1094" s="38">
        <v>82.06</v>
      </c>
      <c r="AL1094" s="38">
        <v>81.47</v>
      </c>
      <c r="AM1094" s="38">
        <v>78.989999999999995</v>
      </c>
      <c r="AN1094" s="38">
        <v>73.64</v>
      </c>
      <c r="AO1094" s="38">
        <v>70.09</v>
      </c>
      <c r="AP1094" s="38">
        <v>66.03</v>
      </c>
      <c r="AQ1094" s="38">
        <v>60.76</v>
      </c>
      <c r="AR1094" s="38">
        <v>61.52</v>
      </c>
      <c r="AS1094" s="38">
        <v>64.64</v>
      </c>
      <c r="AT1094" s="38">
        <v>69.94</v>
      </c>
      <c r="AU1094" s="38">
        <v>73.63</v>
      </c>
      <c r="AV1094" s="38">
        <v>77.67</v>
      </c>
      <c r="AW1094" s="38">
        <v>83.07</v>
      </c>
      <c r="AX1094" s="38">
        <v>83.98</v>
      </c>
      <c r="AY1094" s="38">
        <v>81.72</v>
      </c>
      <c r="BA1094" s="37">
        <v>84.82</v>
      </c>
      <c r="BB1094" s="38">
        <v>1.2652000000000001</v>
      </c>
    </row>
    <row r="1095" spans="1:54" x14ac:dyDescent="0.35">
      <c r="A1095" s="2">
        <f t="shared" si="16"/>
        <v>45355</v>
      </c>
      <c r="B1095" t="s">
        <v>1688</v>
      </c>
      <c r="C1095" s="32">
        <v>45355</v>
      </c>
      <c r="D1095" s="38">
        <v>67.36</v>
      </c>
      <c r="E1095" s="38">
        <v>67.010000000000005</v>
      </c>
      <c r="F1095" s="38">
        <v>67.150000000000006</v>
      </c>
      <c r="G1095" s="38">
        <v>67.260000000000005</v>
      </c>
      <c r="H1095" s="38">
        <v>67.78</v>
      </c>
      <c r="I1095" s="38">
        <v>69.53</v>
      </c>
      <c r="J1095" s="38">
        <v>69.88</v>
      </c>
      <c r="K1095" s="38">
        <v>77.8</v>
      </c>
      <c r="L1095" s="38">
        <v>83.78</v>
      </c>
      <c r="M1095" s="38">
        <v>85.14</v>
      </c>
      <c r="N1095" s="38">
        <v>85.05</v>
      </c>
      <c r="O1095" s="38">
        <v>81.709999999999994</v>
      </c>
      <c r="P1095" s="38">
        <v>77.540000000000006</v>
      </c>
      <c r="Q1095" s="38">
        <v>74.39</v>
      </c>
      <c r="R1095" s="38">
        <v>71.16</v>
      </c>
      <c r="S1095" s="38">
        <v>71.319999999999993</v>
      </c>
      <c r="T1095" s="38">
        <v>73.03</v>
      </c>
      <c r="U1095" s="38">
        <v>75.510000000000005</v>
      </c>
      <c r="V1095" s="38">
        <v>78.48</v>
      </c>
      <c r="W1095" s="38">
        <v>81.03</v>
      </c>
      <c r="X1095" s="38">
        <v>84.01</v>
      </c>
      <c r="Y1095" s="38">
        <v>86.77</v>
      </c>
      <c r="Z1095" s="38">
        <v>88.76</v>
      </c>
      <c r="AA1095" s="38">
        <v>82.42</v>
      </c>
      <c r="AB1095" s="38">
        <v>73.42</v>
      </c>
      <c r="AC1095" s="38">
        <v>69.92</v>
      </c>
      <c r="AD1095" s="38">
        <v>67.16</v>
      </c>
      <c r="AE1095" s="38">
        <v>67.77</v>
      </c>
      <c r="AF1095" s="38">
        <v>68.08</v>
      </c>
      <c r="AG1095" s="38">
        <v>70.040000000000006</v>
      </c>
      <c r="AH1095" s="38">
        <v>73.540000000000006</v>
      </c>
      <c r="AI1095" s="38">
        <v>76.84</v>
      </c>
      <c r="AJ1095" s="38">
        <v>80.040000000000006</v>
      </c>
      <c r="AK1095" s="38">
        <v>82.21</v>
      </c>
      <c r="AL1095" s="38">
        <v>81.62</v>
      </c>
      <c r="AM1095" s="38">
        <v>79.14</v>
      </c>
      <c r="AN1095" s="38">
        <v>73.790000000000006</v>
      </c>
      <c r="AO1095" s="38">
        <v>70.239999999999995</v>
      </c>
      <c r="AP1095" s="38">
        <v>66.180000000000007</v>
      </c>
      <c r="AQ1095" s="38">
        <v>60.91</v>
      </c>
      <c r="AR1095" s="38">
        <v>61.67</v>
      </c>
      <c r="AS1095" s="38">
        <v>64.790000000000006</v>
      </c>
      <c r="AT1095" s="38">
        <v>70.09</v>
      </c>
      <c r="AU1095" s="38">
        <v>73.78</v>
      </c>
      <c r="AV1095" s="38">
        <v>77.819999999999993</v>
      </c>
      <c r="AW1095" s="38">
        <v>83.22</v>
      </c>
      <c r="AX1095" s="38">
        <v>84.13</v>
      </c>
      <c r="AY1095" s="38">
        <v>81.87</v>
      </c>
      <c r="BA1095" s="37">
        <v>86.58</v>
      </c>
      <c r="BB1095" s="38">
        <v>1.2698</v>
      </c>
    </row>
    <row r="1096" spans="1:54" x14ac:dyDescent="0.35">
      <c r="A1096" s="2">
        <f t="shared" si="16"/>
        <v>45356</v>
      </c>
      <c r="B1096" t="s">
        <v>1689</v>
      </c>
      <c r="C1096" s="32">
        <v>45356</v>
      </c>
      <c r="D1096" s="38">
        <v>68.7</v>
      </c>
      <c r="E1096" s="38">
        <v>68.34</v>
      </c>
      <c r="F1096" s="38">
        <v>68.41</v>
      </c>
      <c r="G1096" s="38">
        <v>68.290000000000006</v>
      </c>
      <c r="H1096" s="38">
        <v>68.92</v>
      </c>
      <c r="I1096" s="38">
        <v>70.67</v>
      </c>
      <c r="J1096" s="38">
        <v>71.02</v>
      </c>
      <c r="K1096" s="38">
        <v>78.78</v>
      </c>
      <c r="L1096" s="38">
        <v>84.76</v>
      </c>
      <c r="M1096" s="38">
        <v>86.01</v>
      </c>
      <c r="N1096" s="38">
        <v>86.01</v>
      </c>
      <c r="O1096" s="38">
        <v>82.67</v>
      </c>
      <c r="P1096" s="38">
        <v>78.83</v>
      </c>
      <c r="Q1096" s="38">
        <v>75.73</v>
      </c>
      <c r="R1096" s="38">
        <v>72.5</v>
      </c>
      <c r="S1096" s="38">
        <v>72.599999999999994</v>
      </c>
      <c r="T1096" s="38">
        <v>74.3</v>
      </c>
      <c r="U1096" s="38">
        <v>76.78</v>
      </c>
      <c r="V1096" s="38">
        <v>79.78</v>
      </c>
      <c r="W1096" s="38">
        <v>82.33</v>
      </c>
      <c r="X1096" s="38">
        <v>85.31</v>
      </c>
      <c r="Y1096" s="38">
        <v>88.07</v>
      </c>
      <c r="Z1096" s="38">
        <v>90.06</v>
      </c>
      <c r="AA1096" s="38">
        <v>83.72</v>
      </c>
      <c r="AB1096" s="38">
        <v>74.62</v>
      </c>
      <c r="AC1096" s="38">
        <v>70.819999999999993</v>
      </c>
      <c r="AD1096" s="38">
        <v>68.06</v>
      </c>
      <c r="AE1096" s="38">
        <v>68.67</v>
      </c>
      <c r="AF1096" s="38">
        <v>68.98</v>
      </c>
      <c r="AG1096" s="38">
        <v>70.94</v>
      </c>
      <c r="AH1096" s="38">
        <v>74.84</v>
      </c>
      <c r="AI1096" s="38">
        <v>78.14</v>
      </c>
      <c r="AJ1096" s="38">
        <v>81.34</v>
      </c>
      <c r="AK1096" s="38">
        <v>83.51</v>
      </c>
      <c r="AL1096" s="38">
        <v>82.92</v>
      </c>
      <c r="AM1096" s="38">
        <v>80.44</v>
      </c>
      <c r="AN1096" s="38">
        <v>74.64</v>
      </c>
      <c r="AO1096" s="38">
        <v>71.09</v>
      </c>
      <c r="AP1096" s="38">
        <v>67.03</v>
      </c>
      <c r="AQ1096" s="38">
        <v>61.76</v>
      </c>
      <c r="AR1096" s="38">
        <v>62.52</v>
      </c>
      <c r="AS1096" s="38">
        <v>65.64</v>
      </c>
      <c r="AT1096" s="38">
        <v>70.64</v>
      </c>
      <c r="AU1096" s="38">
        <v>74.33</v>
      </c>
      <c r="AV1096" s="38">
        <v>78.37</v>
      </c>
      <c r="AW1096" s="38">
        <v>83.77</v>
      </c>
      <c r="AX1096" s="38">
        <v>84.68</v>
      </c>
      <c r="AY1096" s="38">
        <v>82.42</v>
      </c>
      <c r="BA1096" s="37">
        <v>85.82</v>
      </c>
      <c r="BB1096" s="38">
        <v>1.2732000000000001</v>
      </c>
    </row>
    <row r="1097" spans="1:54" x14ac:dyDescent="0.35">
      <c r="A1097" s="2">
        <f t="shared" si="16"/>
        <v>45357</v>
      </c>
      <c r="B1097" t="s">
        <v>1690</v>
      </c>
      <c r="C1097" s="32">
        <v>45357</v>
      </c>
      <c r="D1097" s="38">
        <v>66.47</v>
      </c>
      <c r="E1097" s="38">
        <v>66.13</v>
      </c>
      <c r="F1097" s="38">
        <v>66.37</v>
      </c>
      <c r="G1097" s="38">
        <v>66.349999999999994</v>
      </c>
      <c r="H1097" s="38">
        <v>67.099999999999994</v>
      </c>
      <c r="I1097" s="38">
        <v>68.92</v>
      </c>
      <c r="J1097" s="38">
        <v>69.28</v>
      </c>
      <c r="K1097" s="38">
        <v>77.400000000000006</v>
      </c>
      <c r="L1097" s="38">
        <v>83.38</v>
      </c>
      <c r="M1097" s="38">
        <v>84.68</v>
      </c>
      <c r="N1097" s="38">
        <v>84.69</v>
      </c>
      <c r="O1097" s="38">
        <v>81.41</v>
      </c>
      <c r="P1097" s="38">
        <v>78.19</v>
      </c>
      <c r="Q1097" s="38">
        <v>75.09</v>
      </c>
      <c r="R1097" s="38">
        <v>71.86</v>
      </c>
      <c r="S1097" s="38">
        <v>71.959999999999994</v>
      </c>
      <c r="T1097" s="38">
        <v>73.66</v>
      </c>
      <c r="U1097" s="38">
        <v>76.14</v>
      </c>
      <c r="V1097" s="38">
        <v>78.86</v>
      </c>
      <c r="W1097" s="38">
        <v>81.36</v>
      </c>
      <c r="X1097" s="38">
        <v>84.34</v>
      </c>
      <c r="Y1097" s="38">
        <v>87.1</v>
      </c>
      <c r="Z1097" s="38">
        <v>89.09</v>
      </c>
      <c r="AA1097" s="38">
        <v>82.75</v>
      </c>
      <c r="AB1097" s="38">
        <v>73.849999999999994</v>
      </c>
      <c r="AC1097" s="38">
        <v>70.349999999999994</v>
      </c>
      <c r="AD1097" s="38">
        <v>67.59</v>
      </c>
      <c r="AE1097" s="38">
        <v>68.2</v>
      </c>
      <c r="AF1097" s="38">
        <v>68.510000000000005</v>
      </c>
      <c r="AG1097" s="38">
        <v>70.47</v>
      </c>
      <c r="AH1097" s="38">
        <v>74.47</v>
      </c>
      <c r="AI1097" s="38">
        <v>77.77</v>
      </c>
      <c r="AJ1097" s="38">
        <v>80.97</v>
      </c>
      <c r="AK1097" s="38">
        <v>83.14</v>
      </c>
      <c r="AL1097" s="38">
        <v>82.55</v>
      </c>
      <c r="AM1097" s="38">
        <v>80.069999999999993</v>
      </c>
      <c r="AN1097" s="38">
        <v>74.37</v>
      </c>
      <c r="AO1097" s="38">
        <v>70.819999999999993</v>
      </c>
      <c r="AP1097" s="38">
        <v>66.760000000000005</v>
      </c>
      <c r="AQ1097" s="38">
        <v>61.49</v>
      </c>
      <c r="AR1097" s="38">
        <v>62.25</v>
      </c>
      <c r="AS1097" s="38">
        <v>65.37</v>
      </c>
      <c r="AT1097" s="38">
        <v>70.37</v>
      </c>
      <c r="AU1097" s="38">
        <v>74.06</v>
      </c>
      <c r="AV1097" s="38">
        <v>78.099999999999994</v>
      </c>
      <c r="AW1097" s="38">
        <v>83.5</v>
      </c>
      <c r="AX1097" s="38">
        <v>84.41</v>
      </c>
      <c r="AY1097" s="38">
        <v>82.15</v>
      </c>
      <c r="BA1097" s="37">
        <v>86.59</v>
      </c>
      <c r="BB1097" s="38">
        <v>1.2743</v>
      </c>
    </row>
    <row r="1098" spans="1:54" x14ac:dyDescent="0.35">
      <c r="A1098" s="2">
        <f t="shared" si="16"/>
        <v>45358</v>
      </c>
      <c r="B1098" t="s">
        <v>1691</v>
      </c>
      <c r="C1098" s="32">
        <v>45358</v>
      </c>
      <c r="D1098" s="38">
        <v>65.3</v>
      </c>
      <c r="E1098" s="38">
        <v>64.61</v>
      </c>
      <c r="F1098" s="38">
        <v>64.8</v>
      </c>
      <c r="G1098" s="38">
        <v>64.849999999999994</v>
      </c>
      <c r="H1098" s="38">
        <v>65.510000000000005</v>
      </c>
      <c r="I1098" s="38">
        <v>67.069999999999993</v>
      </c>
      <c r="J1098" s="38">
        <v>67.56</v>
      </c>
      <c r="K1098" s="38">
        <v>75.86</v>
      </c>
      <c r="L1098" s="38">
        <v>81.81</v>
      </c>
      <c r="M1098" s="38">
        <v>82.97</v>
      </c>
      <c r="N1098" s="38">
        <v>83.04</v>
      </c>
      <c r="O1098" s="38">
        <v>79.84</v>
      </c>
      <c r="P1098" s="38">
        <v>76.77</v>
      </c>
      <c r="Q1098" s="38">
        <v>73.67</v>
      </c>
      <c r="R1098" s="38">
        <v>70.44</v>
      </c>
      <c r="S1098" s="38">
        <v>70.53</v>
      </c>
      <c r="T1098" s="38">
        <v>72.13</v>
      </c>
      <c r="U1098" s="38">
        <v>74.53</v>
      </c>
      <c r="V1098" s="38">
        <v>77.349999999999994</v>
      </c>
      <c r="W1098" s="38">
        <v>80.05</v>
      </c>
      <c r="X1098" s="38">
        <v>83.03</v>
      </c>
      <c r="Y1098" s="38">
        <v>85.79</v>
      </c>
      <c r="Z1098" s="38">
        <v>87.78</v>
      </c>
      <c r="AA1098" s="38">
        <v>81.44</v>
      </c>
      <c r="AB1098" s="38">
        <v>72.94</v>
      </c>
      <c r="AC1098" s="38">
        <v>69.540000000000006</v>
      </c>
      <c r="AD1098" s="38">
        <v>66.78</v>
      </c>
      <c r="AE1098" s="38">
        <v>67.39</v>
      </c>
      <c r="AF1098" s="38">
        <v>67.7</v>
      </c>
      <c r="AG1098" s="38">
        <v>69.66</v>
      </c>
      <c r="AH1098" s="38">
        <v>73.66</v>
      </c>
      <c r="AI1098" s="38">
        <v>76.959999999999994</v>
      </c>
      <c r="AJ1098" s="38">
        <v>80.16</v>
      </c>
      <c r="AK1098" s="38">
        <v>82.33</v>
      </c>
      <c r="AL1098" s="38">
        <v>81.739999999999995</v>
      </c>
      <c r="AM1098" s="38">
        <v>79.260000000000005</v>
      </c>
      <c r="AN1098" s="38">
        <v>74.56</v>
      </c>
      <c r="AO1098" s="38">
        <v>71.010000000000005</v>
      </c>
      <c r="AP1098" s="38">
        <v>66.95</v>
      </c>
      <c r="AQ1098" s="38">
        <v>61.68</v>
      </c>
      <c r="AR1098" s="38">
        <v>62.44</v>
      </c>
      <c r="AS1098" s="38">
        <v>65.56</v>
      </c>
      <c r="AT1098" s="38">
        <v>70.56</v>
      </c>
      <c r="AU1098" s="38">
        <v>74.25</v>
      </c>
      <c r="AV1098" s="38">
        <v>78.290000000000006</v>
      </c>
      <c r="AW1098" s="38">
        <v>83.69</v>
      </c>
      <c r="AX1098" s="38">
        <v>84.6</v>
      </c>
      <c r="AY1098" s="38">
        <v>82.34</v>
      </c>
      <c r="BA1098" s="37">
        <v>84.88</v>
      </c>
      <c r="BB1098" s="38">
        <v>1.2788999999999999</v>
      </c>
    </row>
    <row r="1099" spans="1:54" x14ac:dyDescent="0.35">
      <c r="A1099" s="2">
        <f t="shared" si="16"/>
        <v>45359</v>
      </c>
      <c r="B1099" t="s">
        <v>1692</v>
      </c>
      <c r="C1099" s="32">
        <v>45359</v>
      </c>
      <c r="D1099" s="38">
        <v>65.790000000000006</v>
      </c>
      <c r="E1099" s="38">
        <v>65.180000000000007</v>
      </c>
      <c r="F1099" s="38">
        <v>65.37</v>
      </c>
      <c r="G1099" s="38">
        <v>65.489999999999995</v>
      </c>
      <c r="H1099" s="38">
        <v>66.17</v>
      </c>
      <c r="I1099" s="38">
        <v>67.73</v>
      </c>
      <c r="J1099" s="38">
        <v>68.180000000000007</v>
      </c>
      <c r="K1099" s="38">
        <v>76.33</v>
      </c>
      <c r="L1099" s="38">
        <v>82.08</v>
      </c>
      <c r="M1099" s="38">
        <v>83.38</v>
      </c>
      <c r="N1099" s="38">
        <v>83.38</v>
      </c>
      <c r="O1099" s="38">
        <v>80.23</v>
      </c>
      <c r="P1099" s="38">
        <v>76.67</v>
      </c>
      <c r="Q1099" s="38">
        <v>73.569999999999993</v>
      </c>
      <c r="R1099" s="38">
        <v>70.34</v>
      </c>
      <c r="S1099" s="38">
        <v>70.45</v>
      </c>
      <c r="T1099" s="38">
        <v>71.650000000000006</v>
      </c>
      <c r="U1099" s="38">
        <v>74.05</v>
      </c>
      <c r="V1099" s="38">
        <v>76.91</v>
      </c>
      <c r="W1099" s="38">
        <v>79.540000000000006</v>
      </c>
      <c r="X1099" s="38">
        <v>82.52</v>
      </c>
      <c r="Y1099" s="38">
        <v>85.28</v>
      </c>
      <c r="Z1099" s="38">
        <v>87.27</v>
      </c>
      <c r="AA1099" s="38">
        <v>80.930000000000007</v>
      </c>
      <c r="AB1099" s="38">
        <v>72.83</v>
      </c>
      <c r="AC1099" s="38">
        <v>69.33</v>
      </c>
      <c r="AD1099" s="38">
        <v>66.569999999999993</v>
      </c>
      <c r="AE1099" s="38">
        <v>67.180000000000007</v>
      </c>
      <c r="AF1099" s="38">
        <v>67.510000000000005</v>
      </c>
      <c r="AG1099" s="38">
        <v>69.47</v>
      </c>
      <c r="AH1099" s="38">
        <v>73.47</v>
      </c>
      <c r="AI1099" s="38">
        <v>76.77</v>
      </c>
      <c r="AJ1099" s="38">
        <v>79.97</v>
      </c>
      <c r="AK1099" s="38">
        <v>82.14</v>
      </c>
      <c r="AL1099" s="38">
        <v>81.55</v>
      </c>
      <c r="AM1099" s="38">
        <v>79.069999999999993</v>
      </c>
      <c r="AN1099" s="38">
        <v>74.47</v>
      </c>
      <c r="AO1099" s="38">
        <v>70.92</v>
      </c>
      <c r="AP1099" s="38">
        <v>66.86</v>
      </c>
      <c r="AQ1099" s="38">
        <v>61.59</v>
      </c>
      <c r="AR1099" s="38">
        <v>62.35</v>
      </c>
      <c r="AS1099" s="38">
        <v>65.47</v>
      </c>
      <c r="AT1099" s="38">
        <v>70.47</v>
      </c>
      <c r="AU1099" s="38">
        <v>74.16</v>
      </c>
      <c r="AV1099" s="38">
        <v>78.2</v>
      </c>
      <c r="AW1099" s="38">
        <v>83.6</v>
      </c>
      <c r="AX1099" s="38">
        <v>84.51</v>
      </c>
      <c r="AY1099" s="38">
        <v>82.25</v>
      </c>
      <c r="BA1099" s="37">
        <v>84.29</v>
      </c>
      <c r="BB1099" s="38">
        <v>1.2881</v>
      </c>
    </row>
    <row r="1100" spans="1:54" x14ac:dyDescent="0.35">
      <c r="A1100" s="2">
        <f t="shared" si="16"/>
        <v>45362</v>
      </c>
      <c r="B1100" t="s">
        <v>1693</v>
      </c>
      <c r="C1100" s="32">
        <v>45362</v>
      </c>
      <c r="D1100" s="38">
        <v>62.37</v>
      </c>
      <c r="E1100" s="38">
        <v>61.87</v>
      </c>
      <c r="F1100" s="38">
        <v>62.02</v>
      </c>
      <c r="G1100" s="38">
        <v>62.19</v>
      </c>
      <c r="H1100" s="38">
        <v>62.78</v>
      </c>
      <c r="I1100" s="38">
        <v>64.680000000000007</v>
      </c>
      <c r="J1100" s="38">
        <v>65.33</v>
      </c>
      <c r="K1100" s="38">
        <v>73.53</v>
      </c>
      <c r="L1100" s="38">
        <v>79.28</v>
      </c>
      <c r="M1100" s="38">
        <v>80.680000000000007</v>
      </c>
      <c r="N1100" s="38">
        <v>80.78</v>
      </c>
      <c r="O1100" s="38">
        <v>77.63</v>
      </c>
      <c r="P1100" s="38">
        <v>74.73</v>
      </c>
      <c r="Q1100" s="38">
        <v>71.63</v>
      </c>
      <c r="R1100" s="38">
        <v>68.400000000000006</v>
      </c>
      <c r="S1100" s="38">
        <v>68.510000000000005</v>
      </c>
      <c r="T1100" s="38">
        <v>69.709999999999994</v>
      </c>
      <c r="U1100" s="38">
        <v>72.11</v>
      </c>
      <c r="V1100" s="38">
        <v>74.75</v>
      </c>
      <c r="W1100" s="38">
        <v>77.45</v>
      </c>
      <c r="X1100" s="38">
        <v>80.430000000000007</v>
      </c>
      <c r="Y1100" s="38">
        <v>83.19</v>
      </c>
      <c r="Z1100" s="38">
        <v>85.18</v>
      </c>
      <c r="AA1100" s="38">
        <v>78.84</v>
      </c>
      <c r="AB1100" s="38">
        <v>71.28</v>
      </c>
      <c r="AC1100" s="38">
        <v>67.78</v>
      </c>
      <c r="AD1100" s="38">
        <v>65.02</v>
      </c>
      <c r="AE1100" s="38">
        <v>65.63</v>
      </c>
      <c r="AF1100" s="38">
        <v>65.959999999999994</v>
      </c>
      <c r="AG1100" s="38">
        <v>67.92</v>
      </c>
      <c r="AH1100" s="38">
        <v>71.92</v>
      </c>
      <c r="AI1100" s="38">
        <v>75.22</v>
      </c>
      <c r="AJ1100" s="38">
        <v>78.42</v>
      </c>
      <c r="AK1100" s="38">
        <v>80.59</v>
      </c>
      <c r="AL1100" s="38">
        <v>80</v>
      </c>
      <c r="AM1100" s="38">
        <v>77.52</v>
      </c>
      <c r="AN1100" s="38">
        <v>73.72</v>
      </c>
      <c r="AO1100" s="38">
        <v>70.52</v>
      </c>
      <c r="AP1100" s="38">
        <v>66.459999999999994</v>
      </c>
      <c r="AQ1100" s="38">
        <v>61.19</v>
      </c>
      <c r="AR1100" s="38">
        <v>61.95</v>
      </c>
      <c r="AS1100" s="38">
        <v>65.069999999999993</v>
      </c>
      <c r="AT1100" s="38">
        <v>70.069999999999993</v>
      </c>
      <c r="AU1100" s="38">
        <v>73.760000000000005</v>
      </c>
      <c r="AV1100" s="38">
        <v>77.8</v>
      </c>
      <c r="AW1100" s="38">
        <v>83.2</v>
      </c>
      <c r="AX1100" s="38">
        <v>84.11</v>
      </c>
      <c r="AY1100" s="38">
        <v>81.849999999999994</v>
      </c>
      <c r="BA1100" s="37">
        <v>83.44</v>
      </c>
      <c r="BB1100" s="38">
        <v>1.2805</v>
      </c>
    </row>
    <row r="1101" spans="1:54" x14ac:dyDescent="0.35">
      <c r="A1101" s="2">
        <f t="shared" ref="A1101:A1164" si="17">+A1096+7</f>
        <v>45363</v>
      </c>
      <c r="B1101" t="s">
        <v>1694</v>
      </c>
      <c r="C1101" s="32">
        <v>45363</v>
      </c>
      <c r="D1101" s="38">
        <v>62.5</v>
      </c>
      <c r="E1101" s="38">
        <v>61.7</v>
      </c>
      <c r="F1101" s="38">
        <v>61.74</v>
      </c>
      <c r="G1101" s="38">
        <v>61.81</v>
      </c>
      <c r="H1101" s="38">
        <v>62.3</v>
      </c>
      <c r="I1101" s="38">
        <v>64.099999999999994</v>
      </c>
      <c r="J1101" s="38">
        <v>64.61</v>
      </c>
      <c r="K1101" s="38">
        <v>72.91</v>
      </c>
      <c r="L1101" s="38">
        <v>78.67</v>
      </c>
      <c r="M1101" s="38">
        <v>79.819999999999993</v>
      </c>
      <c r="N1101" s="38">
        <v>79.88</v>
      </c>
      <c r="O1101" s="38">
        <v>76.8</v>
      </c>
      <c r="P1101" s="38">
        <v>73.62</v>
      </c>
      <c r="Q1101" s="38">
        <v>70.33</v>
      </c>
      <c r="R1101" s="38">
        <v>66.989999999999995</v>
      </c>
      <c r="S1101" s="38">
        <v>67.11</v>
      </c>
      <c r="T1101" s="38">
        <v>68.319999999999993</v>
      </c>
      <c r="U1101" s="38">
        <v>70.73</v>
      </c>
      <c r="V1101" s="38">
        <v>73.7</v>
      </c>
      <c r="W1101" s="38">
        <v>76.510000000000005</v>
      </c>
      <c r="X1101" s="38">
        <v>79.53</v>
      </c>
      <c r="Y1101" s="38">
        <v>82.34</v>
      </c>
      <c r="Z1101" s="38">
        <v>84.34</v>
      </c>
      <c r="AA1101" s="38">
        <v>78.02</v>
      </c>
      <c r="AB1101" s="38">
        <v>70.42</v>
      </c>
      <c r="AC1101" s="38">
        <v>66.930000000000007</v>
      </c>
      <c r="AD1101" s="38">
        <v>64.19</v>
      </c>
      <c r="AE1101" s="38">
        <v>64.81</v>
      </c>
      <c r="AF1101" s="38">
        <v>65.16</v>
      </c>
      <c r="AG1101" s="38">
        <v>67.14</v>
      </c>
      <c r="AH1101" s="38">
        <v>71.17</v>
      </c>
      <c r="AI1101" s="38">
        <v>74.489999999999995</v>
      </c>
      <c r="AJ1101" s="38">
        <v>77.73</v>
      </c>
      <c r="AK1101" s="38">
        <v>79.94</v>
      </c>
      <c r="AL1101" s="38">
        <v>79.39</v>
      </c>
      <c r="AM1101" s="38">
        <v>76.95</v>
      </c>
      <c r="AN1101" s="38">
        <v>73.260000000000005</v>
      </c>
      <c r="AO1101" s="38">
        <v>70.06</v>
      </c>
      <c r="AP1101" s="38">
        <v>66</v>
      </c>
      <c r="AQ1101" s="38">
        <v>60.73</v>
      </c>
      <c r="AR1101" s="38">
        <v>61.49</v>
      </c>
      <c r="AS1101" s="38">
        <v>64.61</v>
      </c>
      <c r="AT1101" s="38">
        <v>69.61</v>
      </c>
      <c r="AU1101" s="38">
        <v>73.3</v>
      </c>
      <c r="AV1101" s="38">
        <v>77.34</v>
      </c>
      <c r="AW1101" s="38">
        <v>82.74</v>
      </c>
      <c r="AX1101" s="38">
        <v>83.65</v>
      </c>
      <c r="AY1101" s="38">
        <v>81.39</v>
      </c>
      <c r="BA1101" s="37">
        <v>83.66</v>
      </c>
      <c r="BB1101" s="38">
        <v>1.2784</v>
      </c>
    </row>
    <row r="1102" spans="1:54" x14ac:dyDescent="0.35">
      <c r="A1102" s="2">
        <f t="shared" si="17"/>
        <v>45364</v>
      </c>
      <c r="B1102" t="s">
        <v>1695</v>
      </c>
      <c r="C1102" s="32">
        <v>45364</v>
      </c>
      <c r="D1102" s="38">
        <v>62.4</v>
      </c>
      <c r="E1102" s="38">
        <v>61.78</v>
      </c>
      <c r="F1102" s="38">
        <v>61.81</v>
      </c>
      <c r="G1102" s="38">
        <v>61.9</v>
      </c>
      <c r="H1102" s="38">
        <v>62.41</v>
      </c>
      <c r="I1102" s="38">
        <v>64.260000000000005</v>
      </c>
      <c r="J1102" s="38">
        <v>64.72</v>
      </c>
      <c r="K1102" s="38">
        <v>73.12</v>
      </c>
      <c r="L1102" s="38">
        <v>78.75</v>
      </c>
      <c r="M1102" s="38">
        <v>79.98</v>
      </c>
      <c r="N1102" s="38">
        <v>79.98</v>
      </c>
      <c r="O1102" s="38">
        <v>76.88</v>
      </c>
      <c r="P1102" s="38">
        <v>73.400000000000006</v>
      </c>
      <c r="Q1102" s="38">
        <v>70.260000000000005</v>
      </c>
      <c r="R1102" s="38">
        <v>67.02</v>
      </c>
      <c r="S1102" s="38">
        <v>67.17</v>
      </c>
      <c r="T1102" s="38">
        <v>68.47</v>
      </c>
      <c r="U1102" s="38">
        <v>70.88</v>
      </c>
      <c r="V1102" s="38">
        <v>73.8</v>
      </c>
      <c r="W1102" s="38">
        <v>76.61</v>
      </c>
      <c r="X1102" s="38">
        <v>79.63</v>
      </c>
      <c r="Y1102" s="38">
        <v>82.44</v>
      </c>
      <c r="Z1102" s="38">
        <v>84.44</v>
      </c>
      <c r="AA1102" s="38">
        <v>78.12</v>
      </c>
      <c r="AB1102" s="38">
        <v>70.14</v>
      </c>
      <c r="AC1102" s="38">
        <v>66.540000000000006</v>
      </c>
      <c r="AD1102" s="38">
        <v>63.76</v>
      </c>
      <c r="AE1102" s="38">
        <v>64.38</v>
      </c>
      <c r="AF1102" s="38">
        <v>64.73</v>
      </c>
      <c r="AG1102" s="38">
        <v>66.709999999999994</v>
      </c>
      <c r="AH1102" s="38">
        <v>70.61</v>
      </c>
      <c r="AI1102" s="38">
        <v>73.930000000000007</v>
      </c>
      <c r="AJ1102" s="38">
        <v>77.17</v>
      </c>
      <c r="AK1102" s="38">
        <v>79.38</v>
      </c>
      <c r="AL1102" s="38">
        <v>78.83</v>
      </c>
      <c r="AM1102" s="38">
        <v>76.39</v>
      </c>
      <c r="AN1102" s="38">
        <v>72.599999999999994</v>
      </c>
      <c r="AO1102" s="38">
        <v>69.3</v>
      </c>
      <c r="AP1102" s="38">
        <v>65.239999999999995</v>
      </c>
      <c r="AQ1102" s="38">
        <v>59.97</v>
      </c>
      <c r="AR1102" s="38">
        <v>60.73</v>
      </c>
      <c r="AS1102" s="38">
        <v>63.85</v>
      </c>
      <c r="AT1102" s="38">
        <v>69.05</v>
      </c>
      <c r="AU1102" s="38">
        <v>72.739999999999995</v>
      </c>
      <c r="AV1102" s="38">
        <v>76.78</v>
      </c>
      <c r="AW1102" s="38">
        <v>82.18</v>
      </c>
      <c r="AX1102" s="38">
        <v>83.09</v>
      </c>
      <c r="AY1102" s="38">
        <v>80.83</v>
      </c>
      <c r="BA1102" s="37">
        <v>83.95</v>
      </c>
      <c r="BB1102" s="38">
        <v>1.2797000000000001</v>
      </c>
    </row>
    <row r="1103" spans="1:54" x14ac:dyDescent="0.35">
      <c r="A1103" s="2">
        <f t="shared" si="17"/>
        <v>45365</v>
      </c>
      <c r="B1103" t="s">
        <v>1696</v>
      </c>
      <c r="C1103" s="32">
        <v>45365</v>
      </c>
      <c r="D1103" s="38">
        <v>65.27</v>
      </c>
      <c r="E1103" s="38">
        <v>64.7</v>
      </c>
      <c r="F1103" s="38">
        <v>64.599999999999994</v>
      </c>
      <c r="G1103" s="38">
        <v>64.56</v>
      </c>
      <c r="H1103" s="38">
        <v>64.97</v>
      </c>
      <c r="I1103" s="38">
        <v>66.760000000000005</v>
      </c>
      <c r="J1103" s="38">
        <v>67.08</v>
      </c>
      <c r="K1103" s="38">
        <v>75.47</v>
      </c>
      <c r="L1103" s="38">
        <v>81.099999999999994</v>
      </c>
      <c r="M1103" s="38">
        <v>82.32</v>
      </c>
      <c r="N1103" s="38">
        <v>82.32</v>
      </c>
      <c r="O1103" s="38">
        <v>79.319999999999993</v>
      </c>
      <c r="P1103" s="38">
        <v>75.61</v>
      </c>
      <c r="Q1103" s="38">
        <v>72.31</v>
      </c>
      <c r="R1103" s="38">
        <v>69.069999999999993</v>
      </c>
      <c r="S1103" s="38">
        <v>69.22</v>
      </c>
      <c r="T1103" s="38">
        <v>70.52</v>
      </c>
      <c r="U1103" s="38">
        <v>72.930000000000007</v>
      </c>
      <c r="V1103" s="38">
        <v>75.75</v>
      </c>
      <c r="W1103" s="38">
        <v>78.56</v>
      </c>
      <c r="X1103" s="38">
        <v>81.58</v>
      </c>
      <c r="Y1103" s="38">
        <v>84.39</v>
      </c>
      <c r="Z1103" s="38">
        <v>86.39</v>
      </c>
      <c r="AA1103" s="38">
        <v>80.06</v>
      </c>
      <c r="AB1103" s="38">
        <v>71.81</v>
      </c>
      <c r="AC1103" s="38">
        <v>67.959999999999994</v>
      </c>
      <c r="AD1103" s="38">
        <v>65.180000000000007</v>
      </c>
      <c r="AE1103" s="38">
        <v>65.8</v>
      </c>
      <c r="AF1103" s="38">
        <v>66.150000000000006</v>
      </c>
      <c r="AG1103" s="38">
        <v>68.13</v>
      </c>
      <c r="AH1103" s="38">
        <v>71.63</v>
      </c>
      <c r="AI1103" s="38">
        <v>74.930000000000007</v>
      </c>
      <c r="AJ1103" s="38">
        <v>78.17</v>
      </c>
      <c r="AK1103" s="38">
        <v>80.38</v>
      </c>
      <c r="AL1103" s="38">
        <v>79.83</v>
      </c>
      <c r="AM1103" s="38">
        <v>77.39</v>
      </c>
      <c r="AN1103" s="38">
        <v>73.39</v>
      </c>
      <c r="AO1103" s="38">
        <v>70.09</v>
      </c>
      <c r="AP1103" s="38">
        <v>66.03</v>
      </c>
      <c r="AQ1103" s="38">
        <v>60.76</v>
      </c>
      <c r="AR1103" s="38">
        <v>61.52</v>
      </c>
      <c r="AS1103" s="38">
        <v>64.63</v>
      </c>
      <c r="AT1103" s="38">
        <v>69.63</v>
      </c>
      <c r="AU1103" s="38">
        <v>73.319999999999993</v>
      </c>
      <c r="AV1103" s="38">
        <v>77.36</v>
      </c>
      <c r="AW1103" s="38">
        <v>82.76</v>
      </c>
      <c r="AX1103" s="38">
        <v>83.67</v>
      </c>
      <c r="AY1103" s="38">
        <v>81.41</v>
      </c>
      <c r="BA1103" s="37">
        <v>86.16</v>
      </c>
      <c r="BB1103" s="38">
        <v>1.2746999999999999</v>
      </c>
    </row>
    <row r="1104" spans="1:54" x14ac:dyDescent="0.35">
      <c r="A1104" s="2">
        <f t="shared" si="17"/>
        <v>45366</v>
      </c>
      <c r="B1104" t="s">
        <v>1697</v>
      </c>
      <c r="C1104" s="32">
        <v>45366</v>
      </c>
      <c r="D1104" s="38">
        <v>68.010000000000005</v>
      </c>
      <c r="E1104" s="38">
        <v>67.19</v>
      </c>
      <c r="F1104" s="38">
        <v>66.77</v>
      </c>
      <c r="G1104" s="38">
        <v>66.63</v>
      </c>
      <c r="H1104" s="38">
        <v>67.13</v>
      </c>
      <c r="I1104" s="38">
        <v>69.23</v>
      </c>
      <c r="J1104" s="38">
        <v>69.53</v>
      </c>
      <c r="K1104" s="38">
        <v>77.83</v>
      </c>
      <c r="L1104" s="38">
        <v>83.13</v>
      </c>
      <c r="M1104" s="38">
        <v>84.23</v>
      </c>
      <c r="N1104" s="38">
        <v>84.18</v>
      </c>
      <c r="O1104" s="38">
        <v>81.13</v>
      </c>
      <c r="P1104" s="38">
        <v>77.23</v>
      </c>
      <c r="Q1104" s="38">
        <v>73.78</v>
      </c>
      <c r="R1104" s="38">
        <v>70.5</v>
      </c>
      <c r="S1104" s="38">
        <v>70.5</v>
      </c>
      <c r="T1104" s="38">
        <v>71.8</v>
      </c>
      <c r="U1104" s="38">
        <v>74.209999999999994</v>
      </c>
      <c r="V1104" s="38">
        <v>76.709999999999994</v>
      </c>
      <c r="W1104" s="38">
        <v>79.41</v>
      </c>
      <c r="X1104" s="38">
        <v>82.41</v>
      </c>
      <c r="Y1104" s="38">
        <v>85.22</v>
      </c>
      <c r="Z1104" s="38">
        <v>87.22</v>
      </c>
      <c r="AA1104" s="38">
        <v>80.89</v>
      </c>
      <c r="AB1104" s="38">
        <v>72.39</v>
      </c>
      <c r="AC1104" s="38">
        <v>68.540000000000006</v>
      </c>
      <c r="AD1104" s="38">
        <v>65.760000000000005</v>
      </c>
      <c r="AE1104" s="38">
        <v>66.38</v>
      </c>
      <c r="AF1104" s="38">
        <v>66.73</v>
      </c>
      <c r="AG1104" s="38">
        <v>68.709999999999994</v>
      </c>
      <c r="AH1104" s="38">
        <v>72.209999999999994</v>
      </c>
      <c r="AI1104" s="38">
        <v>75.510000000000005</v>
      </c>
      <c r="AJ1104" s="38">
        <v>78.75</v>
      </c>
      <c r="AK1104" s="38">
        <v>80.959999999999994</v>
      </c>
      <c r="AL1104" s="38">
        <v>80.41</v>
      </c>
      <c r="AM1104" s="38">
        <v>77.97</v>
      </c>
      <c r="AN1104" s="38">
        <v>73.77</v>
      </c>
      <c r="AO1104" s="38">
        <v>70.47</v>
      </c>
      <c r="AP1104" s="38">
        <v>66.41</v>
      </c>
      <c r="AQ1104" s="38">
        <v>61.14</v>
      </c>
      <c r="AR1104" s="38">
        <v>61.9</v>
      </c>
      <c r="AS1104" s="38">
        <v>65.010000000000005</v>
      </c>
      <c r="AT1104" s="38">
        <v>70.010000000000005</v>
      </c>
      <c r="AU1104" s="38">
        <v>73.7</v>
      </c>
      <c r="AV1104" s="38">
        <v>77.739999999999995</v>
      </c>
      <c r="AW1104" s="38">
        <v>83.14</v>
      </c>
      <c r="AX1104" s="38">
        <v>84.05</v>
      </c>
      <c r="AY1104" s="38">
        <v>81.790000000000006</v>
      </c>
      <c r="BA1104" s="37">
        <v>85.39</v>
      </c>
      <c r="BB1104" s="38">
        <v>1.274</v>
      </c>
    </row>
    <row r="1105" spans="1:54" x14ac:dyDescent="0.35">
      <c r="A1105" s="2">
        <f t="shared" si="17"/>
        <v>45369</v>
      </c>
      <c r="B1105" t="s">
        <v>1698</v>
      </c>
      <c r="C1105" s="32">
        <v>45369</v>
      </c>
      <c r="D1105" s="38">
        <v>73.260000000000005</v>
      </c>
      <c r="E1105" s="38">
        <v>72</v>
      </c>
      <c r="F1105" s="38">
        <v>71.290000000000006</v>
      </c>
      <c r="G1105" s="38">
        <v>70.98</v>
      </c>
      <c r="H1105" s="38">
        <v>71.5</v>
      </c>
      <c r="I1105" s="38">
        <v>73.599999999999994</v>
      </c>
      <c r="J1105" s="38">
        <v>73.849999999999994</v>
      </c>
      <c r="K1105" s="38">
        <v>81.7</v>
      </c>
      <c r="L1105" s="38">
        <v>86.44</v>
      </c>
      <c r="M1105" s="38">
        <v>87.73</v>
      </c>
      <c r="N1105" s="38">
        <v>87.76</v>
      </c>
      <c r="O1105" s="38">
        <v>84.7</v>
      </c>
      <c r="P1105" s="38">
        <v>79.83</v>
      </c>
      <c r="Q1105" s="38">
        <v>76.38</v>
      </c>
      <c r="R1105" s="38">
        <v>73.099999999999994</v>
      </c>
      <c r="S1105" s="38">
        <v>73.099999999999994</v>
      </c>
      <c r="T1105" s="38">
        <v>74.400000000000006</v>
      </c>
      <c r="U1105" s="38">
        <v>76.81</v>
      </c>
      <c r="V1105" s="38">
        <v>80.11</v>
      </c>
      <c r="W1105" s="38">
        <v>82.81</v>
      </c>
      <c r="X1105" s="38">
        <v>85.81</v>
      </c>
      <c r="Y1105" s="38">
        <v>88.62</v>
      </c>
      <c r="Z1105" s="38">
        <v>90.62</v>
      </c>
      <c r="AA1105" s="38">
        <v>84.29</v>
      </c>
      <c r="AB1105" s="38">
        <v>74.59</v>
      </c>
      <c r="AC1105" s="38">
        <v>70.14</v>
      </c>
      <c r="AD1105" s="38">
        <v>67.36</v>
      </c>
      <c r="AE1105" s="38">
        <v>67.98</v>
      </c>
      <c r="AF1105" s="38">
        <v>68.33</v>
      </c>
      <c r="AG1105" s="38">
        <v>70.31</v>
      </c>
      <c r="AH1105" s="38">
        <v>73.31</v>
      </c>
      <c r="AI1105" s="38">
        <v>76.61</v>
      </c>
      <c r="AJ1105" s="38">
        <v>79.849999999999994</v>
      </c>
      <c r="AK1105" s="38">
        <v>82.06</v>
      </c>
      <c r="AL1105" s="38">
        <v>81.510000000000005</v>
      </c>
      <c r="AM1105" s="38">
        <v>79.069999999999993</v>
      </c>
      <c r="AN1105" s="38">
        <v>74.87</v>
      </c>
      <c r="AO1105" s="38">
        <v>71.569999999999993</v>
      </c>
      <c r="AP1105" s="38">
        <v>67.510000000000005</v>
      </c>
      <c r="AQ1105" s="38">
        <v>62.24</v>
      </c>
      <c r="AR1105" s="38">
        <v>63</v>
      </c>
      <c r="AS1105" s="38">
        <v>66.11</v>
      </c>
      <c r="AT1105" s="38">
        <v>71.11</v>
      </c>
      <c r="AU1105" s="38">
        <v>74.8</v>
      </c>
      <c r="AV1105" s="38">
        <v>78.84</v>
      </c>
      <c r="AW1105" s="38">
        <v>84.24</v>
      </c>
      <c r="AX1105" s="38">
        <v>85.15</v>
      </c>
      <c r="AY1105" s="38">
        <v>82.89</v>
      </c>
      <c r="BA1105" s="37">
        <v>86.47</v>
      </c>
      <c r="BB1105" s="38">
        <v>1.2733000000000001</v>
      </c>
    </row>
    <row r="1106" spans="1:54" x14ac:dyDescent="0.35">
      <c r="A1106" s="2">
        <f t="shared" si="17"/>
        <v>45370</v>
      </c>
      <c r="B1106" t="s">
        <v>1699</v>
      </c>
      <c r="C1106" s="32">
        <v>45370</v>
      </c>
      <c r="D1106" s="38">
        <v>73.7</v>
      </c>
      <c r="E1106" s="38">
        <v>72.22</v>
      </c>
      <c r="F1106" s="38">
        <v>71.44</v>
      </c>
      <c r="G1106" s="38">
        <v>71.06</v>
      </c>
      <c r="H1106" s="38">
        <v>71.52</v>
      </c>
      <c r="I1106" s="38">
        <v>73.59</v>
      </c>
      <c r="J1106" s="38">
        <v>73.83</v>
      </c>
      <c r="K1106" s="38">
        <v>82.1</v>
      </c>
      <c r="L1106" s="38">
        <v>86.94</v>
      </c>
      <c r="M1106" s="38">
        <v>87.76</v>
      </c>
      <c r="N1106" s="38">
        <v>87.79</v>
      </c>
      <c r="O1106" s="38">
        <v>84.72</v>
      </c>
      <c r="P1106" s="38">
        <v>79.92</v>
      </c>
      <c r="Q1106" s="38">
        <v>76.47</v>
      </c>
      <c r="R1106" s="38">
        <v>73.19</v>
      </c>
      <c r="S1106" s="38">
        <v>73.19</v>
      </c>
      <c r="T1106" s="38">
        <v>74.489999999999995</v>
      </c>
      <c r="U1106" s="38">
        <v>76.900000000000006</v>
      </c>
      <c r="V1106" s="38">
        <v>80.06</v>
      </c>
      <c r="W1106" s="38">
        <v>82.76</v>
      </c>
      <c r="X1106" s="38">
        <v>85.76</v>
      </c>
      <c r="Y1106" s="38">
        <v>88.57</v>
      </c>
      <c r="Z1106" s="38">
        <v>90.57</v>
      </c>
      <c r="AA1106" s="38">
        <v>84.24</v>
      </c>
      <c r="AB1106" s="38">
        <v>73.849999999999994</v>
      </c>
      <c r="AC1106" s="38">
        <v>69.599999999999994</v>
      </c>
      <c r="AD1106" s="38">
        <v>66.819999999999993</v>
      </c>
      <c r="AE1106" s="38">
        <v>67.44</v>
      </c>
      <c r="AF1106" s="38">
        <v>67.790000000000006</v>
      </c>
      <c r="AG1106" s="38">
        <v>69.77</v>
      </c>
      <c r="AH1106" s="38">
        <v>73.17</v>
      </c>
      <c r="AI1106" s="38">
        <v>76.47</v>
      </c>
      <c r="AJ1106" s="38">
        <v>79.709999999999994</v>
      </c>
      <c r="AK1106" s="38">
        <v>81.92</v>
      </c>
      <c r="AL1106" s="38">
        <v>81.37</v>
      </c>
      <c r="AM1106" s="38">
        <v>78.930000000000007</v>
      </c>
      <c r="AN1106" s="38">
        <v>74.73</v>
      </c>
      <c r="AO1106" s="38">
        <v>71.430000000000007</v>
      </c>
      <c r="AP1106" s="38">
        <v>67.37</v>
      </c>
      <c r="AQ1106" s="38">
        <v>62.1</v>
      </c>
      <c r="AR1106" s="38">
        <v>62.86</v>
      </c>
      <c r="AS1106" s="38">
        <v>65.97</v>
      </c>
      <c r="AT1106" s="38">
        <v>70.97</v>
      </c>
      <c r="AU1106" s="38">
        <v>74.66</v>
      </c>
      <c r="AV1106" s="38">
        <v>78.7</v>
      </c>
      <c r="AW1106" s="38">
        <v>84.1</v>
      </c>
      <c r="AX1106" s="38">
        <v>85.01</v>
      </c>
      <c r="AY1106" s="38">
        <v>82.75</v>
      </c>
      <c r="BA1106" s="37">
        <v>87.36</v>
      </c>
      <c r="BB1106" s="38">
        <v>1.2710999999999999</v>
      </c>
    </row>
    <row r="1107" spans="1:54" x14ac:dyDescent="0.35">
      <c r="A1107" s="2">
        <f t="shared" si="17"/>
        <v>45371</v>
      </c>
      <c r="B1107" t="s">
        <v>1700</v>
      </c>
      <c r="C1107" s="32">
        <v>45371</v>
      </c>
      <c r="D1107" s="38">
        <v>71.38</v>
      </c>
      <c r="E1107" s="38">
        <v>69.84</v>
      </c>
      <c r="F1107" s="38">
        <v>68.59</v>
      </c>
      <c r="G1107" s="38">
        <v>68.099999999999994</v>
      </c>
      <c r="H1107" s="38">
        <v>68.48</v>
      </c>
      <c r="I1107" s="38">
        <v>70.78</v>
      </c>
      <c r="J1107" s="38">
        <v>71.13</v>
      </c>
      <c r="K1107" s="38">
        <v>79.8</v>
      </c>
      <c r="L1107" s="38">
        <v>84.63</v>
      </c>
      <c r="M1107" s="38">
        <v>85.53</v>
      </c>
      <c r="N1107" s="38">
        <v>85.53</v>
      </c>
      <c r="O1107" s="38">
        <v>82.43</v>
      </c>
      <c r="P1107" s="38">
        <v>78.650000000000006</v>
      </c>
      <c r="Q1107" s="38">
        <v>75.19</v>
      </c>
      <c r="R1107" s="38">
        <v>71.91</v>
      </c>
      <c r="S1107" s="38">
        <v>71.91</v>
      </c>
      <c r="T1107" s="38">
        <v>73.209999999999994</v>
      </c>
      <c r="U1107" s="38">
        <v>75.62</v>
      </c>
      <c r="V1107" s="38">
        <v>78.73</v>
      </c>
      <c r="W1107" s="38">
        <v>81.41</v>
      </c>
      <c r="X1107" s="38">
        <v>84.39</v>
      </c>
      <c r="Y1107" s="38">
        <v>87.17</v>
      </c>
      <c r="Z1107" s="38">
        <v>89.13</v>
      </c>
      <c r="AA1107" s="38">
        <v>82.72</v>
      </c>
      <c r="AB1107" s="38">
        <v>72.17</v>
      </c>
      <c r="AC1107" s="38">
        <v>68.02</v>
      </c>
      <c r="AD1107" s="38">
        <v>65.23</v>
      </c>
      <c r="AE1107" s="38">
        <v>65.849999999999994</v>
      </c>
      <c r="AF1107" s="38">
        <v>66.2</v>
      </c>
      <c r="AG1107" s="38">
        <v>68.180000000000007</v>
      </c>
      <c r="AH1107" s="38">
        <v>72.12</v>
      </c>
      <c r="AI1107" s="38">
        <v>75.42</v>
      </c>
      <c r="AJ1107" s="38">
        <v>78.66</v>
      </c>
      <c r="AK1107" s="38">
        <v>80.87</v>
      </c>
      <c r="AL1107" s="38">
        <v>80.319999999999993</v>
      </c>
      <c r="AM1107" s="38">
        <v>77.88</v>
      </c>
      <c r="AN1107" s="38">
        <v>74.680000000000007</v>
      </c>
      <c r="AO1107" s="38">
        <v>71.59</v>
      </c>
      <c r="AP1107" s="38">
        <v>67.53</v>
      </c>
      <c r="AQ1107" s="38">
        <v>62.26</v>
      </c>
      <c r="AR1107" s="38">
        <v>63.02</v>
      </c>
      <c r="AS1107" s="38">
        <v>66.13</v>
      </c>
      <c r="AT1107" s="38">
        <v>71.14</v>
      </c>
      <c r="AU1107" s="38">
        <v>74.83</v>
      </c>
      <c r="AV1107" s="38">
        <v>78.87</v>
      </c>
      <c r="AW1107" s="38">
        <v>84.27</v>
      </c>
      <c r="AX1107" s="38">
        <v>85.18</v>
      </c>
      <c r="AY1107" s="38">
        <v>82.92</v>
      </c>
      <c r="BA1107" s="37">
        <v>85.77</v>
      </c>
      <c r="BB1107" s="38">
        <v>1.2710999999999999</v>
      </c>
    </row>
    <row r="1108" spans="1:54" x14ac:dyDescent="0.35">
      <c r="A1108" s="2">
        <f t="shared" si="17"/>
        <v>45372</v>
      </c>
      <c r="B1108" t="s">
        <v>1701</v>
      </c>
      <c r="C1108" s="32">
        <v>45372</v>
      </c>
      <c r="D1108" s="38">
        <v>68.37</v>
      </c>
      <c r="E1108" s="38">
        <v>67.03</v>
      </c>
      <c r="F1108" s="38">
        <v>65.930000000000007</v>
      </c>
      <c r="G1108" s="38">
        <v>65.180000000000007</v>
      </c>
      <c r="H1108" s="38">
        <v>66.02</v>
      </c>
      <c r="I1108" s="38">
        <v>68.540000000000006</v>
      </c>
      <c r="J1108" s="38">
        <v>68.66</v>
      </c>
      <c r="K1108" s="38">
        <v>77.680000000000007</v>
      </c>
      <c r="L1108" s="38">
        <v>82.51</v>
      </c>
      <c r="M1108" s="38">
        <v>83.66</v>
      </c>
      <c r="N1108" s="38">
        <v>83.71</v>
      </c>
      <c r="O1108" s="38">
        <v>80.56</v>
      </c>
      <c r="P1108" s="38">
        <v>76.95</v>
      </c>
      <c r="Q1108" s="38">
        <v>73.489999999999995</v>
      </c>
      <c r="R1108" s="38">
        <v>70.209999999999994</v>
      </c>
      <c r="S1108" s="38">
        <v>70.209999999999994</v>
      </c>
      <c r="T1108" s="38">
        <v>71.510000000000005</v>
      </c>
      <c r="U1108" s="38">
        <v>73.92</v>
      </c>
      <c r="V1108" s="38">
        <v>77.38</v>
      </c>
      <c r="W1108" s="38">
        <v>80.06</v>
      </c>
      <c r="X1108" s="38">
        <v>83.04</v>
      </c>
      <c r="Y1108" s="38">
        <v>85.82</v>
      </c>
      <c r="Z1108" s="38">
        <v>87.78</v>
      </c>
      <c r="AA1108" s="38">
        <v>81.37</v>
      </c>
      <c r="AB1108" s="38">
        <v>71.819999999999993</v>
      </c>
      <c r="AC1108" s="38">
        <v>67.97</v>
      </c>
      <c r="AD1108" s="38">
        <v>65.180000000000007</v>
      </c>
      <c r="AE1108" s="38">
        <v>65.8</v>
      </c>
      <c r="AF1108" s="38">
        <v>66.150000000000006</v>
      </c>
      <c r="AG1108" s="38">
        <v>68.13</v>
      </c>
      <c r="AH1108" s="38">
        <v>71.819999999999993</v>
      </c>
      <c r="AI1108" s="38">
        <v>75.12</v>
      </c>
      <c r="AJ1108" s="38">
        <v>78.36</v>
      </c>
      <c r="AK1108" s="38">
        <v>80.569999999999993</v>
      </c>
      <c r="AL1108" s="38">
        <v>80.02</v>
      </c>
      <c r="AM1108" s="38">
        <v>77.58</v>
      </c>
      <c r="AN1108" s="38">
        <v>73.88</v>
      </c>
      <c r="AO1108" s="38">
        <v>70.790000000000006</v>
      </c>
      <c r="AP1108" s="38">
        <v>66.73</v>
      </c>
      <c r="AQ1108" s="38">
        <v>61.46</v>
      </c>
      <c r="AR1108" s="38">
        <v>62.22</v>
      </c>
      <c r="AS1108" s="38">
        <v>65.33</v>
      </c>
      <c r="AT1108" s="38">
        <v>70.34</v>
      </c>
      <c r="AU1108" s="38">
        <v>74.03</v>
      </c>
      <c r="AV1108" s="38">
        <v>78.069999999999993</v>
      </c>
      <c r="AW1108" s="38">
        <v>83.47</v>
      </c>
      <c r="AX1108" s="38">
        <v>84.38</v>
      </c>
      <c r="AY1108" s="38">
        <v>82.12</v>
      </c>
      <c r="BA1108" s="37">
        <v>84.92</v>
      </c>
      <c r="BB1108" s="38">
        <v>1.2667999999999999</v>
      </c>
    </row>
    <row r="1109" spans="1:54" x14ac:dyDescent="0.35">
      <c r="A1109" s="2">
        <f t="shared" si="17"/>
        <v>45373</v>
      </c>
      <c r="B1109" t="s">
        <v>1702</v>
      </c>
      <c r="C1109" s="32">
        <v>45373</v>
      </c>
      <c r="D1109" s="38">
        <v>71.739999999999995</v>
      </c>
      <c r="E1109" s="38">
        <v>70.52</v>
      </c>
      <c r="F1109" s="38">
        <v>69.13</v>
      </c>
      <c r="G1109" s="38">
        <v>68.430000000000007</v>
      </c>
      <c r="H1109" s="38">
        <v>69.27</v>
      </c>
      <c r="I1109" s="38">
        <v>71.81</v>
      </c>
      <c r="J1109" s="38">
        <v>71.930000000000007</v>
      </c>
      <c r="K1109" s="38">
        <v>80.930000000000007</v>
      </c>
      <c r="L1109" s="38">
        <v>85.73</v>
      </c>
      <c r="M1109" s="38">
        <v>86.88</v>
      </c>
      <c r="N1109" s="38">
        <v>86.88</v>
      </c>
      <c r="O1109" s="38">
        <v>83.78</v>
      </c>
      <c r="P1109" s="38">
        <v>79.72</v>
      </c>
      <c r="Q1109" s="38">
        <v>76.260000000000005</v>
      </c>
      <c r="R1109" s="38">
        <v>72.98</v>
      </c>
      <c r="S1109" s="38">
        <v>72.98</v>
      </c>
      <c r="T1109" s="38">
        <v>74.28</v>
      </c>
      <c r="U1109" s="38">
        <v>76.69</v>
      </c>
      <c r="V1109" s="38">
        <v>79.86</v>
      </c>
      <c r="W1109" s="38">
        <v>82.54</v>
      </c>
      <c r="X1109" s="38">
        <v>85.52</v>
      </c>
      <c r="Y1109" s="38">
        <v>88.3</v>
      </c>
      <c r="Z1109" s="38">
        <v>90.26</v>
      </c>
      <c r="AA1109" s="38">
        <v>83.85</v>
      </c>
      <c r="AB1109" s="38">
        <v>73.2</v>
      </c>
      <c r="AC1109" s="38">
        <v>69.349999999999994</v>
      </c>
      <c r="AD1109" s="38">
        <v>66.56</v>
      </c>
      <c r="AE1109" s="38">
        <v>67.180000000000007</v>
      </c>
      <c r="AF1109" s="38">
        <v>67.53</v>
      </c>
      <c r="AG1109" s="38">
        <v>69.510000000000005</v>
      </c>
      <c r="AH1109" s="38">
        <v>72.73</v>
      </c>
      <c r="AI1109" s="38">
        <v>76.03</v>
      </c>
      <c r="AJ1109" s="38">
        <v>79.27</v>
      </c>
      <c r="AK1109" s="38">
        <v>81.48</v>
      </c>
      <c r="AL1109" s="38">
        <v>80.930000000000007</v>
      </c>
      <c r="AM1109" s="38">
        <v>78.489999999999995</v>
      </c>
      <c r="AN1109" s="38">
        <v>74.790000000000006</v>
      </c>
      <c r="AO1109" s="38">
        <v>71.7</v>
      </c>
      <c r="AP1109" s="38">
        <v>67.64</v>
      </c>
      <c r="AQ1109" s="38">
        <v>62.37</v>
      </c>
      <c r="AR1109" s="38">
        <v>63.13</v>
      </c>
      <c r="AS1109" s="38">
        <v>66.239999999999995</v>
      </c>
      <c r="AT1109" s="38">
        <v>71.25</v>
      </c>
      <c r="AU1109" s="38">
        <v>74.94</v>
      </c>
      <c r="AV1109" s="38">
        <v>78.98</v>
      </c>
      <c r="AW1109" s="38">
        <v>84.38</v>
      </c>
      <c r="AX1109" s="38">
        <v>85.29</v>
      </c>
      <c r="AY1109" s="38">
        <v>83.03</v>
      </c>
      <c r="BA1109" s="37">
        <v>84.87</v>
      </c>
      <c r="BB1109" s="38">
        <v>1.2601</v>
      </c>
    </row>
    <row r="1110" spans="1:54" x14ac:dyDescent="0.35">
      <c r="A1110" s="2">
        <f t="shared" si="17"/>
        <v>45376</v>
      </c>
      <c r="B1110" t="s">
        <v>1703</v>
      </c>
      <c r="C1110" s="32">
        <v>45376</v>
      </c>
      <c r="D1110" s="38">
        <v>73.41</v>
      </c>
      <c r="E1110" s="38">
        <v>72.36</v>
      </c>
      <c r="F1110" s="38">
        <v>71.02</v>
      </c>
      <c r="G1110" s="38">
        <v>70.27</v>
      </c>
      <c r="H1110" s="38">
        <v>71.05</v>
      </c>
      <c r="I1110" s="38">
        <v>73.569999999999993</v>
      </c>
      <c r="J1110" s="38">
        <v>73.849999999999994</v>
      </c>
      <c r="K1110" s="38">
        <v>83.25</v>
      </c>
      <c r="L1110" s="38">
        <v>88.04</v>
      </c>
      <c r="M1110" s="38">
        <v>89.15</v>
      </c>
      <c r="N1110" s="38">
        <v>89.08</v>
      </c>
      <c r="O1110" s="38">
        <v>85.98</v>
      </c>
      <c r="P1110" s="38">
        <v>81.75</v>
      </c>
      <c r="Q1110" s="38">
        <v>78.290000000000006</v>
      </c>
      <c r="R1110" s="38">
        <v>75.010000000000005</v>
      </c>
      <c r="S1110" s="38">
        <v>75.010000000000005</v>
      </c>
      <c r="T1110" s="38">
        <v>76.31</v>
      </c>
      <c r="U1110" s="38">
        <v>78.72</v>
      </c>
      <c r="V1110" s="38">
        <v>81.75</v>
      </c>
      <c r="W1110" s="38">
        <v>84.43</v>
      </c>
      <c r="X1110" s="38">
        <v>87.41</v>
      </c>
      <c r="Y1110" s="38">
        <v>90.19</v>
      </c>
      <c r="Z1110" s="38">
        <v>92.15</v>
      </c>
      <c r="AA1110" s="38">
        <v>85.74</v>
      </c>
      <c r="AB1110" s="38">
        <v>74.64</v>
      </c>
      <c r="AC1110" s="38">
        <v>70.739999999999995</v>
      </c>
      <c r="AD1110" s="38">
        <v>67.84</v>
      </c>
      <c r="AE1110" s="38">
        <v>68.459999999999994</v>
      </c>
      <c r="AF1110" s="38">
        <v>68.81</v>
      </c>
      <c r="AG1110" s="38">
        <v>70.790000000000006</v>
      </c>
      <c r="AH1110" s="38">
        <v>74.290000000000006</v>
      </c>
      <c r="AI1110" s="38">
        <v>77.73</v>
      </c>
      <c r="AJ1110" s="38">
        <v>80.97</v>
      </c>
      <c r="AK1110" s="38">
        <v>83.18</v>
      </c>
      <c r="AL1110" s="38">
        <v>82.63</v>
      </c>
      <c r="AM1110" s="38">
        <v>80.19</v>
      </c>
      <c r="AN1110" s="38">
        <v>76.09</v>
      </c>
      <c r="AO1110" s="38">
        <v>73</v>
      </c>
      <c r="AP1110" s="38">
        <v>68.94</v>
      </c>
      <c r="AQ1110" s="38">
        <v>63.67</v>
      </c>
      <c r="AR1110" s="38">
        <v>64.430000000000007</v>
      </c>
      <c r="AS1110" s="38">
        <v>67.540000000000006</v>
      </c>
      <c r="AT1110" s="38">
        <v>72.14</v>
      </c>
      <c r="AU1110" s="38">
        <v>75.83</v>
      </c>
      <c r="AV1110" s="38">
        <v>79.87</v>
      </c>
      <c r="AW1110" s="38">
        <v>85.27</v>
      </c>
      <c r="AX1110" s="38">
        <v>86.18</v>
      </c>
      <c r="AY1110" s="38">
        <v>83.92</v>
      </c>
      <c r="BA1110" s="37">
        <v>86.18</v>
      </c>
      <c r="BB1110" s="38">
        <v>1.2645</v>
      </c>
    </row>
    <row r="1111" spans="1:54" x14ac:dyDescent="0.35">
      <c r="A1111" s="2">
        <f t="shared" si="17"/>
        <v>45377</v>
      </c>
      <c r="B1111" t="s">
        <v>1704</v>
      </c>
      <c r="C1111" s="32">
        <v>45377</v>
      </c>
      <c r="D1111" s="38">
        <v>69.14</v>
      </c>
      <c r="E1111" s="38">
        <v>68.81</v>
      </c>
      <c r="F1111" s="38">
        <v>67.8</v>
      </c>
      <c r="G1111" s="38">
        <v>67.2</v>
      </c>
      <c r="H1111" s="38">
        <v>68.040000000000006</v>
      </c>
      <c r="I1111" s="38">
        <v>70.56</v>
      </c>
      <c r="J1111" s="38">
        <v>71.010000000000005</v>
      </c>
      <c r="K1111" s="38">
        <v>80.489999999999995</v>
      </c>
      <c r="L1111" s="38">
        <v>85.29</v>
      </c>
      <c r="M1111" s="38">
        <v>86.41</v>
      </c>
      <c r="N1111" s="38">
        <v>86.35</v>
      </c>
      <c r="O1111" s="38">
        <v>83.25</v>
      </c>
      <c r="P1111" s="38">
        <v>79.55</v>
      </c>
      <c r="Q1111" s="38">
        <v>76.239999999999995</v>
      </c>
      <c r="R1111" s="38">
        <v>73.040000000000006</v>
      </c>
      <c r="S1111" s="38">
        <v>73.040000000000006</v>
      </c>
      <c r="T1111" s="38">
        <v>74.349999999999994</v>
      </c>
      <c r="U1111" s="38">
        <v>76.760000000000005</v>
      </c>
      <c r="V1111" s="38">
        <v>79.959999999999994</v>
      </c>
      <c r="W1111" s="38">
        <v>82.67</v>
      </c>
      <c r="X1111" s="38">
        <v>85.65</v>
      </c>
      <c r="Y1111" s="38">
        <v>88.43</v>
      </c>
      <c r="Z1111" s="38">
        <v>90.4</v>
      </c>
      <c r="AA1111" s="38">
        <v>83.99</v>
      </c>
      <c r="AB1111" s="38">
        <v>73.260000000000005</v>
      </c>
      <c r="AC1111" s="38">
        <v>69.459999999999994</v>
      </c>
      <c r="AD1111" s="38">
        <v>66.56</v>
      </c>
      <c r="AE1111" s="38">
        <v>67.180000000000007</v>
      </c>
      <c r="AF1111" s="38">
        <v>67.53</v>
      </c>
      <c r="AG1111" s="38">
        <v>69.510000000000005</v>
      </c>
      <c r="AH1111" s="38">
        <v>73.31</v>
      </c>
      <c r="AI1111" s="38">
        <v>76.75</v>
      </c>
      <c r="AJ1111" s="38">
        <v>79.989999999999995</v>
      </c>
      <c r="AK1111" s="38">
        <v>82.2</v>
      </c>
      <c r="AL1111" s="38">
        <v>81.650000000000006</v>
      </c>
      <c r="AM1111" s="38">
        <v>79.209999999999994</v>
      </c>
      <c r="AN1111" s="38">
        <v>75.41</v>
      </c>
      <c r="AO1111" s="38">
        <v>72.319999999999993</v>
      </c>
      <c r="AP1111" s="38">
        <v>68.260000000000005</v>
      </c>
      <c r="AQ1111" s="38">
        <v>62.99</v>
      </c>
      <c r="AR1111" s="38">
        <v>63.75</v>
      </c>
      <c r="AS1111" s="38">
        <v>66.86</v>
      </c>
      <c r="AT1111" s="38">
        <v>71.459999999999994</v>
      </c>
      <c r="AU1111" s="38">
        <v>75.150000000000006</v>
      </c>
      <c r="AV1111" s="38">
        <v>79.19</v>
      </c>
      <c r="AW1111" s="38">
        <v>84.59</v>
      </c>
      <c r="AX1111" s="38">
        <v>85.5</v>
      </c>
      <c r="AY1111" s="38">
        <v>83.24</v>
      </c>
      <c r="BA1111" s="37">
        <v>85.91</v>
      </c>
      <c r="BB1111" s="38">
        <v>1.2627999999999999</v>
      </c>
    </row>
    <row r="1112" spans="1:54" x14ac:dyDescent="0.35">
      <c r="A1112" s="2">
        <f t="shared" si="17"/>
        <v>45378</v>
      </c>
      <c r="B1112" t="s">
        <v>1705</v>
      </c>
      <c r="C1112" s="32">
        <v>45378</v>
      </c>
      <c r="D1112" s="38">
        <v>69.22</v>
      </c>
      <c r="E1112" s="38">
        <v>69.56</v>
      </c>
      <c r="F1112" s="38">
        <v>68.900000000000006</v>
      </c>
      <c r="G1112" s="38">
        <v>68.39</v>
      </c>
      <c r="H1112" s="38">
        <v>69.010000000000005</v>
      </c>
      <c r="I1112" s="38">
        <v>71.56</v>
      </c>
      <c r="J1112" s="38">
        <v>72.510000000000005</v>
      </c>
      <c r="K1112" s="38">
        <v>81.75</v>
      </c>
      <c r="L1112" s="38">
        <v>86.41</v>
      </c>
      <c r="M1112" s="38">
        <v>87.82</v>
      </c>
      <c r="N1112" s="38">
        <v>87.76</v>
      </c>
      <c r="O1112" s="38">
        <v>84.66</v>
      </c>
      <c r="P1112" s="38">
        <v>81</v>
      </c>
      <c r="Q1112" s="38">
        <v>77.69</v>
      </c>
      <c r="R1112" s="38">
        <v>74.489999999999995</v>
      </c>
      <c r="S1112" s="38">
        <v>74.489999999999995</v>
      </c>
      <c r="T1112" s="38">
        <v>75.8</v>
      </c>
      <c r="U1112" s="38">
        <v>78.209999999999994</v>
      </c>
      <c r="V1112" s="38">
        <v>81.41</v>
      </c>
      <c r="W1112" s="38">
        <v>84.12</v>
      </c>
      <c r="X1112" s="38">
        <v>87.1</v>
      </c>
      <c r="Y1112" s="38">
        <v>89.88</v>
      </c>
      <c r="Z1112" s="38">
        <v>91.85</v>
      </c>
      <c r="AA1112" s="38">
        <v>85.44</v>
      </c>
      <c r="AB1112" s="38">
        <v>74.709999999999994</v>
      </c>
      <c r="AC1112" s="38">
        <v>71.11</v>
      </c>
      <c r="AD1112" s="38">
        <v>68.209999999999994</v>
      </c>
      <c r="AE1112" s="38">
        <v>68.83</v>
      </c>
      <c r="AF1112" s="38">
        <v>69.180000000000007</v>
      </c>
      <c r="AG1112" s="38">
        <v>71.16</v>
      </c>
      <c r="AH1112" s="38">
        <v>74.66</v>
      </c>
      <c r="AI1112" s="38">
        <v>78.099999999999994</v>
      </c>
      <c r="AJ1112" s="38">
        <v>81.34</v>
      </c>
      <c r="AK1112" s="38">
        <v>83.55</v>
      </c>
      <c r="AL1112" s="38">
        <v>83</v>
      </c>
      <c r="AM1112" s="38">
        <v>80.56</v>
      </c>
      <c r="AN1112" s="38">
        <v>76.16</v>
      </c>
      <c r="AO1112" s="38">
        <v>73.069999999999993</v>
      </c>
      <c r="AP1112" s="38">
        <v>69.010000000000005</v>
      </c>
      <c r="AQ1112" s="38">
        <v>63.74</v>
      </c>
      <c r="AR1112" s="38">
        <v>64.5</v>
      </c>
      <c r="AS1112" s="38">
        <v>67.61</v>
      </c>
      <c r="AT1112" s="38">
        <v>72.209999999999994</v>
      </c>
      <c r="AU1112" s="38">
        <v>75.900000000000006</v>
      </c>
      <c r="AV1112" s="38">
        <v>79.94</v>
      </c>
      <c r="AW1112" s="38">
        <v>85.34</v>
      </c>
      <c r="AX1112" s="38">
        <v>86.25</v>
      </c>
      <c r="AY1112" s="38">
        <v>83.99</v>
      </c>
      <c r="BA1112" s="37">
        <v>84.94</v>
      </c>
      <c r="BB1112" s="38">
        <v>1.2628999999999999</v>
      </c>
    </row>
    <row r="1113" spans="1:54" x14ac:dyDescent="0.35">
      <c r="A1113" s="2">
        <f t="shared" si="17"/>
        <v>45379</v>
      </c>
      <c r="B1113" t="s">
        <v>1706</v>
      </c>
      <c r="C1113" s="32">
        <v>45379</v>
      </c>
      <c r="D1113" s="38">
        <v>68.05</v>
      </c>
      <c r="E1113" s="38">
        <v>67.650000000000006</v>
      </c>
      <c r="F1113" s="38">
        <v>67.38</v>
      </c>
      <c r="G1113" s="38">
        <v>67.98</v>
      </c>
      <c r="H1113" s="38">
        <v>70.78</v>
      </c>
      <c r="I1113" s="38">
        <v>71.62</v>
      </c>
      <c r="J1113" s="38">
        <v>80.959999999999994</v>
      </c>
      <c r="K1113" s="38">
        <v>85.8</v>
      </c>
      <c r="L1113" s="38">
        <v>87.1</v>
      </c>
      <c r="M1113" s="38">
        <v>87</v>
      </c>
      <c r="N1113" s="38">
        <v>83.85</v>
      </c>
      <c r="O1113" s="38">
        <v>80.34</v>
      </c>
      <c r="P1113" s="38">
        <v>77.040000000000006</v>
      </c>
      <c r="Q1113" s="38">
        <v>73.84</v>
      </c>
      <c r="R1113" s="38">
        <v>73.84</v>
      </c>
      <c r="S1113" s="38">
        <v>75.150000000000006</v>
      </c>
      <c r="T1113" s="38">
        <v>77.56</v>
      </c>
      <c r="U1113" s="38">
        <v>80.540000000000006</v>
      </c>
      <c r="V1113" s="38">
        <v>83.05</v>
      </c>
      <c r="W1113" s="38">
        <v>85.99</v>
      </c>
      <c r="X1113" s="38">
        <v>88.77</v>
      </c>
      <c r="Y1113" s="38">
        <v>90.74</v>
      </c>
      <c r="Z1113" s="38">
        <v>84.33</v>
      </c>
      <c r="AA1113" s="38">
        <v>73.599999999999994</v>
      </c>
      <c r="AB1113" s="38">
        <v>70</v>
      </c>
      <c r="AC1113" s="38">
        <v>67.099999999999994</v>
      </c>
      <c r="AD1113" s="38">
        <v>67.72</v>
      </c>
      <c r="AE1113" s="38">
        <v>68.069999999999993</v>
      </c>
      <c r="AF1113" s="38">
        <v>70.05</v>
      </c>
      <c r="AG1113" s="38">
        <v>73.75</v>
      </c>
      <c r="AH1113" s="38">
        <v>77.19</v>
      </c>
      <c r="AI1113" s="38">
        <v>80.430000000000007</v>
      </c>
      <c r="AJ1113" s="38">
        <v>82.64</v>
      </c>
      <c r="AK1113" s="38">
        <v>82.09</v>
      </c>
      <c r="AL1113" s="38">
        <v>79.650000000000006</v>
      </c>
      <c r="AM1113" s="38">
        <v>75.650000000000006</v>
      </c>
      <c r="AN1113" s="38">
        <v>72.56</v>
      </c>
      <c r="AO1113" s="38">
        <v>68.5</v>
      </c>
      <c r="AP1113" s="38">
        <v>63.23</v>
      </c>
      <c r="AQ1113" s="38">
        <v>63.99</v>
      </c>
      <c r="AR1113" s="38">
        <v>67.099999999999994</v>
      </c>
      <c r="AS1113" s="38">
        <v>71.7</v>
      </c>
      <c r="AT1113" s="38">
        <v>75.39</v>
      </c>
      <c r="AU1113" s="38">
        <v>79.430000000000007</v>
      </c>
      <c r="AV1113" s="38">
        <v>84.83</v>
      </c>
      <c r="AW1113" s="38">
        <v>85.74</v>
      </c>
      <c r="AX1113" s="38">
        <v>83.48</v>
      </c>
      <c r="AY1113" s="38">
        <v>77.78</v>
      </c>
      <c r="BA1113" s="37">
        <v>86.17</v>
      </c>
      <c r="BB1113" s="38">
        <v>1.2632000000000001</v>
      </c>
    </row>
    <row r="1114" spans="1:54" x14ac:dyDescent="0.35">
      <c r="A1114" s="2">
        <f t="shared" si="17"/>
        <v>45380</v>
      </c>
      <c r="B1114" t="s">
        <v>1707</v>
      </c>
      <c r="C1114" s="32">
        <v>45380</v>
      </c>
      <c r="D1114" s="38" t="e">
        <v>#N/A</v>
      </c>
      <c r="E1114" s="38" t="e">
        <v>#N/A</v>
      </c>
      <c r="F1114" s="38" t="e">
        <v>#N/A</v>
      </c>
      <c r="G1114" s="38" t="e">
        <v>#N/A</v>
      </c>
      <c r="H1114" s="38" t="e">
        <v>#N/A</v>
      </c>
      <c r="I1114" s="38" t="e">
        <v>#N/A</v>
      </c>
      <c r="J1114" s="38" t="e">
        <v>#N/A</v>
      </c>
      <c r="K1114" s="38" t="e">
        <v>#N/A</v>
      </c>
      <c r="L1114" s="38" t="e">
        <v>#N/A</v>
      </c>
      <c r="M1114" s="38" t="e">
        <v>#N/A</v>
      </c>
      <c r="N1114" s="38" t="e">
        <v>#N/A</v>
      </c>
      <c r="O1114" s="38" t="e">
        <v>#N/A</v>
      </c>
      <c r="P1114" s="38" t="e">
        <v>#N/A</v>
      </c>
      <c r="Q1114" s="38" t="e">
        <v>#N/A</v>
      </c>
      <c r="R1114" s="38" t="e">
        <v>#N/A</v>
      </c>
      <c r="S1114" s="38" t="e">
        <v>#N/A</v>
      </c>
      <c r="T1114" s="38" t="e">
        <v>#N/A</v>
      </c>
      <c r="U1114" s="38" t="e">
        <v>#N/A</v>
      </c>
      <c r="V1114" s="38" t="e">
        <v>#N/A</v>
      </c>
      <c r="W1114" s="38" t="e">
        <v>#N/A</v>
      </c>
      <c r="X1114" s="38" t="e">
        <v>#N/A</v>
      </c>
      <c r="Y1114" s="38" t="e">
        <v>#N/A</v>
      </c>
      <c r="Z1114" s="38" t="e">
        <v>#N/A</v>
      </c>
      <c r="AA1114" s="38" t="e">
        <v>#N/A</v>
      </c>
      <c r="AB1114" s="38" t="e">
        <v>#N/A</v>
      </c>
      <c r="AC1114" s="38" t="e">
        <v>#N/A</v>
      </c>
      <c r="AD1114" s="38" t="e">
        <v>#N/A</v>
      </c>
      <c r="AE1114" s="38" t="e">
        <v>#N/A</v>
      </c>
      <c r="AF1114" s="38" t="e">
        <v>#N/A</v>
      </c>
      <c r="AG1114" s="38" t="e">
        <v>#N/A</v>
      </c>
      <c r="AH1114" s="38" t="e">
        <v>#N/A</v>
      </c>
      <c r="AI1114" s="38" t="e">
        <v>#N/A</v>
      </c>
      <c r="AJ1114" s="38" t="e">
        <v>#N/A</v>
      </c>
      <c r="AK1114" s="38" t="e">
        <v>#N/A</v>
      </c>
      <c r="AL1114" s="38" t="e">
        <v>#N/A</v>
      </c>
      <c r="AM1114" s="38" t="e">
        <v>#N/A</v>
      </c>
      <c r="AN1114" s="38" t="e">
        <v>#N/A</v>
      </c>
      <c r="AO1114" s="38" t="e">
        <v>#N/A</v>
      </c>
      <c r="AP1114" s="38" t="e">
        <v>#N/A</v>
      </c>
      <c r="AQ1114" s="38" t="e">
        <v>#N/A</v>
      </c>
      <c r="AR1114" s="38" t="e">
        <v>#N/A</v>
      </c>
      <c r="AS1114" s="38" t="e">
        <v>#N/A</v>
      </c>
      <c r="AT1114" s="38" t="e">
        <v>#N/A</v>
      </c>
      <c r="AU1114" s="38" t="e">
        <v>#N/A</v>
      </c>
      <c r="AV1114" s="38" t="e">
        <v>#N/A</v>
      </c>
      <c r="AW1114" s="38" t="e">
        <v>#N/A</v>
      </c>
      <c r="AX1114" s="38" t="e">
        <v>#N/A</v>
      </c>
      <c r="AY1114" s="38" t="e">
        <v>#N/A</v>
      </c>
      <c r="BA1114" s="37" t="e">
        <v>#N/A</v>
      </c>
      <c r="BB1114" s="38" t="e">
        <v>#N/A</v>
      </c>
    </row>
    <row r="1115" spans="1:54" x14ac:dyDescent="0.35">
      <c r="A1115" s="2">
        <f t="shared" si="17"/>
        <v>45383</v>
      </c>
      <c r="B1115" t="s">
        <v>1708</v>
      </c>
      <c r="C1115" s="32">
        <v>45383</v>
      </c>
      <c r="D1115" s="38">
        <v>68.05</v>
      </c>
      <c r="E1115" s="38">
        <v>67.650000000000006</v>
      </c>
      <c r="F1115" s="38">
        <v>67.38</v>
      </c>
      <c r="G1115" s="38">
        <v>67.98</v>
      </c>
      <c r="H1115" s="38">
        <v>70.78</v>
      </c>
      <c r="I1115" s="38">
        <v>71.62</v>
      </c>
      <c r="J1115" s="38">
        <v>80.959999999999994</v>
      </c>
      <c r="K1115" s="38">
        <v>85.8</v>
      </c>
      <c r="L1115" s="38">
        <v>87.1</v>
      </c>
      <c r="M1115" s="38">
        <v>87</v>
      </c>
      <c r="N1115" s="38">
        <v>83.85</v>
      </c>
      <c r="O1115" s="38">
        <v>80.34</v>
      </c>
      <c r="P1115" s="38">
        <v>77.040000000000006</v>
      </c>
      <c r="Q1115" s="38">
        <v>73.84</v>
      </c>
      <c r="R1115" s="38">
        <v>73.84</v>
      </c>
      <c r="S1115" s="38">
        <v>75.150000000000006</v>
      </c>
      <c r="T1115" s="38">
        <v>77.56</v>
      </c>
      <c r="U1115" s="38">
        <v>80.540000000000006</v>
      </c>
      <c r="V1115" s="38">
        <v>83.05</v>
      </c>
      <c r="W1115" s="38">
        <v>85.99</v>
      </c>
      <c r="X1115" s="38">
        <v>88.77</v>
      </c>
      <c r="Y1115" s="38">
        <v>90.74</v>
      </c>
      <c r="Z1115" s="38">
        <v>84.33</v>
      </c>
      <c r="AA1115" s="38">
        <v>73.599999999999994</v>
      </c>
      <c r="AB1115" s="38">
        <v>70</v>
      </c>
      <c r="AC1115" s="38">
        <v>67.099999999999994</v>
      </c>
      <c r="AD1115" s="38">
        <v>67.72</v>
      </c>
      <c r="AE1115" s="38">
        <v>68.069999999999993</v>
      </c>
      <c r="AF1115" s="38">
        <v>70.05</v>
      </c>
      <c r="AG1115" s="38">
        <v>73.75</v>
      </c>
      <c r="AH1115" s="38">
        <v>77.19</v>
      </c>
      <c r="AI1115" s="38">
        <v>80.430000000000007</v>
      </c>
      <c r="AJ1115" s="38">
        <v>82.64</v>
      </c>
      <c r="AK1115" s="38">
        <v>82.09</v>
      </c>
      <c r="AL1115" s="38">
        <v>79.650000000000006</v>
      </c>
      <c r="AM1115" s="38">
        <v>75.650000000000006</v>
      </c>
      <c r="AN1115" s="38">
        <v>72.56</v>
      </c>
      <c r="AO1115" s="38">
        <v>68.5</v>
      </c>
      <c r="AP1115" s="38">
        <v>63.23</v>
      </c>
      <c r="AQ1115" s="38">
        <v>63.99</v>
      </c>
      <c r="AR1115" s="38">
        <v>67.099999999999994</v>
      </c>
      <c r="AS1115" s="38">
        <v>71.7</v>
      </c>
      <c r="AT1115" s="38">
        <v>75.39</v>
      </c>
      <c r="AU1115" s="38">
        <v>79.430000000000007</v>
      </c>
      <c r="AV1115" s="38">
        <v>84.83</v>
      </c>
      <c r="AW1115" s="38">
        <v>85.74</v>
      </c>
      <c r="AX1115" s="38">
        <v>83.48</v>
      </c>
      <c r="AY1115" s="38">
        <v>77.78</v>
      </c>
      <c r="BA1115" s="37" t="e">
        <v>#N/A</v>
      </c>
      <c r="BB1115" s="38" t="e">
        <v>#N/A</v>
      </c>
    </row>
    <row r="1116" spans="1:54" x14ac:dyDescent="0.35">
      <c r="A1116" s="2">
        <f t="shared" si="17"/>
        <v>45384</v>
      </c>
      <c r="B1116" t="s">
        <v>1709</v>
      </c>
      <c r="C1116" s="32">
        <v>45384</v>
      </c>
      <c r="D1116" s="38">
        <v>64.680000000000007</v>
      </c>
      <c r="E1116" s="38">
        <v>64.47</v>
      </c>
      <c r="F1116" s="38">
        <v>64.209999999999994</v>
      </c>
      <c r="G1116" s="38">
        <v>65.34</v>
      </c>
      <c r="H1116" s="38">
        <v>68.459999999999994</v>
      </c>
      <c r="I1116" s="38">
        <v>69.52</v>
      </c>
      <c r="J1116" s="38">
        <v>78.86</v>
      </c>
      <c r="K1116" s="38">
        <v>83.77</v>
      </c>
      <c r="L1116" s="38">
        <v>85.12</v>
      </c>
      <c r="M1116" s="38">
        <v>85.02</v>
      </c>
      <c r="N1116" s="38">
        <v>81.87</v>
      </c>
      <c r="O1116" s="38">
        <v>78.16</v>
      </c>
      <c r="P1116" s="38">
        <v>74.86</v>
      </c>
      <c r="Q1116" s="38">
        <v>71.86</v>
      </c>
      <c r="R1116" s="38">
        <v>71.86</v>
      </c>
      <c r="S1116" s="38">
        <v>73.17</v>
      </c>
      <c r="T1116" s="38">
        <v>75.58</v>
      </c>
      <c r="U1116" s="38">
        <v>78.66</v>
      </c>
      <c r="V1116" s="38">
        <v>81.17</v>
      </c>
      <c r="W1116" s="38">
        <v>84.11</v>
      </c>
      <c r="X1116" s="38">
        <v>86.89</v>
      </c>
      <c r="Y1116" s="38">
        <v>88.86</v>
      </c>
      <c r="Z1116" s="38">
        <v>82.45</v>
      </c>
      <c r="AA1116" s="38">
        <v>71.92</v>
      </c>
      <c r="AB1116" s="38">
        <v>68.42</v>
      </c>
      <c r="AC1116" s="38">
        <v>65.52</v>
      </c>
      <c r="AD1116" s="38">
        <v>66.14</v>
      </c>
      <c r="AE1116" s="38">
        <v>66.489999999999995</v>
      </c>
      <c r="AF1116" s="38">
        <v>68.47</v>
      </c>
      <c r="AG1116" s="38">
        <v>71.97</v>
      </c>
      <c r="AH1116" s="38">
        <v>75.31</v>
      </c>
      <c r="AI1116" s="38">
        <v>78.55</v>
      </c>
      <c r="AJ1116" s="38">
        <v>80.760000000000005</v>
      </c>
      <c r="AK1116" s="38">
        <v>80.209999999999994</v>
      </c>
      <c r="AL1116" s="38">
        <v>77.77</v>
      </c>
      <c r="AM1116" s="38">
        <v>74.27</v>
      </c>
      <c r="AN1116" s="38">
        <v>71.180000000000007</v>
      </c>
      <c r="AO1116" s="38">
        <v>67.62</v>
      </c>
      <c r="AP1116" s="38">
        <v>63.55</v>
      </c>
      <c r="AQ1116" s="38">
        <v>64.31</v>
      </c>
      <c r="AR1116" s="38">
        <v>67.42</v>
      </c>
      <c r="AS1116" s="38">
        <v>72.02</v>
      </c>
      <c r="AT1116" s="38">
        <v>75.709999999999994</v>
      </c>
      <c r="AU1116" s="38">
        <v>79.75</v>
      </c>
      <c r="AV1116" s="38">
        <v>85.15</v>
      </c>
      <c r="AW1116" s="38">
        <v>86.06</v>
      </c>
      <c r="AX1116" s="38">
        <v>83.8</v>
      </c>
      <c r="AY1116" s="38">
        <v>78.099999999999994</v>
      </c>
      <c r="BA1116" s="37">
        <v>87.63</v>
      </c>
      <c r="BB1116" s="38">
        <v>1.2566999999999999</v>
      </c>
    </row>
    <row r="1117" spans="1:54" x14ac:dyDescent="0.35">
      <c r="A1117" s="2">
        <f t="shared" si="17"/>
        <v>45385</v>
      </c>
      <c r="B1117" t="s">
        <v>1710</v>
      </c>
      <c r="C1117" s="32">
        <v>45385</v>
      </c>
      <c r="D1117" s="38">
        <v>63.14</v>
      </c>
      <c r="E1117" s="38">
        <v>62.86</v>
      </c>
      <c r="F1117" s="38">
        <v>62.79</v>
      </c>
      <c r="G1117" s="38">
        <v>64.239999999999995</v>
      </c>
      <c r="H1117" s="38">
        <v>67.36</v>
      </c>
      <c r="I1117" s="38">
        <v>68.42</v>
      </c>
      <c r="J1117" s="38">
        <v>77.760000000000005</v>
      </c>
      <c r="K1117" s="38">
        <v>82.66</v>
      </c>
      <c r="L1117" s="38">
        <v>84.26</v>
      </c>
      <c r="M1117" s="38">
        <v>84.06</v>
      </c>
      <c r="N1117" s="38">
        <v>81.06</v>
      </c>
      <c r="O1117" s="38">
        <v>77.569999999999993</v>
      </c>
      <c r="P1117" s="38">
        <v>74.27</v>
      </c>
      <c r="Q1117" s="38">
        <v>71.27</v>
      </c>
      <c r="R1117" s="38">
        <v>71.209999999999994</v>
      </c>
      <c r="S1117" s="38">
        <v>72.52</v>
      </c>
      <c r="T1117" s="38">
        <v>74.930000000000007</v>
      </c>
      <c r="U1117" s="38">
        <v>78.61</v>
      </c>
      <c r="V1117" s="38">
        <v>81.12</v>
      </c>
      <c r="W1117" s="38">
        <v>83.76</v>
      </c>
      <c r="X1117" s="38">
        <v>86.34</v>
      </c>
      <c r="Y1117" s="38">
        <v>88.31</v>
      </c>
      <c r="Z1117" s="38">
        <v>81.900000000000006</v>
      </c>
      <c r="AA1117" s="38">
        <v>71.67</v>
      </c>
      <c r="AB1117" s="38">
        <v>68.17</v>
      </c>
      <c r="AC1117" s="38">
        <v>65.27</v>
      </c>
      <c r="AD1117" s="38">
        <v>65.89</v>
      </c>
      <c r="AE1117" s="38">
        <v>66.239999999999995</v>
      </c>
      <c r="AF1117" s="38">
        <v>68.22</v>
      </c>
      <c r="AG1117" s="38">
        <v>72.02</v>
      </c>
      <c r="AH1117" s="38">
        <v>75.36</v>
      </c>
      <c r="AI1117" s="38">
        <v>78.599999999999994</v>
      </c>
      <c r="AJ1117" s="38">
        <v>80.81</v>
      </c>
      <c r="AK1117" s="38">
        <v>80.260000000000005</v>
      </c>
      <c r="AL1117" s="38">
        <v>77.819999999999993</v>
      </c>
      <c r="AM1117" s="38">
        <v>73.819999999999993</v>
      </c>
      <c r="AN1117" s="38">
        <v>70.23</v>
      </c>
      <c r="AO1117" s="38">
        <v>66.67</v>
      </c>
      <c r="AP1117" s="38">
        <v>62.6</v>
      </c>
      <c r="AQ1117" s="38">
        <v>63.36</v>
      </c>
      <c r="AR1117" s="38">
        <v>66.47</v>
      </c>
      <c r="AS1117" s="38">
        <v>69.77</v>
      </c>
      <c r="AT1117" s="38">
        <v>72.86</v>
      </c>
      <c r="AU1117" s="38">
        <v>75.900000000000006</v>
      </c>
      <c r="AV1117" s="38">
        <v>81.3</v>
      </c>
      <c r="AW1117" s="38">
        <v>82.21</v>
      </c>
      <c r="AX1117" s="38">
        <v>79.95</v>
      </c>
      <c r="AY1117" s="38">
        <v>74.75</v>
      </c>
      <c r="BA1117" s="37">
        <v>90.6</v>
      </c>
      <c r="BB1117" s="38">
        <v>1.2619</v>
      </c>
    </row>
    <row r="1118" spans="1:54" x14ac:dyDescent="0.35">
      <c r="A1118" s="2">
        <f t="shared" si="17"/>
        <v>45386</v>
      </c>
      <c r="B1118" t="s">
        <v>1711</v>
      </c>
      <c r="C1118" s="32">
        <v>45386</v>
      </c>
      <c r="D1118" s="38">
        <v>64.84</v>
      </c>
      <c r="E1118" s="38">
        <v>64.56</v>
      </c>
      <c r="F1118" s="38">
        <v>64.680000000000007</v>
      </c>
      <c r="G1118" s="38">
        <v>65.98</v>
      </c>
      <c r="H1118" s="38">
        <v>68.97</v>
      </c>
      <c r="I1118" s="38">
        <v>69.97</v>
      </c>
      <c r="J1118" s="38">
        <v>78.95</v>
      </c>
      <c r="K1118" s="38">
        <v>83.75</v>
      </c>
      <c r="L1118" s="38">
        <v>85.35</v>
      </c>
      <c r="M1118" s="38">
        <v>85.15</v>
      </c>
      <c r="N1118" s="38">
        <v>82.15</v>
      </c>
      <c r="O1118" s="38">
        <v>78.650000000000006</v>
      </c>
      <c r="P1118" s="38">
        <v>75.349999999999994</v>
      </c>
      <c r="Q1118" s="38">
        <v>72.349999999999994</v>
      </c>
      <c r="R1118" s="38">
        <v>72.290000000000006</v>
      </c>
      <c r="S1118" s="38">
        <v>73.599999999999994</v>
      </c>
      <c r="T1118" s="38">
        <v>76.010000000000005</v>
      </c>
      <c r="U1118" s="38">
        <v>80.02</v>
      </c>
      <c r="V1118" s="38">
        <v>82.53</v>
      </c>
      <c r="W1118" s="38">
        <v>84.97</v>
      </c>
      <c r="X1118" s="38">
        <v>87.55</v>
      </c>
      <c r="Y1118" s="38">
        <v>89.52</v>
      </c>
      <c r="Z1118" s="38">
        <v>83.11</v>
      </c>
      <c r="AA1118" s="38">
        <v>72.88</v>
      </c>
      <c r="AB1118" s="38">
        <v>69.38</v>
      </c>
      <c r="AC1118" s="38">
        <v>66.48</v>
      </c>
      <c r="AD1118" s="38">
        <v>67.099999999999994</v>
      </c>
      <c r="AE1118" s="38">
        <v>67.45</v>
      </c>
      <c r="AF1118" s="38">
        <v>69.430000000000007</v>
      </c>
      <c r="AG1118" s="38">
        <v>73.73</v>
      </c>
      <c r="AH1118" s="38">
        <v>77.069999999999993</v>
      </c>
      <c r="AI1118" s="38">
        <v>80.31</v>
      </c>
      <c r="AJ1118" s="38">
        <v>82.52</v>
      </c>
      <c r="AK1118" s="38">
        <v>81.97</v>
      </c>
      <c r="AL1118" s="38">
        <v>79.53</v>
      </c>
      <c r="AM1118" s="38">
        <v>74.53</v>
      </c>
      <c r="AN1118" s="38">
        <v>70.34</v>
      </c>
      <c r="AO1118" s="38">
        <v>66.78</v>
      </c>
      <c r="AP1118" s="38">
        <v>62.71</v>
      </c>
      <c r="AQ1118" s="38">
        <v>63.47</v>
      </c>
      <c r="AR1118" s="38">
        <v>66.58</v>
      </c>
      <c r="AS1118" s="38">
        <v>69.88</v>
      </c>
      <c r="AT1118" s="38">
        <v>72.97</v>
      </c>
      <c r="AU1118" s="38">
        <v>76.010000000000005</v>
      </c>
      <c r="AV1118" s="38">
        <v>81.41</v>
      </c>
      <c r="AW1118" s="38">
        <v>82.32</v>
      </c>
      <c r="AX1118" s="38">
        <v>80.06</v>
      </c>
      <c r="AY1118" s="38">
        <v>74.86</v>
      </c>
      <c r="BA1118" s="37">
        <v>90.32</v>
      </c>
      <c r="BB1118" s="38">
        <v>1.2667999999999999</v>
      </c>
    </row>
    <row r="1119" spans="1:54" x14ac:dyDescent="0.35">
      <c r="A1119" s="2">
        <f t="shared" si="17"/>
        <v>45387</v>
      </c>
      <c r="B1119" t="s">
        <v>1712</v>
      </c>
      <c r="C1119" s="32">
        <v>45387</v>
      </c>
      <c r="D1119" s="38">
        <v>66.08</v>
      </c>
      <c r="E1119" s="38">
        <v>65.67</v>
      </c>
      <c r="F1119" s="38">
        <v>65.87</v>
      </c>
      <c r="G1119" s="38">
        <v>66.98</v>
      </c>
      <c r="H1119" s="38">
        <v>69.98</v>
      </c>
      <c r="I1119" s="38">
        <v>71.23</v>
      </c>
      <c r="J1119" s="38">
        <v>80.73</v>
      </c>
      <c r="K1119" s="38">
        <v>85.53</v>
      </c>
      <c r="L1119" s="38">
        <v>86.78</v>
      </c>
      <c r="M1119" s="38">
        <v>86.63</v>
      </c>
      <c r="N1119" s="38">
        <v>83.63</v>
      </c>
      <c r="O1119" s="38">
        <v>80.36</v>
      </c>
      <c r="P1119" s="38">
        <v>77.260000000000005</v>
      </c>
      <c r="Q1119" s="38">
        <v>74.260000000000005</v>
      </c>
      <c r="R1119" s="38">
        <v>74.2</v>
      </c>
      <c r="S1119" s="38">
        <v>75.510000000000005</v>
      </c>
      <c r="T1119" s="38">
        <v>77.92</v>
      </c>
      <c r="U1119" s="38">
        <v>81.41</v>
      </c>
      <c r="V1119" s="38">
        <v>84.37</v>
      </c>
      <c r="W1119" s="38">
        <v>86.81</v>
      </c>
      <c r="X1119" s="38">
        <v>89.26</v>
      </c>
      <c r="Y1119" s="38">
        <v>91.23</v>
      </c>
      <c r="Z1119" s="38">
        <v>84.82</v>
      </c>
      <c r="AA1119" s="38">
        <v>74.569999999999993</v>
      </c>
      <c r="AB1119" s="38">
        <v>71.069999999999993</v>
      </c>
      <c r="AC1119" s="38">
        <v>68.17</v>
      </c>
      <c r="AD1119" s="38">
        <v>68.790000000000006</v>
      </c>
      <c r="AE1119" s="38">
        <v>69.14</v>
      </c>
      <c r="AF1119" s="38">
        <v>71.12</v>
      </c>
      <c r="AG1119" s="38">
        <v>75.12</v>
      </c>
      <c r="AH1119" s="38">
        <v>78.459999999999994</v>
      </c>
      <c r="AI1119" s="38">
        <v>81.7</v>
      </c>
      <c r="AJ1119" s="38">
        <v>83.91</v>
      </c>
      <c r="AK1119" s="38">
        <v>83.36</v>
      </c>
      <c r="AL1119" s="38">
        <v>80.92</v>
      </c>
      <c r="AM1119" s="38">
        <v>75.42</v>
      </c>
      <c r="AN1119" s="38">
        <v>71.23</v>
      </c>
      <c r="AO1119" s="38">
        <v>67.67</v>
      </c>
      <c r="AP1119" s="38">
        <v>63.6</v>
      </c>
      <c r="AQ1119" s="38">
        <v>64.36</v>
      </c>
      <c r="AR1119" s="38">
        <v>67.47</v>
      </c>
      <c r="AS1119" s="38">
        <v>70.77</v>
      </c>
      <c r="AT1119" s="38">
        <v>73.86</v>
      </c>
      <c r="AU1119" s="38">
        <v>76.900000000000006</v>
      </c>
      <c r="AV1119" s="38">
        <v>82.3</v>
      </c>
      <c r="AW1119" s="38">
        <v>83.21</v>
      </c>
      <c r="AX1119" s="38">
        <v>80.95</v>
      </c>
      <c r="AY1119" s="38">
        <v>75.45</v>
      </c>
      <c r="BA1119" s="37">
        <v>92.81</v>
      </c>
      <c r="BB1119" s="38">
        <v>1.2615000000000001</v>
      </c>
    </row>
    <row r="1120" spans="1:54" x14ac:dyDescent="0.35">
      <c r="A1120" s="2">
        <f t="shared" si="17"/>
        <v>45390</v>
      </c>
      <c r="B1120" t="s">
        <v>1713</v>
      </c>
      <c r="C1120" s="32">
        <v>45390</v>
      </c>
      <c r="D1120" s="38">
        <v>69.709999999999994</v>
      </c>
      <c r="E1120" s="38">
        <v>69.22</v>
      </c>
      <c r="F1120" s="38">
        <v>69.239999999999995</v>
      </c>
      <c r="G1120" s="38">
        <v>70.28</v>
      </c>
      <c r="H1120" s="38">
        <v>73.34</v>
      </c>
      <c r="I1120" s="38">
        <v>74.94</v>
      </c>
      <c r="J1120" s="38">
        <v>84.47</v>
      </c>
      <c r="K1120" s="38">
        <v>89.25</v>
      </c>
      <c r="L1120" s="38">
        <v>90.74</v>
      </c>
      <c r="M1120" s="38">
        <v>90.73</v>
      </c>
      <c r="N1120" s="38">
        <v>87.59</v>
      </c>
      <c r="O1120" s="38">
        <v>84.09</v>
      </c>
      <c r="P1120" s="38">
        <v>80.59</v>
      </c>
      <c r="Q1120" s="38">
        <v>77.59</v>
      </c>
      <c r="R1120" s="38">
        <v>77.53</v>
      </c>
      <c r="S1120" s="38">
        <v>78.84</v>
      </c>
      <c r="T1120" s="38">
        <v>81.25</v>
      </c>
      <c r="U1120" s="38">
        <v>84.5</v>
      </c>
      <c r="V1120" s="38">
        <v>87.43</v>
      </c>
      <c r="W1120" s="38">
        <v>89.85</v>
      </c>
      <c r="X1120" s="38">
        <v>92.29</v>
      </c>
      <c r="Y1120" s="38">
        <v>94.25</v>
      </c>
      <c r="Z1120" s="38">
        <v>87.83</v>
      </c>
      <c r="AA1120" s="38">
        <v>76.23</v>
      </c>
      <c r="AB1120" s="38">
        <v>72.430000000000007</v>
      </c>
      <c r="AC1120" s="38">
        <v>69.53</v>
      </c>
      <c r="AD1120" s="38">
        <v>70.14</v>
      </c>
      <c r="AE1120" s="38">
        <v>70.48</v>
      </c>
      <c r="AF1120" s="38">
        <v>72.459999999999994</v>
      </c>
      <c r="AG1120" s="38">
        <v>76.23</v>
      </c>
      <c r="AH1120" s="38">
        <v>79.569999999999993</v>
      </c>
      <c r="AI1120" s="38">
        <v>82.81</v>
      </c>
      <c r="AJ1120" s="38">
        <v>85.02</v>
      </c>
      <c r="AK1120" s="38">
        <v>84.47</v>
      </c>
      <c r="AL1120" s="38">
        <v>82.03</v>
      </c>
      <c r="AM1120" s="38">
        <v>76.23</v>
      </c>
      <c r="AN1120" s="38">
        <v>72.040000000000006</v>
      </c>
      <c r="AO1120" s="38">
        <v>68.48</v>
      </c>
      <c r="AP1120" s="38">
        <v>64.41</v>
      </c>
      <c r="AQ1120" s="38">
        <v>65.17</v>
      </c>
      <c r="AR1120" s="38">
        <v>68.28</v>
      </c>
      <c r="AS1120" s="38">
        <v>71.58</v>
      </c>
      <c r="AT1120" s="38">
        <v>74.67</v>
      </c>
      <c r="AU1120" s="38">
        <v>77.709999999999994</v>
      </c>
      <c r="AV1120" s="38">
        <v>83.11</v>
      </c>
      <c r="AW1120" s="38">
        <v>84.02</v>
      </c>
      <c r="AX1120" s="38">
        <v>81.760000000000005</v>
      </c>
      <c r="AY1120" s="38">
        <v>75.959999999999994</v>
      </c>
      <c r="BA1120" s="37">
        <v>91.73</v>
      </c>
      <c r="BB1120" s="38">
        <v>1.2646999999999999</v>
      </c>
    </row>
    <row r="1121" spans="1:54" x14ac:dyDescent="0.35">
      <c r="A1121" s="2">
        <f t="shared" si="17"/>
        <v>45391</v>
      </c>
      <c r="B1121" t="s">
        <v>1714</v>
      </c>
      <c r="C1121" s="32">
        <v>45391</v>
      </c>
      <c r="D1121" s="38">
        <v>68</v>
      </c>
      <c r="E1121" s="38">
        <v>67.52</v>
      </c>
      <c r="F1121" s="38">
        <v>67.569999999999993</v>
      </c>
      <c r="G1121" s="38">
        <v>68.84</v>
      </c>
      <c r="H1121" s="38">
        <v>72.540000000000006</v>
      </c>
      <c r="I1121" s="38">
        <v>74.31</v>
      </c>
      <c r="J1121" s="38">
        <v>83.66</v>
      </c>
      <c r="K1121" s="38">
        <v>88.36</v>
      </c>
      <c r="L1121" s="38">
        <v>89.72</v>
      </c>
      <c r="M1121" s="38">
        <v>89.57</v>
      </c>
      <c r="N1121" s="38">
        <v>86.64</v>
      </c>
      <c r="O1121" s="38">
        <v>83.54</v>
      </c>
      <c r="P1121" s="38">
        <v>80.44</v>
      </c>
      <c r="Q1121" s="38">
        <v>77.44</v>
      </c>
      <c r="R1121" s="38">
        <v>77.38</v>
      </c>
      <c r="S1121" s="38">
        <v>78.69</v>
      </c>
      <c r="T1121" s="38">
        <v>81.099999999999994</v>
      </c>
      <c r="U1121" s="38">
        <v>84.39</v>
      </c>
      <c r="V1121" s="38">
        <v>87.32</v>
      </c>
      <c r="W1121" s="38">
        <v>89.72</v>
      </c>
      <c r="X1121" s="38">
        <v>92.14</v>
      </c>
      <c r="Y1121" s="38">
        <v>94.06</v>
      </c>
      <c r="Z1121" s="38">
        <v>87.59</v>
      </c>
      <c r="AA1121" s="38">
        <v>75.87</v>
      </c>
      <c r="AB1121" s="38">
        <v>72.069999999999993</v>
      </c>
      <c r="AC1121" s="38">
        <v>69.17</v>
      </c>
      <c r="AD1121" s="38">
        <v>69.78</v>
      </c>
      <c r="AE1121" s="38">
        <v>70.12</v>
      </c>
      <c r="AF1121" s="38">
        <v>72.099999999999994</v>
      </c>
      <c r="AG1121" s="38">
        <v>75.78</v>
      </c>
      <c r="AH1121" s="38">
        <v>79.12</v>
      </c>
      <c r="AI1121" s="38">
        <v>82.36</v>
      </c>
      <c r="AJ1121" s="38">
        <v>84.57</v>
      </c>
      <c r="AK1121" s="38">
        <v>84.02</v>
      </c>
      <c r="AL1121" s="38">
        <v>81.58</v>
      </c>
      <c r="AM1121" s="38">
        <v>76.180000000000007</v>
      </c>
      <c r="AN1121" s="38">
        <v>71.989999999999995</v>
      </c>
      <c r="AO1121" s="38">
        <v>68.430000000000007</v>
      </c>
      <c r="AP1121" s="38">
        <v>64.36</v>
      </c>
      <c r="AQ1121" s="38">
        <v>65.12</v>
      </c>
      <c r="AR1121" s="38">
        <v>68.23</v>
      </c>
      <c r="AS1121" s="38">
        <v>71.53</v>
      </c>
      <c r="AT1121" s="38">
        <v>74.62</v>
      </c>
      <c r="AU1121" s="38">
        <v>77.66</v>
      </c>
      <c r="AV1121" s="38">
        <v>83.06</v>
      </c>
      <c r="AW1121" s="38">
        <v>83.97</v>
      </c>
      <c r="AX1121" s="38">
        <v>81.709999999999994</v>
      </c>
      <c r="AY1121" s="38">
        <v>75.91</v>
      </c>
      <c r="BA1121" s="37">
        <v>92.13</v>
      </c>
      <c r="BB1121" s="38">
        <v>1.2675000000000001</v>
      </c>
    </row>
    <row r="1122" spans="1:54" x14ac:dyDescent="0.35">
      <c r="A1122" s="2">
        <f t="shared" si="17"/>
        <v>45392</v>
      </c>
      <c r="B1122" t="s">
        <v>1715</v>
      </c>
      <c r="C1122" s="32">
        <v>45392</v>
      </c>
      <c r="D1122" s="38">
        <v>67.37</v>
      </c>
      <c r="E1122" s="38">
        <v>66.86</v>
      </c>
      <c r="F1122" s="38">
        <v>66.83</v>
      </c>
      <c r="G1122" s="38">
        <v>68.349999999999994</v>
      </c>
      <c r="H1122" s="38">
        <v>72.11</v>
      </c>
      <c r="I1122" s="38">
        <v>74.02</v>
      </c>
      <c r="J1122" s="38">
        <v>83.82</v>
      </c>
      <c r="K1122" s="38">
        <v>88.38</v>
      </c>
      <c r="L1122" s="38">
        <v>89.62</v>
      </c>
      <c r="M1122" s="38">
        <v>89.42</v>
      </c>
      <c r="N1122" s="38">
        <v>86.43</v>
      </c>
      <c r="O1122" s="38">
        <v>83.16</v>
      </c>
      <c r="P1122" s="38">
        <v>80.11</v>
      </c>
      <c r="Q1122" s="38">
        <v>77.150000000000006</v>
      </c>
      <c r="R1122" s="38">
        <v>77.12</v>
      </c>
      <c r="S1122" s="38">
        <v>78.45</v>
      </c>
      <c r="T1122" s="38">
        <v>80.88</v>
      </c>
      <c r="U1122" s="38">
        <v>84.22</v>
      </c>
      <c r="V1122" s="38">
        <v>87.17</v>
      </c>
      <c r="W1122" s="38">
        <v>89.58</v>
      </c>
      <c r="X1122" s="38">
        <v>92.02</v>
      </c>
      <c r="Y1122" s="38">
        <v>93.95</v>
      </c>
      <c r="Z1122" s="38">
        <v>87.48</v>
      </c>
      <c r="AA1122" s="38">
        <v>76.349999999999994</v>
      </c>
      <c r="AB1122" s="38">
        <v>72.56</v>
      </c>
      <c r="AC1122" s="38">
        <v>69.760000000000005</v>
      </c>
      <c r="AD1122" s="38">
        <v>70.36</v>
      </c>
      <c r="AE1122" s="38">
        <v>70.69</v>
      </c>
      <c r="AF1122" s="38">
        <v>72.66</v>
      </c>
      <c r="AG1122" s="38">
        <v>75.66</v>
      </c>
      <c r="AH1122" s="38">
        <v>78.84</v>
      </c>
      <c r="AI1122" s="38">
        <v>82.08</v>
      </c>
      <c r="AJ1122" s="38">
        <v>84.29</v>
      </c>
      <c r="AK1122" s="38">
        <v>83.74</v>
      </c>
      <c r="AL1122" s="38">
        <v>81.3</v>
      </c>
      <c r="AM1122" s="38">
        <v>76.59</v>
      </c>
      <c r="AN1122" s="38">
        <v>72.400000000000006</v>
      </c>
      <c r="AO1122" s="38">
        <v>68.84</v>
      </c>
      <c r="AP1122" s="38">
        <v>64.77</v>
      </c>
      <c r="AQ1122" s="38">
        <v>65.53</v>
      </c>
      <c r="AR1122" s="38">
        <v>68.64</v>
      </c>
      <c r="AS1122" s="38">
        <v>71.94</v>
      </c>
      <c r="AT1122" s="38">
        <v>75.03</v>
      </c>
      <c r="AU1122" s="38">
        <v>78.069999999999993</v>
      </c>
      <c r="AV1122" s="38">
        <v>83.47</v>
      </c>
      <c r="AW1122" s="38">
        <v>84.38</v>
      </c>
      <c r="AX1122" s="38">
        <v>82.12</v>
      </c>
      <c r="AY1122" s="38">
        <v>76.12</v>
      </c>
      <c r="BA1122" s="37">
        <v>91.57</v>
      </c>
      <c r="BB1122" s="38">
        <v>1.2565999999999999</v>
      </c>
    </row>
    <row r="1123" spans="1:54" x14ac:dyDescent="0.35">
      <c r="A1123" s="2">
        <f t="shared" si="17"/>
        <v>45393</v>
      </c>
      <c r="B1123" t="s">
        <v>1716</v>
      </c>
      <c r="C1123" s="32">
        <v>45393</v>
      </c>
      <c r="D1123" s="38">
        <v>73.69</v>
      </c>
      <c r="E1123" s="38">
        <v>73.02</v>
      </c>
      <c r="F1123" s="38">
        <v>72.760000000000005</v>
      </c>
      <c r="G1123" s="38">
        <v>74.040000000000006</v>
      </c>
      <c r="H1123" s="38">
        <v>77.78</v>
      </c>
      <c r="I1123" s="38">
        <v>79.67</v>
      </c>
      <c r="J1123" s="38">
        <v>89.49</v>
      </c>
      <c r="K1123" s="38">
        <v>94.12</v>
      </c>
      <c r="L1123" s="38">
        <v>95.5</v>
      </c>
      <c r="M1123" s="38">
        <v>95.3</v>
      </c>
      <c r="N1123" s="38">
        <v>92.31</v>
      </c>
      <c r="O1123" s="38">
        <v>88.85</v>
      </c>
      <c r="P1123" s="38">
        <v>85.8</v>
      </c>
      <c r="Q1123" s="38">
        <v>82.84</v>
      </c>
      <c r="R1123" s="38">
        <v>82.81</v>
      </c>
      <c r="S1123" s="38">
        <v>84.14</v>
      </c>
      <c r="T1123" s="38">
        <v>86.57</v>
      </c>
      <c r="U1123" s="38">
        <v>89.57</v>
      </c>
      <c r="V1123" s="38">
        <v>92.52</v>
      </c>
      <c r="W1123" s="38">
        <v>94.93</v>
      </c>
      <c r="X1123" s="38">
        <v>97.37</v>
      </c>
      <c r="Y1123" s="38">
        <v>99.3</v>
      </c>
      <c r="Z1123" s="38">
        <v>92.83</v>
      </c>
      <c r="AA1123" s="38">
        <v>79.53</v>
      </c>
      <c r="AB1123" s="38">
        <v>75.739999999999995</v>
      </c>
      <c r="AC1123" s="38">
        <v>72.94</v>
      </c>
      <c r="AD1123" s="38">
        <v>73.540000000000006</v>
      </c>
      <c r="AE1123" s="38">
        <v>73.87</v>
      </c>
      <c r="AF1123" s="38">
        <v>75.84</v>
      </c>
      <c r="AG1123" s="38">
        <v>78.64</v>
      </c>
      <c r="AH1123" s="38">
        <v>81.819999999999993</v>
      </c>
      <c r="AI1123" s="38">
        <v>85.06</v>
      </c>
      <c r="AJ1123" s="38">
        <v>87.27</v>
      </c>
      <c r="AK1123" s="38">
        <v>86.72</v>
      </c>
      <c r="AL1123" s="38">
        <v>84.28</v>
      </c>
      <c r="AM1123" s="38">
        <v>78.78</v>
      </c>
      <c r="AN1123" s="38">
        <v>74.59</v>
      </c>
      <c r="AO1123" s="38">
        <v>71.03</v>
      </c>
      <c r="AP1123" s="38">
        <v>66.959999999999994</v>
      </c>
      <c r="AQ1123" s="38">
        <v>67.72</v>
      </c>
      <c r="AR1123" s="38">
        <v>70.83</v>
      </c>
      <c r="AS1123" s="38">
        <v>74.13</v>
      </c>
      <c r="AT1123" s="38">
        <v>77.22</v>
      </c>
      <c r="AU1123" s="38">
        <v>80.260000000000005</v>
      </c>
      <c r="AV1123" s="38">
        <v>85.66</v>
      </c>
      <c r="AW1123" s="38">
        <v>86.57</v>
      </c>
      <c r="AX1123" s="38">
        <v>84.31</v>
      </c>
      <c r="AY1123" s="38">
        <v>77.91</v>
      </c>
      <c r="BA1123" s="37">
        <v>91.49</v>
      </c>
      <c r="BB1123" s="38">
        <v>1.252</v>
      </c>
    </row>
    <row r="1124" spans="1:54" x14ac:dyDescent="0.35">
      <c r="A1124" s="2">
        <f t="shared" si="17"/>
        <v>45394</v>
      </c>
      <c r="B1124" t="s">
        <v>1717</v>
      </c>
      <c r="C1124" s="32">
        <v>45394</v>
      </c>
      <c r="D1124" s="38">
        <v>76.38</v>
      </c>
      <c r="E1124" s="38">
        <v>75.8</v>
      </c>
      <c r="F1124" s="38">
        <v>75.55</v>
      </c>
      <c r="G1124" s="38">
        <v>76.959999999999994</v>
      </c>
      <c r="H1124" s="38">
        <v>81.099999999999994</v>
      </c>
      <c r="I1124" s="38">
        <v>82.81</v>
      </c>
      <c r="J1124" s="38">
        <v>92.63</v>
      </c>
      <c r="K1124" s="38">
        <v>97.26</v>
      </c>
      <c r="L1124" s="38">
        <v>98.34</v>
      </c>
      <c r="M1124" s="38">
        <v>98.14</v>
      </c>
      <c r="N1124" s="38">
        <v>95.15</v>
      </c>
      <c r="O1124" s="38">
        <v>91.77</v>
      </c>
      <c r="P1124" s="38">
        <v>88.73</v>
      </c>
      <c r="Q1124" s="38">
        <v>85.78</v>
      </c>
      <c r="R1124" s="38">
        <v>85.76</v>
      </c>
      <c r="S1124" s="38">
        <v>87.1</v>
      </c>
      <c r="T1124" s="38">
        <v>89.55</v>
      </c>
      <c r="U1124" s="38">
        <v>92.36</v>
      </c>
      <c r="V1124" s="38">
        <v>95.32</v>
      </c>
      <c r="W1124" s="38">
        <v>97.74</v>
      </c>
      <c r="X1124" s="38">
        <v>100.19</v>
      </c>
      <c r="Y1124" s="38">
        <v>102.13</v>
      </c>
      <c r="Z1124" s="38">
        <v>95.67</v>
      </c>
      <c r="AA1124" s="38">
        <v>80.430000000000007</v>
      </c>
      <c r="AB1124" s="38">
        <v>76.64</v>
      </c>
      <c r="AC1124" s="38">
        <v>73.84</v>
      </c>
      <c r="AD1124" s="38">
        <v>74.44</v>
      </c>
      <c r="AE1124" s="38">
        <v>74.77</v>
      </c>
      <c r="AF1124" s="38">
        <v>76.739999999999995</v>
      </c>
      <c r="AG1124" s="38">
        <v>79.239999999999995</v>
      </c>
      <c r="AH1124" s="38">
        <v>82.42</v>
      </c>
      <c r="AI1124" s="38">
        <v>85.66</v>
      </c>
      <c r="AJ1124" s="38">
        <v>87.87</v>
      </c>
      <c r="AK1124" s="38">
        <v>87.32</v>
      </c>
      <c r="AL1124" s="38">
        <v>84.88</v>
      </c>
      <c r="AM1124" s="38">
        <v>79.38</v>
      </c>
      <c r="AN1124" s="38">
        <v>75.19</v>
      </c>
      <c r="AO1124" s="38">
        <v>71.63</v>
      </c>
      <c r="AP1124" s="38">
        <v>67.56</v>
      </c>
      <c r="AQ1124" s="38">
        <v>68.319999999999993</v>
      </c>
      <c r="AR1124" s="38">
        <v>71.430000000000007</v>
      </c>
      <c r="AS1124" s="38">
        <v>74.81</v>
      </c>
      <c r="AT1124" s="38">
        <v>77.900000000000006</v>
      </c>
      <c r="AU1124" s="38">
        <v>80.94</v>
      </c>
      <c r="AV1124" s="38">
        <v>86.34</v>
      </c>
      <c r="AW1124" s="38">
        <v>87.25</v>
      </c>
      <c r="AX1124" s="38">
        <v>84.99</v>
      </c>
      <c r="AY1124" s="38">
        <v>78.290000000000006</v>
      </c>
      <c r="BA1124" s="37">
        <v>93.12</v>
      </c>
      <c r="BB1124" s="38">
        <v>1.2435</v>
      </c>
    </row>
    <row r="1125" spans="1:54" x14ac:dyDescent="0.35">
      <c r="A1125" s="2">
        <f t="shared" si="17"/>
        <v>45397</v>
      </c>
      <c r="B1125" t="s">
        <v>1718</v>
      </c>
      <c r="C1125" s="32">
        <v>45397</v>
      </c>
      <c r="D1125" s="38">
        <v>77.5</v>
      </c>
      <c r="E1125" s="38">
        <v>76.75</v>
      </c>
      <c r="F1125" s="38">
        <v>76.5</v>
      </c>
      <c r="G1125" s="38">
        <v>77.709999999999994</v>
      </c>
      <c r="H1125" s="38">
        <v>81.569999999999993</v>
      </c>
      <c r="I1125" s="38">
        <v>83</v>
      </c>
      <c r="J1125" s="38">
        <v>92.45</v>
      </c>
      <c r="K1125" s="38">
        <v>97.5</v>
      </c>
      <c r="L1125" s="38">
        <v>98.5</v>
      </c>
      <c r="M1125" s="38">
        <v>98.12</v>
      </c>
      <c r="N1125" s="38">
        <v>94.95</v>
      </c>
      <c r="O1125" s="38">
        <v>91.43</v>
      </c>
      <c r="P1125" s="38">
        <v>88.11</v>
      </c>
      <c r="Q1125" s="38">
        <v>85.13</v>
      </c>
      <c r="R1125" s="38">
        <v>85.11</v>
      </c>
      <c r="S1125" s="38">
        <v>86.54</v>
      </c>
      <c r="T1125" s="38">
        <v>88.79</v>
      </c>
      <c r="U1125" s="38">
        <v>91.57</v>
      </c>
      <c r="V1125" s="38">
        <v>94.51</v>
      </c>
      <c r="W1125" s="38">
        <v>96.78</v>
      </c>
      <c r="X1125" s="38">
        <v>99.26</v>
      </c>
      <c r="Y1125" s="38">
        <v>101.2</v>
      </c>
      <c r="Z1125" s="38">
        <v>94.74</v>
      </c>
      <c r="AA1125" s="38">
        <v>79.930000000000007</v>
      </c>
      <c r="AB1125" s="38">
        <v>76.14</v>
      </c>
      <c r="AC1125" s="38">
        <v>73.8</v>
      </c>
      <c r="AD1125" s="38">
        <v>73.52</v>
      </c>
      <c r="AE1125" s="38">
        <v>73.849999999999994</v>
      </c>
      <c r="AF1125" s="38">
        <v>75.83</v>
      </c>
      <c r="AG1125" s="38">
        <v>78.86</v>
      </c>
      <c r="AH1125" s="38">
        <v>82.04</v>
      </c>
      <c r="AI1125" s="38">
        <v>85.28</v>
      </c>
      <c r="AJ1125" s="38">
        <v>87.48</v>
      </c>
      <c r="AK1125" s="38">
        <v>86.93</v>
      </c>
      <c r="AL1125" s="38">
        <v>84.49</v>
      </c>
      <c r="AM1125" s="38">
        <v>78.89</v>
      </c>
      <c r="AN1125" s="38">
        <v>74.7</v>
      </c>
      <c r="AO1125" s="38">
        <v>71.14</v>
      </c>
      <c r="AP1125" s="38">
        <v>67.06</v>
      </c>
      <c r="AQ1125" s="38">
        <v>67.819999999999993</v>
      </c>
      <c r="AR1125" s="38">
        <v>70.930000000000007</v>
      </c>
      <c r="AS1125" s="38">
        <v>74.16</v>
      </c>
      <c r="AT1125" s="38">
        <v>77.25</v>
      </c>
      <c r="AU1125" s="38">
        <v>80.3</v>
      </c>
      <c r="AV1125" s="38">
        <v>85.7</v>
      </c>
      <c r="AW1125" s="38">
        <v>86.61</v>
      </c>
      <c r="AX1125" s="38">
        <v>84.37</v>
      </c>
      <c r="AY1125" s="38">
        <v>77.7</v>
      </c>
      <c r="BA1125" s="37">
        <v>90.84</v>
      </c>
      <c r="BB1125" s="38">
        <v>1.2451000000000001</v>
      </c>
    </row>
    <row r="1126" spans="1:54" x14ac:dyDescent="0.35">
      <c r="A1126" s="2">
        <f t="shared" si="17"/>
        <v>45398</v>
      </c>
      <c r="B1126" t="s">
        <v>1719</v>
      </c>
      <c r="C1126" s="32">
        <v>45398</v>
      </c>
      <c r="D1126" s="38">
        <v>82.85</v>
      </c>
      <c r="E1126" s="38">
        <v>82.1</v>
      </c>
      <c r="F1126" s="38">
        <v>81.7</v>
      </c>
      <c r="G1126" s="38">
        <v>82.56</v>
      </c>
      <c r="H1126" s="38">
        <v>86.01</v>
      </c>
      <c r="I1126" s="38">
        <v>87.17</v>
      </c>
      <c r="J1126" s="38">
        <v>96.67</v>
      </c>
      <c r="K1126" s="38">
        <v>101.42</v>
      </c>
      <c r="L1126" s="38">
        <v>102.53</v>
      </c>
      <c r="M1126" s="38">
        <v>102.25</v>
      </c>
      <c r="N1126" s="38">
        <v>98.92</v>
      </c>
      <c r="O1126" s="38">
        <v>94.41</v>
      </c>
      <c r="P1126" s="38">
        <v>91.1</v>
      </c>
      <c r="Q1126" s="38">
        <v>87.72</v>
      </c>
      <c r="R1126" s="38">
        <v>87.45</v>
      </c>
      <c r="S1126" s="38">
        <v>89.24</v>
      </c>
      <c r="T1126" s="38">
        <v>91.89</v>
      </c>
      <c r="U1126" s="38">
        <v>94.42</v>
      </c>
      <c r="V1126" s="38">
        <v>97.25</v>
      </c>
      <c r="W1126" s="38">
        <v>99.51</v>
      </c>
      <c r="X1126" s="38">
        <v>101.95</v>
      </c>
      <c r="Y1126" s="38">
        <v>103.87</v>
      </c>
      <c r="Z1126" s="38">
        <v>97.42</v>
      </c>
      <c r="AA1126" s="38">
        <v>82.39</v>
      </c>
      <c r="AB1126" s="38">
        <v>78.44</v>
      </c>
      <c r="AC1126" s="38">
        <v>76.150000000000006</v>
      </c>
      <c r="AD1126" s="38">
        <v>75.98</v>
      </c>
      <c r="AE1126" s="38">
        <v>76.36</v>
      </c>
      <c r="AF1126" s="38">
        <v>78.290000000000006</v>
      </c>
      <c r="AG1126" s="38">
        <v>81.290000000000006</v>
      </c>
      <c r="AH1126" s="38">
        <v>84.06</v>
      </c>
      <c r="AI1126" s="38">
        <v>87.16</v>
      </c>
      <c r="AJ1126" s="38">
        <v>89.87</v>
      </c>
      <c r="AK1126" s="38">
        <v>89.32</v>
      </c>
      <c r="AL1126" s="38">
        <v>86.89</v>
      </c>
      <c r="AM1126" s="38">
        <v>80.239999999999995</v>
      </c>
      <c r="AN1126" s="38">
        <v>76.05</v>
      </c>
      <c r="AO1126" s="38">
        <v>72.08</v>
      </c>
      <c r="AP1126" s="38">
        <v>68</v>
      </c>
      <c r="AQ1126" s="38">
        <v>68.760000000000005</v>
      </c>
      <c r="AR1126" s="38">
        <v>71.87</v>
      </c>
      <c r="AS1126" s="38">
        <v>74.63</v>
      </c>
      <c r="AT1126" s="38">
        <v>77.73</v>
      </c>
      <c r="AU1126" s="38">
        <v>80.790000000000006</v>
      </c>
      <c r="AV1126" s="38">
        <v>86.48</v>
      </c>
      <c r="AW1126" s="38">
        <v>87.39</v>
      </c>
      <c r="AX1126" s="38">
        <v>85.16</v>
      </c>
      <c r="AY1126" s="38">
        <v>78.33</v>
      </c>
      <c r="BA1126" s="37">
        <v>91.29</v>
      </c>
      <c r="BB1126" s="38">
        <v>1.2442</v>
      </c>
    </row>
    <row r="1127" spans="1:54" x14ac:dyDescent="0.35">
      <c r="A1127" s="2">
        <f t="shared" si="17"/>
        <v>45399</v>
      </c>
      <c r="B1127" t="s">
        <v>1720</v>
      </c>
      <c r="C1127" s="32">
        <v>45399</v>
      </c>
      <c r="D1127" s="38">
        <v>78.150000000000006</v>
      </c>
      <c r="E1127" s="38">
        <v>77.400000000000006</v>
      </c>
      <c r="F1127" s="38">
        <v>76.88</v>
      </c>
      <c r="G1127" s="38">
        <v>77.7</v>
      </c>
      <c r="H1127" s="38">
        <v>81.38</v>
      </c>
      <c r="I1127" s="38">
        <v>83.09</v>
      </c>
      <c r="J1127" s="38">
        <v>92.67</v>
      </c>
      <c r="K1127" s="38">
        <v>97.05</v>
      </c>
      <c r="L1127" s="38">
        <v>98.24</v>
      </c>
      <c r="M1127" s="38">
        <v>98.08</v>
      </c>
      <c r="N1127" s="38">
        <v>94.73</v>
      </c>
      <c r="O1127" s="38">
        <v>90.5</v>
      </c>
      <c r="P1127" s="38">
        <v>86.45</v>
      </c>
      <c r="Q1127" s="38">
        <v>83.7</v>
      </c>
      <c r="R1127" s="38">
        <v>83.22</v>
      </c>
      <c r="S1127" s="38">
        <v>84.83</v>
      </c>
      <c r="T1127" s="38">
        <v>87.48</v>
      </c>
      <c r="U1127" s="38">
        <v>90.17</v>
      </c>
      <c r="V1127" s="38">
        <v>92.94</v>
      </c>
      <c r="W1127" s="38">
        <v>95.77</v>
      </c>
      <c r="X1127" s="38">
        <v>97.94</v>
      </c>
      <c r="Y1127" s="38">
        <v>99.71</v>
      </c>
      <c r="Z1127" s="38">
        <v>93.27</v>
      </c>
      <c r="AA1127" s="38">
        <v>78.47</v>
      </c>
      <c r="AB1127" s="38">
        <v>74.45</v>
      </c>
      <c r="AC1127" s="38">
        <v>72.84</v>
      </c>
      <c r="AD1127" s="38">
        <v>71.83</v>
      </c>
      <c r="AE1127" s="38">
        <v>72.13</v>
      </c>
      <c r="AF1127" s="38">
        <v>73.97</v>
      </c>
      <c r="AG1127" s="38">
        <v>77.290000000000006</v>
      </c>
      <c r="AH1127" s="38">
        <v>80</v>
      </c>
      <c r="AI1127" s="38">
        <v>83.02</v>
      </c>
      <c r="AJ1127" s="38">
        <v>86.04</v>
      </c>
      <c r="AK1127" s="38">
        <v>84.84</v>
      </c>
      <c r="AL1127" s="38">
        <v>82.32</v>
      </c>
      <c r="AM1127" s="38">
        <v>76.42</v>
      </c>
      <c r="AN1127" s="38">
        <v>72.11</v>
      </c>
      <c r="AO1127" s="38">
        <v>68.010000000000005</v>
      </c>
      <c r="AP1127" s="38">
        <v>63.82</v>
      </c>
      <c r="AQ1127" s="38">
        <v>64.47</v>
      </c>
      <c r="AR1127" s="38">
        <v>67.44</v>
      </c>
      <c r="AS1127" s="38">
        <v>69.94</v>
      </c>
      <c r="AT1127" s="38">
        <v>73.05</v>
      </c>
      <c r="AU1127" s="38">
        <v>76.11</v>
      </c>
      <c r="AV1127" s="38">
        <v>81.819999999999993</v>
      </c>
      <c r="AW1127" s="38">
        <v>82.73</v>
      </c>
      <c r="AX1127" s="38">
        <v>80.5</v>
      </c>
      <c r="AY1127" s="38">
        <v>74.599999999999994</v>
      </c>
      <c r="BA1127" s="37">
        <v>89.54</v>
      </c>
      <c r="BB1127" s="38">
        <v>1.2450000000000001</v>
      </c>
    </row>
    <row r="1128" spans="1:54" x14ac:dyDescent="0.35">
      <c r="A1128" s="2">
        <f t="shared" si="17"/>
        <v>45400</v>
      </c>
      <c r="B1128" t="s">
        <v>1721</v>
      </c>
      <c r="C1128" s="32">
        <v>45400</v>
      </c>
      <c r="D1128" s="38">
        <v>81.209999999999994</v>
      </c>
      <c r="E1128" s="38">
        <v>80.260000000000005</v>
      </c>
      <c r="F1128" s="38">
        <v>79.44</v>
      </c>
      <c r="G1128" s="38">
        <v>80.33</v>
      </c>
      <c r="H1128" s="38">
        <v>84.17</v>
      </c>
      <c r="I1128" s="38">
        <v>85.82</v>
      </c>
      <c r="J1128" s="38">
        <v>95.66</v>
      </c>
      <c r="K1128" s="38">
        <v>100.08</v>
      </c>
      <c r="L1128" s="38">
        <v>101.23</v>
      </c>
      <c r="M1128" s="38">
        <v>100.85</v>
      </c>
      <c r="N1128" s="38">
        <v>97.51</v>
      </c>
      <c r="O1128" s="38">
        <v>92.36</v>
      </c>
      <c r="P1128" s="38">
        <v>88.21</v>
      </c>
      <c r="Q1128" s="38">
        <v>85.97</v>
      </c>
      <c r="R1128" s="38">
        <v>84.7</v>
      </c>
      <c r="S1128" s="38">
        <v>86.4</v>
      </c>
      <c r="T1128" s="38">
        <v>88.66</v>
      </c>
      <c r="U1128" s="38">
        <v>91.39</v>
      </c>
      <c r="V1128" s="38">
        <v>94.31</v>
      </c>
      <c r="W1128" s="38">
        <v>96.97</v>
      </c>
      <c r="X1128" s="38">
        <v>99.21</v>
      </c>
      <c r="Y1128" s="38">
        <v>100.99</v>
      </c>
      <c r="Z1128" s="38">
        <v>94.69</v>
      </c>
      <c r="AA1128" s="38">
        <v>79.42</v>
      </c>
      <c r="AB1128" s="38">
        <v>75.42</v>
      </c>
      <c r="AC1128" s="38">
        <v>74.33</v>
      </c>
      <c r="AD1128" s="38">
        <v>72.97</v>
      </c>
      <c r="AE1128" s="38">
        <v>73.260000000000005</v>
      </c>
      <c r="AF1128" s="38">
        <v>75.099999999999994</v>
      </c>
      <c r="AG1128" s="38">
        <v>78.52</v>
      </c>
      <c r="AH1128" s="38">
        <v>81.23</v>
      </c>
      <c r="AI1128" s="38">
        <v>84.28</v>
      </c>
      <c r="AJ1128" s="38">
        <v>87.14</v>
      </c>
      <c r="AK1128" s="38">
        <v>85.94</v>
      </c>
      <c r="AL1128" s="38">
        <v>83.42</v>
      </c>
      <c r="AM1128" s="38">
        <v>77.41</v>
      </c>
      <c r="AN1128" s="38">
        <v>73.11</v>
      </c>
      <c r="AO1128" s="38">
        <v>69</v>
      </c>
      <c r="AP1128" s="38">
        <v>64.81</v>
      </c>
      <c r="AQ1128" s="38">
        <v>65.47</v>
      </c>
      <c r="AR1128" s="38">
        <v>68.44</v>
      </c>
      <c r="AS1128" s="38">
        <v>70.88</v>
      </c>
      <c r="AT1128" s="38">
        <v>73.989999999999995</v>
      </c>
      <c r="AU1128" s="38">
        <v>77.05</v>
      </c>
      <c r="AV1128" s="38">
        <v>82.91</v>
      </c>
      <c r="AW1128" s="38">
        <v>83.82</v>
      </c>
      <c r="AX1128" s="38">
        <v>81.59</v>
      </c>
      <c r="AY1128" s="38">
        <v>75.8</v>
      </c>
      <c r="BA1128" s="37">
        <v>88.34</v>
      </c>
      <c r="BB1128" s="38">
        <v>1.2444</v>
      </c>
    </row>
    <row r="1129" spans="1:54" x14ac:dyDescent="0.35">
      <c r="A1129" s="2">
        <f t="shared" si="17"/>
        <v>45401</v>
      </c>
      <c r="B1129" t="s">
        <v>1722</v>
      </c>
      <c r="C1129" s="32">
        <v>45401</v>
      </c>
      <c r="D1129" s="38">
        <v>77.400000000000006</v>
      </c>
      <c r="E1129" s="38">
        <v>76.22</v>
      </c>
      <c r="F1129" s="38">
        <v>75.42</v>
      </c>
      <c r="G1129" s="38">
        <v>76.47</v>
      </c>
      <c r="H1129" s="38">
        <v>80.87</v>
      </c>
      <c r="I1129" s="38">
        <v>82.65</v>
      </c>
      <c r="J1129" s="38">
        <v>92.67</v>
      </c>
      <c r="K1129" s="38">
        <v>97.17</v>
      </c>
      <c r="L1129" s="38">
        <v>98.37</v>
      </c>
      <c r="M1129" s="38">
        <v>98.13</v>
      </c>
      <c r="N1129" s="38">
        <v>94.77</v>
      </c>
      <c r="O1129" s="38">
        <v>89.23</v>
      </c>
      <c r="P1129" s="38">
        <v>84.67</v>
      </c>
      <c r="Q1129" s="38">
        <v>82.73</v>
      </c>
      <c r="R1129" s="38">
        <v>81.760000000000005</v>
      </c>
      <c r="S1129" s="38">
        <v>83.45</v>
      </c>
      <c r="T1129" s="38">
        <v>85.68</v>
      </c>
      <c r="U1129" s="38">
        <v>88.37</v>
      </c>
      <c r="V1129" s="38">
        <v>91.11</v>
      </c>
      <c r="W1129" s="38">
        <v>93.73</v>
      </c>
      <c r="X1129" s="38">
        <v>95.73</v>
      </c>
      <c r="Y1129" s="38">
        <v>97.64</v>
      </c>
      <c r="Z1129" s="38">
        <v>91.3</v>
      </c>
      <c r="AA1129" s="38">
        <v>76.790000000000006</v>
      </c>
      <c r="AB1129" s="38">
        <v>72.72</v>
      </c>
      <c r="AC1129" s="38">
        <v>72.53</v>
      </c>
      <c r="AD1129" s="38">
        <v>70.709999999999994</v>
      </c>
      <c r="AE1129" s="38">
        <v>71.05</v>
      </c>
      <c r="AF1129" s="38">
        <v>72.88</v>
      </c>
      <c r="AG1129" s="38">
        <v>76.099999999999994</v>
      </c>
      <c r="AH1129" s="38">
        <v>78.81</v>
      </c>
      <c r="AI1129" s="38">
        <v>81.849999999999994</v>
      </c>
      <c r="AJ1129" s="38">
        <v>84.89</v>
      </c>
      <c r="AK1129" s="38">
        <v>83.84</v>
      </c>
      <c r="AL1129" s="38">
        <v>81.209999999999994</v>
      </c>
      <c r="AM1129" s="38">
        <v>75.72</v>
      </c>
      <c r="AN1129" s="38">
        <v>71.42</v>
      </c>
      <c r="AO1129" s="38">
        <v>67.31</v>
      </c>
      <c r="AP1129" s="38">
        <v>63.13</v>
      </c>
      <c r="AQ1129" s="38">
        <v>63.8</v>
      </c>
      <c r="AR1129" s="38">
        <v>66.77</v>
      </c>
      <c r="AS1129" s="38">
        <v>69.3</v>
      </c>
      <c r="AT1129" s="38">
        <v>72.41</v>
      </c>
      <c r="AU1129" s="38">
        <v>75.45</v>
      </c>
      <c r="AV1129" s="38">
        <v>81.56</v>
      </c>
      <c r="AW1129" s="38">
        <v>82.87</v>
      </c>
      <c r="AX1129" s="38">
        <v>80.64</v>
      </c>
      <c r="AY1129" s="38">
        <v>74.81</v>
      </c>
      <c r="BA1129" s="37">
        <v>87.96</v>
      </c>
      <c r="BB1129" s="38">
        <v>1.2434000000000001</v>
      </c>
    </row>
    <row r="1130" spans="1:54" x14ac:dyDescent="0.35">
      <c r="A1130" s="2">
        <f t="shared" si="17"/>
        <v>45404</v>
      </c>
      <c r="B1130" t="s">
        <v>1723</v>
      </c>
      <c r="C1130" s="32">
        <v>45404</v>
      </c>
      <c r="D1130" s="38">
        <v>73.989999999999995</v>
      </c>
      <c r="E1130" s="38">
        <v>72.959999999999994</v>
      </c>
      <c r="F1130" s="38">
        <v>72.239999999999995</v>
      </c>
      <c r="G1130" s="38">
        <v>73.62</v>
      </c>
      <c r="H1130" s="38">
        <v>77.72</v>
      </c>
      <c r="I1130" s="38">
        <v>79.22</v>
      </c>
      <c r="J1130" s="38">
        <v>89.62</v>
      </c>
      <c r="K1130" s="38">
        <v>94</v>
      </c>
      <c r="L1130" s="38">
        <v>95.4</v>
      </c>
      <c r="M1130" s="38">
        <v>95.16</v>
      </c>
      <c r="N1130" s="38">
        <v>91.83</v>
      </c>
      <c r="O1130" s="38">
        <v>86.76</v>
      </c>
      <c r="P1130" s="38">
        <v>82.23</v>
      </c>
      <c r="Q1130" s="38">
        <v>80.31</v>
      </c>
      <c r="R1130" s="38">
        <v>79.37</v>
      </c>
      <c r="S1130" s="38">
        <v>81.08</v>
      </c>
      <c r="T1130" s="38">
        <v>83.33</v>
      </c>
      <c r="U1130" s="38">
        <v>86.03</v>
      </c>
      <c r="V1130" s="38">
        <v>88.79</v>
      </c>
      <c r="W1130" s="38">
        <v>91.6</v>
      </c>
      <c r="X1130" s="38">
        <v>94.52</v>
      </c>
      <c r="Y1130" s="38">
        <v>94.78</v>
      </c>
      <c r="Z1130" s="38">
        <v>88.45</v>
      </c>
      <c r="AA1130" s="38">
        <v>75.040000000000006</v>
      </c>
      <c r="AB1130" s="38">
        <v>70.97</v>
      </c>
      <c r="AC1130" s="38">
        <v>70.78</v>
      </c>
      <c r="AD1130" s="38">
        <v>68.959999999999994</v>
      </c>
      <c r="AE1130" s="38">
        <v>69.3</v>
      </c>
      <c r="AF1130" s="38">
        <v>71.13</v>
      </c>
      <c r="AG1130" s="38">
        <v>74.95</v>
      </c>
      <c r="AH1130" s="38">
        <v>77.66</v>
      </c>
      <c r="AI1130" s="38">
        <v>80.7</v>
      </c>
      <c r="AJ1130" s="38">
        <v>83.74</v>
      </c>
      <c r="AK1130" s="38">
        <v>82.69</v>
      </c>
      <c r="AL1130" s="38">
        <v>80.06</v>
      </c>
      <c r="AM1130" s="38">
        <v>74.97</v>
      </c>
      <c r="AN1130" s="38">
        <v>70.67</v>
      </c>
      <c r="AO1130" s="38">
        <v>66.56</v>
      </c>
      <c r="AP1130" s="38">
        <v>62.38</v>
      </c>
      <c r="AQ1130" s="38">
        <v>63.05</v>
      </c>
      <c r="AR1130" s="38">
        <v>66.02</v>
      </c>
      <c r="AS1130" s="38">
        <v>68.55</v>
      </c>
      <c r="AT1130" s="38">
        <v>71.66</v>
      </c>
      <c r="AU1130" s="38">
        <v>74.7</v>
      </c>
      <c r="AV1130" s="38">
        <v>80.81</v>
      </c>
      <c r="AW1130" s="38">
        <v>82.12</v>
      </c>
      <c r="AX1130" s="38">
        <v>79.89</v>
      </c>
      <c r="AY1130" s="38">
        <v>74.06</v>
      </c>
      <c r="BA1130" s="37">
        <v>87.3</v>
      </c>
      <c r="BB1130" s="38">
        <v>1.2331000000000001</v>
      </c>
    </row>
    <row r="1131" spans="1:54" x14ac:dyDescent="0.35">
      <c r="A1131" s="2">
        <f t="shared" si="17"/>
        <v>45405</v>
      </c>
      <c r="B1131" t="s">
        <v>1724</v>
      </c>
      <c r="C1131" s="32">
        <v>45405</v>
      </c>
      <c r="D1131" s="38">
        <v>71.06</v>
      </c>
      <c r="E1131" s="38">
        <v>70.25</v>
      </c>
      <c r="F1131" s="38">
        <v>69.650000000000006</v>
      </c>
      <c r="G1131" s="38">
        <v>71.010000000000005</v>
      </c>
      <c r="H1131" s="38">
        <v>75.209999999999994</v>
      </c>
      <c r="I1131" s="38">
        <v>76.86</v>
      </c>
      <c r="J1131" s="38">
        <v>87.36</v>
      </c>
      <c r="K1131" s="38">
        <v>91.74</v>
      </c>
      <c r="L1131" s="38">
        <v>93.05</v>
      </c>
      <c r="M1131" s="38">
        <v>92.81</v>
      </c>
      <c r="N1131" s="38">
        <v>89.48</v>
      </c>
      <c r="O1131" s="38">
        <v>84.98</v>
      </c>
      <c r="P1131" s="38">
        <v>80.75</v>
      </c>
      <c r="Q1131" s="38">
        <v>78.83</v>
      </c>
      <c r="R1131" s="38">
        <v>77.900000000000006</v>
      </c>
      <c r="S1131" s="38">
        <v>79.61</v>
      </c>
      <c r="T1131" s="38">
        <v>81.86</v>
      </c>
      <c r="U1131" s="38">
        <v>84.56</v>
      </c>
      <c r="V1131" s="38">
        <v>87.42</v>
      </c>
      <c r="W1131" s="38">
        <v>90.23</v>
      </c>
      <c r="X1131" s="38">
        <v>93.45</v>
      </c>
      <c r="Y1131" s="38">
        <v>93.71</v>
      </c>
      <c r="Z1131" s="38">
        <v>87.39</v>
      </c>
      <c r="AA1131" s="38">
        <v>74.78</v>
      </c>
      <c r="AB1131" s="38">
        <v>70.709999999999994</v>
      </c>
      <c r="AC1131" s="38">
        <v>70.510000000000005</v>
      </c>
      <c r="AD1131" s="38">
        <v>68.69</v>
      </c>
      <c r="AE1131" s="38">
        <v>69.02</v>
      </c>
      <c r="AF1131" s="38">
        <v>70.84</v>
      </c>
      <c r="AG1131" s="38">
        <v>74.040000000000006</v>
      </c>
      <c r="AH1131" s="38">
        <v>76.75</v>
      </c>
      <c r="AI1131" s="38">
        <v>79.790000000000006</v>
      </c>
      <c r="AJ1131" s="38">
        <v>82.83</v>
      </c>
      <c r="AK1131" s="38">
        <v>81.78</v>
      </c>
      <c r="AL1131" s="38">
        <v>79.150000000000006</v>
      </c>
      <c r="AM1131" s="38">
        <v>74.56</v>
      </c>
      <c r="AN1131" s="38">
        <v>70.260000000000005</v>
      </c>
      <c r="AO1131" s="38">
        <v>66.150000000000006</v>
      </c>
      <c r="AP1131" s="38">
        <v>61.97</v>
      </c>
      <c r="AQ1131" s="38">
        <v>62.64</v>
      </c>
      <c r="AR1131" s="38">
        <v>65.61</v>
      </c>
      <c r="AS1131" s="38">
        <v>68.44</v>
      </c>
      <c r="AT1131" s="38">
        <v>71.55</v>
      </c>
      <c r="AU1131" s="38">
        <v>74.59</v>
      </c>
      <c r="AV1131" s="38">
        <v>80.7</v>
      </c>
      <c r="AW1131" s="38">
        <v>82.01</v>
      </c>
      <c r="AX1131" s="38">
        <v>79.78</v>
      </c>
      <c r="AY1131" s="38">
        <v>73.95</v>
      </c>
      <c r="BA1131" s="37">
        <v>88.29</v>
      </c>
      <c r="BB1131" s="38">
        <v>1.2433000000000001</v>
      </c>
    </row>
    <row r="1132" spans="1:54" x14ac:dyDescent="0.35">
      <c r="A1132" s="2">
        <f t="shared" si="17"/>
        <v>45406</v>
      </c>
      <c r="B1132" t="s">
        <v>1725</v>
      </c>
      <c r="C1132" s="32">
        <v>45406</v>
      </c>
      <c r="D1132" s="38">
        <v>72.61</v>
      </c>
      <c r="E1132" s="38">
        <v>71.94</v>
      </c>
      <c r="F1132" s="38">
        <v>71.28</v>
      </c>
      <c r="G1132" s="38">
        <v>72.53</v>
      </c>
      <c r="H1132" s="38">
        <v>76.36</v>
      </c>
      <c r="I1132" s="38">
        <v>77.81</v>
      </c>
      <c r="J1132" s="38">
        <v>88.11</v>
      </c>
      <c r="K1132" s="38">
        <v>92.49</v>
      </c>
      <c r="L1132" s="38">
        <v>93.8</v>
      </c>
      <c r="M1132" s="38">
        <v>93.56</v>
      </c>
      <c r="N1132" s="38">
        <v>90.2</v>
      </c>
      <c r="O1132" s="38">
        <v>85.78</v>
      </c>
      <c r="P1132" s="38">
        <v>81.75</v>
      </c>
      <c r="Q1132" s="38">
        <v>79.83</v>
      </c>
      <c r="R1132" s="38">
        <v>78.900000000000006</v>
      </c>
      <c r="S1132" s="38">
        <v>80.61</v>
      </c>
      <c r="T1132" s="38">
        <v>82.86</v>
      </c>
      <c r="U1132" s="38">
        <v>85.56</v>
      </c>
      <c r="V1132" s="38">
        <v>88.42</v>
      </c>
      <c r="W1132" s="38">
        <v>91.23</v>
      </c>
      <c r="X1132" s="38">
        <v>94.45</v>
      </c>
      <c r="Y1132" s="38">
        <v>94.71</v>
      </c>
      <c r="Z1132" s="38">
        <v>88.39</v>
      </c>
      <c r="AA1132" s="38">
        <v>74.88</v>
      </c>
      <c r="AB1132" s="38">
        <v>70.81</v>
      </c>
      <c r="AC1132" s="38">
        <v>70.61</v>
      </c>
      <c r="AD1132" s="38">
        <v>68.790000000000006</v>
      </c>
      <c r="AE1132" s="38">
        <v>69.12</v>
      </c>
      <c r="AF1132" s="38">
        <v>70.94</v>
      </c>
      <c r="AG1132" s="38">
        <v>74.739999999999995</v>
      </c>
      <c r="AH1132" s="38">
        <v>77.45</v>
      </c>
      <c r="AI1132" s="38">
        <v>80.489999999999995</v>
      </c>
      <c r="AJ1132" s="38">
        <v>83.53</v>
      </c>
      <c r="AK1132" s="38">
        <v>82.48</v>
      </c>
      <c r="AL1132" s="38">
        <v>77.849999999999994</v>
      </c>
      <c r="AM1132" s="38">
        <v>71.760000000000005</v>
      </c>
      <c r="AN1132" s="38">
        <v>68.459999999999994</v>
      </c>
      <c r="AO1132" s="38">
        <v>65.349999999999994</v>
      </c>
      <c r="AP1132" s="38">
        <v>63.17</v>
      </c>
      <c r="AQ1132" s="38">
        <v>63.84</v>
      </c>
      <c r="AR1132" s="38">
        <v>66.81</v>
      </c>
      <c r="AS1132" s="38">
        <v>69.42</v>
      </c>
      <c r="AT1132" s="38">
        <v>71.930000000000007</v>
      </c>
      <c r="AU1132" s="38">
        <v>74.97</v>
      </c>
      <c r="AV1132" s="38">
        <v>79.08</v>
      </c>
      <c r="AW1132" s="38">
        <v>80.39</v>
      </c>
      <c r="AX1132" s="38">
        <v>78.16</v>
      </c>
      <c r="AY1132" s="38">
        <v>72.33</v>
      </c>
      <c r="BA1132" s="37">
        <v>89.02</v>
      </c>
      <c r="BB1132" s="38">
        <v>1.2433000000000001</v>
      </c>
    </row>
    <row r="1133" spans="1:54" x14ac:dyDescent="0.35">
      <c r="A1133" s="2">
        <f t="shared" si="17"/>
        <v>45407</v>
      </c>
      <c r="B1133" t="s">
        <v>1726</v>
      </c>
      <c r="C1133" s="32">
        <v>45407</v>
      </c>
      <c r="D1133" s="38">
        <v>74.489999999999995</v>
      </c>
      <c r="E1133" s="38">
        <v>73.86</v>
      </c>
      <c r="F1133" s="38">
        <v>73.03</v>
      </c>
      <c r="G1133" s="38">
        <v>74.03</v>
      </c>
      <c r="H1133" s="38">
        <v>77.989999999999995</v>
      </c>
      <c r="I1133" s="38">
        <v>79.64</v>
      </c>
      <c r="J1133" s="38">
        <v>89.94</v>
      </c>
      <c r="K1133" s="38">
        <v>94.14</v>
      </c>
      <c r="L1133" s="38">
        <v>95.35</v>
      </c>
      <c r="M1133" s="38">
        <v>95.05</v>
      </c>
      <c r="N1133" s="38">
        <v>91.65</v>
      </c>
      <c r="O1133" s="38">
        <v>87.36</v>
      </c>
      <c r="P1133" s="38">
        <v>83.33</v>
      </c>
      <c r="Q1133" s="38">
        <v>81.41</v>
      </c>
      <c r="R1133" s="38">
        <v>80.48</v>
      </c>
      <c r="S1133" s="38">
        <v>82.19</v>
      </c>
      <c r="T1133" s="38">
        <v>84.44</v>
      </c>
      <c r="U1133" s="38">
        <v>87.04</v>
      </c>
      <c r="V1133" s="38">
        <v>89.64</v>
      </c>
      <c r="W1133" s="38">
        <v>92.45</v>
      </c>
      <c r="X1133" s="38">
        <v>95.67</v>
      </c>
      <c r="Y1133" s="38">
        <v>95.93</v>
      </c>
      <c r="Z1133" s="38">
        <v>89.61</v>
      </c>
      <c r="AA1133" s="38">
        <v>75.599999999999994</v>
      </c>
      <c r="AB1133" s="38">
        <v>71.739999999999995</v>
      </c>
      <c r="AC1133" s="38">
        <v>71.239999999999995</v>
      </c>
      <c r="AD1133" s="38">
        <v>69.72</v>
      </c>
      <c r="AE1133" s="38">
        <v>70.05</v>
      </c>
      <c r="AF1133" s="38">
        <v>71.87</v>
      </c>
      <c r="AG1133" s="38">
        <v>75.67</v>
      </c>
      <c r="AH1133" s="38">
        <v>78.38</v>
      </c>
      <c r="AI1133" s="38">
        <v>81.42</v>
      </c>
      <c r="AJ1133" s="38">
        <v>84.46</v>
      </c>
      <c r="AK1133" s="38">
        <v>83.41</v>
      </c>
      <c r="AL1133" s="38">
        <v>78.78</v>
      </c>
      <c r="AM1133" s="38">
        <v>72.69</v>
      </c>
      <c r="AN1133" s="38">
        <v>69.39</v>
      </c>
      <c r="AO1133" s="38">
        <v>66.28</v>
      </c>
      <c r="AP1133" s="38">
        <v>64.8</v>
      </c>
      <c r="AQ1133" s="38">
        <v>65.47</v>
      </c>
      <c r="AR1133" s="38">
        <v>68.47</v>
      </c>
      <c r="AS1133" s="38">
        <v>70.78</v>
      </c>
      <c r="AT1133" s="38">
        <v>73.09</v>
      </c>
      <c r="AU1133" s="38">
        <v>76.63</v>
      </c>
      <c r="AV1133" s="38">
        <v>81.239999999999995</v>
      </c>
      <c r="AW1133" s="38">
        <v>81.55</v>
      </c>
      <c r="AX1133" s="38">
        <v>78.319999999999993</v>
      </c>
      <c r="AY1133" s="38">
        <v>72.489999999999995</v>
      </c>
      <c r="BA1133" s="37">
        <v>88.1</v>
      </c>
      <c r="BB1133" s="38">
        <v>1.2488999999999999</v>
      </c>
    </row>
    <row r="1134" spans="1:54" x14ac:dyDescent="0.35">
      <c r="A1134" s="2">
        <f t="shared" si="17"/>
        <v>45408</v>
      </c>
      <c r="B1134" t="s">
        <v>1727</v>
      </c>
      <c r="C1134" s="32">
        <v>45408</v>
      </c>
      <c r="D1134" s="38">
        <v>71.87</v>
      </c>
      <c r="E1134" s="38">
        <v>71.5</v>
      </c>
      <c r="F1134" s="38">
        <v>70.97</v>
      </c>
      <c r="G1134" s="38">
        <v>72</v>
      </c>
      <c r="H1134" s="38">
        <v>75.88</v>
      </c>
      <c r="I1134" s="38">
        <v>77.63</v>
      </c>
      <c r="J1134" s="38">
        <v>87.98</v>
      </c>
      <c r="K1134" s="38">
        <v>92.28</v>
      </c>
      <c r="L1134" s="38">
        <v>93.41</v>
      </c>
      <c r="M1134" s="38">
        <v>93.26</v>
      </c>
      <c r="N1134" s="38">
        <v>90.06</v>
      </c>
      <c r="O1134" s="38">
        <v>86.17</v>
      </c>
      <c r="P1134" s="38">
        <v>82.59</v>
      </c>
      <c r="Q1134" s="38">
        <v>80.67</v>
      </c>
      <c r="R1134" s="38">
        <v>79.739999999999995</v>
      </c>
      <c r="S1134" s="38">
        <v>81.45</v>
      </c>
      <c r="T1134" s="38">
        <v>83.7</v>
      </c>
      <c r="U1134" s="38">
        <v>86.2</v>
      </c>
      <c r="V1134" s="38">
        <v>88.75</v>
      </c>
      <c r="W1134" s="38">
        <v>91.66</v>
      </c>
      <c r="X1134" s="38">
        <v>94.88</v>
      </c>
      <c r="Y1134" s="38">
        <v>94.73</v>
      </c>
      <c r="Z1134" s="38">
        <v>89.21</v>
      </c>
      <c r="AA1134" s="38">
        <v>74.430000000000007</v>
      </c>
      <c r="AB1134" s="38">
        <v>70.27</v>
      </c>
      <c r="AC1134" s="38">
        <v>69.77</v>
      </c>
      <c r="AD1134" s="38">
        <v>68.25</v>
      </c>
      <c r="AE1134" s="38">
        <v>68.58</v>
      </c>
      <c r="AF1134" s="38">
        <v>70.400000000000006</v>
      </c>
      <c r="AG1134" s="38">
        <v>74.2</v>
      </c>
      <c r="AH1134" s="38">
        <v>77.5</v>
      </c>
      <c r="AI1134" s="38">
        <v>80.540000000000006</v>
      </c>
      <c r="AJ1134" s="38">
        <v>82.94</v>
      </c>
      <c r="AK1134" s="38">
        <v>81.89</v>
      </c>
      <c r="AL1134" s="38">
        <v>77.260000000000005</v>
      </c>
      <c r="AM1134" s="38">
        <v>71.77</v>
      </c>
      <c r="AN1134" s="38">
        <v>68.47</v>
      </c>
      <c r="AO1134" s="38">
        <v>65.36</v>
      </c>
      <c r="AP1134" s="38">
        <v>63.88</v>
      </c>
      <c r="AQ1134" s="38">
        <v>64.55</v>
      </c>
      <c r="AR1134" s="38">
        <v>67.55</v>
      </c>
      <c r="AS1134" s="38">
        <v>70.36</v>
      </c>
      <c r="AT1134" s="38">
        <v>73.17</v>
      </c>
      <c r="AU1134" s="38">
        <v>76.709999999999994</v>
      </c>
      <c r="AV1134" s="38">
        <v>80.72</v>
      </c>
      <c r="AW1134" s="38">
        <v>80.41</v>
      </c>
      <c r="AX1134" s="38">
        <v>77.180000000000007</v>
      </c>
      <c r="AY1134" s="38">
        <v>71.349999999999994</v>
      </c>
      <c r="BA1134" s="37">
        <v>89.95</v>
      </c>
      <c r="BB1134" s="38">
        <v>1.2462</v>
      </c>
    </row>
    <row r="1135" spans="1:54" x14ac:dyDescent="0.35">
      <c r="A1135" s="2">
        <f t="shared" si="17"/>
        <v>45411</v>
      </c>
      <c r="B1135" t="s">
        <v>1728</v>
      </c>
      <c r="C1135" s="32">
        <v>45411</v>
      </c>
      <c r="D1135" s="38">
        <v>68.849999999999994</v>
      </c>
      <c r="E1135" s="38">
        <v>68.28</v>
      </c>
      <c r="F1135" s="38">
        <v>67.930000000000007</v>
      </c>
      <c r="G1135" s="38">
        <v>69.05</v>
      </c>
      <c r="H1135" s="38">
        <v>73.05</v>
      </c>
      <c r="I1135" s="38">
        <v>74.69</v>
      </c>
      <c r="J1135" s="38">
        <v>85.09</v>
      </c>
      <c r="K1135" s="38">
        <v>89.54</v>
      </c>
      <c r="L1135" s="38">
        <v>90.71</v>
      </c>
      <c r="M1135" s="38">
        <v>90.76</v>
      </c>
      <c r="N1135" s="38">
        <v>87.36</v>
      </c>
      <c r="O1135" s="38">
        <v>83.76</v>
      </c>
      <c r="P1135" s="38">
        <v>80.180000000000007</v>
      </c>
      <c r="Q1135" s="38">
        <v>78.260000000000005</v>
      </c>
      <c r="R1135" s="38">
        <v>77.33</v>
      </c>
      <c r="S1135" s="38">
        <v>78.989999999999995</v>
      </c>
      <c r="T1135" s="38">
        <v>81.239999999999995</v>
      </c>
      <c r="U1135" s="38">
        <v>83.84</v>
      </c>
      <c r="V1135" s="38">
        <v>86.39</v>
      </c>
      <c r="W1135" s="38">
        <v>89.3</v>
      </c>
      <c r="X1135" s="38">
        <v>92.46</v>
      </c>
      <c r="Y1135" s="38">
        <v>92.31</v>
      </c>
      <c r="Z1135" s="38">
        <v>86.79</v>
      </c>
      <c r="AA1135" s="38">
        <v>72.209999999999994</v>
      </c>
      <c r="AB1135" s="38">
        <v>68.05</v>
      </c>
      <c r="AC1135" s="38">
        <v>67.55</v>
      </c>
      <c r="AD1135" s="38">
        <v>66.03</v>
      </c>
      <c r="AE1135" s="38">
        <v>66.36</v>
      </c>
      <c r="AF1135" s="38">
        <v>68.180000000000007</v>
      </c>
      <c r="AG1135" s="38">
        <v>71.98</v>
      </c>
      <c r="AH1135" s="38">
        <v>75.28</v>
      </c>
      <c r="AI1135" s="38">
        <v>78.319999999999993</v>
      </c>
      <c r="AJ1135" s="38">
        <v>80.72</v>
      </c>
      <c r="AK1135" s="38">
        <v>79.67</v>
      </c>
      <c r="AL1135" s="38">
        <v>75.44</v>
      </c>
      <c r="AM1135" s="38">
        <v>70.75</v>
      </c>
      <c r="AN1135" s="38">
        <v>67.45</v>
      </c>
      <c r="AO1135" s="38">
        <v>64.34</v>
      </c>
      <c r="AP1135" s="38">
        <v>62.86</v>
      </c>
      <c r="AQ1135" s="38">
        <v>63.53</v>
      </c>
      <c r="AR1135" s="38">
        <v>66.53</v>
      </c>
      <c r="AS1135" s="38">
        <v>69.739999999999995</v>
      </c>
      <c r="AT1135" s="38">
        <v>72.95</v>
      </c>
      <c r="AU1135" s="38">
        <v>76.489999999999995</v>
      </c>
      <c r="AV1135" s="38">
        <v>79.5</v>
      </c>
      <c r="AW1135" s="38">
        <v>78.790000000000006</v>
      </c>
      <c r="AX1135" s="38">
        <v>75.56</v>
      </c>
      <c r="AY1135" s="38">
        <v>70.73</v>
      </c>
      <c r="BA1135" s="37">
        <v>88.44</v>
      </c>
      <c r="BB1135" s="38">
        <v>1.2547999999999999</v>
      </c>
    </row>
    <row r="1136" spans="1:54" x14ac:dyDescent="0.35">
      <c r="A1136" s="2">
        <f t="shared" si="17"/>
        <v>45412</v>
      </c>
      <c r="B1136" t="s">
        <v>1729</v>
      </c>
      <c r="C1136" s="32">
        <v>45412</v>
      </c>
      <c r="D1136" s="38">
        <v>71.53</v>
      </c>
      <c r="E1136" s="38">
        <v>71.08</v>
      </c>
      <c r="F1136" s="38">
        <v>72.03</v>
      </c>
      <c r="G1136" s="38">
        <v>75.87</v>
      </c>
      <c r="H1136" s="38">
        <v>77.459999999999994</v>
      </c>
      <c r="I1136" s="38">
        <v>87.87</v>
      </c>
      <c r="J1136" s="38">
        <v>92.37</v>
      </c>
      <c r="K1136" s="38">
        <v>93.6</v>
      </c>
      <c r="L1136" s="38">
        <v>93.68</v>
      </c>
      <c r="M1136" s="38">
        <v>90.38</v>
      </c>
      <c r="N1136" s="38">
        <v>86.57</v>
      </c>
      <c r="O1136" s="38">
        <v>82.99</v>
      </c>
      <c r="P1136" s="38">
        <v>81.069999999999993</v>
      </c>
      <c r="Q1136" s="38">
        <v>80.14</v>
      </c>
      <c r="R1136" s="38">
        <v>81.8</v>
      </c>
      <c r="S1136" s="38">
        <v>84.05</v>
      </c>
      <c r="T1136" s="38">
        <v>86.5</v>
      </c>
      <c r="U1136" s="38">
        <v>89.01</v>
      </c>
      <c r="V1136" s="38">
        <v>91.89</v>
      </c>
      <c r="W1136" s="38">
        <v>95.03</v>
      </c>
      <c r="X1136" s="38">
        <v>94.86</v>
      </c>
      <c r="Y1136" s="38">
        <v>89.32</v>
      </c>
      <c r="Z1136" s="38">
        <v>73.55</v>
      </c>
      <c r="AA1136" s="38">
        <v>69.02</v>
      </c>
      <c r="AB1136" s="38">
        <v>68.28</v>
      </c>
      <c r="AC1136" s="38">
        <v>66.760000000000005</v>
      </c>
      <c r="AD1136" s="38">
        <v>67.09</v>
      </c>
      <c r="AE1136" s="38">
        <v>68.91</v>
      </c>
      <c r="AF1136" s="38">
        <v>72.650000000000006</v>
      </c>
      <c r="AG1136" s="38">
        <v>76.39</v>
      </c>
      <c r="AH1136" s="38">
        <v>79.42</v>
      </c>
      <c r="AI1136" s="38">
        <v>81.81</v>
      </c>
      <c r="AJ1136" s="38">
        <v>80.760000000000005</v>
      </c>
      <c r="AK1136" s="38">
        <v>76.52</v>
      </c>
      <c r="AL1136" s="38">
        <v>71.53</v>
      </c>
      <c r="AM1136" s="38">
        <v>67.319999999999993</v>
      </c>
      <c r="AN1136" s="38">
        <v>64.2</v>
      </c>
      <c r="AO1136" s="38">
        <v>62.72</v>
      </c>
      <c r="AP1136" s="38">
        <v>63.37</v>
      </c>
      <c r="AQ1136" s="38">
        <v>66.349999999999994</v>
      </c>
      <c r="AR1136" s="38">
        <v>69.63</v>
      </c>
      <c r="AS1136" s="38">
        <v>73.03</v>
      </c>
      <c r="AT1136" s="38">
        <v>76.569999999999993</v>
      </c>
      <c r="AU1136" s="38">
        <v>79.58</v>
      </c>
      <c r="AV1136" s="38">
        <v>78.87</v>
      </c>
      <c r="AW1136" s="38">
        <v>75.64</v>
      </c>
      <c r="AX1136" s="38">
        <v>70.81</v>
      </c>
      <c r="AY1136" s="38">
        <v>65.81</v>
      </c>
      <c r="BA1136" s="37">
        <v>88.23</v>
      </c>
      <c r="BB1136" s="38">
        <v>1.252</v>
      </c>
    </row>
    <row r="1137" spans="1:54" x14ac:dyDescent="0.35">
      <c r="A1137" s="2">
        <f t="shared" si="17"/>
        <v>45413</v>
      </c>
      <c r="B1137" t="s">
        <v>1730</v>
      </c>
      <c r="C1137" s="32">
        <v>45413</v>
      </c>
      <c r="D1137" s="38">
        <v>69.81</v>
      </c>
      <c r="E1137" s="38">
        <v>69.69</v>
      </c>
      <c r="F1137" s="38">
        <v>71.099999999999994</v>
      </c>
      <c r="G1137" s="38">
        <v>75.25</v>
      </c>
      <c r="H1137" s="38">
        <v>76.69</v>
      </c>
      <c r="I1137" s="38">
        <v>87.07</v>
      </c>
      <c r="J1137" s="38">
        <v>91.66</v>
      </c>
      <c r="K1137" s="38">
        <v>92.76</v>
      </c>
      <c r="L1137" s="38">
        <v>92.71</v>
      </c>
      <c r="M1137" s="38">
        <v>89.58</v>
      </c>
      <c r="N1137" s="38">
        <v>86.07</v>
      </c>
      <c r="O1137" s="38">
        <v>82.69</v>
      </c>
      <c r="P1137" s="38">
        <v>80.77</v>
      </c>
      <c r="Q1137" s="38">
        <v>79.84</v>
      </c>
      <c r="R1137" s="38">
        <v>81.5</v>
      </c>
      <c r="S1137" s="38">
        <v>83.75</v>
      </c>
      <c r="T1137" s="38">
        <v>86.2</v>
      </c>
      <c r="U1137" s="38">
        <v>88.61</v>
      </c>
      <c r="V1137" s="38">
        <v>91.49</v>
      </c>
      <c r="W1137" s="38">
        <v>94.63</v>
      </c>
      <c r="X1137" s="38">
        <v>94.46</v>
      </c>
      <c r="Y1137" s="38">
        <v>88.41</v>
      </c>
      <c r="Z1137" s="38">
        <v>72.319999999999993</v>
      </c>
      <c r="AA1137" s="38">
        <v>69.06</v>
      </c>
      <c r="AB1137" s="38">
        <v>68.319999999999993</v>
      </c>
      <c r="AC1137" s="38">
        <v>66.489999999999995</v>
      </c>
      <c r="AD1137" s="38">
        <v>66.819999999999993</v>
      </c>
      <c r="AE1137" s="38">
        <v>68.64</v>
      </c>
      <c r="AF1137" s="38">
        <v>72.48</v>
      </c>
      <c r="AG1137" s="38">
        <v>76.22</v>
      </c>
      <c r="AH1137" s="38">
        <v>79.25</v>
      </c>
      <c r="AI1137" s="38">
        <v>81.64</v>
      </c>
      <c r="AJ1137" s="38">
        <v>80.59</v>
      </c>
      <c r="AK1137" s="38">
        <v>76.349999999999994</v>
      </c>
      <c r="AL1137" s="38">
        <v>71.260000000000005</v>
      </c>
      <c r="AM1137" s="38">
        <v>67.05</v>
      </c>
      <c r="AN1137" s="38">
        <v>63.93</v>
      </c>
      <c r="AO1137" s="38">
        <v>62.45</v>
      </c>
      <c r="AP1137" s="38">
        <v>63.1</v>
      </c>
      <c r="AQ1137" s="38">
        <v>66.08</v>
      </c>
      <c r="AR1137" s="38">
        <v>69.36</v>
      </c>
      <c r="AS1137" s="38">
        <v>72.760000000000005</v>
      </c>
      <c r="AT1137" s="38">
        <v>76.3</v>
      </c>
      <c r="AU1137" s="38">
        <v>79.31</v>
      </c>
      <c r="AV1137" s="38">
        <v>78.599999999999994</v>
      </c>
      <c r="AW1137" s="38">
        <v>75.37</v>
      </c>
      <c r="AX1137" s="38">
        <v>70.540000000000006</v>
      </c>
      <c r="AY1137" s="38">
        <v>65.540000000000006</v>
      </c>
      <c r="BA1137" s="37">
        <v>83.55</v>
      </c>
      <c r="BB1137" s="38">
        <v>1.2492000000000001</v>
      </c>
    </row>
    <row r="1138" spans="1:54" x14ac:dyDescent="0.35">
      <c r="A1138" s="2">
        <f t="shared" si="17"/>
        <v>45414</v>
      </c>
      <c r="B1138" t="s">
        <v>1731</v>
      </c>
      <c r="C1138" s="32">
        <v>45414</v>
      </c>
      <c r="D1138" s="38">
        <v>75.459999999999994</v>
      </c>
      <c r="E1138" s="38">
        <v>75.14</v>
      </c>
      <c r="F1138" s="38">
        <v>76.38</v>
      </c>
      <c r="G1138" s="38">
        <v>80.290000000000006</v>
      </c>
      <c r="H1138" s="38">
        <v>81.63</v>
      </c>
      <c r="I1138" s="38">
        <v>91.96</v>
      </c>
      <c r="J1138" s="38">
        <v>96.55</v>
      </c>
      <c r="K1138" s="38">
        <v>97.75</v>
      </c>
      <c r="L1138" s="38">
        <v>97.75</v>
      </c>
      <c r="M1138" s="38">
        <v>94.62</v>
      </c>
      <c r="N1138" s="38">
        <v>91.01</v>
      </c>
      <c r="O1138" s="38">
        <v>87.63</v>
      </c>
      <c r="P1138" s="38">
        <v>85.71</v>
      </c>
      <c r="Q1138" s="38">
        <v>84.68</v>
      </c>
      <c r="R1138" s="38">
        <v>86.34</v>
      </c>
      <c r="S1138" s="38">
        <v>88.59</v>
      </c>
      <c r="T1138" s="38">
        <v>90.7</v>
      </c>
      <c r="U1138" s="38">
        <v>93.09</v>
      </c>
      <c r="V1138" s="38">
        <v>96.14</v>
      </c>
      <c r="W1138" s="38">
        <v>99.28</v>
      </c>
      <c r="X1138" s="38">
        <v>99.1</v>
      </c>
      <c r="Y1138" s="38">
        <v>92.03</v>
      </c>
      <c r="Z1138" s="38">
        <v>75.03</v>
      </c>
      <c r="AA1138" s="38">
        <v>71.83</v>
      </c>
      <c r="AB1138" s="38">
        <v>69.98</v>
      </c>
      <c r="AC1138" s="38">
        <v>68.650000000000006</v>
      </c>
      <c r="AD1138" s="38">
        <v>68.98</v>
      </c>
      <c r="AE1138" s="38">
        <v>70.8</v>
      </c>
      <c r="AF1138" s="38">
        <v>74.89</v>
      </c>
      <c r="AG1138" s="38">
        <v>78.63</v>
      </c>
      <c r="AH1138" s="38">
        <v>81.66</v>
      </c>
      <c r="AI1138" s="38">
        <v>84.05</v>
      </c>
      <c r="AJ1138" s="38">
        <v>83</v>
      </c>
      <c r="AK1138" s="38">
        <v>78.760000000000005</v>
      </c>
      <c r="AL1138" s="38">
        <v>72.37</v>
      </c>
      <c r="AM1138" s="38">
        <v>68.16</v>
      </c>
      <c r="AN1138" s="38">
        <v>65.040000000000006</v>
      </c>
      <c r="AO1138" s="38">
        <v>63.56</v>
      </c>
      <c r="AP1138" s="38">
        <v>64.209999999999994</v>
      </c>
      <c r="AQ1138" s="38">
        <v>67.19</v>
      </c>
      <c r="AR1138" s="38">
        <v>70.47</v>
      </c>
      <c r="AS1138" s="38">
        <v>73.87</v>
      </c>
      <c r="AT1138" s="38">
        <v>77.41</v>
      </c>
      <c r="AU1138" s="38">
        <v>80.42</v>
      </c>
      <c r="AV1138" s="38">
        <v>79.709999999999994</v>
      </c>
      <c r="AW1138" s="38">
        <v>76.48</v>
      </c>
      <c r="AX1138" s="38">
        <v>71.650000000000006</v>
      </c>
      <c r="AY1138" s="38">
        <v>66.650000000000006</v>
      </c>
      <c r="BA1138" s="37">
        <v>84.81</v>
      </c>
      <c r="BB1138" s="38">
        <v>1.2484999999999999</v>
      </c>
    </row>
    <row r="1139" spans="1:54" x14ac:dyDescent="0.35">
      <c r="A1139" s="2">
        <f t="shared" si="17"/>
        <v>45415</v>
      </c>
      <c r="B1139" t="s">
        <v>1732</v>
      </c>
      <c r="C1139" s="32">
        <v>45415</v>
      </c>
      <c r="D1139" s="38">
        <v>74.47</v>
      </c>
      <c r="E1139" s="38">
        <v>74.319999999999993</v>
      </c>
      <c r="F1139" s="38">
        <v>75.8</v>
      </c>
      <c r="G1139" s="38">
        <v>79.73</v>
      </c>
      <c r="H1139" s="38">
        <v>81.05</v>
      </c>
      <c r="I1139" s="38">
        <v>91.23</v>
      </c>
      <c r="J1139" s="38">
        <v>95.78</v>
      </c>
      <c r="K1139" s="38">
        <v>97.01</v>
      </c>
      <c r="L1139" s="38">
        <v>97.03</v>
      </c>
      <c r="M1139" s="38">
        <v>93.89</v>
      </c>
      <c r="N1139" s="38">
        <v>90.27</v>
      </c>
      <c r="O1139" s="38">
        <v>86.88</v>
      </c>
      <c r="P1139" s="38">
        <v>84.96</v>
      </c>
      <c r="Q1139" s="38">
        <v>83.92</v>
      </c>
      <c r="R1139" s="38">
        <v>85.57</v>
      </c>
      <c r="S1139" s="38">
        <v>87.81</v>
      </c>
      <c r="T1139" s="38">
        <v>89.92</v>
      </c>
      <c r="U1139" s="38">
        <v>92.3</v>
      </c>
      <c r="V1139" s="38">
        <v>95.35</v>
      </c>
      <c r="W1139" s="38">
        <v>98.48</v>
      </c>
      <c r="X1139" s="38">
        <v>98.3</v>
      </c>
      <c r="Y1139" s="38">
        <v>90.83</v>
      </c>
      <c r="Z1139" s="38">
        <v>73.41</v>
      </c>
      <c r="AA1139" s="38">
        <v>70.459999999999994</v>
      </c>
      <c r="AB1139" s="38">
        <v>68.66</v>
      </c>
      <c r="AC1139" s="38">
        <v>67.19</v>
      </c>
      <c r="AD1139" s="38">
        <v>67.52</v>
      </c>
      <c r="AE1139" s="38">
        <v>69.34</v>
      </c>
      <c r="AF1139" s="38">
        <v>73.23</v>
      </c>
      <c r="AG1139" s="38">
        <v>76.97</v>
      </c>
      <c r="AH1139" s="38">
        <v>80</v>
      </c>
      <c r="AI1139" s="38">
        <v>82.39</v>
      </c>
      <c r="AJ1139" s="38">
        <v>81.34</v>
      </c>
      <c r="AK1139" s="38">
        <v>77.099999999999994</v>
      </c>
      <c r="AL1139" s="38">
        <v>69.709999999999994</v>
      </c>
      <c r="AM1139" s="38">
        <v>65.5</v>
      </c>
      <c r="AN1139" s="38">
        <v>62.38</v>
      </c>
      <c r="AO1139" s="38">
        <v>60.9</v>
      </c>
      <c r="AP1139" s="38">
        <v>61.55</v>
      </c>
      <c r="AQ1139" s="38">
        <v>64.53</v>
      </c>
      <c r="AR1139" s="38">
        <v>67.81</v>
      </c>
      <c r="AS1139" s="38">
        <v>71.209999999999994</v>
      </c>
      <c r="AT1139" s="38">
        <v>74.75</v>
      </c>
      <c r="AU1139" s="38">
        <v>77.760000000000005</v>
      </c>
      <c r="AV1139" s="38">
        <v>77.05</v>
      </c>
      <c r="AW1139" s="38">
        <v>73.819999999999993</v>
      </c>
      <c r="AX1139" s="38">
        <v>68.989999999999995</v>
      </c>
      <c r="AY1139" s="38">
        <v>63.99</v>
      </c>
      <c r="BA1139" s="37">
        <v>83.6</v>
      </c>
      <c r="BB1139" s="38">
        <v>1.2545999999999999</v>
      </c>
    </row>
    <row r="1140" spans="1:54" x14ac:dyDescent="0.35">
      <c r="A1140" s="2">
        <f t="shared" si="17"/>
        <v>45418</v>
      </c>
      <c r="B1140" t="s">
        <v>1733</v>
      </c>
      <c r="C1140" s="32">
        <v>45418</v>
      </c>
      <c r="D1140" s="38">
        <v>74.47</v>
      </c>
      <c r="E1140" s="38">
        <v>74.319999999999993</v>
      </c>
      <c r="F1140" s="38">
        <v>75.8</v>
      </c>
      <c r="G1140" s="38">
        <v>79.73</v>
      </c>
      <c r="H1140" s="38">
        <v>81.05</v>
      </c>
      <c r="I1140" s="38">
        <v>91.23</v>
      </c>
      <c r="J1140" s="38">
        <v>95.78</v>
      </c>
      <c r="K1140" s="38">
        <v>97.01</v>
      </c>
      <c r="L1140" s="38">
        <v>97.03</v>
      </c>
      <c r="M1140" s="38">
        <v>93.89</v>
      </c>
      <c r="N1140" s="38">
        <v>90.27</v>
      </c>
      <c r="O1140" s="38">
        <v>86.88</v>
      </c>
      <c r="P1140" s="38">
        <v>84.96</v>
      </c>
      <c r="Q1140" s="38">
        <v>83.92</v>
      </c>
      <c r="R1140" s="38">
        <v>85.57</v>
      </c>
      <c r="S1140" s="38">
        <v>87.81</v>
      </c>
      <c r="T1140" s="38">
        <v>89.92</v>
      </c>
      <c r="U1140" s="38">
        <v>92.3</v>
      </c>
      <c r="V1140" s="38">
        <v>95.35</v>
      </c>
      <c r="W1140" s="38">
        <v>98.48</v>
      </c>
      <c r="X1140" s="38">
        <v>98.3</v>
      </c>
      <c r="Y1140" s="38">
        <v>90.83</v>
      </c>
      <c r="Z1140" s="38">
        <v>73.41</v>
      </c>
      <c r="AA1140" s="38">
        <v>70.459999999999994</v>
      </c>
      <c r="AB1140" s="38">
        <v>68.66</v>
      </c>
      <c r="AC1140" s="38">
        <v>67.19</v>
      </c>
      <c r="AD1140" s="38">
        <v>67.52</v>
      </c>
      <c r="AE1140" s="38">
        <v>69.34</v>
      </c>
      <c r="AF1140" s="38">
        <v>73.23</v>
      </c>
      <c r="AG1140" s="38">
        <v>76.97</v>
      </c>
      <c r="AH1140" s="38">
        <v>80</v>
      </c>
      <c r="AI1140" s="38">
        <v>82.39</v>
      </c>
      <c r="AJ1140" s="38">
        <v>81.34</v>
      </c>
      <c r="AK1140" s="38">
        <v>77.099999999999994</v>
      </c>
      <c r="AL1140" s="38">
        <v>69.709999999999994</v>
      </c>
      <c r="AM1140" s="38">
        <v>65.5</v>
      </c>
      <c r="AN1140" s="38">
        <v>62.38</v>
      </c>
      <c r="AO1140" s="38">
        <v>60.9</v>
      </c>
      <c r="AP1140" s="38">
        <v>61.55</v>
      </c>
      <c r="AQ1140" s="38">
        <v>64.53</v>
      </c>
      <c r="AR1140" s="38">
        <v>67.81</v>
      </c>
      <c r="AS1140" s="38">
        <v>71.209999999999994</v>
      </c>
      <c r="AT1140" s="38">
        <v>74.75</v>
      </c>
      <c r="AU1140" s="38">
        <v>77.760000000000005</v>
      </c>
      <c r="AV1140" s="38">
        <v>77.05</v>
      </c>
      <c r="AW1140" s="38">
        <v>73.819999999999993</v>
      </c>
      <c r="AX1140" s="38">
        <v>68.989999999999995</v>
      </c>
      <c r="AY1140" s="38">
        <v>63.99</v>
      </c>
      <c r="BA1140" s="37" t="e">
        <v>#N/A</v>
      </c>
      <c r="BB1140" s="38" t="e">
        <v>#N/A</v>
      </c>
    </row>
    <row r="1141" spans="1:54" x14ac:dyDescent="0.35">
      <c r="A1141" s="2">
        <f t="shared" si="17"/>
        <v>45419</v>
      </c>
      <c r="B1141" t="s">
        <v>1734</v>
      </c>
      <c r="C1141" s="32">
        <v>45419</v>
      </c>
      <c r="D1141" s="38">
        <v>75.86</v>
      </c>
      <c r="E1141" s="38">
        <v>75.62</v>
      </c>
      <c r="F1141" s="38">
        <v>77</v>
      </c>
      <c r="G1141" s="38">
        <v>80.819999999999993</v>
      </c>
      <c r="H1141" s="38">
        <v>82.37</v>
      </c>
      <c r="I1141" s="38">
        <v>92.82</v>
      </c>
      <c r="J1141" s="38">
        <v>97.02</v>
      </c>
      <c r="K1141" s="38">
        <v>98.44</v>
      </c>
      <c r="L1141" s="38">
        <v>98.55</v>
      </c>
      <c r="M1141" s="38">
        <v>95.3</v>
      </c>
      <c r="N1141" s="38">
        <v>91.18</v>
      </c>
      <c r="O1141" s="38">
        <v>88.46</v>
      </c>
      <c r="P1141" s="38">
        <v>86.55</v>
      </c>
      <c r="Q1141" s="38">
        <v>85.67</v>
      </c>
      <c r="R1141" s="38">
        <v>87.27</v>
      </c>
      <c r="S1141" s="38">
        <v>89.44</v>
      </c>
      <c r="T1141" s="38">
        <v>91.44</v>
      </c>
      <c r="U1141" s="38">
        <v>93.91</v>
      </c>
      <c r="V1141" s="38">
        <v>96.89</v>
      </c>
      <c r="W1141" s="38">
        <v>100.12</v>
      </c>
      <c r="X1141" s="38">
        <v>99.87</v>
      </c>
      <c r="Y1141" s="38">
        <v>92.3</v>
      </c>
      <c r="Z1141" s="38">
        <v>73</v>
      </c>
      <c r="AA1141" s="38">
        <v>70.599999999999994</v>
      </c>
      <c r="AB1141" s="38">
        <v>68.150000000000006</v>
      </c>
      <c r="AC1141" s="38">
        <v>66.81</v>
      </c>
      <c r="AD1141" s="38">
        <v>67.16</v>
      </c>
      <c r="AE1141" s="38">
        <v>68.98</v>
      </c>
      <c r="AF1141" s="38">
        <v>72.569999999999993</v>
      </c>
      <c r="AG1141" s="38">
        <v>76.430000000000007</v>
      </c>
      <c r="AH1141" s="38">
        <v>79.459999999999994</v>
      </c>
      <c r="AI1141" s="38">
        <v>82.27</v>
      </c>
      <c r="AJ1141" s="38">
        <v>81.22</v>
      </c>
      <c r="AK1141" s="38">
        <v>76.989999999999995</v>
      </c>
      <c r="AL1141" s="38">
        <v>69.88</v>
      </c>
      <c r="AM1141" s="38">
        <v>65.66</v>
      </c>
      <c r="AN1141" s="38">
        <v>62.54</v>
      </c>
      <c r="AO1141" s="38">
        <v>61.06</v>
      </c>
      <c r="AP1141" s="38">
        <v>61.71</v>
      </c>
      <c r="AQ1141" s="38">
        <v>64.7</v>
      </c>
      <c r="AR1141" s="38">
        <v>67.81</v>
      </c>
      <c r="AS1141" s="38">
        <v>71.209999999999994</v>
      </c>
      <c r="AT1141" s="38">
        <v>74.739999999999995</v>
      </c>
      <c r="AU1141" s="38">
        <v>78</v>
      </c>
      <c r="AV1141" s="38">
        <v>77.290000000000006</v>
      </c>
      <c r="AW1141" s="38">
        <v>74.06</v>
      </c>
      <c r="AX1141" s="38">
        <v>68.66</v>
      </c>
      <c r="AY1141" s="38">
        <v>63.66</v>
      </c>
      <c r="BA1141" s="37">
        <v>82.69</v>
      </c>
      <c r="BB1141" s="38">
        <v>1.2554000000000001</v>
      </c>
    </row>
    <row r="1142" spans="1:54" x14ac:dyDescent="0.35">
      <c r="A1142" s="2">
        <f t="shared" si="17"/>
        <v>45420</v>
      </c>
      <c r="B1142" t="s">
        <v>1735</v>
      </c>
      <c r="C1142" s="32">
        <v>45420</v>
      </c>
      <c r="D1142" s="38">
        <v>74.73</v>
      </c>
      <c r="E1142" s="38">
        <v>74.5</v>
      </c>
      <c r="F1142" s="38">
        <v>75.959999999999994</v>
      </c>
      <c r="G1142" s="38">
        <v>79.92</v>
      </c>
      <c r="H1142" s="38">
        <v>81.55</v>
      </c>
      <c r="I1142" s="38">
        <v>91.75</v>
      </c>
      <c r="J1142" s="38">
        <v>96.3</v>
      </c>
      <c r="K1142" s="38">
        <v>97.75</v>
      </c>
      <c r="L1142" s="38">
        <v>97.75</v>
      </c>
      <c r="M1142" s="38">
        <v>94.54</v>
      </c>
      <c r="N1142" s="38">
        <v>90.75</v>
      </c>
      <c r="O1142" s="38">
        <v>87.69</v>
      </c>
      <c r="P1142" s="38">
        <v>85.83</v>
      </c>
      <c r="Q1142" s="38">
        <v>84.95</v>
      </c>
      <c r="R1142" s="38">
        <v>86.63</v>
      </c>
      <c r="S1142" s="38">
        <v>88.68</v>
      </c>
      <c r="T1142" s="38">
        <v>91.34</v>
      </c>
      <c r="U1142" s="38">
        <v>93.84</v>
      </c>
      <c r="V1142" s="38">
        <v>96.6</v>
      </c>
      <c r="W1142" s="38">
        <v>100.02</v>
      </c>
      <c r="X1142" s="38">
        <v>99.77</v>
      </c>
      <c r="Y1142" s="38">
        <v>92.22</v>
      </c>
      <c r="Z1142" s="38">
        <v>72.94</v>
      </c>
      <c r="AA1142" s="38">
        <v>71.02</v>
      </c>
      <c r="AB1142" s="38">
        <v>68.52</v>
      </c>
      <c r="AC1142" s="38">
        <v>66.959999999999994</v>
      </c>
      <c r="AD1142" s="38">
        <v>67.45</v>
      </c>
      <c r="AE1142" s="38">
        <v>69.44</v>
      </c>
      <c r="AF1142" s="38">
        <v>73.2</v>
      </c>
      <c r="AG1142" s="38">
        <v>77.06</v>
      </c>
      <c r="AH1142" s="38">
        <v>80.09</v>
      </c>
      <c r="AI1142" s="38">
        <v>82.75</v>
      </c>
      <c r="AJ1142" s="38">
        <v>81.7</v>
      </c>
      <c r="AK1142" s="38">
        <v>77.47</v>
      </c>
      <c r="AL1142" s="38">
        <v>70.5</v>
      </c>
      <c r="AM1142" s="38">
        <v>66.28</v>
      </c>
      <c r="AN1142" s="38">
        <v>63.16</v>
      </c>
      <c r="AO1142" s="38">
        <v>61.66</v>
      </c>
      <c r="AP1142" s="38">
        <v>62.31</v>
      </c>
      <c r="AQ1142" s="38">
        <v>65.3</v>
      </c>
      <c r="AR1142" s="38">
        <v>68.569999999999993</v>
      </c>
      <c r="AS1142" s="38">
        <v>71.959999999999994</v>
      </c>
      <c r="AT1142" s="38">
        <v>75.489999999999995</v>
      </c>
      <c r="AU1142" s="38">
        <v>78.62</v>
      </c>
      <c r="AV1142" s="38">
        <v>77.91</v>
      </c>
      <c r="AW1142" s="38">
        <v>74.680000000000007</v>
      </c>
      <c r="AX1142" s="38">
        <v>69.290000000000006</v>
      </c>
      <c r="AY1142" s="38">
        <v>64.290000000000006</v>
      </c>
      <c r="BA1142" s="37">
        <v>82.44</v>
      </c>
      <c r="BB1142" s="38">
        <v>1.2493000000000001</v>
      </c>
    </row>
    <row r="1143" spans="1:54" x14ac:dyDescent="0.35">
      <c r="A1143" s="2">
        <f t="shared" si="17"/>
        <v>45421</v>
      </c>
      <c r="B1143" t="s">
        <v>1736</v>
      </c>
      <c r="C1143" s="32">
        <v>45421</v>
      </c>
      <c r="D1143" s="38">
        <v>75.58</v>
      </c>
      <c r="E1143" s="38">
        <v>75.23</v>
      </c>
      <c r="F1143" s="38">
        <v>76.739999999999995</v>
      </c>
      <c r="G1143" s="38">
        <v>80.73</v>
      </c>
      <c r="H1143" s="38">
        <v>82.58</v>
      </c>
      <c r="I1143" s="38">
        <v>92.81</v>
      </c>
      <c r="J1143" s="38">
        <v>97.5</v>
      </c>
      <c r="K1143" s="38">
        <v>98.9</v>
      </c>
      <c r="L1143" s="38">
        <v>98.98</v>
      </c>
      <c r="M1143" s="38">
        <v>95.89</v>
      </c>
      <c r="N1143" s="38">
        <v>91.54</v>
      </c>
      <c r="O1143" s="38">
        <v>89.18</v>
      </c>
      <c r="P1143" s="38">
        <v>86.88</v>
      </c>
      <c r="Q1143" s="38">
        <v>86.1</v>
      </c>
      <c r="R1143" s="38">
        <v>87.71</v>
      </c>
      <c r="S1143" s="38">
        <v>89.66</v>
      </c>
      <c r="T1143" s="38">
        <v>91.82</v>
      </c>
      <c r="U1143" s="38">
        <v>94.32</v>
      </c>
      <c r="V1143" s="38">
        <v>97.05</v>
      </c>
      <c r="W1143" s="38">
        <v>100.64</v>
      </c>
      <c r="X1143" s="38">
        <v>100.4</v>
      </c>
      <c r="Y1143" s="38">
        <v>92.72</v>
      </c>
      <c r="Z1143" s="38">
        <v>73.77</v>
      </c>
      <c r="AA1143" s="38">
        <v>71.88</v>
      </c>
      <c r="AB1143" s="38">
        <v>69.41</v>
      </c>
      <c r="AC1143" s="38">
        <v>67.819999999999993</v>
      </c>
      <c r="AD1143" s="38">
        <v>68.33</v>
      </c>
      <c r="AE1143" s="38">
        <v>70.319999999999993</v>
      </c>
      <c r="AF1143" s="38">
        <v>73.989999999999995</v>
      </c>
      <c r="AG1143" s="38">
        <v>77.84</v>
      </c>
      <c r="AH1143" s="38">
        <v>80.930000000000007</v>
      </c>
      <c r="AI1143" s="38">
        <v>83.6</v>
      </c>
      <c r="AJ1143" s="38">
        <v>82.55</v>
      </c>
      <c r="AK1143" s="38">
        <v>78.34</v>
      </c>
      <c r="AL1143" s="38">
        <v>71.11</v>
      </c>
      <c r="AM1143" s="38">
        <v>66.89</v>
      </c>
      <c r="AN1143" s="38">
        <v>63.77</v>
      </c>
      <c r="AO1143" s="38">
        <v>62.27</v>
      </c>
      <c r="AP1143" s="38">
        <v>62.92</v>
      </c>
      <c r="AQ1143" s="38">
        <v>65.92</v>
      </c>
      <c r="AR1143" s="38">
        <v>69.17</v>
      </c>
      <c r="AS1143" s="38">
        <v>72.540000000000006</v>
      </c>
      <c r="AT1143" s="38">
        <v>76.08</v>
      </c>
      <c r="AU1143" s="38">
        <v>79.290000000000006</v>
      </c>
      <c r="AV1143" s="38">
        <v>78.58</v>
      </c>
      <c r="AW1143" s="38">
        <v>75.34</v>
      </c>
      <c r="AX1143" s="38">
        <v>70.05</v>
      </c>
      <c r="AY1143" s="38">
        <v>65.05</v>
      </c>
      <c r="BA1143" s="37">
        <v>83.27</v>
      </c>
      <c r="BB1143" s="38">
        <v>1.2512000000000001</v>
      </c>
    </row>
    <row r="1144" spans="1:54" x14ac:dyDescent="0.35">
      <c r="A1144" s="2">
        <f t="shared" si="17"/>
        <v>45422</v>
      </c>
      <c r="B1144" t="s">
        <v>1737</v>
      </c>
      <c r="C1144" s="32">
        <v>45422</v>
      </c>
      <c r="D1144" s="38">
        <v>72.959999999999994</v>
      </c>
      <c r="E1144" s="38">
        <v>72.709999999999994</v>
      </c>
      <c r="F1144" s="38">
        <v>74.34</v>
      </c>
      <c r="G1144" s="38">
        <v>78.31</v>
      </c>
      <c r="H1144" s="38">
        <v>80.5</v>
      </c>
      <c r="I1144" s="38">
        <v>90.91</v>
      </c>
      <c r="J1144" s="38">
        <v>95.76</v>
      </c>
      <c r="K1144" s="38">
        <v>97.31</v>
      </c>
      <c r="L1144" s="38">
        <v>97.49</v>
      </c>
      <c r="M1144" s="38">
        <v>94.31</v>
      </c>
      <c r="N1144" s="38">
        <v>90.12</v>
      </c>
      <c r="O1144" s="38">
        <v>87.82</v>
      </c>
      <c r="P1144" s="38">
        <v>85.51</v>
      </c>
      <c r="Q1144" s="38">
        <v>84.63</v>
      </c>
      <c r="R1144" s="38">
        <v>86.22</v>
      </c>
      <c r="S1144" s="38">
        <v>88.36</v>
      </c>
      <c r="T1144" s="38">
        <v>90.46</v>
      </c>
      <c r="U1144" s="38">
        <v>92.85</v>
      </c>
      <c r="V1144" s="38">
        <v>95.64</v>
      </c>
      <c r="W1144" s="38">
        <v>99.15</v>
      </c>
      <c r="X1144" s="38">
        <v>98.87</v>
      </c>
      <c r="Y1144" s="38">
        <v>91.13</v>
      </c>
      <c r="Z1144" s="38">
        <v>73.05</v>
      </c>
      <c r="AA1144" s="38">
        <v>71.150000000000006</v>
      </c>
      <c r="AB1144" s="38">
        <v>68.650000000000006</v>
      </c>
      <c r="AC1144" s="38">
        <v>67.02</v>
      </c>
      <c r="AD1144" s="38">
        <v>67.59</v>
      </c>
      <c r="AE1144" s="38">
        <v>69.64</v>
      </c>
      <c r="AF1144" s="38">
        <v>73.290000000000006</v>
      </c>
      <c r="AG1144" s="38">
        <v>77.2</v>
      </c>
      <c r="AH1144" s="38">
        <v>80.48</v>
      </c>
      <c r="AI1144" s="38">
        <v>83.28</v>
      </c>
      <c r="AJ1144" s="38">
        <v>82.42</v>
      </c>
      <c r="AK1144" s="38">
        <v>78.489999999999995</v>
      </c>
      <c r="AL1144" s="38">
        <v>71.650000000000006</v>
      </c>
      <c r="AM1144" s="38">
        <v>67.430000000000007</v>
      </c>
      <c r="AN1144" s="38">
        <v>64.319999999999993</v>
      </c>
      <c r="AO1144" s="38">
        <v>62.82</v>
      </c>
      <c r="AP1144" s="38">
        <v>63.47</v>
      </c>
      <c r="AQ1144" s="38">
        <v>66.47</v>
      </c>
      <c r="AR1144" s="38">
        <v>69.72</v>
      </c>
      <c r="AS1144" s="38">
        <v>73.09</v>
      </c>
      <c r="AT1144" s="38">
        <v>76.63</v>
      </c>
      <c r="AU1144" s="38">
        <v>79.98</v>
      </c>
      <c r="AV1144" s="38">
        <v>79.27</v>
      </c>
      <c r="AW1144" s="38">
        <v>76.010000000000005</v>
      </c>
      <c r="AX1144" s="38">
        <v>70.84</v>
      </c>
      <c r="AY1144" s="38">
        <v>65.84</v>
      </c>
      <c r="BA1144" s="37">
        <v>83.39</v>
      </c>
      <c r="BB1144" s="38">
        <v>1.2507999999999999</v>
      </c>
    </row>
    <row r="1145" spans="1:54" x14ac:dyDescent="0.35">
      <c r="A1145" s="2">
        <f t="shared" si="17"/>
        <v>45425</v>
      </c>
      <c r="B1145" t="s">
        <v>1738</v>
      </c>
      <c r="C1145" s="32">
        <v>45425</v>
      </c>
      <c r="D1145" s="38">
        <v>71.540000000000006</v>
      </c>
      <c r="E1145" s="38">
        <v>71.42</v>
      </c>
      <c r="F1145" s="38">
        <v>73.22</v>
      </c>
      <c r="G1145" s="38">
        <v>77.010000000000005</v>
      </c>
      <c r="H1145" s="38">
        <v>79.47</v>
      </c>
      <c r="I1145" s="38">
        <v>89.94</v>
      </c>
      <c r="J1145" s="38">
        <v>94.68</v>
      </c>
      <c r="K1145" s="38">
        <v>96.17</v>
      </c>
      <c r="L1145" s="38">
        <v>96.18</v>
      </c>
      <c r="M1145" s="38">
        <v>93.25</v>
      </c>
      <c r="N1145" s="38">
        <v>89.87</v>
      </c>
      <c r="O1145" s="38">
        <v>87.02</v>
      </c>
      <c r="P1145" s="38">
        <v>84.69</v>
      </c>
      <c r="Q1145" s="38">
        <v>83.81</v>
      </c>
      <c r="R1145" s="38">
        <v>85.41</v>
      </c>
      <c r="S1145" s="38">
        <v>87.56</v>
      </c>
      <c r="T1145" s="38">
        <v>89.83</v>
      </c>
      <c r="U1145" s="38">
        <v>92.37</v>
      </c>
      <c r="V1145" s="38">
        <v>95.21</v>
      </c>
      <c r="W1145" s="38">
        <v>98.77</v>
      </c>
      <c r="X1145" s="38">
        <v>98.49</v>
      </c>
      <c r="Y1145" s="38">
        <v>90.76</v>
      </c>
      <c r="Z1145" s="38">
        <v>73.12</v>
      </c>
      <c r="AA1145" s="38">
        <v>71.5</v>
      </c>
      <c r="AB1145" s="38">
        <v>69</v>
      </c>
      <c r="AC1145" s="38">
        <v>67.37</v>
      </c>
      <c r="AD1145" s="38">
        <v>67.95</v>
      </c>
      <c r="AE1145" s="38">
        <v>70</v>
      </c>
      <c r="AF1145" s="38">
        <v>73.52</v>
      </c>
      <c r="AG1145" s="38">
        <v>77.430000000000007</v>
      </c>
      <c r="AH1145" s="38">
        <v>80.72</v>
      </c>
      <c r="AI1145" s="38">
        <v>83.52</v>
      </c>
      <c r="AJ1145" s="38">
        <v>82.66</v>
      </c>
      <c r="AK1145" s="38">
        <v>78.73</v>
      </c>
      <c r="AL1145" s="38">
        <v>71.75</v>
      </c>
      <c r="AM1145" s="38">
        <v>67.53</v>
      </c>
      <c r="AN1145" s="38">
        <v>64.42</v>
      </c>
      <c r="AO1145" s="38">
        <v>62.92</v>
      </c>
      <c r="AP1145" s="38">
        <v>63.57</v>
      </c>
      <c r="AQ1145" s="38">
        <v>66.569999999999993</v>
      </c>
      <c r="AR1145" s="38">
        <v>69.819999999999993</v>
      </c>
      <c r="AS1145" s="38">
        <v>73.209999999999994</v>
      </c>
      <c r="AT1145" s="38">
        <v>76.75</v>
      </c>
      <c r="AU1145" s="38">
        <v>80.209999999999994</v>
      </c>
      <c r="AV1145" s="38">
        <v>79.5</v>
      </c>
      <c r="AW1145" s="38">
        <v>76.239999999999995</v>
      </c>
      <c r="AX1145" s="38">
        <v>71.069999999999993</v>
      </c>
      <c r="AY1145" s="38">
        <v>66.069999999999993</v>
      </c>
      <c r="BA1145" s="37">
        <v>83.18</v>
      </c>
      <c r="BB1145" s="38">
        <v>1.2563</v>
      </c>
    </row>
    <row r="1146" spans="1:54" x14ac:dyDescent="0.35">
      <c r="A1146" s="2">
        <f t="shared" si="17"/>
        <v>45426</v>
      </c>
      <c r="B1146" t="s">
        <v>1739</v>
      </c>
      <c r="C1146" s="32">
        <v>45426</v>
      </c>
      <c r="D1146" s="38">
        <v>71.959999999999994</v>
      </c>
      <c r="E1146" s="38">
        <v>71.83</v>
      </c>
      <c r="F1146" s="38">
        <v>73.59</v>
      </c>
      <c r="G1146" s="38">
        <v>77.709999999999994</v>
      </c>
      <c r="H1146" s="38">
        <v>80.62</v>
      </c>
      <c r="I1146" s="38">
        <v>90.71</v>
      </c>
      <c r="J1146" s="38">
        <v>95.73</v>
      </c>
      <c r="K1146" s="38">
        <v>97.33</v>
      </c>
      <c r="L1146" s="38">
        <v>97.39</v>
      </c>
      <c r="M1146" s="38">
        <v>94.37</v>
      </c>
      <c r="N1146" s="38">
        <v>91.01</v>
      </c>
      <c r="O1146" s="38">
        <v>88.22</v>
      </c>
      <c r="P1146" s="38">
        <v>85.86</v>
      </c>
      <c r="Q1146" s="38">
        <v>85.03</v>
      </c>
      <c r="R1146" s="38">
        <v>86.63</v>
      </c>
      <c r="S1146" s="38">
        <v>88.79</v>
      </c>
      <c r="T1146" s="38">
        <v>91.13</v>
      </c>
      <c r="U1146" s="38">
        <v>93.67</v>
      </c>
      <c r="V1146" s="38">
        <v>96.51</v>
      </c>
      <c r="W1146" s="38">
        <v>100.04</v>
      </c>
      <c r="X1146" s="38">
        <v>99.74</v>
      </c>
      <c r="Y1146" s="38">
        <v>91.99</v>
      </c>
      <c r="Z1146" s="38">
        <v>74.319999999999993</v>
      </c>
      <c r="AA1146" s="38">
        <v>72.319999999999993</v>
      </c>
      <c r="AB1146" s="38">
        <v>69.83</v>
      </c>
      <c r="AC1146" s="38">
        <v>68.260000000000005</v>
      </c>
      <c r="AD1146" s="38">
        <v>68.819999999999993</v>
      </c>
      <c r="AE1146" s="38">
        <v>70.87</v>
      </c>
      <c r="AF1146" s="38">
        <v>74.47</v>
      </c>
      <c r="AG1146" s="38">
        <v>78.38</v>
      </c>
      <c r="AH1146" s="38">
        <v>81.67</v>
      </c>
      <c r="AI1146" s="38">
        <v>84.47</v>
      </c>
      <c r="AJ1146" s="38">
        <v>83.61</v>
      </c>
      <c r="AK1146" s="38">
        <v>79.680000000000007</v>
      </c>
      <c r="AL1146" s="38">
        <v>72.31</v>
      </c>
      <c r="AM1146" s="38">
        <v>68.09</v>
      </c>
      <c r="AN1146" s="38">
        <v>64.98</v>
      </c>
      <c r="AO1146" s="38">
        <v>63.48</v>
      </c>
      <c r="AP1146" s="38">
        <v>64.13</v>
      </c>
      <c r="AQ1146" s="38">
        <v>67.13</v>
      </c>
      <c r="AR1146" s="38">
        <v>70.36</v>
      </c>
      <c r="AS1146" s="38">
        <v>73.75</v>
      </c>
      <c r="AT1146" s="38">
        <v>77.290000000000006</v>
      </c>
      <c r="AU1146" s="38">
        <v>80.75</v>
      </c>
      <c r="AV1146" s="38">
        <v>80.040000000000006</v>
      </c>
      <c r="AW1146" s="38">
        <v>76.78</v>
      </c>
      <c r="AX1146" s="38">
        <v>71.489999999999995</v>
      </c>
      <c r="AY1146" s="38">
        <v>66.489999999999995</v>
      </c>
      <c r="BA1146" s="37">
        <v>81</v>
      </c>
      <c r="BB1146" s="38">
        <v>1.2588999999999999</v>
      </c>
    </row>
    <row r="1147" spans="1:54" x14ac:dyDescent="0.35">
      <c r="A1147" s="2">
        <f t="shared" si="17"/>
        <v>45427</v>
      </c>
      <c r="B1147" t="s">
        <v>1740</v>
      </c>
      <c r="C1147" s="32">
        <v>45427</v>
      </c>
      <c r="D1147" s="38">
        <v>72.02</v>
      </c>
      <c r="E1147" s="38">
        <v>71.680000000000007</v>
      </c>
      <c r="F1147" s="38">
        <v>73.5</v>
      </c>
      <c r="G1147" s="38">
        <v>77.41</v>
      </c>
      <c r="H1147" s="38">
        <v>80.56</v>
      </c>
      <c r="I1147" s="38">
        <v>90.83</v>
      </c>
      <c r="J1147" s="38">
        <v>95.66</v>
      </c>
      <c r="K1147" s="38">
        <v>97.14</v>
      </c>
      <c r="L1147" s="38">
        <v>97.33</v>
      </c>
      <c r="M1147" s="38">
        <v>94.23</v>
      </c>
      <c r="N1147" s="38">
        <v>90.4</v>
      </c>
      <c r="O1147" s="38">
        <v>87.45</v>
      </c>
      <c r="P1147" s="38">
        <v>85.07</v>
      </c>
      <c r="Q1147" s="38">
        <v>84.24</v>
      </c>
      <c r="R1147" s="38">
        <v>85.84</v>
      </c>
      <c r="S1147" s="38">
        <v>88</v>
      </c>
      <c r="T1147" s="38">
        <v>90.34</v>
      </c>
      <c r="U1147" s="38">
        <v>92.88</v>
      </c>
      <c r="V1147" s="38">
        <v>95.84</v>
      </c>
      <c r="W1147" s="38">
        <v>99.42</v>
      </c>
      <c r="X1147" s="38">
        <v>99.12</v>
      </c>
      <c r="Y1147" s="38">
        <v>91.38</v>
      </c>
      <c r="Z1147" s="38">
        <v>74.430000000000007</v>
      </c>
      <c r="AA1147" s="38">
        <v>72.430000000000007</v>
      </c>
      <c r="AB1147" s="38">
        <v>69.94</v>
      </c>
      <c r="AC1147" s="38">
        <v>68.430000000000007</v>
      </c>
      <c r="AD1147" s="38">
        <v>69.010000000000005</v>
      </c>
      <c r="AE1147" s="38">
        <v>71.06</v>
      </c>
      <c r="AF1147" s="38">
        <v>74.41</v>
      </c>
      <c r="AG1147" s="38">
        <v>78.319999999999993</v>
      </c>
      <c r="AH1147" s="38">
        <v>81.61</v>
      </c>
      <c r="AI1147" s="38">
        <v>84.39</v>
      </c>
      <c r="AJ1147" s="38">
        <v>83.53</v>
      </c>
      <c r="AK1147" s="38">
        <v>79.599999999999994</v>
      </c>
      <c r="AL1147" s="38">
        <v>72.47</v>
      </c>
      <c r="AM1147" s="38">
        <v>68.25</v>
      </c>
      <c r="AN1147" s="38">
        <v>65.14</v>
      </c>
      <c r="AO1147" s="38">
        <v>63.64</v>
      </c>
      <c r="AP1147" s="38">
        <v>64.290000000000006</v>
      </c>
      <c r="AQ1147" s="38">
        <v>67.290000000000006</v>
      </c>
      <c r="AR1147" s="38">
        <v>70.540000000000006</v>
      </c>
      <c r="AS1147" s="38">
        <v>73.930000000000007</v>
      </c>
      <c r="AT1147" s="38">
        <v>77.489999999999995</v>
      </c>
      <c r="AU1147" s="38">
        <v>81.010000000000005</v>
      </c>
      <c r="AV1147" s="38">
        <v>80.3</v>
      </c>
      <c r="AW1147" s="38">
        <v>77.02</v>
      </c>
      <c r="AX1147" s="38">
        <v>71.63</v>
      </c>
      <c r="AY1147" s="38">
        <v>66.63</v>
      </c>
      <c r="BA1147" s="37">
        <v>79.98</v>
      </c>
      <c r="BB1147" s="38">
        <v>1.2648999999999999</v>
      </c>
    </row>
    <row r="1148" spans="1:54" x14ac:dyDescent="0.35">
      <c r="A1148" s="2">
        <f t="shared" si="17"/>
        <v>45428</v>
      </c>
      <c r="B1148" t="s">
        <v>1741</v>
      </c>
      <c r="C1148" s="32">
        <v>45428</v>
      </c>
      <c r="D1148" s="38">
        <v>73.03</v>
      </c>
      <c r="E1148" s="38">
        <v>72.81</v>
      </c>
      <c r="F1148" s="38">
        <v>74.81</v>
      </c>
      <c r="G1148" s="38">
        <v>78.81</v>
      </c>
      <c r="H1148" s="38">
        <v>81.81</v>
      </c>
      <c r="I1148" s="38">
        <v>92.09</v>
      </c>
      <c r="J1148" s="38">
        <v>96.85</v>
      </c>
      <c r="K1148" s="38">
        <v>98.3</v>
      </c>
      <c r="L1148" s="38">
        <v>98.38</v>
      </c>
      <c r="M1148" s="38">
        <v>95.24</v>
      </c>
      <c r="N1148" s="38">
        <v>91.52</v>
      </c>
      <c r="O1148" s="38">
        <v>88.65</v>
      </c>
      <c r="P1148" s="38">
        <v>86.27</v>
      </c>
      <c r="Q1148" s="38">
        <v>85.36</v>
      </c>
      <c r="R1148" s="38">
        <v>86.86</v>
      </c>
      <c r="S1148" s="38">
        <v>89.02</v>
      </c>
      <c r="T1148" s="38">
        <v>91.36</v>
      </c>
      <c r="U1148" s="38">
        <v>93.9</v>
      </c>
      <c r="V1148" s="38">
        <v>96.86</v>
      </c>
      <c r="W1148" s="38">
        <v>100.44</v>
      </c>
      <c r="X1148" s="38">
        <v>100.14</v>
      </c>
      <c r="Y1148" s="38">
        <v>92.4</v>
      </c>
      <c r="Z1148" s="38">
        <v>75.45</v>
      </c>
      <c r="AA1148" s="38">
        <v>73.45</v>
      </c>
      <c r="AB1148" s="38">
        <v>70.959999999999994</v>
      </c>
      <c r="AC1148" s="38">
        <v>69.45</v>
      </c>
      <c r="AD1148" s="38">
        <v>70.03</v>
      </c>
      <c r="AE1148" s="38">
        <v>72.08</v>
      </c>
      <c r="AF1148" s="38">
        <v>75.430000000000007</v>
      </c>
      <c r="AG1148" s="38">
        <v>79.34</v>
      </c>
      <c r="AH1148" s="38">
        <v>82.63</v>
      </c>
      <c r="AI1148" s="38">
        <v>85.41</v>
      </c>
      <c r="AJ1148" s="38">
        <v>84.55</v>
      </c>
      <c r="AK1148" s="38">
        <v>80.62</v>
      </c>
      <c r="AL1148" s="38">
        <v>73.489999999999995</v>
      </c>
      <c r="AM1148" s="38">
        <v>69.27</v>
      </c>
      <c r="AN1148" s="38">
        <v>66.16</v>
      </c>
      <c r="AO1148" s="38">
        <v>64.66</v>
      </c>
      <c r="AP1148" s="38">
        <v>65.31</v>
      </c>
      <c r="AQ1148" s="38">
        <v>68.31</v>
      </c>
      <c r="AR1148" s="38">
        <v>71.56</v>
      </c>
      <c r="AS1148" s="38">
        <v>74.95</v>
      </c>
      <c r="AT1148" s="38">
        <v>78.510000000000005</v>
      </c>
      <c r="AU1148" s="38">
        <v>82.03</v>
      </c>
      <c r="AV1148" s="38">
        <v>81.319999999999993</v>
      </c>
      <c r="AW1148" s="38">
        <v>78.040000000000006</v>
      </c>
      <c r="AX1148" s="38">
        <v>72.650000000000006</v>
      </c>
      <c r="AY1148" s="38">
        <v>67.650000000000006</v>
      </c>
      <c r="BA1148" s="37">
        <v>81.650000000000006</v>
      </c>
      <c r="BB1148" s="38">
        <v>1.2667999999999999</v>
      </c>
    </row>
    <row r="1149" spans="1:54" x14ac:dyDescent="0.35">
      <c r="A1149" s="2">
        <f t="shared" si="17"/>
        <v>45429</v>
      </c>
      <c r="B1149" t="s">
        <v>1742</v>
      </c>
      <c r="C1149" s="32">
        <v>45429</v>
      </c>
      <c r="D1149" s="38">
        <v>74.36</v>
      </c>
      <c r="E1149" s="38">
        <v>74.17</v>
      </c>
      <c r="F1149" s="38">
        <v>75.94</v>
      </c>
      <c r="G1149" s="38">
        <v>79.97</v>
      </c>
      <c r="H1149" s="38">
        <v>82.91</v>
      </c>
      <c r="I1149" s="38">
        <v>92.97</v>
      </c>
      <c r="J1149" s="38">
        <v>97.75</v>
      </c>
      <c r="K1149" s="38">
        <v>99.13</v>
      </c>
      <c r="L1149" s="38">
        <v>99.13</v>
      </c>
      <c r="M1149" s="38">
        <v>96.05</v>
      </c>
      <c r="N1149" s="38">
        <v>91.86</v>
      </c>
      <c r="O1149" s="38">
        <v>88.71</v>
      </c>
      <c r="P1149" s="38">
        <v>86.24</v>
      </c>
      <c r="Q1149" s="38">
        <v>85.28</v>
      </c>
      <c r="R1149" s="38">
        <v>86.77</v>
      </c>
      <c r="S1149" s="38">
        <v>89.19</v>
      </c>
      <c r="T1149" s="38">
        <v>91.54</v>
      </c>
      <c r="U1149" s="38">
        <v>94.18</v>
      </c>
      <c r="V1149" s="38">
        <v>97.23</v>
      </c>
      <c r="W1149" s="38">
        <v>100.82</v>
      </c>
      <c r="X1149" s="38">
        <v>100.52</v>
      </c>
      <c r="Y1149" s="38">
        <v>92.78</v>
      </c>
      <c r="Z1149" s="38">
        <v>75.73</v>
      </c>
      <c r="AA1149" s="38">
        <v>73.73</v>
      </c>
      <c r="AB1149" s="38">
        <v>71.239999999999995</v>
      </c>
      <c r="AC1149" s="38">
        <v>69.72</v>
      </c>
      <c r="AD1149" s="38">
        <v>70.3</v>
      </c>
      <c r="AE1149" s="38">
        <v>72.349999999999994</v>
      </c>
      <c r="AF1149" s="38">
        <v>75.92</v>
      </c>
      <c r="AG1149" s="38">
        <v>79.83</v>
      </c>
      <c r="AH1149" s="38">
        <v>83.14</v>
      </c>
      <c r="AI1149" s="38">
        <v>86.02</v>
      </c>
      <c r="AJ1149" s="38">
        <v>85.16</v>
      </c>
      <c r="AK1149" s="38">
        <v>81.23</v>
      </c>
      <c r="AL1149" s="38">
        <v>74.23</v>
      </c>
      <c r="AM1149" s="38">
        <v>70.03</v>
      </c>
      <c r="AN1149" s="38">
        <v>66.900000000000006</v>
      </c>
      <c r="AO1149" s="38">
        <v>65.42</v>
      </c>
      <c r="AP1149" s="38">
        <v>66.069999999999993</v>
      </c>
      <c r="AQ1149" s="38">
        <v>69.069999999999993</v>
      </c>
      <c r="AR1149" s="38">
        <v>72.489999999999995</v>
      </c>
      <c r="AS1149" s="38">
        <v>75.89</v>
      </c>
      <c r="AT1149" s="38">
        <v>79.44</v>
      </c>
      <c r="AU1149" s="38">
        <v>82.19</v>
      </c>
      <c r="AV1149" s="38">
        <v>81.48</v>
      </c>
      <c r="AW1149" s="38">
        <v>78.2</v>
      </c>
      <c r="AX1149" s="38">
        <v>73.349999999999994</v>
      </c>
      <c r="AY1149" s="38">
        <v>68.349999999999994</v>
      </c>
      <c r="BA1149" s="37">
        <v>82.24</v>
      </c>
      <c r="BB1149" s="38">
        <v>1.2698</v>
      </c>
    </row>
    <row r="1150" spans="1:54" x14ac:dyDescent="0.35">
      <c r="A1150" s="2">
        <f t="shared" si="17"/>
        <v>45432</v>
      </c>
      <c r="B1150" t="s">
        <v>1743</v>
      </c>
      <c r="C1150" s="32">
        <v>45432</v>
      </c>
      <c r="D1150" s="38">
        <v>76.7</v>
      </c>
      <c r="E1150" s="38">
        <v>76.52</v>
      </c>
      <c r="F1150" s="38">
        <v>78.02</v>
      </c>
      <c r="G1150" s="38">
        <v>82.21</v>
      </c>
      <c r="H1150" s="38">
        <v>85.35</v>
      </c>
      <c r="I1150" s="38">
        <v>95.61</v>
      </c>
      <c r="J1150" s="38">
        <v>100.39</v>
      </c>
      <c r="K1150" s="38">
        <v>101.39</v>
      </c>
      <c r="L1150" s="38">
        <v>101.49</v>
      </c>
      <c r="M1150" s="38">
        <v>98.41</v>
      </c>
      <c r="N1150" s="38">
        <v>93.72</v>
      </c>
      <c r="O1150" s="38">
        <v>90.27</v>
      </c>
      <c r="P1150" s="38">
        <v>87.8</v>
      </c>
      <c r="Q1150" s="38">
        <v>86.84</v>
      </c>
      <c r="R1150" s="38">
        <v>88.33</v>
      </c>
      <c r="S1150" s="38">
        <v>90.75</v>
      </c>
      <c r="T1150" s="38">
        <v>93.1</v>
      </c>
      <c r="U1150" s="38">
        <v>95.74</v>
      </c>
      <c r="V1150" s="38">
        <v>98.79</v>
      </c>
      <c r="W1150" s="38">
        <v>102.38</v>
      </c>
      <c r="X1150" s="38">
        <v>102.08</v>
      </c>
      <c r="Y1150" s="38">
        <v>94.34</v>
      </c>
      <c r="Z1150" s="38">
        <v>76.739999999999995</v>
      </c>
      <c r="AA1150" s="38">
        <v>74.739999999999995</v>
      </c>
      <c r="AB1150" s="38">
        <v>72.25</v>
      </c>
      <c r="AC1150" s="38">
        <v>70.73</v>
      </c>
      <c r="AD1150" s="38">
        <v>71.31</v>
      </c>
      <c r="AE1150" s="38">
        <v>73.36</v>
      </c>
      <c r="AF1150" s="38">
        <v>76.73</v>
      </c>
      <c r="AG1150" s="38">
        <v>80.34</v>
      </c>
      <c r="AH1150" s="38">
        <v>83.65</v>
      </c>
      <c r="AI1150" s="38">
        <v>86.53</v>
      </c>
      <c r="AJ1150" s="38">
        <v>85.67</v>
      </c>
      <c r="AK1150" s="38">
        <v>81.739999999999995</v>
      </c>
      <c r="AL1150" s="38">
        <v>74.739999999999995</v>
      </c>
      <c r="AM1150" s="38">
        <v>70.540000000000006</v>
      </c>
      <c r="AN1150" s="38">
        <v>67.41</v>
      </c>
      <c r="AO1150" s="38">
        <v>65.930000000000007</v>
      </c>
      <c r="AP1150" s="38">
        <v>66.58</v>
      </c>
      <c r="AQ1150" s="38">
        <v>69.58</v>
      </c>
      <c r="AR1150" s="38">
        <v>73</v>
      </c>
      <c r="AS1150" s="38">
        <v>76.400000000000006</v>
      </c>
      <c r="AT1150" s="38">
        <v>79.95</v>
      </c>
      <c r="AU1150" s="38">
        <v>82.7</v>
      </c>
      <c r="AV1150" s="38">
        <v>81.99</v>
      </c>
      <c r="AW1150" s="38">
        <v>78.709999999999994</v>
      </c>
      <c r="AX1150" s="38">
        <v>73.86</v>
      </c>
      <c r="AY1150" s="38">
        <v>68.86</v>
      </c>
      <c r="BA1150" s="37">
        <v>81.91</v>
      </c>
      <c r="BB1150" s="38">
        <v>1.2707999999999999</v>
      </c>
    </row>
    <row r="1151" spans="1:54" x14ac:dyDescent="0.35">
      <c r="A1151" s="2">
        <f t="shared" si="17"/>
        <v>45433</v>
      </c>
      <c r="B1151" t="s">
        <v>1744</v>
      </c>
      <c r="C1151" s="32">
        <v>45433</v>
      </c>
      <c r="D1151" s="38">
        <v>79.55</v>
      </c>
      <c r="E1151" s="38">
        <v>79.42</v>
      </c>
      <c r="F1151" s="38">
        <v>80.86</v>
      </c>
      <c r="G1151" s="38">
        <v>84.96</v>
      </c>
      <c r="H1151" s="38">
        <v>88.34</v>
      </c>
      <c r="I1151" s="38">
        <v>98.73</v>
      </c>
      <c r="J1151" s="38">
        <v>103.83</v>
      </c>
      <c r="K1151" s="38">
        <v>104.88</v>
      </c>
      <c r="L1151" s="38">
        <v>104.93</v>
      </c>
      <c r="M1151" s="38">
        <v>101.52</v>
      </c>
      <c r="N1151" s="38">
        <v>96.34</v>
      </c>
      <c r="O1151" s="38">
        <v>92.51</v>
      </c>
      <c r="P1151" s="38">
        <v>90.04</v>
      </c>
      <c r="Q1151" s="38">
        <v>89.09</v>
      </c>
      <c r="R1151" s="38">
        <v>90.59</v>
      </c>
      <c r="S1151" s="38">
        <v>92.82</v>
      </c>
      <c r="T1151" s="38">
        <v>95.17</v>
      </c>
      <c r="U1151" s="38">
        <v>97.82</v>
      </c>
      <c r="V1151" s="38">
        <v>100.87</v>
      </c>
      <c r="W1151" s="38">
        <v>104.47</v>
      </c>
      <c r="X1151" s="38">
        <v>104.17</v>
      </c>
      <c r="Y1151" s="38">
        <v>96.24</v>
      </c>
      <c r="Z1151" s="38">
        <v>77.540000000000006</v>
      </c>
      <c r="AA1151" s="38">
        <v>75.540000000000006</v>
      </c>
      <c r="AB1151" s="38">
        <v>73.05</v>
      </c>
      <c r="AC1151" s="38">
        <v>71.53</v>
      </c>
      <c r="AD1151" s="38">
        <v>72.11</v>
      </c>
      <c r="AE1151" s="38">
        <v>74.16</v>
      </c>
      <c r="AF1151" s="38">
        <v>77.37</v>
      </c>
      <c r="AG1151" s="38">
        <v>80.58</v>
      </c>
      <c r="AH1151" s="38">
        <v>83.79</v>
      </c>
      <c r="AI1151" s="38">
        <v>86.67</v>
      </c>
      <c r="AJ1151" s="38">
        <v>85.81</v>
      </c>
      <c r="AK1151" s="38">
        <v>81.88</v>
      </c>
      <c r="AL1151" s="38">
        <v>75.180000000000007</v>
      </c>
      <c r="AM1151" s="38">
        <v>70.98</v>
      </c>
      <c r="AN1151" s="38">
        <v>67.849999999999994</v>
      </c>
      <c r="AO1151" s="38">
        <v>66.37</v>
      </c>
      <c r="AP1151" s="38">
        <v>67.02</v>
      </c>
      <c r="AQ1151" s="38">
        <v>70.02</v>
      </c>
      <c r="AR1151" s="38">
        <v>73.44</v>
      </c>
      <c r="AS1151" s="38">
        <v>76.84</v>
      </c>
      <c r="AT1151" s="38">
        <v>80.39</v>
      </c>
      <c r="AU1151" s="38">
        <v>83.14</v>
      </c>
      <c r="AV1151" s="38">
        <v>82.43</v>
      </c>
      <c r="AW1151" s="38">
        <v>79.150000000000006</v>
      </c>
      <c r="AX1151" s="38">
        <v>74.3</v>
      </c>
      <c r="AY1151" s="38">
        <v>69.3</v>
      </c>
      <c r="BA1151" s="37">
        <v>81.22</v>
      </c>
      <c r="BB1151" s="38">
        <v>1.2723</v>
      </c>
    </row>
    <row r="1152" spans="1:54" x14ac:dyDescent="0.35">
      <c r="A1152" s="2">
        <f t="shared" si="17"/>
        <v>45434</v>
      </c>
      <c r="B1152" t="s">
        <v>1745</v>
      </c>
      <c r="C1152" s="32">
        <v>45434</v>
      </c>
      <c r="D1152" s="38">
        <v>82.46</v>
      </c>
      <c r="E1152" s="38">
        <v>82.6</v>
      </c>
      <c r="F1152" s="38">
        <v>84.18</v>
      </c>
      <c r="G1152" s="38">
        <v>88.28</v>
      </c>
      <c r="H1152" s="38">
        <v>91.29</v>
      </c>
      <c r="I1152" s="38">
        <v>101.71</v>
      </c>
      <c r="J1152" s="38">
        <v>106.55</v>
      </c>
      <c r="K1152" s="38">
        <v>107.72</v>
      </c>
      <c r="L1152" s="38">
        <v>107.62</v>
      </c>
      <c r="M1152" s="38">
        <v>103.87</v>
      </c>
      <c r="N1152" s="38">
        <v>98.5</v>
      </c>
      <c r="O1152" s="38">
        <v>94.7</v>
      </c>
      <c r="P1152" s="38">
        <v>92.18</v>
      </c>
      <c r="Q1152" s="38">
        <v>91.14</v>
      </c>
      <c r="R1152" s="38">
        <v>92.64</v>
      </c>
      <c r="S1152" s="38">
        <v>94.83</v>
      </c>
      <c r="T1152" s="38">
        <v>96.98</v>
      </c>
      <c r="U1152" s="38">
        <v>99.48</v>
      </c>
      <c r="V1152" s="38">
        <v>102.42</v>
      </c>
      <c r="W1152" s="38">
        <v>106.14</v>
      </c>
      <c r="X1152" s="38">
        <v>105.94</v>
      </c>
      <c r="Y1152" s="38">
        <v>98</v>
      </c>
      <c r="Z1152" s="38">
        <v>78.63</v>
      </c>
      <c r="AA1152" s="38">
        <v>76.67</v>
      </c>
      <c r="AB1152" s="38">
        <v>74.17</v>
      </c>
      <c r="AC1152" s="38">
        <v>72.62</v>
      </c>
      <c r="AD1152" s="38">
        <v>73.209999999999994</v>
      </c>
      <c r="AE1152" s="38">
        <v>75.260000000000005</v>
      </c>
      <c r="AF1152" s="38">
        <v>78.67</v>
      </c>
      <c r="AG1152" s="38">
        <v>82.03</v>
      </c>
      <c r="AH1152" s="38">
        <v>85.24</v>
      </c>
      <c r="AI1152" s="38">
        <v>87.87</v>
      </c>
      <c r="AJ1152" s="38">
        <v>87.03</v>
      </c>
      <c r="AK1152" s="38">
        <v>83.08</v>
      </c>
      <c r="AL1152" s="38">
        <v>76.38</v>
      </c>
      <c r="AM1152" s="38">
        <v>72.180000000000007</v>
      </c>
      <c r="AN1152" s="38">
        <v>69.06</v>
      </c>
      <c r="AO1152" s="38">
        <v>67.58</v>
      </c>
      <c r="AP1152" s="38">
        <v>68.23</v>
      </c>
      <c r="AQ1152" s="38">
        <v>71.22</v>
      </c>
      <c r="AR1152" s="38">
        <v>74.540000000000006</v>
      </c>
      <c r="AS1152" s="38">
        <v>77.84</v>
      </c>
      <c r="AT1152" s="38">
        <v>81.19</v>
      </c>
      <c r="AU1152" s="38">
        <v>83.94</v>
      </c>
      <c r="AV1152" s="38">
        <v>83.22</v>
      </c>
      <c r="AW1152" s="38">
        <v>79.95</v>
      </c>
      <c r="AX1152" s="38">
        <v>74.7</v>
      </c>
      <c r="AY1152" s="38">
        <v>69.7</v>
      </c>
      <c r="BA1152" s="37">
        <v>79.900000000000006</v>
      </c>
      <c r="BB1152" s="38">
        <v>1.2724</v>
      </c>
    </row>
    <row r="1153" spans="1:54" x14ac:dyDescent="0.35">
      <c r="A1153" s="2">
        <f t="shared" si="17"/>
        <v>45435</v>
      </c>
      <c r="B1153" t="s">
        <v>1746</v>
      </c>
      <c r="C1153" s="32">
        <v>45435</v>
      </c>
      <c r="D1153" s="38">
        <v>85.33</v>
      </c>
      <c r="E1153" s="38">
        <v>85.26</v>
      </c>
      <c r="F1153" s="38">
        <v>86.81</v>
      </c>
      <c r="G1153" s="38">
        <v>90.72</v>
      </c>
      <c r="H1153" s="38">
        <v>93.2</v>
      </c>
      <c r="I1153" s="38">
        <v>103.38</v>
      </c>
      <c r="J1153" s="38">
        <v>108.13</v>
      </c>
      <c r="K1153" s="38">
        <v>109.04</v>
      </c>
      <c r="L1153" s="38">
        <v>108.94</v>
      </c>
      <c r="M1153" s="38">
        <v>105.09</v>
      </c>
      <c r="N1153" s="38">
        <v>99.78</v>
      </c>
      <c r="O1153" s="38">
        <v>96.05</v>
      </c>
      <c r="P1153" s="38">
        <v>93.55</v>
      </c>
      <c r="Q1153" s="38">
        <v>92.51</v>
      </c>
      <c r="R1153" s="38">
        <v>94.05</v>
      </c>
      <c r="S1153" s="38">
        <v>96.24</v>
      </c>
      <c r="T1153" s="38">
        <v>98.51</v>
      </c>
      <c r="U1153" s="38">
        <v>101.12</v>
      </c>
      <c r="V1153" s="38">
        <v>104.12</v>
      </c>
      <c r="W1153" s="38">
        <v>107.95</v>
      </c>
      <c r="X1153" s="38">
        <v>107.78</v>
      </c>
      <c r="Y1153" s="38">
        <v>99.84</v>
      </c>
      <c r="Z1153" s="38">
        <v>80.430000000000007</v>
      </c>
      <c r="AA1153" s="38">
        <v>78.47</v>
      </c>
      <c r="AB1153" s="38">
        <v>75.97</v>
      </c>
      <c r="AC1153" s="38">
        <v>74.48</v>
      </c>
      <c r="AD1153" s="38">
        <v>75.069999999999993</v>
      </c>
      <c r="AE1153" s="38">
        <v>77.12</v>
      </c>
      <c r="AF1153" s="38">
        <v>80.36</v>
      </c>
      <c r="AG1153" s="38">
        <v>83.72</v>
      </c>
      <c r="AH1153" s="38">
        <v>86.93</v>
      </c>
      <c r="AI1153" s="38">
        <v>89.39</v>
      </c>
      <c r="AJ1153" s="38">
        <v>88.55</v>
      </c>
      <c r="AK1153" s="38">
        <v>84.6</v>
      </c>
      <c r="AL1153" s="38">
        <v>77.48</v>
      </c>
      <c r="AM1153" s="38">
        <v>73.28</v>
      </c>
      <c r="AN1153" s="38">
        <v>70.16</v>
      </c>
      <c r="AO1153" s="38">
        <v>68.650000000000006</v>
      </c>
      <c r="AP1153" s="38">
        <v>69.3</v>
      </c>
      <c r="AQ1153" s="38">
        <v>72.290000000000006</v>
      </c>
      <c r="AR1153" s="38">
        <v>75.599999999999994</v>
      </c>
      <c r="AS1153" s="38">
        <v>78.900000000000006</v>
      </c>
      <c r="AT1153" s="38">
        <v>82.25</v>
      </c>
      <c r="AU1153" s="38">
        <v>85</v>
      </c>
      <c r="AV1153" s="38">
        <v>84.28</v>
      </c>
      <c r="AW1153" s="38">
        <v>81.010000000000005</v>
      </c>
      <c r="AX1153" s="38">
        <v>75.36</v>
      </c>
      <c r="AY1153" s="38">
        <v>70.36</v>
      </c>
      <c r="BA1153" s="37">
        <v>79.25</v>
      </c>
      <c r="BB1153" s="38">
        <v>1.2712000000000001</v>
      </c>
    </row>
    <row r="1154" spans="1:54" x14ac:dyDescent="0.35">
      <c r="A1154" s="2">
        <f t="shared" si="17"/>
        <v>45436</v>
      </c>
      <c r="B1154" t="s">
        <v>1747</v>
      </c>
      <c r="C1154" s="32">
        <v>45436</v>
      </c>
      <c r="D1154" s="38">
        <v>81.900000000000006</v>
      </c>
      <c r="E1154" s="38">
        <v>82.07</v>
      </c>
      <c r="F1154" s="38">
        <v>83.71</v>
      </c>
      <c r="G1154" s="38">
        <v>87.57</v>
      </c>
      <c r="H1154" s="38">
        <v>90.47</v>
      </c>
      <c r="I1154" s="38">
        <v>100.71</v>
      </c>
      <c r="J1154" s="38">
        <v>105.52</v>
      </c>
      <c r="K1154" s="38">
        <v>106.15</v>
      </c>
      <c r="L1154" s="38">
        <v>106.1</v>
      </c>
      <c r="M1154" s="38">
        <v>102.25</v>
      </c>
      <c r="N1154" s="38">
        <v>97.22</v>
      </c>
      <c r="O1154" s="38">
        <v>93.48</v>
      </c>
      <c r="P1154" s="38">
        <v>90.98</v>
      </c>
      <c r="Q1154" s="38">
        <v>89.74</v>
      </c>
      <c r="R1154" s="38">
        <v>91.28</v>
      </c>
      <c r="S1154" s="38">
        <v>93.47</v>
      </c>
      <c r="T1154" s="38">
        <v>95.84</v>
      </c>
      <c r="U1154" s="38">
        <v>98.4</v>
      </c>
      <c r="V1154" s="38">
        <v>101.4</v>
      </c>
      <c r="W1154" s="38">
        <v>105.23</v>
      </c>
      <c r="X1154" s="38">
        <v>105.06</v>
      </c>
      <c r="Y1154" s="38">
        <v>97.12</v>
      </c>
      <c r="Z1154" s="38">
        <v>78.540000000000006</v>
      </c>
      <c r="AA1154" s="38">
        <v>76.58</v>
      </c>
      <c r="AB1154" s="38">
        <v>74.08</v>
      </c>
      <c r="AC1154" s="38">
        <v>72.59</v>
      </c>
      <c r="AD1154" s="38">
        <v>73.180000000000007</v>
      </c>
      <c r="AE1154" s="38">
        <v>75.23</v>
      </c>
      <c r="AF1154" s="38">
        <v>78.77</v>
      </c>
      <c r="AG1154" s="38">
        <v>82.13</v>
      </c>
      <c r="AH1154" s="38">
        <v>85.34</v>
      </c>
      <c r="AI1154" s="38">
        <v>87.79</v>
      </c>
      <c r="AJ1154" s="38">
        <v>86.95</v>
      </c>
      <c r="AK1154" s="38">
        <v>83</v>
      </c>
      <c r="AL1154" s="38">
        <v>75.38</v>
      </c>
      <c r="AM1154" s="38">
        <v>71.180000000000007</v>
      </c>
      <c r="AN1154" s="38">
        <v>68.06</v>
      </c>
      <c r="AO1154" s="38">
        <v>66.55</v>
      </c>
      <c r="AP1154" s="38">
        <v>67.2</v>
      </c>
      <c r="AQ1154" s="38">
        <v>70.19</v>
      </c>
      <c r="AR1154" s="38">
        <v>73.900000000000006</v>
      </c>
      <c r="AS1154" s="38">
        <v>77.2</v>
      </c>
      <c r="AT1154" s="38">
        <v>80.55</v>
      </c>
      <c r="AU1154" s="38">
        <v>83.3</v>
      </c>
      <c r="AV1154" s="38">
        <v>82.58</v>
      </c>
      <c r="AW1154" s="38">
        <v>79.31</v>
      </c>
      <c r="AX1154" s="38">
        <v>74.16</v>
      </c>
      <c r="AY1154" s="38">
        <v>69.16</v>
      </c>
      <c r="BA1154" s="37">
        <v>78.92</v>
      </c>
      <c r="BB1154" s="38">
        <v>1.2738</v>
      </c>
    </row>
    <row r="1155" spans="1:54" x14ac:dyDescent="0.35">
      <c r="A1155" s="2">
        <f t="shared" si="17"/>
        <v>45439</v>
      </c>
      <c r="B1155" t="s">
        <v>1748</v>
      </c>
      <c r="C1155" s="32">
        <v>45439</v>
      </c>
      <c r="D1155" s="38">
        <v>81.900000000000006</v>
      </c>
      <c r="E1155" s="38">
        <v>82.07</v>
      </c>
      <c r="F1155" s="38">
        <v>83.71</v>
      </c>
      <c r="G1155" s="38">
        <v>87.57</v>
      </c>
      <c r="H1155" s="38">
        <v>90.47</v>
      </c>
      <c r="I1155" s="38">
        <v>100.71</v>
      </c>
      <c r="J1155" s="38">
        <v>105.52</v>
      </c>
      <c r="K1155" s="38">
        <v>106.15</v>
      </c>
      <c r="L1155" s="38">
        <v>106.1</v>
      </c>
      <c r="M1155" s="38">
        <v>102.25</v>
      </c>
      <c r="N1155" s="38">
        <v>97.22</v>
      </c>
      <c r="O1155" s="38">
        <v>93.48</v>
      </c>
      <c r="P1155" s="38">
        <v>90.98</v>
      </c>
      <c r="Q1155" s="38">
        <v>89.74</v>
      </c>
      <c r="R1155" s="38">
        <v>91.28</v>
      </c>
      <c r="S1155" s="38">
        <v>93.47</v>
      </c>
      <c r="T1155" s="38">
        <v>95.84</v>
      </c>
      <c r="U1155" s="38">
        <v>98.4</v>
      </c>
      <c r="V1155" s="38">
        <v>101.4</v>
      </c>
      <c r="W1155" s="38">
        <v>105.23</v>
      </c>
      <c r="X1155" s="38">
        <v>105.06</v>
      </c>
      <c r="Y1155" s="38">
        <v>97.12</v>
      </c>
      <c r="Z1155" s="38">
        <v>78.540000000000006</v>
      </c>
      <c r="AA1155" s="38">
        <v>76.58</v>
      </c>
      <c r="AB1155" s="38">
        <v>74.08</v>
      </c>
      <c r="AC1155" s="38">
        <v>72.59</v>
      </c>
      <c r="AD1155" s="38">
        <v>73.180000000000007</v>
      </c>
      <c r="AE1155" s="38">
        <v>75.23</v>
      </c>
      <c r="AF1155" s="38">
        <v>78.77</v>
      </c>
      <c r="AG1155" s="38">
        <v>82.13</v>
      </c>
      <c r="AH1155" s="38">
        <v>85.34</v>
      </c>
      <c r="AI1155" s="38">
        <v>87.79</v>
      </c>
      <c r="AJ1155" s="38">
        <v>86.95</v>
      </c>
      <c r="AK1155" s="38">
        <v>83</v>
      </c>
      <c r="AL1155" s="38">
        <v>75.38</v>
      </c>
      <c r="AM1155" s="38">
        <v>71.180000000000007</v>
      </c>
      <c r="AN1155" s="38">
        <v>68.06</v>
      </c>
      <c r="AO1155" s="38">
        <v>66.55</v>
      </c>
      <c r="AP1155" s="38">
        <v>67.2</v>
      </c>
      <c r="AQ1155" s="38">
        <v>70.19</v>
      </c>
      <c r="AR1155" s="38">
        <v>73.900000000000006</v>
      </c>
      <c r="AS1155" s="38">
        <v>77.2</v>
      </c>
      <c r="AT1155" s="38">
        <v>80.55</v>
      </c>
      <c r="AU1155" s="38">
        <v>83.3</v>
      </c>
      <c r="AV1155" s="38">
        <v>82.58</v>
      </c>
      <c r="AW1155" s="38">
        <v>79.31</v>
      </c>
      <c r="AX1155" s="38">
        <v>74.16</v>
      </c>
      <c r="AY1155" s="38">
        <v>69.16</v>
      </c>
      <c r="BA1155" s="37" t="e">
        <v>#N/A</v>
      </c>
      <c r="BB1155" s="38" t="e">
        <v>#N/A</v>
      </c>
    </row>
    <row r="1156" spans="1:54" x14ac:dyDescent="0.35">
      <c r="A1156" s="2">
        <f t="shared" si="17"/>
        <v>45440</v>
      </c>
      <c r="B1156" t="s">
        <v>1749</v>
      </c>
      <c r="C1156" s="32">
        <v>45440</v>
      </c>
      <c r="D1156" s="38">
        <v>80.81</v>
      </c>
      <c r="E1156" s="38">
        <v>80.95</v>
      </c>
      <c r="F1156" s="38">
        <v>82.46</v>
      </c>
      <c r="G1156" s="38">
        <v>86.22</v>
      </c>
      <c r="H1156" s="38">
        <v>88.88</v>
      </c>
      <c r="I1156" s="38">
        <v>99.05</v>
      </c>
      <c r="J1156" s="38">
        <v>104.31</v>
      </c>
      <c r="K1156" s="38">
        <v>104.98</v>
      </c>
      <c r="L1156" s="38">
        <v>105.05</v>
      </c>
      <c r="M1156" s="38">
        <v>101.2</v>
      </c>
      <c r="N1156" s="38">
        <v>96.17</v>
      </c>
      <c r="O1156" s="38">
        <v>92.43</v>
      </c>
      <c r="P1156" s="38">
        <v>89.93</v>
      </c>
      <c r="Q1156" s="38">
        <v>88.69</v>
      </c>
      <c r="R1156" s="38">
        <v>90.23</v>
      </c>
      <c r="S1156" s="38">
        <v>92.42</v>
      </c>
      <c r="T1156" s="38">
        <v>94.91</v>
      </c>
      <c r="U1156" s="38">
        <v>97.48</v>
      </c>
      <c r="V1156" s="38">
        <v>100.49</v>
      </c>
      <c r="W1156" s="38">
        <v>104.51</v>
      </c>
      <c r="X1156" s="38">
        <v>104.39</v>
      </c>
      <c r="Y1156" s="38">
        <v>96.47</v>
      </c>
      <c r="Z1156" s="38">
        <v>78.31</v>
      </c>
      <c r="AA1156" s="38">
        <v>76.48</v>
      </c>
      <c r="AB1156" s="38">
        <v>74.05</v>
      </c>
      <c r="AC1156" s="38">
        <v>72.55</v>
      </c>
      <c r="AD1156" s="38">
        <v>73.150000000000006</v>
      </c>
      <c r="AE1156" s="38">
        <v>75.19</v>
      </c>
      <c r="AF1156" s="38">
        <v>79.099999999999994</v>
      </c>
      <c r="AG1156" s="38">
        <v>82.45</v>
      </c>
      <c r="AH1156" s="38">
        <v>85.65</v>
      </c>
      <c r="AI1156" s="38">
        <v>88.1</v>
      </c>
      <c r="AJ1156" s="38">
        <v>87.25</v>
      </c>
      <c r="AK1156" s="38">
        <v>83.28</v>
      </c>
      <c r="AL1156" s="38">
        <v>75.22</v>
      </c>
      <c r="AM1156" s="38">
        <v>70.88</v>
      </c>
      <c r="AN1156" s="38">
        <v>67.760000000000005</v>
      </c>
      <c r="AO1156" s="38">
        <v>66.25</v>
      </c>
      <c r="AP1156" s="38">
        <v>66.900000000000006</v>
      </c>
      <c r="AQ1156" s="38">
        <v>69.89</v>
      </c>
      <c r="AR1156" s="38">
        <v>73.599999999999994</v>
      </c>
      <c r="AS1156" s="38">
        <v>76.900000000000006</v>
      </c>
      <c r="AT1156" s="38">
        <v>80.25</v>
      </c>
      <c r="AU1156" s="38">
        <v>83</v>
      </c>
      <c r="AV1156" s="38">
        <v>82.27</v>
      </c>
      <c r="AW1156" s="38">
        <v>79</v>
      </c>
      <c r="AX1156" s="38">
        <v>73.86</v>
      </c>
      <c r="AY1156" s="38">
        <v>68.86</v>
      </c>
      <c r="BA1156" s="37">
        <v>81.34</v>
      </c>
      <c r="BB1156" s="38">
        <v>1.2777000000000001</v>
      </c>
    </row>
    <row r="1157" spans="1:54" x14ac:dyDescent="0.35">
      <c r="A1157" s="2">
        <f t="shared" si="17"/>
        <v>45441</v>
      </c>
      <c r="B1157" t="s">
        <v>1750</v>
      </c>
      <c r="C1157" s="32">
        <v>45441</v>
      </c>
      <c r="D1157" s="38">
        <v>81.59</v>
      </c>
      <c r="E1157" s="38">
        <v>81.98</v>
      </c>
      <c r="F1157" s="38">
        <v>83.4</v>
      </c>
      <c r="G1157" s="38">
        <v>87.2</v>
      </c>
      <c r="H1157" s="38">
        <v>90.01</v>
      </c>
      <c r="I1157" s="38">
        <v>100.26</v>
      </c>
      <c r="J1157" s="38">
        <v>105</v>
      </c>
      <c r="K1157" s="38">
        <v>105.97</v>
      </c>
      <c r="L1157" s="38">
        <v>105.96</v>
      </c>
      <c r="M1157" s="38">
        <v>102.29</v>
      </c>
      <c r="N1157" s="38">
        <v>97.06</v>
      </c>
      <c r="O1157" s="38">
        <v>93.18</v>
      </c>
      <c r="P1157" s="38">
        <v>90.7</v>
      </c>
      <c r="Q1157" s="38">
        <v>89.29</v>
      </c>
      <c r="R1157" s="38">
        <v>90.77</v>
      </c>
      <c r="S1157" s="38">
        <v>92.85</v>
      </c>
      <c r="T1157" s="38">
        <v>95.38</v>
      </c>
      <c r="U1157" s="38">
        <v>97.98</v>
      </c>
      <c r="V1157" s="38">
        <v>101.05</v>
      </c>
      <c r="W1157" s="38">
        <v>105.1</v>
      </c>
      <c r="X1157" s="38">
        <v>104.99</v>
      </c>
      <c r="Y1157" s="38">
        <v>97.09</v>
      </c>
      <c r="Z1157" s="38">
        <v>79.02</v>
      </c>
      <c r="AA1157" s="38">
        <v>77.22</v>
      </c>
      <c r="AB1157" s="38">
        <v>74.78</v>
      </c>
      <c r="AC1157" s="38">
        <v>73.28</v>
      </c>
      <c r="AD1157" s="38">
        <v>73.900000000000006</v>
      </c>
      <c r="AE1157" s="38">
        <v>75.95</v>
      </c>
      <c r="AF1157" s="38">
        <v>79.56</v>
      </c>
      <c r="AG1157" s="38">
        <v>82.83</v>
      </c>
      <c r="AH1157" s="38">
        <v>86.04</v>
      </c>
      <c r="AI1157" s="38">
        <v>88.44</v>
      </c>
      <c r="AJ1157" s="38">
        <v>87.6</v>
      </c>
      <c r="AK1157" s="38">
        <v>83.62</v>
      </c>
      <c r="AL1157" s="38">
        <v>75.41</v>
      </c>
      <c r="AM1157" s="38">
        <v>70.89</v>
      </c>
      <c r="AN1157" s="38">
        <v>67.77</v>
      </c>
      <c r="AO1157" s="38">
        <v>66.260000000000005</v>
      </c>
      <c r="AP1157" s="38">
        <v>66.91</v>
      </c>
      <c r="AQ1157" s="38">
        <v>69.900000000000006</v>
      </c>
      <c r="AR1157" s="38">
        <v>73.61</v>
      </c>
      <c r="AS1157" s="38">
        <v>76.91</v>
      </c>
      <c r="AT1157" s="38">
        <v>80.28</v>
      </c>
      <c r="AU1157" s="38">
        <v>83.01</v>
      </c>
      <c r="AV1157" s="38">
        <v>82.28</v>
      </c>
      <c r="AW1157" s="38">
        <v>79.03</v>
      </c>
      <c r="AX1157" s="38">
        <v>73.77</v>
      </c>
      <c r="AY1157" s="38">
        <v>68.77</v>
      </c>
      <c r="BA1157" s="37">
        <v>81.5</v>
      </c>
      <c r="BB1157" s="38">
        <v>1.2715000000000001</v>
      </c>
    </row>
    <row r="1158" spans="1:54" x14ac:dyDescent="0.35">
      <c r="A1158" s="2">
        <f t="shared" si="17"/>
        <v>45442</v>
      </c>
      <c r="B1158" t="s">
        <v>1751</v>
      </c>
      <c r="C1158" s="32">
        <v>45442</v>
      </c>
      <c r="D1158" s="38">
        <v>84.41</v>
      </c>
      <c r="E1158" s="38">
        <v>84.8</v>
      </c>
      <c r="F1158" s="38">
        <v>86.21</v>
      </c>
      <c r="G1158" s="38">
        <v>89.91</v>
      </c>
      <c r="H1158" s="38">
        <v>92.36</v>
      </c>
      <c r="I1158" s="38">
        <v>102.23</v>
      </c>
      <c r="J1158" s="38">
        <v>107.06</v>
      </c>
      <c r="K1158" s="38">
        <v>107.99</v>
      </c>
      <c r="L1158" s="38">
        <v>107.96</v>
      </c>
      <c r="M1158" s="38">
        <v>104.44</v>
      </c>
      <c r="N1158" s="38">
        <v>98.96</v>
      </c>
      <c r="O1158" s="38">
        <v>94.97</v>
      </c>
      <c r="P1158" s="38">
        <v>92.47</v>
      </c>
      <c r="Q1158" s="38">
        <v>90.97</v>
      </c>
      <c r="R1158" s="38">
        <v>92.44</v>
      </c>
      <c r="S1158" s="38">
        <v>94.52</v>
      </c>
      <c r="T1158" s="38">
        <v>97.05</v>
      </c>
      <c r="U1158" s="38">
        <v>99.64</v>
      </c>
      <c r="V1158" s="38">
        <v>102.71</v>
      </c>
      <c r="W1158" s="38">
        <v>106.86</v>
      </c>
      <c r="X1158" s="38">
        <v>106.75</v>
      </c>
      <c r="Y1158" s="38">
        <v>98.8</v>
      </c>
      <c r="Z1158" s="38">
        <v>80.13</v>
      </c>
      <c r="AA1158" s="38">
        <v>78.319999999999993</v>
      </c>
      <c r="AB1158" s="38">
        <v>75.84</v>
      </c>
      <c r="AC1158" s="38">
        <v>74.34</v>
      </c>
      <c r="AD1158" s="38">
        <v>74.92</v>
      </c>
      <c r="AE1158" s="38">
        <v>76.95</v>
      </c>
      <c r="AF1158" s="38">
        <v>80.239999999999995</v>
      </c>
      <c r="AG1158" s="38">
        <v>83.45</v>
      </c>
      <c r="AH1158" s="38">
        <v>86.6</v>
      </c>
      <c r="AI1158" s="38">
        <v>88.89</v>
      </c>
      <c r="AJ1158" s="38">
        <v>87.97</v>
      </c>
      <c r="AK1158" s="38">
        <v>83.9</v>
      </c>
      <c r="AL1158" s="38">
        <v>75.510000000000005</v>
      </c>
      <c r="AM1158" s="38">
        <v>70.97</v>
      </c>
      <c r="AN1158" s="38">
        <v>67.849999999999994</v>
      </c>
      <c r="AO1158" s="38">
        <v>66.34</v>
      </c>
      <c r="AP1158" s="38">
        <v>66.989999999999995</v>
      </c>
      <c r="AQ1158" s="38">
        <v>70</v>
      </c>
      <c r="AR1158" s="38">
        <v>73.760000000000005</v>
      </c>
      <c r="AS1158" s="38">
        <v>77.06</v>
      </c>
      <c r="AT1158" s="38">
        <v>80.44</v>
      </c>
      <c r="AU1158" s="38">
        <v>83.26</v>
      </c>
      <c r="AV1158" s="38">
        <v>82.53</v>
      </c>
      <c r="AW1158" s="38">
        <v>79.28</v>
      </c>
      <c r="AX1158" s="38">
        <v>74.06</v>
      </c>
      <c r="AY1158" s="38">
        <v>69.06</v>
      </c>
      <c r="BA1158" s="37">
        <v>81.42</v>
      </c>
      <c r="BB1158" s="38">
        <v>1.2739</v>
      </c>
    </row>
    <row r="1159" spans="1:54" x14ac:dyDescent="0.35">
      <c r="A1159" s="2">
        <f t="shared" si="17"/>
        <v>45443</v>
      </c>
      <c r="B1159" t="s">
        <v>1752</v>
      </c>
      <c r="C1159" s="32">
        <v>45443</v>
      </c>
      <c r="D1159" s="38">
        <v>81.83</v>
      </c>
      <c r="E1159" s="38">
        <v>83.09</v>
      </c>
      <c r="F1159" s="38">
        <v>86.78</v>
      </c>
      <c r="G1159" s="38">
        <v>89.51</v>
      </c>
      <c r="H1159" s="38">
        <v>99.71</v>
      </c>
      <c r="I1159" s="38">
        <v>104.02</v>
      </c>
      <c r="J1159" s="38">
        <v>105.12</v>
      </c>
      <c r="K1159" s="38">
        <v>105.02</v>
      </c>
      <c r="L1159" s="38">
        <v>101.44</v>
      </c>
      <c r="M1159" s="38">
        <v>95.98</v>
      </c>
      <c r="N1159" s="38">
        <v>91.92</v>
      </c>
      <c r="O1159" s="38">
        <v>89.38</v>
      </c>
      <c r="P1159" s="38">
        <v>87.99</v>
      </c>
      <c r="Q1159" s="38">
        <v>89.46</v>
      </c>
      <c r="R1159" s="38">
        <v>91.61</v>
      </c>
      <c r="S1159" s="38">
        <v>94.13</v>
      </c>
      <c r="T1159" s="38">
        <v>96.7</v>
      </c>
      <c r="U1159" s="38">
        <v>99.77</v>
      </c>
      <c r="V1159" s="38">
        <v>103.83</v>
      </c>
      <c r="W1159" s="38">
        <v>103.71</v>
      </c>
      <c r="X1159" s="38">
        <v>95.76</v>
      </c>
      <c r="Y1159" s="38">
        <v>78.66</v>
      </c>
      <c r="Z1159" s="38">
        <v>76.87</v>
      </c>
      <c r="AA1159" s="38">
        <v>74.39</v>
      </c>
      <c r="AB1159" s="38">
        <v>72.28</v>
      </c>
      <c r="AC1159" s="38">
        <v>72.86</v>
      </c>
      <c r="AD1159" s="38">
        <v>74.91</v>
      </c>
      <c r="AE1159" s="38">
        <v>78.430000000000007</v>
      </c>
      <c r="AF1159" s="38">
        <v>81.64</v>
      </c>
      <c r="AG1159" s="38">
        <v>84.79</v>
      </c>
      <c r="AH1159" s="38">
        <v>87.05</v>
      </c>
      <c r="AI1159" s="38">
        <v>86.13</v>
      </c>
      <c r="AJ1159" s="38">
        <v>82.06</v>
      </c>
      <c r="AK1159" s="38">
        <v>74.44</v>
      </c>
      <c r="AL1159" s="38">
        <v>69.900000000000006</v>
      </c>
      <c r="AM1159" s="38">
        <v>66.78</v>
      </c>
      <c r="AN1159" s="38">
        <v>65.27</v>
      </c>
      <c r="AO1159" s="38">
        <v>65.92</v>
      </c>
      <c r="AP1159" s="38">
        <v>68.930000000000007</v>
      </c>
      <c r="AQ1159" s="38">
        <v>72.650000000000006</v>
      </c>
      <c r="AR1159" s="38">
        <v>75.97</v>
      </c>
      <c r="AS1159" s="38">
        <v>79.34</v>
      </c>
      <c r="AT1159" s="38">
        <v>82.11</v>
      </c>
      <c r="AU1159" s="38">
        <v>81.39</v>
      </c>
      <c r="AV1159" s="38">
        <v>78.150000000000006</v>
      </c>
      <c r="AW1159" s="38">
        <v>73.63</v>
      </c>
      <c r="AX1159" s="38">
        <v>68.650000000000006</v>
      </c>
      <c r="AY1159" s="38">
        <v>66.459999999999994</v>
      </c>
      <c r="BA1159" s="37">
        <v>79.41</v>
      </c>
      <c r="BB1159" s="38">
        <v>1.2730999999999999</v>
      </c>
    </row>
    <row r="1160" spans="1:54" x14ac:dyDescent="0.35">
      <c r="A1160" s="2">
        <f t="shared" si="17"/>
        <v>45446</v>
      </c>
      <c r="B1160" t="s">
        <v>1753</v>
      </c>
      <c r="C1160" s="32">
        <v>45446</v>
      </c>
      <c r="D1160" s="38">
        <v>87.12</v>
      </c>
      <c r="E1160" s="38">
        <v>87.97</v>
      </c>
      <c r="F1160" s="38">
        <v>91.07</v>
      </c>
      <c r="G1160" s="38">
        <v>93.04</v>
      </c>
      <c r="H1160" s="38">
        <v>102.68</v>
      </c>
      <c r="I1160" s="38">
        <v>107.37</v>
      </c>
      <c r="J1160" s="38">
        <v>108</v>
      </c>
      <c r="K1160" s="38">
        <v>107.91</v>
      </c>
      <c r="L1160" s="38">
        <v>104.29</v>
      </c>
      <c r="M1160" s="38">
        <v>98.07</v>
      </c>
      <c r="N1160" s="38">
        <v>93.63</v>
      </c>
      <c r="O1160" s="38">
        <v>90.9</v>
      </c>
      <c r="P1160" s="38">
        <v>89.56</v>
      </c>
      <c r="Q1160" s="38">
        <v>91.24</v>
      </c>
      <c r="R1160" s="38">
        <v>93.4</v>
      </c>
      <c r="S1160" s="38">
        <v>95.86</v>
      </c>
      <c r="T1160" s="38">
        <v>98.48</v>
      </c>
      <c r="U1160" s="38">
        <v>101.59</v>
      </c>
      <c r="V1160" s="38">
        <v>105.5</v>
      </c>
      <c r="W1160" s="38">
        <v>105.5</v>
      </c>
      <c r="X1160" s="38">
        <v>97.44</v>
      </c>
      <c r="Y1160" s="38">
        <v>79.930000000000007</v>
      </c>
      <c r="Z1160" s="38">
        <v>78.11</v>
      </c>
      <c r="AA1160" s="38">
        <v>75.64</v>
      </c>
      <c r="AB1160" s="38">
        <v>73.52</v>
      </c>
      <c r="AC1160" s="38">
        <v>74.13</v>
      </c>
      <c r="AD1160" s="38">
        <v>76.2</v>
      </c>
      <c r="AE1160" s="38">
        <v>79.75</v>
      </c>
      <c r="AF1160" s="38">
        <v>82.96</v>
      </c>
      <c r="AG1160" s="38">
        <v>86.1</v>
      </c>
      <c r="AH1160" s="38">
        <v>88.41</v>
      </c>
      <c r="AI1160" s="38">
        <v>87.5</v>
      </c>
      <c r="AJ1160" s="38">
        <v>83.44</v>
      </c>
      <c r="AK1160" s="38">
        <v>75.400000000000006</v>
      </c>
      <c r="AL1160" s="38">
        <v>70.86</v>
      </c>
      <c r="AM1160" s="38">
        <v>67.739999999999995</v>
      </c>
      <c r="AN1160" s="38">
        <v>66.23</v>
      </c>
      <c r="AO1160" s="38">
        <v>66.88</v>
      </c>
      <c r="AP1160" s="38">
        <v>69.89</v>
      </c>
      <c r="AQ1160" s="38">
        <v>73.680000000000007</v>
      </c>
      <c r="AR1160" s="38">
        <v>76.989999999999995</v>
      </c>
      <c r="AS1160" s="38">
        <v>80.36</v>
      </c>
      <c r="AT1160" s="38">
        <v>82.69</v>
      </c>
      <c r="AU1160" s="38">
        <v>81.97</v>
      </c>
      <c r="AV1160" s="38">
        <v>78.75</v>
      </c>
      <c r="AW1160" s="38">
        <v>73.900000000000006</v>
      </c>
      <c r="AX1160" s="38">
        <v>68.92</v>
      </c>
      <c r="AY1160" s="38">
        <v>66.73</v>
      </c>
      <c r="BA1160" s="37">
        <v>76.45</v>
      </c>
      <c r="BB1160" s="38">
        <v>1.2771999999999999</v>
      </c>
    </row>
    <row r="1161" spans="1:54" x14ac:dyDescent="0.35">
      <c r="A1161" s="2">
        <f t="shared" si="17"/>
        <v>45447</v>
      </c>
      <c r="B1161" t="s">
        <v>1754</v>
      </c>
      <c r="C1161" s="32">
        <v>45447</v>
      </c>
      <c r="D1161" s="38">
        <v>80.59</v>
      </c>
      <c r="E1161" s="38">
        <v>81.819999999999993</v>
      </c>
      <c r="F1161" s="38">
        <v>85.5</v>
      </c>
      <c r="G1161" s="38">
        <v>87.79</v>
      </c>
      <c r="H1161" s="38">
        <v>97.78</v>
      </c>
      <c r="I1161" s="38">
        <v>102.41</v>
      </c>
      <c r="J1161" s="38">
        <v>103.28</v>
      </c>
      <c r="K1161" s="38">
        <v>103.3</v>
      </c>
      <c r="L1161" s="38">
        <v>99.72</v>
      </c>
      <c r="M1161" s="38">
        <v>93.93</v>
      </c>
      <c r="N1161" s="38">
        <v>89.53</v>
      </c>
      <c r="O1161" s="38">
        <v>87.31</v>
      </c>
      <c r="P1161" s="38">
        <v>85.61</v>
      </c>
      <c r="Q1161" s="38">
        <v>87.15</v>
      </c>
      <c r="R1161" s="38">
        <v>89.11</v>
      </c>
      <c r="S1161" s="38">
        <v>91.77</v>
      </c>
      <c r="T1161" s="38">
        <v>94.73</v>
      </c>
      <c r="U1161" s="38">
        <v>97.84</v>
      </c>
      <c r="V1161" s="38">
        <v>101.81</v>
      </c>
      <c r="W1161" s="38">
        <v>101.82</v>
      </c>
      <c r="X1161" s="38">
        <v>93.85</v>
      </c>
      <c r="Y1161" s="38">
        <v>77.11</v>
      </c>
      <c r="Z1161" s="38">
        <v>75.5</v>
      </c>
      <c r="AA1161" s="38">
        <v>73.099999999999994</v>
      </c>
      <c r="AB1161" s="38">
        <v>71.22</v>
      </c>
      <c r="AC1161" s="38">
        <v>71.83</v>
      </c>
      <c r="AD1161" s="38">
        <v>73.900000000000006</v>
      </c>
      <c r="AE1161" s="38">
        <v>78.260000000000005</v>
      </c>
      <c r="AF1161" s="38">
        <v>81.88</v>
      </c>
      <c r="AG1161" s="38">
        <v>85.03</v>
      </c>
      <c r="AH1161" s="38">
        <v>87.03</v>
      </c>
      <c r="AI1161" s="38">
        <v>86.12</v>
      </c>
      <c r="AJ1161" s="38">
        <v>82.06</v>
      </c>
      <c r="AK1161" s="38">
        <v>74.010000000000005</v>
      </c>
      <c r="AL1161" s="38">
        <v>69.39</v>
      </c>
      <c r="AM1161" s="38">
        <v>66.27</v>
      </c>
      <c r="AN1161" s="38">
        <v>64.77</v>
      </c>
      <c r="AO1161" s="38">
        <v>65.42</v>
      </c>
      <c r="AP1161" s="38">
        <v>68.430000000000007</v>
      </c>
      <c r="AQ1161" s="38">
        <v>72.260000000000005</v>
      </c>
      <c r="AR1161" s="38">
        <v>75.569999999999993</v>
      </c>
      <c r="AS1161" s="38">
        <v>78.94</v>
      </c>
      <c r="AT1161" s="38">
        <v>81.2</v>
      </c>
      <c r="AU1161" s="38">
        <v>80.47</v>
      </c>
      <c r="AV1161" s="38">
        <v>77.25</v>
      </c>
      <c r="AW1161" s="38">
        <v>72.77</v>
      </c>
      <c r="AX1161" s="38">
        <v>67.790000000000006</v>
      </c>
      <c r="AY1161" s="38">
        <v>65.599999999999994</v>
      </c>
      <c r="BA1161" s="37">
        <v>75.33</v>
      </c>
      <c r="BB1161" s="38">
        <v>1.278</v>
      </c>
    </row>
    <row r="1162" spans="1:54" x14ac:dyDescent="0.35">
      <c r="A1162" s="2">
        <f t="shared" si="17"/>
        <v>45448</v>
      </c>
      <c r="B1162" t="s">
        <v>1755</v>
      </c>
      <c r="C1162" s="32">
        <v>45448</v>
      </c>
      <c r="D1162" s="38">
        <v>79.34</v>
      </c>
      <c r="E1162" s="38">
        <v>80.67</v>
      </c>
      <c r="F1162" s="38">
        <v>84.58</v>
      </c>
      <c r="G1162" s="38">
        <v>86.56</v>
      </c>
      <c r="H1162" s="38">
        <v>96.08</v>
      </c>
      <c r="I1162" s="38">
        <v>101</v>
      </c>
      <c r="J1162" s="38">
        <v>101.7</v>
      </c>
      <c r="K1162" s="38">
        <v>101.7</v>
      </c>
      <c r="L1162" s="38">
        <v>98.14</v>
      </c>
      <c r="M1162" s="38">
        <v>92.07</v>
      </c>
      <c r="N1162" s="38">
        <v>87.67</v>
      </c>
      <c r="O1162" s="38">
        <v>85.42</v>
      </c>
      <c r="P1162" s="38">
        <v>84.02</v>
      </c>
      <c r="Q1162" s="38">
        <v>85.6</v>
      </c>
      <c r="R1162" s="38">
        <v>87.46</v>
      </c>
      <c r="S1162" s="38">
        <v>90.03</v>
      </c>
      <c r="T1162" s="38">
        <v>93</v>
      </c>
      <c r="U1162" s="38">
        <v>96.18</v>
      </c>
      <c r="V1162" s="38">
        <v>100.1</v>
      </c>
      <c r="W1162" s="38">
        <v>100.14</v>
      </c>
      <c r="X1162" s="38">
        <v>92.2</v>
      </c>
      <c r="Y1162" s="38">
        <v>76.47</v>
      </c>
      <c r="Z1162" s="38">
        <v>74.8</v>
      </c>
      <c r="AA1162" s="38">
        <v>72.400000000000006</v>
      </c>
      <c r="AB1162" s="38">
        <v>70.790000000000006</v>
      </c>
      <c r="AC1162" s="38">
        <v>71.45</v>
      </c>
      <c r="AD1162" s="38">
        <v>73.53</v>
      </c>
      <c r="AE1162" s="38">
        <v>77.89</v>
      </c>
      <c r="AF1162" s="38">
        <v>81.48</v>
      </c>
      <c r="AG1162" s="38">
        <v>84.64</v>
      </c>
      <c r="AH1162" s="38">
        <v>86.52</v>
      </c>
      <c r="AI1162" s="38">
        <v>85.61</v>
      </c>
      <c r="AJ1162" s="38">
        <v>81.55</v>
      </c>
      <c r="AK1162" s="38">
        <v>73.599999999999994</v>
      </c>
      <c r="AL1162" s="38">
        <v>68.98</v>
      </c>
      <c r="AM1162" s="38">
        <v>65.86</v>
      </c>
      <c r="AN1162" s="38">
        <v>64.37</v>
      </c>
      <c r="AO1162" s="38">
        <v>65.02</v>
      </c>
      <c r="AP1162" s="38">
        <v>68.03</v>
      </c>
      <c r="AQ1162" s="38">
        <v>71.900000000000006</v>
      </c>
      <c r="AR1162" s="38">
        <v>75.23</v>
      </c>
      <c r="AS1162" s="38">
        <v>78.61</v>
      </c>
      <c r="AT1162" s="38">
        <v>80.650000000000006</v>
      </c>
      <c r="AU1162" s="38">
        <v>79.92</v>
      </c>
      <c r="AV1162" s="38">
        <v>76.7</v>
      </c>
      <c r="AW1162" s="38">
        <v>72.209999999999994</v>
      </c>
      <c r="AX1162" s="38">
        <v>67.66</v>
      </c>
      <c r="AY1162" s="38">
        <v>65.47</v>
      </c>
      <c r="BA1162" s="37">
        <v>75.41</v>
      </c>
      <c r="BB1162" s="38">
        <v>1.276</v>
      </c>
    </row>
    <row r="1163" spans="1:54" x14ac:dyDescent="0.35">
      <c r="A1163" s="2">
        <f t="shared" si="17"/>
        <v>45449</v>
      </c>
      <c r="B1163" t="s">
        <v>1756</v>
      </c>
      <c r="C1163" s="32">
        <v>45449</v>
      </c>
      <c r="D1163" s="38">
        <v>80.53</v>
      </c>
      <c r="E1163" s="38">
        <v>81.7</v>
      </c>
      <c r="F1163" s="38">
        <v>85.26</v>
      </c>
      <c r="G1163" s="38">
        <v>87</v>
      </c>
      <c r="H1163" s="38">
        <v>96.54</v>
      </c>
      <c r="I1163" s="38">
        <v>101.1</v>
      </c>
      <c r="J1163" s="38">
        <v>101.84</v>
      </c>
      <c r="K1163" s="38">
        <v>101.74</v>
      </c>
      <c r="L1163" s="38">
        <v>98.42</v>
      </c>
      <c r="M1163" s="38">
        <v>92.71</v>
      </c>
      <c r="N1163" s="38">
        <v>88.03</v>
      </c>
      <c r="O1163" s="38">
        <v>85.78</v>
      </c>
      <c r="P1163" s="38">
        <v>84.32</v>
      </c>
      <c r="Q1163" s="38">
        <v>85.91</v>
      </c>
      <c r="R1163" s="38">
        <v>87.96</v>
      </c>
      <c r="S1163" s="38">
        <v>90.58</v>
      </c>
      <c r="T1163" s="38">
        <v>93.4</v>
      </c>
      <c r="U1163" s="38">
        <v>96.71</v>
      </c>
      <c r="V1163" s="38">
        <v>100.68</v>
      </c>
      <c r="W1163" s="38">
        <v>100.72</v>
      </c>
      <c r="X1163" s="38">
        <v>92.78</v>
      </c>
      <c r="Y1163" s="38">
        <v>77.069999999999993</v>
      </c>
      <c r="Z1163" s="38">
        <v>75.41</v>
      </c>
      <c r="AA1163" s="38">
        <v>73</v>
      </c>
      <c r="AB1163" s="38">
        <v>71.44</v>
      </c>
      <c r="AC1163" s="38">
        <v>72.08</v>
      </c>
      <c r="AD1163" s="38">
        <v>74.17</v>
      </c>
      <c r="AE1163" s="38">
        <v>78.56</v>
      </c>
      <c r="AF1163" s="38">
        <v>82.15</v>
      </c>
      <c r="AG1163" s="38">
        <v>85.31</v>
      </c>
      <c r="AH1163" s="38">
        <v>87.03</v>
      </c>
      <c r="AI1163" s="38">
        <v>86.12</v>
      </c>
      <c r="AJ1163" s="38">
        <v>82.04</v>
      </c>
      <c r="AK1163" s="38">
        <v>74.47</v>
      </c>
      <c r="AL1163" s="38">
        <v>69.2</v>
      </c>
      <c r="AM1163" s="38">
        <v>66.099999999999994</v>
      </c>
      <c r="AN1163" s="38">
        <v>64.58</v>
      </c>
      <c r="AO1163" s="38">
        <v>65.23</v>
      </c>
      <c r="AP1163" s="38">
        <v>68.239999999999995</v>
      </c>
      <c r="AQ1163" s="38">
        <v>72.25</v>
      </c>
      <c r="AR1163" s="38">
        <v>75.58</v>
      </c>
      <c r="AS1163" s="38">
        <v>78.959999999999994</v>
      </c>
      <c r="AT1163" s="38">
        <v>80.790000000000006</v>
      </c>
      <c r="AU1163" s="38">
        <v>80.040000000000006</v>
      </c>
      <c r="AV1163" s="38">
        <v>76.83</v>
      </c>
      <c r="AW1163" s="38">
        <v>72.48</v>
      </c>
      <c r="AX1163" s="38">
        <v>67.92</v>
      </c>
      <c r="AY1163" s="38">
        <v>65.73</v>
      </c>
      <c r="BA1163" s="37">
        <v>77.62</v>
      </c>
      <c r="BB1163" s="38">
        <v>1.2773000000000001</v>
      </c>
    </row>
    <row r="1164" spans="1:54" x14ac:dyDescent="0.35">
      <c r="A1164" s="2">
        <f t="shared" si="17"/>
        <v>45450</v>
      </c>
      <c r="B1164" t="s">
        <v>1757</v>
      </c>
      <c r="C1164" s="32">
        <v>45450</v>
      </c>
      <c r="D1164" s="38">
        <v>78.41</v>
      </c>
      <c r="E1164" s="38">
        <v>79.75</v>
      </c>
      <c r="F1164" s="38">
        <v>83.72</v>
      </c>
      <c r="G1164" s="38">
        <v>85.73</v>
      </c>
      <c r="H1164" s="38">
        <v>95.23</v>
      </c>
      <c r="I1164" s="38">
        <v>99.91</v>
      </c>
      <c r="J1164" s="38">
        <v>100.69</v>
      </c>
      <c r="K1164" s="38">
        <v>100.64</v>
      </c>
      <c r="L1164" s="38">
        <v>97.17</v>
      </c>
      <c r="M1164" s="38">
        <v>91.79</v>
      </c>
      <c r="N1164" s="38">
        <v>87.11</v>
      </c>
      <c r="O1164" s="38">
        <v>84.88</v>
      </c>
      <c r="P1164" s="38">
        <v>83.49</v>
      </c>
      <c r="Q1164" s="38">
        <v>85.04</v>
      </c>
      <c r="R1164" s="38">
        <v>87.12</v>
      </c>
      <c r="S1164" s="38">
        <v>89.75</v>
      </c>
      <c r="T1164" s="38">
        <v>92.71</v>
      </c>
      <c r="U1164" s="38">
        <v>95.86</v>
      </c>
      <c r="V1164" s="38">
        <v>99.79</v>
      </c>
      <c r="W1164" s="38">
        <v>99.83</v>
      </c>
      <c r="X1164" s="38">
        <v>91.84</v>
      </c>
      <c r="Y1164" s="38">
        <v>76.19</v>
      </c>
      <c r="Z1164" s="38">
        <v>74.52</v>
      </c>
      <c r="AA1164" s="38">
        <v>72.11</v>
      </c>
      <c r="AB1164" s="38">
        <v>70.55</v>
      </c>
      <c r="AC1164" s="38">
        <v>71.19</v>
      </c>
      <c r="AD1164" s="38">
        <v>73.28</v>
      </c>
      <c r="AE1164" s="38">
        <v>77.680000000000007</v>
      </c>
      <c r="AF1164" s="38">
        <v>81.27</v>
      </c>
      <c r="AG1164" s="38">
        <v>84.44</v>
      </c>
      <c r="AH1164" s="38">
        <v>86.18</v>
      </c>
      <c r="AI1164" s="38">
        <v>85.27</v>
      </c>
      <c r="AJ1164" s="38">
        <v>81.19</v>
      </c>
      <c r="AK1164" s="38">
        <v>73.73</v>
      </c>
      <c r="AL1164" s="38">
        <v>68.459999999999994</v>
      </c>
      <c r="AM1164" s="38">
        <v>65.36</v>
      </c>
      <c r="AN1164" s="38">
        <v>63.84</v>
      </c>
      <c r="AO1164" s="38">
        <v>64.489999999999995</v>
      </c>
      <c r="AP1164" s="38">
        <v>67.48</v>
      </c>
      <c r="AQ1164" s="38">
        <v>71.53</v>
      </c>
      <c r="AR1164" s="38">
        <v>74.86</v>
      </c>
      <c r="AS1164" s="38">
        <v>78.239999999999995</v>
      </c>
      <c r="AT1164" s="38">
        <v>80.23</v>
      </c>
      <c r="AU1164" s="38">
        <v>79.48</v>
      </c>
      <c r="AV1164" s="38">
        <v>76.28</v>
      </c>
      <c r="AW1164" s="38">
        <v>72.38</v>
      </c>
      <c r="AX1164" s="38">
        <v>67.819999999999993</v>
      </c>
      <c r="AY1164" s="38">
        <v>65.63</v>
      </c>
      <c r="BA1164" s="37">
        <v>78.12</v>
      </c>
      <c r="BB1164" s="38">
        <v>1.2724</v>
      </c>
    </row>
    <row r="1165" spans="1:54" x14ac:dyDescent="0.35">
      <c r="A1165" s="2">
        <f t="shared" ref="A1165:A1228" si="18">+A1160+7</f>
        <v>45453</v>
      </c>
      <c r="B1165" t="s">
        <v>1758</v>
      </c>
      <c r="C1165" s="32">
        <v>45453</v>
      </c>
      <c r="D1165" s="38">
        <v>81.319999999999993</v>
      </c>
      <c r="E1165" s="38">
        <v>82.35</v>
      </c>
      <c r="F1165" s="38">
        <v>86.22</v>
      </c>
      <c r="G1165" s="38">
        <v>88.12</v>
      </c>
      <c r="H1165" s="38">
        <v>97.98</v>
      </c>
      <c r="I1165" s="38">
        <v>102.28</v>
      </c>
      <c r="J1165" s="38">
        <v>103.11</v>
      </c>
      <c r="K1165" s="38">
        <v>103.06</v>
      </c>
      <c r="L1165" s="38">
        <v>99.59</v>
      </c>
      <c r="M1165" s="38">
        <v>93.61</v>
      </c>
      <c r="N1165" s="38">
        <v>88.93</v>
      </c>
      <c r="O1165" s="38">
        <v>86.7</v>
      </c>
      <c r="P1165" s="38">
        <v>85.31</v>
      </c>
      <c r="Q1165" s="38">
        <v>86.86</v>
      </c>
      <c r="R1165" s="38">
        <v>88.94</v>
      </c>
      <c r="S1165" s="38">
        <v>91.57</v>
      </c>
      <c r="T1165" s="38">
        <v>94.53</v>
      </c>
      <c r="U1165" s="38">
        <v>97.68</v>
      </c>
      <c r="V1165" s="38">
        <v>101.61</v>
      </c>
      <c r="W1165" s="38">
        <v>101.65</v>
      </c>
      <c r="X1165" s="38">
        <v>93.66</v>
      </c>
      <c r="Y1165" s="38">
        <v>76.81</v>
      </c>
      <c r="Z1165" s="38">
        <v>75.14</v>
      </c>
      <c r="AA1165" s="38">
        <v>72.73</v>
      </c>
      <c r="AB1165" s="38">
        <v>71.17</v>
      </c>
      <c r="AC1165" s="38">
        <v>71.81</v>
      </c>
      <c r="AD1165" s="38">
        <v>73.900000000000006</v>
      </c>
      <c r="AE1165" s="38">
        <v>78.3</v>
      </c>
      <c r="AF1165" s="38">
        <v>81.89</v>
      </c>
      <c r="AG1165" s="38">
        <v>85.06</v>
      </c>
      <c r="AH1165" s="38">
        <v>86.8</v>
      </c>
      <c r="AI1165" s="38">
        <v>85.89</v>
      </c>
      <c r="AJ1165" s="38">
        <v>81.81</v>
      </c>
      <c r="AK1165" s="38">
        <v>73.95</v>
      </c>
      <c r="AL1165" s="38">
        <v>68.680000000000007</v>
      </c>
      <c r="AM1165" s="38">
        <v>65.58</v>
      </c>
      <c r="AN1165" s="38">
        <v>64.06</v>
      </c>
      <c r="AO1165" s="38">
        <v>64.709999999999994</v>
      </c>
      <c r="AP1165" s="38">
        <v>67.7</v>
      </c>
      <c r="AQ1165" s="38">
        <v>71.75</v>
      </c>
      <c r="AR1165" s="38">
        <v>75.08</v>
      </c>
      <c r="AS1165" s="38">
        <v>78.459999999999994</v>
      </c>
      <c r="AT1165" s="38">
        <v>80.45</v>
      </c>
      <c r="AU1165" s="38">
        <v>79.7</v>
      </c>
      <c r="AV1165" s="38">
        <v>76.5</v>
      </c>
      <c r="AW1165" s="38">
        <v>72.599999999999994</v>
      </c>
      <c r="AX1165" s="38">
        <v>68.040000000000006</v>
      </c>
      <c r="AY1165" s="38">
        <v>65.849999999999994</v>
      </c>
      <c r="BA1165" s="37">
        <v>79.59</v>
      </c>
      <c r="BB1165" s="38">
        <v>1.2717000000000001</v>
      </c>
    </row>
    <row r="1166" spans="1:54" x14ac:dyDescent="0.35">
      <c r="A1166" s="2">
        <f t="shared" si="18"/>
        <v>45454</v>
      </c>
      <c r="B1166" t="s">
        <v>1759</v>
      </c>
      <c r="C1166" s="32">
        <v>45454</v>
      </c>
      <c r="D1166" s="38">
        <v>81.08</v>
      </c>
      <c r="E1166" s="38">
        <v>81.94</v>
      </c>
      <c r="F1166" s="38">
        <v>85.55</v>
      </c>
      <c r="G1166" s="38">
        <v>87.87</v>
      </c>
      <c r="H1166" s="38">
        <v>97.45</v>
      </c>
      <c r="I1166" s="38">
        <v>101.65</v>
      </c>
      <c r="J1166" s="38">
        <v>102.35</v>
      </c>
      <c r="K1166" s="38">
        <v>102.3</v>
      </c>
      <c r="L1166" s="38">
        <v>98.83</v>
      </c>
      <c r="M1166" s="38">
        <v>92.74</v>
      </c>
      <c r="N1166" s="38">
        <v>88.12</v>
      </c>
      <c r="O1166" s="38">
        <v>85.9</v>
      </c>
      <c r="P1166" s="38">
        <v>84.4</v>
      </c>
      <c r="Q1166" s="38">
        <v>85.95</v>
      </c>
      <c r="R1166" s="38">
        <v>88.03</v>
      </c>
      <c r="S1166" s="38">
        <v>90.75</v>
      </c>
      <c r="T1166" s="38">
        <v>93.71</v>
      </c>
      <c r="U1166" s="38">
        <v>96.86</v>
      </c>
      <c r="V1166" s="38">
        <v>100.79</v>
      </c>
      <c r="W1166" s="38">
        <v>100.83</v>
      </c>
      <c r="X1166" s="38">
        <v>92.84</v>
      </c>
      <c r="Y1166" s="38">
        <v>77.34</v>
      </c>
      <c r="Z1166" s="38">
        <v>75.67</v>
      </c>
      <c r="AA1166" s="38">
        <v>73.260000000000005</v>
      </c>
      <c r="AB1166" s="38">
        <v>71.7</v>
      </c>
      <c r="AC1166" s="38">
        <v>72.34</v>
      </c>
      <c r="AD1166" s="38">
        <v>74.430000000000007</v>
      </c>
      <c r="AE1166" s="38">
        <v>78.680000000000007</v>
      </c>
      <c r="AF1166" s="38">
        <v>82.27</v>
      </c>
      <c r="AG1166" s="38">
        <v>85.44</v>
      </c>
      <c r="AH1166" s="38">
        <v>87.18</v>
      </c>
      <c r="AI1166" s="38">
        <v>86.27</v>
      </c>
      <c r="AJ1166" s="38">
        <v>82.19</v>
      </c>
      <c r="AK1166" s="38">
        <v>74.33</v>
      </c>
      <c r="AL1166" s="38">
        <v>69.06</v>
      </c>
      <c r="AM1166" s="38">
        <v>65.959999999999994</v>
      </c>
      <c r="AN1166" s="38">
        <v>64.44</v>
      </c>
      <c r="AO1166" s="38">
        <v>65.09</v>
      </c>
      <c r="AP1166" s="38">
        <v>68.08</v>
      </c>
      <c r="AQ1166" s="38">
        <v>72.13</v>
      </c>
      <c r="AR1166" s="38">
        <v>75.459999999999994</v>
      </c>
      <c r="AS1166" s="38">
        <v>78.84</v>
      </c>
      <c r="AT1166" s="38">
        <v>80.83</v>
      </c>
      <c r="AU1166" s="38">
        <v>80.08</v>
      </c>
      <c r="AV1166" s="38">
        <v>76.88</v>
      </c>
      <c r="AW1166" s="38">
        <v>72.98</v>
      </c>
      <c r="AX1166" s="38">
        <v>68.42</v>
      </c>
      <c r="AY1166" s="38">
        <v>66.23</v>
      </c>
      <c r="BA1166" s="37">
        <v>80.150000000000006</v>
      </c>
      <c r="BB1166" s="38">
        <v>1.2712000000000001</v>
      </c>
    </row>
    <row r="1167" spans="1:54" x14ac:dyDescent="0.35">
      <c r="A1167" s="2">
        <f t="shared" si="18"/>
        <v>45455</v>
      </c>
      <c r="B1167" t="s">
        <v>1760</v>
      </c>
      <c r="C1167" s="32">
        <v>45455</v>
      </c>
      <c r="D1167" s="38">
        <v>83.87</v>
      </c>
      <c r="E1167" s="38">
        <v>84.76</v>
      </c>
      <c r="F1167" s="38">
        <v>88.33</v>
      </c>
      <c r="G1167" s="38">
        <v>90.33</v>
      </c>
      <c r="H1167" s="38">
        <v>99.72</v>
      </c>
      <c r="I1167" s="38">
        <v>103.74</v>
      </c>
      <c r="J1167" s="38">
        <v>104.49</v>
      </c>
      <c r="K1167" s="38">
        <v>104.46</v>
      </c>
      <c r="L1167" s="38">
        <v>101</v>
      </c>
      <c r="M1167" s="38">
        <v>94.04</v>
      </c>
      <c r="N1167" s="38">
        <v>89.42</v>
      </c>
      <c r="O1167" s="38">
        <v>87.2</v>
      </c>
      <c r="P1167" s="38">
        <v>85.6</v>
      </c>
      <c r="Q1167" s="38">
        <v>87.15</v>
      </c>
      <c r="R1167" s="38">
        <v>89.24</v>
      </c>
      <c r="S1167" s="38">
        <v>92.03</v>
      </c>
      <c r="T1167" s="38">
        <v>94.99</v>
      </c>
      <c r="U1167" s="38">
        <v>98.14</v>
      </c>
      <c r="V1167" s="38">
        <v>101.92</v>
      </c>
      <c r="W1167" s="38">
        <v>101.96</v>
      </c>
      <c r="X1167" s="38">
        <v>93.97</v>
      </c>
      <c r="Y1167" s="38">
        <v>78.33</v>
      </c>
      <c r="Z1167" s="38">
        <v>76.63</v>
      </c>
      <c r="AA1167" s="38">
        <v>74.209999999999994</v>
      </c>
      <c r="AB1167" s="38">
        <v>72.64</v>
      </c>
      <c r="AC1167" s="38">
        <v>73.27</v>
      </c>
      <c r="AD1167" s="38">
        <v>75.36</v>
      </c>
      <c r="AE1167" s="38">
        <v>79.400000000000006</v>
      </c>
      <c r="AF1167" s="38">
        <v>82.99</v>
      </c>
      <c r="AG1167" s="38">
        <v>86.16</v>
      </c>
      <c r="AH1167" s="38">
        <v>87.89</v>
      </c>
      <c r="AI1167" s="38">
        <v>86.98</v>
      </c>
      <c r="AJ1167" s="38">
        <v>82.89</v>
      </c>
      <c r="AK1167" s="38">
        <v>75.03</v>
      </c>
      <c r="AL1167" s="38">
        <v>69.760000000000005</v>
      </c>
      <c r="AM1167" s="38">
        <v>66.66</v>
      </c>
      <c r="AN1167" s="38">
        <v>65.14</v>
      </c>
      <c r="AO1167" s="38">
        <v>65.790000000000006</v>
      </c>
      <c r="AP1167" s="38">
        <v>68.78</v>
      </c>
      <c r="AQ1167" s="38">
        <v>72.83</v>
      </c>
      <c r="AR1167" s="38">
        <v>76.16</v>
      </c>
      <c r="AS1167" s="38">
        <v>79.540000000000006</v>
      </c>
      <c r="AT1167" s="38">
        <v>81.53</v>
      </c>
      <c r="AU1167" s="38">
        <v>80.78</v>
      </c>
      <c r="AV1167" s="38">
        <v>77.58</v>
      </c>
      <c r="AW1167" s="38">
        <v>73.680000000000007</v>
      </c>
      <c r="AX1167" s="38">
        <v>69.12</v>
      </c>
      <c r="AY1167" s="38">
        <v>66.930000000000007</v>
      </c>
      <c r="BA1167" s="37">
        <v>80.52</v>
      </c>
      <c r="BB1167" s="38">
        <v>1.2843</v>
      </c>
    </row>
    <row r="1168" spans="1:54" x14ac:dyDescent="0.35">
      <c r="A1168" s="2">
        <f t="shared" si="18"/>
        <v>45456</v>
      </c>
      <c r="B1168" t="s">
        <v>1761</v>
      </c>
      <c r="C1168" s="32">
        <v>45456</v>
      </c>
      <c r="D1168" s="38">
        <v>84.3</v>
      </c>
      <c r="E1168" s="38">
        <v>85.68</v>
      </c>
      <c r="F1168" s="38">
        <v>89.37</v>
      </c>
      <c r="G1168" s="38">
        <v>91.36</v>
      </c>
      <c r="H1168" s="38">
        <v>100.36</v>
      </c>
      <c r="I1168" s="38">
        <v>104.35</v>
      </c>
      <c r="J1168" s="38">
        <v>105.1</v>
      </c>
      <c r="K1168" s="38">
        <v>105</v>
      </c>
      <c r="L1168" s="38">
        <v>101.54</v>
      </c>
      <c r="M1168" s="38">
        <v>94.82</v>
      </c>
      <c r="N1168" s="38">
        <v>90.2</v>
      </c>
      <c r="O1168" s="38">
        <v>87.98</v>
      </c>
      <c r="P1168" s="38">
        <v>86.38</v>
      </c>
      <c r="Q1168" s="38">
        <v>87.93</v>
      </c>
      <c r="R1168" s="38">
        <v>90.02</v>
      </c>
      <c r="S1168" s="38">
        <v>92.71</v>
      </c>
      <c r="T1168" s="38">
        <v>95.57</v>
      </c>
      <c r="U1168" s="38">
        <v>98.72</v>
      </c>
      <c r="V1168" s="38">
        <v>102.5</v>
      </c>
      <c r="W1168" s="38">
        <v>102.54</v>
      </c>
      <c r="X1168" s="38">
        <v>94.55</v>
      </c>
      <c r="Y1168" s="38">
        <v>78.41</v>
      </c>
      <c r="Z1168" s="38">
        <v>76.709999999999994</v>
      </c>
      <c r="AA1168" s="38">
        <v>74.290000000000006</v>
      </c>
      <c r="AB1168" s="38">
        <v>72.72</v>
      </c>
      <c r="AC1168" s="38">
        <v>73.349999999999994</v>
      </c>
      <c r="AD1168" s="38">
        <v>75.44</v>
      </c>
      <c r="AE1168" s="38">
        <v>79.98</v>
      </c>
      <c r="AF1168" s="38">
        <v>83.57</v>
      </c>
      <c r="AG1168" s="38">
        <v>86.74</v>
      </c>
      <c r="AH1168" s="38">
        <v>88.47</v>
      </c>
      <c r="AI1168" s="38">
        <v>87.56</v>
      </c>
      <c r="AJ1168" s="38">
        <v>83.47</v>
      </c>
      <c r="AK1168" s="38">
        <v>75.31</v>
      </c>
      <c r="AL1168" s="38">
        <v>70.040000000000006</v>
      </c>
      <c r="AM1168" s="38">
        <v>66.94</v>
      </c>
      <c r="AN1168" s="38">
        <v>65.42</v>
      </c>
      <c r="AO1168" s="38">
        <v>66.069999999999993</v>
      </c>
      <c r="AP1168" s="38">
        <v>69.06</v>
      </c>
      <c r="AQ1168" s="38">
        <v>73.11</v>
      </c>
      <c r="AR1168" s="38">
        <v>76.44</v>
      </c>
      <c r="AS1168" s="38">
        <v>79.819999999999993</v>
      </c>
      <c r="AT1168" s="38">
        <v>81.81</v>
      </c>
      <c r="AU1168" s="38">
        <v>81.06</v>
      </c>
      <c r="AV1168" s="38">
        <v>77.86</v>
      </c>
      <c r="AW1168" s="38">
        <v>73.959999999999994</v>
      </c>
      <c r="AX1168" s="38">
        <v>69.400000000000006</v>
      </c>
      <c r="AY1168" s="38">
        <v>67.209999999999994</v>
      </c>
      <c r="BA1168" s="37">
        <v>81.44</v>
      </c>
      <c r="BB1168" s="38">
        <v>1.2766999999999999</v>
      </c>
    </row>
    <row r="1169" spans="1:54" x14ac:dyDescent="0.35">
      <c r="A1169" s="2">
        <f t="shared" si="18"/>
        <v>45457</v>
      </c>
      <c r="B1169" t="s">
        <v>1762</v>
      </c>
      <c r="C1169" s="32">
        <v>45457</v>
      </c>
      <c r="D1169" s="38">
        <v>83.29</v>
      </c>
      <c r="E1169" s="38">
        <v>84.78</v>
      </c>
      <c r="F1169" s="38">
        <v>88.6</v>
      </c>
      <c r="G1169" s="38">
        <v>90.55</v>
      </c>
      <c r="H1169" s="38">
        <v>99.59</v>
      </c>
      <c r="I1169" s="38">
        <v>103.67</v>
      </c>
      <c r="J1169" s="38">
        <v>104.45</v>
      </c>
      <c r="K1169" s="38">
        <v>104.36</v>
      </c>
      <c r="L1169" s="38">
        <v>100.72</v>
      </c>
      <c r="M1169" s="38">
        <v>94.37</v>
      </c>
      <c r="N1169" s="38">
        <v>89.57</v>
      </c>
      <c r="O1169" s="38">
        <v>87.38</v>
      </c>
      <c r="P1169" s="38">
        <v>85.63</v>
      </c>
      <c r="Q1169" s="38">
        <v>87.23</v>
      </c>
      <c r="R1169" s="38">
        <v>89.39</v>
      </c>
      <c r="S1169" s="38">
        <v>92.1</v>
      </c>
      <c r="T1169" s="38">
        <v>94.77</v>
      </c>
      <c r="U1169" s="38">
        <v>97.83</v>
      </c>
      <c r="V1169" s="38">
        <v>101.83</v>
      </c>
      <c r="W1169" s="38">
        <v>101.86</v>
      </c>
      <c r="X1169" s="38">
        <v>93.93</v>
      </c>
      <c r="Y1169" s="38">
        <v>77.77</v>
      </c>
      <c r="Z1169" s="38">
        <v>76.069999999999993</v>
      </c>
      <c r="AA1169" s="38">
        <v>73.66</v>
      </c>
      <c r="AB1169" s="38">
        <v>72.06</v>
      </c>
      <c r="AC1169" s="38">
        <v>72.680000000000007</v>
      </c>
      <c r="AD1169" s="38">
        <v>74.959999999999994</v>
      </c>
      <c r="AE1169" s="38">
        <v>79.14</v>
      </c>
      <c r="AF1169" s="38">
        <v>83.16</v>
      </c>
      <c r="AG1169" s="38">
        <v>86.33</v>
      </c>
      <c r="AH1169" s="38">
        <v>88.03</v>
      </c>
      <c r="AI1169" s="38">
        <v>87.12</v>
      </c>
      <c r="AJ1169" s="38">
        <v>83.03</v>
      </c>
      <c r="AK1169" s="38">
        <v>75.06</v>
      </c>
      <c r="AL1169" s="38">
        <v>69.790000000000006</v>
      </c>
      <c r="AM1169" s="38">
        <v>66.709999999999994</v>
      </c>
      <c r="AN1169" s="38">
        <v>65.19</v>
      </c>
      <c r="AO1169" s="38">
        <v>65.84</v>
      </c>
      <c r="AP1169" s="38">
        <v>68.81</v>
      </c>
      <c r="AQ1169" s="38">
        <v>72.86</v>
      </c>
      <c r="AR1169" s="38">
        <v>76.19</v>
      </c>
      <c r="AS1169" s="38">
        <v>79.569999999999993</v>
      </c>
      <c r="AT1169" s="38">
        <v>81.569999999999993</v>
      </c>
      <c r="AU1169" s="38">
        <v>80.819999999999993</v>
      </c>
      <c r="AV1169" s="38">
        <v>77.62</v>
      </c>
      <c r="AW1169" s="38">
        <v>73.569999999999993</v>
      </c>
      <c r="AX1169" s="38">
        <v>69.010000000000005</v>
      </c>
      <c r="AY1169" s="38">
        <v>66.819999999999993</v>
      </c>
      <c r="BA1169" s="37">
        <v>81.489999999999995</v>
      </c>
      <c r="BB1169" s="38">
        <v>1.2666999999999999</v>
      </c>
    </row>
    <row r="1170" spans="1:54" x14ac:dyDescent="0.35">
      <c r="A1170" s="2">
        <f t="shared" si="18"/>
        <v>45460</v>
      </c>
      <c r="B1170" t="s">
        <v>1763</v>
      </c>
      <c r="C1170" s="32">
        <v>45460</v>
      </c>
      <c r="D1170" s="38">
        <v>80.52</v>
      </c>
      <c r="E1170" s="38">
        <v>82.18</v>
      </c>
      <c r="F1170" s="38">
        <v>86.25</v>
      </c>
      <c r="G1170" s="38">
        <v>88.4</v>
      </c>
      <c r="H1170" s="38">
        <v>97.72</v>
      </c>
      <c r="I1170" s="38">
        <v>101.78</v>
      </c>
      <c r="J1170" s="38">
        <v>102.49</v>
      </c>
      <c r="K1170" s="38">
        <v>102.39</v>
      </c>
      <c r="L1170" s="38">
        <v>98.41</v>
      </c>
      <c r="M1170" s="38">
        <v>92.91</v>
      </c>
      <c r="N1170" s="38">
        <v>88.41</v>
      </c>
      <c r="O1170" s="38">
        <v>86.37</v>
      </c>
      <c r="P1170" s="38">
        <v>84.62</v>
      </c>
      <c r="Q1170" s="38">
        <v>86.12</v>
      </c>
      <c r="R1170" s="38">
        <v>88.29</v>
      </c>
      <c r="S1170" s="38">
        <v>90.94</v>
      </c>
      <c r="T1170" s="38">
        <v>93.87</v>
      </c>
      <c r="U1170" s="38">
        <v>96.84</v>
      </c>
      <c r="V1170" s="38">
        <v>100.61</v>
      </c>
      <c r="W1170" s="38">
        <v>100.72</v>
      </c>
      <c r="X1170" s="38">
        <v>92.87</v>
      </c>
      <c r="Y1170" s="38">
        <v>77.64</v>
      </c>
      <c r="Z1170" s="38">
        <v>75.900000000000006</v>
      </c>
      <c r="AA1170" s="38">
        <v>73.459999999999994</v>
      </c>
      <c r="AB1170" s="38">
        <v>72.16</v>
      </c>
      <c r="AC1170" s="38">
        <v>72.73</v>
      </c>
      <c r="AD1170" s="38">
        <v>74.930000000000007</v>
      </c>
      <c r="AE1170" s="38">
        <v>79.040000000000006</v>
      </c>
      <c r="AF1170" s="38">
        <v>83.05</v>
      </c>
      <c r="AG1170" s="38">
        <v>86.22</v>
      </c>
      <c r="AH1170" s="38">
        <v>88.09</v>
      </c>
      <c r="AI1170" s="38">
        <v>87.16</v>
      </c>
      <c r="AJ1170" s="38">
        <v>83.09</v>
      </c>
      <c r="AK1170" s="38">
        <v>75.11</v>
      </c>
      <c r="AL1170" s="38">
        <v>69.91</v>
      </c>
      <c r="AM1170" s="38">
        <v>66.87</v>
      </c>
      <c r="AN1170" s="38">
        <v>65.38</v>
      </c>
      <c r="AO1170" s="38">
        <v>66.05</v>
      </c>
      <c r="AP1170" s="38">
        <v>69.040000000000006</v>
      </c>
      <c r="AQ1170" s="38">
        <v>74.25</v>
      </c>
      <c r="AR1170" s="38">
        <v>77.900000000000006</v>
      </c>
      <c r="AS1170" s="38">
        <v>81.3</v>
      </c>
      <c r="AT1170" s="38">
        <v>83.23</v>
      </c>
      <c r="AU1170" s="38">
        <v>82.47</v>
      </c>
      <c r="AV1170" s="38">
        <v>79.28</v>
      </c>
      <c r="AW1170" s="38">
        <v>75.23</v>
      </c>
      <c r="AX1170" s="38">
        <v>70.67</v>
      </c>
      <c r="AY1170" s="38">
        <v>69.56</v>
      </c>
      <c r="BA1170" s="37">
        <v>82.45</v>
      </c>
      <c r="BB1170" s="38">
        <v>1.268</v>
      </c>
    </row>
    <row r="1171" spans="1:54" x14ac:dyDescent="0.35">
      <c r="A1171" s="2">
        <f t="shared" si="18"/>
        <v>45461</v>
      </c>
      <c r="B1171" t="s">
        <v>1764</v>
      </c>
      <c r="C1171" s="32">
        <v>45461</v>
      </c>
      <c r="D1171" s="38">
        <v>81.44</v>
      </c>
      <c r="E1171" s="38">
        <v>83.34</v>
      </c>
      <c r="F1171" s="38">
        <v>87.38</v>
      </c>
      <c r="G1171" s="38">
        <v>89.85</v>
      </c>
      <c r="H1171" s="38">
        <v>99.4</v>
      </c>
      <c r="I1171" s="38">
        <v>103.28</v>
      </c>
      <c r="J1171" s="38">
        <v>103.89</v>
      </c>
      <c r="K1171" s="38">
        <v>103.79</v>
      </c>
      <c r="L1171" s="38">
        <v>99.63</v>
      </c>
      <c r="M1171" s="38">
        <v>94.19</v>
      </c>
      <c r="N1171" s="38">
        <v>90.14</v>
      </c>
      <c r="O1171" s="38">
        <v>88.05</v>
      </c>
      <c r="P1171" s="38">
        <v>86.33</v>
      </c>
      <c r="Q1171" s="38">
        <v>87.88</v>
      </c>
      <c r="R1171" s="38">
        <v>90.01</v>
      </c>
      <c r="S1171" s="38">
        <v>92.07</v>
      </c>
      <c r="T1171" s="38">
        <v>95.07</v>
      </c>
      <c r="U1171" s="38">
        <v>98.06</v>
      </c>
      <c r="V1171" s="38">
        <v>101.72</v>
      </c>
      <c r="W1171" s="38">
        <v>101.79</v>
      </c>
      <c r="X1171" s="38">
        <v>93.98</v>
      </c>
      <c r="Y1171" s="38">
        <v>78.739999999999995</v>
      </c>
      <c r="Z1171" s="38">
        <v>76.709999999999994</v>
      </c>
      <c r="AA1171" s="38">
        <v>74.28</v>
      </c>
      <c r="AB1171" s="38">
        <v>73.11</v>
      </c>
      <c r="AC1171" s="38">
        <v>73.680000000000007</v>
      </c>
      <c r="AD1171" s="38">
        <v>75.88</v>
      </c>
      <c r="AE1171" s="38">
        <v>79.2</v>
      </c>
      <c r="AF1171" s="38">
        <v>83.17</v>
      </c>
      <c r="AG1171" s="38">
        <v>86.33</v>
      </c>
      <c r="AH1171" s="38">
        <v>88.65</v>
      </c>
      <c r="AI1171" s="38">
        <v>87.72</v>
      </c>
      <c r="AJ1171" s="38">
        <v>83.64</v>
      </c>
      <c r="AK1171" s="38">
        <v>76.17</v>
      </c>
      <c r="AL1171" s="38">
        <v>70.17</v>
      </c>
      <c r="AM1171" s="38">
        <v>67.13</v>
      </c>
      <c r="AN1171" s="38">
        <v>65.36</v>
      </c>
      <c r="AO1171" s="38">
        <v>66.02</v>
      </c>
      <c r="AP1171" s="38">
        <v>69.010000000000005</v>
      </c>
      <c r="AQ1171" s="38">
        <v>73.2</v>
      </c>
      <c r="AR1171" s="38">
        <v>76.86</v>
      </c>
      <c r="AS1171" s="38">
        <v>80.25</v>
      </c>
      <c r="AT1171" s="38">
        <v>82.84</v>
      </c>
      <c r="AU1171" s="38">
        <v>82.08</v>
      </c>
      <c r="AV1171" s="38">
        <v>78.89</v>
      </c>
      <c r="AW1171" s="38">
        <v>73.06</v>
      </c>
      <c r="AX1171" s="38">
        <v>68.31</v>
      </c>
      <c r="AY1171" s="38">
        <v>67.16</v>
      </c>
      <c r="BA1171" s="37">
        <v>84.79</v>
      </c>
      <c r="BB1171" s="38">
        <v>1.2689999999999999</v>
      </c>
    </row>
    <row r="1172" spans="1:54" x14ac:dyDescent="0.35">
      <c r="A1172" s="2">
        <f t="shared" si="18"/>
        <v>45462</v>
      </c>
      <c r="B1172" t="s">
        <v>1765</v>
      </c>
      <c r="C1172" s="32">
        <v>45462</v>
      </c>
      <c r="D1172" s="38">
        <v>82.86</v>
      </c>
      <c r="E1172" s="38">
        <v>84.48</v>
      </c>
      <c r="F1172" s="38">
        <v>88.72</v>
      </c>
      <c r="G1172" s="38">
        <v>91.43</v>
      </c>
      <c r="H1172" s="38">
        <v>101.24</v>
      </c>
      <c r="I1172" s="38">
        <v>105</v>
      </c>
      <c r="J1172" s="38">
        <v>105.6</v>
      </c>
      <c r="K1172" s="38">
        <v>105.53</v>
      </c>
      <c r="L1172" s="38">
        <v>101.63</v>
      </c>
      <c r="M1172" s="38">
        <v>96.03</v>
      </c>
      <c r="N1172" s="38">
        <v>91.88</v>
      </c>
      <c r="O1172" s="38">
        <v>89.77</v>
      </c>
      <c r="P1172" s="38">
        <v>88.16</v>
      </c>
      <c r="Q1172" s="38">
        <v>89.54</v>
      </c>
      <c r="R1172" s="38">
        <v>91.6</v>
      </c>
      <c r="S1172" s="38">
        <v>93.73</v>
      </c>
      <c r="T1172" s="38">
        <v>96.75</v>
      </c>
      <c r="U1172" s="38">
        <v>99.76</v>
      </c>
      <c r="V1172" s="38">
        <v>103.6</v>
      </c>
      <c r="W1172" s="38">
        <v>103.64</v>
      </c>
      <c r="X1172" s="38">
        <v>95.82</v>
      </c>
      <c r="Y1172" s="38">
        <v>80.13</v>
      </c>
      <c r="Z1172" s="38">
        <v>78.03</v>
      </c>
      <c r="AA1172" s="38">
        <v>75.5</v>
      </c>
      <c r="AB1172" s="38">
        <v>74.03</v>
      </c>
      <c r="AC1172" s="38">
        <v>74.599999999999994</v>
      </c>
      <c r="AD1172" s="38">
        <v>76.8</v>
      </c>
      <c r="AE1172" s="38">
        <v>80.42</v>
      </c>
      <c r="AF1172" s="38">
        <v>84.34</v>
      </c>
      <c r="AG1172" s="38">
        <v>87.43</v>
      </c>
      <c r="AH1172" s="38">
        <v>89.87</v>
      </c>
      <c r="AI1172" s="38">
        <v>88.9</v>
      </c>
      <c r="AJ1172" s="38">
        <v>84.77</v>
      </c>
      <c r="AK1172" s="38">
        <v>75.5</v>
      </c>
      <c r="AL1172" s="38">
        <v>70.67</v>
      </c>
      <c r="AM1172" s="38">
        <v>67.94</v>
      </c>
      <c r="AN1172" s="38">
        <v>66.650000000000006</v>
      </c>
      <c r="AO1172" s="38">
        <v>67.17</v>
      </c>
      <c r="AP1172" s="38">
        <v>70.14</v>
      </c>
      <c r="AQ1172" s="38">
        <v>74.39</v>
      </c>
      <c r="AR1172" s="38">
        <v>77.930000000000007</v>
      </c>
      <c r="AS1172" s="38">
        <v>81.14</v>
      </c>
      <c r="AT1172" s="38">
        <v>83.56</v>
      </c>
      <c r="AU1172" s="38">
        <v>82.54</v>
      </c>
      <c r="AV1172" s="38">
        <v>79.069999999999993</v>
      </c>
      <c r="AW1172" s="38">
        <v>72.08</v>
      </c>
      <c r="AX1172" s="38">
        <v>67.33</v>
      </c>
      <c r="AY1172" s="38">
        <v>66.180000000000007</v>
      </c>
      <c r="BA1172" s="37">
        <v>85.64</v>
      </c>
      <c r="BB1172" s="38">
        <v>1.2732000000000001</v>
      </c>
    </row>
    <row r="1173" spans="1:54" x14ac:dyDescent="0.35">
      <c r="A1173" s="2">
        <f t="shared" si="18"/>
        <v>45463</v>
      </c>
      <c r="B1173" t="s">
        <v>1766</v>
      </c>
      <c r="C1173" s="32">
        <v>45463</v>
      </c>
      <c r="D1173" s="38">
        <v>80.39</v>
      </c>
      <c r="E1173" s="38">
        <v>82.1</v>
      </c>
      <c r="F1173" s="38">
        <v>86.79</v>
      </c>
      <c r="G1173" s="38">
        <v>90</v>
      </c>
      <c r="H1173" s="38">
        <v>100.08</v>
      </c>
      <c r="I1173" s="38">
        <v>104.18</v>
      </c>
      <c r="J1173" s="38">
        <v>104.88</v>
      </c>
      <c r="K1173" s="38">
        <v>104.78</v>
      </c>
      <c r="L1173" s="38">
        <v>100.82</v>
      </c>
      <c r="M1173" s="38">
        <v>95.41</v>
      </c>
      <c r="N1173" s="38">
        <v>91.88</v>
      </c>
      <c r="O1173" s="38">
        <v>89.79</v>
      </c>
      <c r="P1173" s="38">
        <v>88.26</v>
      </c>
      <c r="Q1173" s="38">
        <v>89.71</v>
      </c>
      <c r="R1173" s="38">
        <v>91.68</v>
      </c>
      <c r="S1173" s="38">
        <v>93.74</v>
      </c>
      <c r="T1173" s="38">
        <v>96.89</v>
      </c>
      <c r="U1173" s="38">
        <v>99.9</v>
      </c>
      <c r="V1173" s="38">
        <v>103.65</v>
      </c>
      <c r="W1173" s="38">
        <v>103.63</v>
      </c>
      <c r="X1173" s="38">
        <v>95.69</v>
      </c>
      <c r="Y1173" s="38">
        <v>80.239999999999995</v>
      </c>
      <c r="Z1173" s="38">
        <v>78.14</v>
      </c>
      <c r="AA1173" s="38">
        <v>75.55</v>
      </c>
      <c r="AB1173" s="38">
        <v>74.11</v>
      </c>
      <c r="AC1173" s="38">
        <v>74.67</v>
      </c>
      <c r="AD1173" s="38">
        <v>76.86</v>
      </c>
      <c r="AE1173" s="38">
        <v>80.52</v>
      </c>
      <c r="AF1173" s="38">
        <v>84.44</v>
      </c>
      <c r="AG1173" s="38">
        <v>87.52</v>
      </c>
      <c r="AH1173" s="38">
        <v>89.99</v>
      </c>
      <c r="AI1173" s="38">
        <v>88.99</v>
      </c>
      <c r="AJ1173" s="38">
        <v>84.88</v>
      </c>
      <c r="AK1173" s="38">
        <v>75.5</v>
      </c>
      <c r="AL1173" s="38">
        <v>70.67</v>
      </c>
      <c r="AM1173" s="38">
        <v>67.95</v>
      </c>
      <c r="AN1173" s="38">
        <v>66.900000000000006</v>
      </c>
      <c r="AO1173" s="38">
        <v>67.42</v>
      </c>
      <c r="AP1173" s="38">
        <v>70.39</v>
      </c>
      <c r="AQ1173" s="38">
        <v>74.66</v>
      </c>
      <c r="AR1173" s="38">
        <v>78.2</v>
      </c>
      <c r="AS1173" s="38">
        <v>81.41</v>
      </c>
      <c r="AT1173" s="38">
        <v>83.72</v>
      </c>
      <c r="AU1173" s="38">
        <v>82.7</v>
      </c>
      <c r="AV1173" s="38">
        <v>79.23</v>
      </c>
      <c r="AW1173" s="38">
        <v>72.040000000000006</v>
      </c>
      <c r="AX1173" s="38">
        <v>67.290000000000006</v>
      </c>
      <c r="AY1173" s="38">
        <v>66.14</v>
      </c>
      <c r="BA1173" s="37">
        <v>85.92</v>
      </c>
      <c r="BB1173" s="38">
        <v>1.2685999999999999</v>
      </c>
    </row>
    <row r="1174" spans="1:54" x14ac:dyDescent="0.35">
      <c r="A1174" s="2">
        <f t="shared" si="18"/>
        <v>45464</v>
      </c>
      <c r="B1174" t="s">
        <v>1767</v>
      </c>
      <c r="C1174" s="32">
        <v>45464</v>
      </c>
      <c r="D1174" s="38">
        <v>79.150000000000006</v>
      </c>
      <c r="E1174" s="38">
        <v>80.8</v>
      </c>
      <c r="F1174" s="38">
        <v>85.59</v>
      </c>
      <c r="G1174" s="38">
        <v>88.6</v>
      </c>
      <c r="H1174" s="38">
        <v>98.76</v>
      </c>
      <c r="I1174" s="38">
        <v>102.78</v>
      </c>
      <c r="J1174" s="38">
        <v>103.5</v>
      </c>
      <c r="K1174" s="38">
        <v>103.47</v>
      </c>
      <c r="L1174" s="38">
        <v>99.43</v>
      </c>
      <c r="M1174" s="38">
        <v>94.76</v>
      </c>
      <c r="N1174" s="38">
        <v>90.91</v>
      </c>
      <c r="O1174" s="38">
        <v>88.85</v>
      </c>
      <c r="P1174" s="38">
        <v>87.17</v>
      </c>
      <c r="Q1174" s="38">
        <v>88.7</v>
      </c>
      <c r="R1174" s="38">
        <v>90.88</v>
      </c>
      <c r="S1174" s="38">
        <v>93.04</v>
      </c>
      <c r="T1174" s="38">
        <v>96.11</v>
      </c>
      <c r="U1174" s="38">
        <v>99.15</v>
      </c>
      <c r="V1174" s="38">
        <v>103.12</v>
      </c>
      <c r="W1174" s="38">
        <v>102.91</v>
      </c>
      <c r="X1174" s="38">
        <v>95.22</v>
      </c>
      <c r="Y1174" s="38">
        <v>80.209999999999994</v>
      </c>
      <c r="Z1174" s="38">
        <v>78.06</v>
      </c>
      <c r="AA1174" s="38">
        <v>75.47</v>
      </c>
      <c r="AB1174" s="38">
        <v>74.02</v>
      </c>
      <c r="AC1174" s="38">
        <v>74.58</v>
      </c>
      <c r="AD1174" s="38">
        <v>76.77</v>
      </c>
      <c r="AE1174" s="38">
        <v>80.42</v>
      </c>
      <c r="AF1174" s="38">
        <v>84.32</v>
      </c>
      <c r="AG1174" s="38">
        <v>87.39</v>
      </c>
      <c r="AH1174" s="38">
        <v>90.11</v>
      </c>
      <c r="AI1174" s="38">
        <v>89.08</v>
      </c>
      <c r="AJ1174" s="38">
        <v>84.93</v>
      </c>
      <c r="AK1174" s="38">
        <v>75.39</v>
      </c>
      <c r="AL1174" s="38">
        <v>70.56</v>
      </c>
      <c r="AM1174" s="38">
        <v>67.84</v>
      </c>
      <c r="AN1174" s="38">
        <v>66.94</v>
      </c>
      <c r="AO1174" s="38">
        <v>67.459999999999994</v>
      </c>
      <c r="AP1174" s="38">
        <v>70.44</v>
      </c>
      <c r="AQ1174" s="38">
        <v>74.709999999999994</v>
      </c>
      <c r="AR1174" s="38">
        <v>78.25</v>
      </c>
      <c r="AS1174" s="38">
        <v>81.459999999999994</v>
      </c>
      <c r="AT1174" s="38">
        <v>83.96</v>
      </c>
      <c r="AU1174" s="38">
        <v>82.94</v>
      </c>
      <c r="AV1174" s="38">
        <v>79.47</v>
      </c>
      <c r="AW1174" s="38">
        <v>72.19</v>
      </c>
      <c r="AX1174" s="38">
        <v>67.44</v>
      </c>
      <c r="AY1174" s="38">
        <v>66.290000000000006</v>
      </c>
      <c r="BA1174" s="37">
        <v>86.42</v>
      </c>
      <c r="BB1174" s="38">
        <v>1.2625999999999999</v>
      </c>
    </row>
    <row r="1175" spans="1:54" x14ac:dyDescent="0.35">
      <c r="A1175" s="2">
        <f t="shared" si="18"/>
        <v>45467</v>
      </c>
      <c r="B1175" t="s">
        <v>1768</v>
      </c>
      <c r="C1175" s="32">
        <v>45467</v>
      </c>
      <c r="D1175" s="38">
        <v>79.69</v>
      </c>
      <c r="E1175" s="38">
        <v>80.849999999999994</v>
      </c>
      <c r="F1175" s="38">
        <v>85.69</v>
      </c>
      <c r="G1175" s="38">
        <v>88.5</v>
      </c>
      <c r="H1175" s="38">
        <v>98.96</v>
      </c>
      <c r="I1175" s="38">
        <v>102.73</v>
      </c>
      <c r="J1175" s="38">
        <v>103.58</v>
      </c>
      <c r="K1175" s="38">
        <v>103.55</v>
      </c>
      <c r="L1175" s="38">
        <v>99.85</v>
      </c>
      <c r="M1175" s="38">
        <v>94.81</v>
      </c>
      <c r="N1175" s="38">
        <v>90.85</v>
      </c>
      <c r="O1175" s="38">
        <v>88.71</v>
      </c>
      <c r="P1175" s="38">
        <v>86.96</v>
      </c>
      <c r="Q1175" s="38">
        <v>88.49</v>
      </c>
      <c r="R1175" s="38">
        <v>90.67</v>
      </c>
      <c r="S1175" s="38">
        <v>92.93</v>
      </c>
      <c r="T1175" s="38">
        <v>96</v>
      </c>
      <c r="U1175" s="38">
        <v>99.03</v>
      </c>
      <c r="V1175" s="38">
        <v>102.92</v>
      </c>
      <c r="W1175" s="38">
        <v>102.64</v>
      </c>
      <c r="X1175" s="38">
        <v>94.88</v>
      </c>
      <c r="Y1175" s="38">
        <v>79.81</v>
      </c>
      <c r="Z1175" s="38">
        <v>77.66</v>
      </c>
      <c r="AA1175" s="38">
        <v>75.069999999999993</v>
      </c>
      <c r="AB1175" s="38">
        <v>73.62</v>
      </c>
      <c r="AC1175" s="38">
        <v>74.180000000000007</v>
      </c>
      <c r="AD1175" s="38">
        <v>76.37</v>
      </c>
      <c r="AE1175" s="38">
        <v>80.02</v>
      </c>
      <c r="AF1175" s="38">
        <v>83.92</v>
      </c>
      <c r="AG1175" s="38">
        <v>86.99</v>
      </c>
      <c r="AH1175" s="38">
        <v>89.71</v>
      </c>
      <c r="AI1175" s="38">
        <v>88.68</v>
      </c>
      <c r="AJ1175" s="38">
        <v>84.53</v>
      </c>
      <c r="AK1175" s="38">
        <v>74.59</v>
      </c>
      <c r="AL1175" s="38">
        <v>69.760000000000005</v>
      </c>
      <c r="AM1175" s="38">
        <v>67.040000000000006</v>
      </c>
      <c r="AN1175" s="38">
        <v>66.14</v>
      </c>
      <c r="AO1175" s="38">
        <v>66.66</v>
      </c>
      <c r="AP1175" s="38">
        <v>69.64</v>
      </c>
      <c r="AQ1175" s="38">
        <v>73.91</v>
      </c>
      <c r="AR1175" s="38">
        <v>77.45</v>
      </c>
      <c r="AS1175" s="38">
        <v>80.66</v>
      </c>
      <c r="AT1175" s="38">
        <v>83.16</v>
      </c>
      <c r="AU1175" s="38">
        <v>82.14</v>
      </c>
      <c r="AV1175" s="38">
        <v>78.67</v>
      </c>
      <c r="AW1175" s="38">
        <v>71.39</v>
      </c>
      <c r="AX1175" s="38">
        <v>66.64</v>
      </c>
      <c r="AY1175" s="38">
        <v>65.489999999999995</v>
      </c>
      <c r="BA1175" s="37">
        <v>86.75</v>
      </c>
      <c r="BB1175" s="38">
        <v>1.2687999999999999</v>
      </c>
    </row>
    <row r="1176" spans="1:54" x14ac:dyDescent="0.35">
      <c r="A1176" s="2">
        <f t="shared" si="18"/>
        <v>45468</v>
      </c>
      <c r="B1176" t="s">
        <v>1769</v>
      </c>
      <c r="C1176" s="32">
        <v>45468</v>
      </c>
      <c r="D1176" s="38">
        <v>81.59</v>
      </c>
      <c r="E1176" s="38">
        <v>82.9</v>
      </c>
      <c r="F1176" s="38">
        <v>87.39</v>
      </c>
      <c r="G1176" s="38">
        <v>89.99</v>
      </c>
      <c r="H1176" s="38">
        <v>100.22</v>
      </c>
      <c r="I1176" s="38">
        <v>103.93</v>
      </c>
      <c r="J1176" s="38">
        <v>104.73</v>
      </c>
      <c r="K1176" s="38">
        <v>104.68</v>
      </c>
      <c r="L1176" s="38">
        <v>101.33</v>
      </c>
      <c r="M1176" s="38">
        <v>95.63</v>
      </c>
      <c r="N1176" s="38">
        <v>91.81</v>
      </c>
      <c r="O1176" s="38">
        <v>89.95</v>
      </c>
      <c r="P1176" s="38">
        <v>88.22</v>
      </c>
      <c r="Q1176" s="38">
        <v>89.75</v>
      </c>
      <c r="R1176" s="38">
        <v>91.93</v>
      </c>
      <c r="S1176" s="38">
        <v>94.34</v>
      </c>
      <c r="T1176" s="38">
        <v>97.41</v>
      </c>
      <c r="U1176" s="38">
        <v>100.44</v>
      </c>
      <c r="V1176" s="38">
        <v>103.88</v>
      </c>
      <c r="W1176" s="38">
        <v>103.59</v>
      </c>
      <c r="X1176" s="38">
        <v>95.83</v>
      </c>
      <c r="Y1176" s="38">
        <v>80.16</v>
      </c>
      <c r="Z1176" s="38">
        <v>78</v>
      </c>
      <c r="AA1176" s="38">
        <v>75.41</v>
      </c>
      <c r="AB1176" s="38">
        <v>73.95</v>
      </c>
      <c r="AC1176" s="38">
        <v>74.510000000000005</v>
      </c>
      <c r="AD1176" s="38">
        <v>76.69</v>
      </c>
      <c r="AE1176" s="38">
        <v>80.34</v>
      </c>
      <c r="AF1176" s="38">
        <v>84.23</v>
      </c>
      <c r="AG1176" s="38">
        <v>87.29</v>
      </c>
      <c r="AH1176" s="38">
        <v>89.99</v>
      </c>
      <c r="AI1176" s="38">
        <v>88.92</v>
      </c>
      <c r="AJ1176" s="38">
        <v>84.71</v>
      </c>
      <c r="AK1176" s="38">
        <v>74.510000000000005</v>
      </c>
      <c r="AL1176" s="38">
        <v>70.17</v>
      </c>
      <c r="AM1176" s="38">
        <v>67.45</v>
      </c>
      <c r="AN1176" s="38">
        <v>66.55</v>
      </c>
      <c r="AO1176" s="38">
        <v>67.069999999999993</v>
      </c>
      <c r="AP1176" s="38">
        <v>70.05</v>
      </c>
      <c r="AQ1176" s="38">
        <v>74.319999999999993</v>
      </c>
      <c r="AR1176" s="38">
        <v>77.86</v>
      </c>
      <c r="AS1176" s="38">
        <v>81.069999999999993</v>
      </c>
      <c r="AT1176" s="38">
        <v>83.57</v>
      </c>
      <c r="AU1176" s="38">
        <v>82.55</v>
      </c>
      <c r="AV1176" s="38">
        <v>79.08</v>
      </c>
      <c r="AW1176" s="38">
        <v>71.8</v>
      </c>
      <c r="AX1176" s="38">
        <v>66.849999999999994</v>
      </c>
      <c r="AY1176" s="38">
        <v>65.7</v>
      </c>
      <c r="BA1176" s="37">
        <v>86.81</v>
      </c>
      <c r="BB1176" s="38">
        <v>1.2672000000000001</v>
      </c>
    </row>
    <row r="1177" spans="1:54" x14ac:dyDescent="0.35">
      <c r="A1177" s="2">
        <f t="shared" si="18"/>
        <v>45469</v>
      </c>
      <c r="B1177" t="s">
        <v>1770</v>
      </c>
      <c r="C1177" s="32">
        <v>45469</v>
      </c>
      <c r="D1177" s="38">
        <v>79.010000000000005</v>
      </c>
      <c r="E1177" s="38">
        <v>80.52</v>
      </c>
      <c r="F1177" s="38">
        <v>84.74</v>
      </c>
      <c r="G1177" s="38">
        <v>87.66</v>
      </c>
      <c r="H1177" s="38">
        <v>97.97</v>
      </c>
      <c r="I1177" s="38">
        <v>101.82</v>
      </c>
      <c r="J1177" s="38">
        <v>102.78</v>
      </c>
      <c r="K1177" s="38">
        <v>102.73</v>
      </c>
      <c r="L1177" s="38">
        <v>99.38</v>
      </c>
      <c r="M1177" s="38">
        <v>93.78</v>
      </c>
      <c r="N1177" s="38">
        <v>90.45</v>
      </c>
      <c r="O1177" s="38">
        <v>88.59</v>
      </c>
      <c r="P1177" s="38">
        <v>86.86</v>
      </c>
      <c r="Q1177" s="38">
        <v>88.39</v>
      </c>
      <c r="R1177" s="38">
        <v>90.57</v>
      </c>
      <c r="S1177" s="38">
        <v>92.88</v>
      </c>
      <c r="T1177" s="38">
        <v>95.95</v>
      </c>
      <c r="U1177" s="38">
        <v>98.98</v>
      </c>
      <c r="V1177" s="38">
        <v>102.42</v>
      </c>
      <c r="W1177" s="38">
        <v>102.13</v>
      </c>
      <c r="X1177" s="38">
        <v>94.37</v>
      </c>
      <c r="Y1177" s="38">
        <v>78.7</v>
      </c>
      <c r="Z1177" s="38">
        <v>76.540000000000006</v>
      </c>
      <c r="AA1177" s="38">
        <v>73.95</v>
      </c>
      <c r="AB1177" s="38">
        <v>72.489999999999995</v>
      </c>
      <c r="AC1177" s="38">
        <v>73.05</v>
      </c>
      <c r="AD1177" s="38">
        <v>75.23</v>
      </c>
      <c r="AE1177" s="38">
        <v>78.58</v>
      </c>
      <c r="AF1177" s="38">
        <v>82.47</v>
      </c>
      <c r="AG1177" s="38">
        <v>85.53</v>
      </c>
      <c r="AH1177" s="38">
        <v>88.23</v>
      </c>
      <c r="AI1177" s="38">
        <v>87.16</v>
      </c>
      <c r="AJ1177" s="38">
        <v>82.95</v>
      </c>
      <c r="AK1177" s="38">
        <v>73.45</v>
      </c>
      <c r="AL1177" s="38">
        <v>69.11</v>
      </c>
      <c r="AM1177" s="38">
        <v>66.39</v>
      </c>
      <c r="AN1177" s="38">
        <v>65.489999999999995</v>
      </c>
      <c r="AO1177" s="38">
        <v>66.010000000000005</v>
      </c>
      <c r="AP1177" s="38">
        <v>68.989999999999995</v>
      </c>
      <c r="AQ1177" s="38">
        <v>73.260000000000005</v>
      </c>
      <c r="AR1177" s="38">
        <v>76.8</v>
      </c>
      <c r="AS1177" s="38">
        <v>80.010000000000005</v>
      </c>
      <c r="AT1177" s="38">
        <v>82.51</v>
      </c>
      <c r="AU1177" s="38">
        <v>81.489999999999995</v>
      </c>
      <c r="AV1177" s="38">
        <v>78.02</v>
      </c>
      <c r="AW1177" s="38">
        <v>70.739999999999995</v>
      </c>
      <c r="AX1177" s="38">
        <v>65.790000000000006</v>
      </c>
      <c r="AY1177" s="38">
        <v>64.64</v>
      </c>
      <c r="BA1177" s="37">
        <v>85.76</v>
      </c>
      <c r="BB1177" s="38">
        <v>1.2623</v>
      </c>
    </row>
    <row r="1178" spans="1:54" x14ac:dyDescent="0.35">
      <c r="A1178" s="2">
        <f t="shared" si="18"/>
        <v>45470</v>
      </c>
      <c r="B1178" t="s">
        <v>1771</v>
      </c>
      <c r="C1178" s="32">
        <v>45470</v>
      </c>
      <c r="D1178" s="38">
        <v>80.760000000000005</v>
      </c>
      <c r="E1178" s="38">
        <v>82.36</v>
      </c>
      <c r="F1178" s="38">
        <v>86.65</v>
      </c>
      <c r="G1178" s="38">
        <v>89.06</v>
      </c>
      <c r="H1178" s="38">
        <v>99.21</v>
      </c>
      <c r="I1178" s="38">
        <v>103.17</v>
      </c>
      <c r="J1178" s="38">
        <v>104.22</v>
      </c>
      <c r="K1178" s="38">
        <v>104.17</v>
      </c>
      <c r="L1178" s="38">
        <v>100.82</v>
      </c>
      <c r="M1178" s="38">
        <v>95.57</v>
      </c>
      <c r="N1178" s="38">
        <v>92.32</v>
      </c>
      <c r="O1178" s="38">
        <v>90.46</v>
      </c>
      <c r="P1178" s="38">
        <v>88.78</v>
      </c>
      <c r="Q1178" s="38">
        <v>90.31</v>
      </c>
      <c r="R1178" s="38">
        <v>91.49</v>
      </c>
      <c r="S1178" s="38">
        <v>92.8</v>
      </c>
      <c r="T1178" s="38">
        <v>97.3</v>
      </c>
      <c r="U1178" s="38">
        <v>101</v>
      </c>
      <c r="V1178" s="38">
        <v>104.04</v>
      </c>
      <c r="W1178" s="38">
        <v>103.75</v>
      </c>
      <c r="X1178" s="38">
        <v>95.99</v>
      </c>
      <c r="Y1178" s="38">
        <v>79.84</v>
      </c>
      <c r="Z1178" s="38">
        <v>77.680000000000007</v>
      </c>
      <c r="AA1178" s="38">
        <v>75.09</v>
      </c>
      <c r="AB1178" s="38">
        <v>73.63</v>
      </c>
      <c r="AC1178" s="38">
        <v>74.19</v>
      </c>
      <c r="AD1178" s="38">
        <v>76.37</v>
      </c>
      <c r="AE1178" s="38">
        <v>80.02</v>
      </c>
      <c r="AF1178" s="38">
        <v>83.9</v>
      </c>
      <c r="AG1178" s="38">
        <v>86.95</v>
      </c>
      <c r="AH1178" s="38">
        <v>89.64</v>
      </c>
      <c r="AI1178" s="38">
        <v>88.55</v>
      </c>
      <c r="AJ1178" s="38">
        <v>84.31</v>
      </c>
      <c r="AK1178" s="38">
        <v>73.92</v>
      </c>
      <c r="AL1178" s="38">
        <v>69.58</v>
      </c>
      <c r="AM1178" s="38">
        <v>66.86</v>
      </c>
      <c r="AN1178" s="38">
        <v>65.959999999999994</v>
      </c>
      <c r="AO1178" s="38">
        <v>66.48</v>
      </c>
      <c r="AP1178" s="38">
        <v>69.459999999999994</v>
      </c>
      <c r="AQ1178" s="38">
        <v>74.13</v>
      </c>
      <c r="AR1178" s="38">
        <v>77.67</v>
      </c>
      <c r="AS1178" s="38">
        <v>80.88</v>
      </c>
      <c r="AT1178" s="38">
        <v>83.38</v>
      </c>
      <c r="AU1178" s="38">
        <v>82.36</v>
      </c>
      <c r="AV1178" s="38">
        <v>78.89</v>
      </c>
      <c r="AW1178" s="38">
        <v>71.61</v>
      </c>
      <c r="AX1178" s="38">
        <v>66.66</v>
      </c>
      <c r="AY1178" s="38">
        <v>65.510000000000005</v>
      </c>
      <c r="BA1178" s="37">
        <v>87</v>
      </c>
      <c r="BB1178" s="38">
        <v>1.2650999999999999</v>
      </c>
    </row>
    <row r="1179" spans="1:54" x14ac:dyDescent="0.35">
      <c r="A1179" s="2">
        <f t="shared" si="18"/>
        <v>45471</v>
      </c>
      <c r="B1179" t="s">
        <v>1772</v>
      </c>
      <c r="C1179" s="32">
        <v>45471</v>
      </c>
      <c r="D1179" s="38">
        <v>81.349999999999994</v>
      </c>
      <c r="E1179" s="38">
        <v>85.74</v>
      </c>
      <c r="F1179" s="38">
        <v>88.63</v>
      </c>
      <c r="G1179" s="38">
        <v>99.5</v>
      </c>
      <c r="H1179" s="38">
        <v>103.56</v>
      </c>
      <c r="I1179" s="38">
        <v>104.6</v>
      </c>
      <c r="J1179" s="38">
        <v>104.53</v>
      </c>
      <c r="K1179" s="38">
        <v>101.09</v>
      </c>
      <c r="L1179" s="38">
        <v>95.65</v>
      </c>
      <c r="M1179" s="38">
        <v>92.4</v>
      </c>
      <c r="N1179" s="38">
        <v>90.54</v>
      </c>
      <c r="O1179" s="38">
        <v>89.06</v>
      </c>
      <c r="P1179" s="38">
        <v>90.59</v>
      </c>
      <c r="Q1179" s="38">
        <v>91.77</v>
      </c>
      <c r="R1179" s="38">
        <v>93.18</v>
      </c>
      <c r="S1179" s="38">
        <v>97.69</v>
      </c>
      <c r="T1179" s="38">
        <v>101.39</v>
      </c>
      <c r="U1179" s="38">
        <v>104.43</v>
      </c>
      <c r="V1179" s="38">
        <v>104.15</v>
      </c>
      <c r="W1179" s="38">
        <v>96.39</v>
      </c>
      <c r="X1179" s="38">
        <v>80.25</v>
      </c>
      <c r="Y1179" s="38">
        <v>78.09</v>
      </c>
      <c r="Z1179" s="38">
        <v>75.5</v>
      </c>
      <c r="AA1179" s="38">
        <v>74.05</v>
      </c>
      <c r="AB1179" s="38">
        <v>74.61</v>
      </c>
      <c r="AC1179" s="38">
        <v>76.790000000000006</v>
      </c>
      <c r="AD1179" s="38">
        <v>80.81</v>
      </c>
      <c r="AE1179" s="38">
        <v>84.69</v>
      </c>
      <c r="AF1179" s="38">
        <v>87.74</v>
      </c>
      <c r="AG1179" s="38">
        <v>90.43</v>
      </c>
      <c r="AH1179" s="38">
        <v>89.34</v>
      </c>
      <c r="AI1179" s="38">
        <v>85.1</v>
      </c>
      <c r="AJ1179" s="38">
        <v>73.959999999999994</v>
      </c>
      <c r="AK1179" s="38">
        <v>69.92</v>
      </c>
      <c r="AL1179" s="38">
        <v>67.2</v>
      </c>
      <c r="AM1179" s="38">
        <v>66.3</v>
      </c>
      <c r="AN1179" s="38">
        <v>66.819999999999993</v>
      </c>
      <c r="AO1179" s="38">
        <v>69.8</v>
      </c>
      <c r="AP1179" s="38">
        <v>74.47</v>
      </c>
      <c r="AQ1179" s="38">
        <v>78.010000000000005</v>
      </c>
      <c r="AR1179" s="38">
        <v>81.22</v>
      </c>
      <c r="AS1179" s="38">
        <v>83.72</v>
      </c>
      <c r="AT1179" s="38">
        <v>82.7</v>
      </c>
      <c r="AU1179" s="38">
        <v>79.23</v>
      </c>
      <c r="AV1179" s="38">
        <v>71.95</v>
      </c>
      <c r="AW1179" s="38">
        <v>67</v>
      </c>
      <c r="AX1179" s="38">
        <v>65.849999999999994</v>
      </c>
      <c r="AY1179" s="38">
        <v>64.27</v>
      </c>
      <c r="BA1179" s="37">
        <v>87.26</v>
      </c>
      <c r="BB1179" s="38">
        <v>1.2642</v>
      </c>
    </row>
    <row r="1180" spans="1:54" x14ac:dyDescent="0.35">
      <c r="A1180" s="2">
        <f t="shared" si="18"/>
        <v>45474</v>
      </c>
      <c r="B1180" t="s">
        <v>1773</v>
      </c>
      <c r="C1180" s="32">
        <v>45474</v>
      </c>
      <c r="D1180" s="38">
        <v>78.3</v>
      </c>
      <c r="E1180" s="38">
        <v>83.16</v>
      </c>
      <c r="F1180" s="38">
        <v>86.64</v>
      </c>
      <c r="G1180" s="38">
        <v>97.95</v>
      </c>
      <c r="H1180" s="38">
        <v>102</v>
      </c>
      <c r="I1180" s="38">
        <v>103.33</v>
      </c>
      <c r="J1180" s="38">
        <v>103.4</v>
      </c>
      <c r="K1180" s="38">
        <v>99.96</v>
      </c>
      <c r="L1180" s="38">
        <v>95.01</v>
      </c>
      <c r="M1180" s="38">
        <v>91.37</v>
      </c>
      <c r="N1180" s="38">
        <v>89.58</v>
      </c>
      <c r="O1180" s="38">
        <v>88.14</v>
      </c>
      <c r="P1180" s="38">
        <v>89.7</v>
      </c>
      <c r="Q1180" s="38">
        <v>90.89</v>
      </c>
      <c r="R1180" s="38">
        <v>92.27</v>
      </c>
      <c r="S1180" s="38">
        <v>96.73</v>
      </c>
      <c r="T1180" s="38">
        <v>100.5</v>
      </c>
      <c r="U1180" s="38">
        <v>103.53</v>
      </c>
      <c r="V1180" s="38">
        <v>103.41</v>
      </c>
      <c r="W1180" s="38">
        <v>95.63</v>
      </c>
      <c r="X1180" s="38">
        <v>79.8</v>
      </c>
      <c r="Y1180" s="38">
        <v>77.650000000000006</v>
      </c>
      <c r="Z1180" s="38">
        <v>75.06</v>
      </c>
      <c r="AA1180" s="38">
        <v>73.62</v>
      </c>
      <c r="AB1180" s="38">
        <v>74.17</v>
      </c>
      <c r="AC1180" s="38">
        <v>76.36</v>
      </c>
      <c r="AD1180" s="38">
        <v>80.48</v>
      </c>
      <c r="AE1180" s="38">
        <v>84.32</v>
      </c>
      <c r="AF1180" s="38">
        <v>87.37</v>
      </c>
      <c r="AG1180" s="38">
        <v>89.92</v>
      </c>
      <c r="AH1180" s="38">
        <v>88.81</v>
      </c>
      <c r="AI1180" s="38">
        <v>84.55</v>
      </c>
      <c r="AJ1180" s="38">
        <v>73.23</v>
      </c>
      <c r="AK1180" s="38">
        <v>69.19</v>
      </c>
      <c r="AL1180" s="38">
        <v>66.45</v>
      </c>
      <c r="AM1180" s="38">
        <v>65.55</v>
      </c>
      <c r="AN1180" s="38">
        <v>66.069999999999993</v>
      </c>
      <c r="AO1180" s="38">
        <v>69.05</v>
      </c>
      <c r="AP1180" s="38">
        <v>74.13</v>
      </c>
      <c r="AQ1180" s="38">
        <v>77.69</v>
      </c>
      <c r="AR1180" s="38">
        <v>80.900000000000006</v>
      </c>
      <c r="AS1180" s="38">
        <v>83.4</v>
      </c>
      <c r="AT1180" s="38">
        <v>82.4</v>
      </c>
      <c r="AU1180" s="38">
        <v>78.930000000000007</v>
      </c>
      <c r="AV1180" s="38">
        <v>71.56</v>
      </c>
      <c r="AW1180" s="38">
        <v>66.61</v>
      </c>
      <c r="AX1180" s="38">
        <v>65.459999999999994</v>
      </c>
      <c r="AY1180" s="38">
        <v>63.88</v>
      </c>
      <c r="BA1180" s="37">
        <v>86.57</v>
      </c>
      <c r="BB1180" s="38">
        <v>1.2646999999999999</v>
      </c>
    </row>
    <row r="1181" spans="1:54" x14ac:dyDescent="0.35">
      <c r="A1181" s="2">
        <f t="shared" si="18"/>
        <v>45475</v>
      </c>
      <c r="B1181" t="s">
        <v>1774</v>
      </c>
      <c r="C1181" s="32">
        <v>45475</v>
      </c>
      <c r="D1181" s="38">
        <v>78.73</v>
      </c>
      <c r="E1181" s="38">
        <v>83.89</v>
      </c>
      <c r="F1181" s="38">
        <v>87.56</v>
      </c>
      <c r="G1181" s="38">
        <v>99.21</v>
      </c>
      <c r="H1181" s="38">
        <v>103.26</v>
      </c>
      <c r="I1181" s="38">
        <v>104.52</v>
      </c>
      <c r="J1181" s="38">
        <v>104.52</v>
      </c>
      <c r="K1181" s="38">
        <v>100.99</v>
      </c>
      <c r="L1181" s="38">
        <v>95.98</v>
      </c>
      <c r="M1181" s="38">
        <v>92.82</v>
      </c>
      <c r="N1181" s="38">
        <v>91.05</v>
      </c>
      <c r="O1181" s="38">
        <v>89.59</v>
      </c>
      <c r="P1181" s="38">
        <v>91.17</v>
      </c>
      <c r="Q1181" s="38">
        <v>92.42</v>
      </c>
      <c r="R1181" s="38">
        <v>93.85</v>
      </c>
      <c r="S1181" s="38">
        <v>98.27</v>
      </c>
      <c r="T1181" s="38">
        <v>101.93</v>
      </c>
      <c r="U1181" s="38">
        <v>104.92</v>
      </c>
      <c r="V1181" s="38">
        <v>104.93</v>
      </c>
      <c r="W1181" s="38">
        <v>97.16</v>
      </c>
      <c r="X1181" s="38">
        <v>80.75</v>
      </c>
      <c r="Y1181" s="38">
        <v>78.599999999999994</v>
      </c>
      <c r="Z1181" s="38">
        <v>76</v>
      </c>
      <c r="AA1181" s="38">
        <v>74.56</v>
      </c>
      <c r="AB1181" s="38">
        <v>75.12</v>
      </c>
      <c r="AC1181" s="38">
        <v>77.319999999999993</v>
      </c>
      <c r="AD1181" s="38">
        <v>81.23</v>
      </c>
      <c r="AE1181" s="38">
        <v>85.09</v>
      </c>
      <c r="AF1181" s="38">
        <v>88.18</v>
      </c>
      <c r="AG1181" s="38">
        <v>90.78</v>
      </c>
      <c r="AH1181" s="38">
        <v>89.72</v>
      </c>
      <c r="AI1181" s="38">
        <v>85.48</v>
      </c>
      <c r="AJ1181" s="38">
        <v>74.05</v>
      </c>
      <c r="AK1181" s="38">
        <v>70.02</v>
      </c>
      <c r="AL1181" s="38">
        <v>67.290000000000006</v>
      </c>
      <c r="AM1181" s="38">
        <v>66.400000000000006</v>
      </c>
      <c r="AN1181" s="38">
        <v>66.930000000000007</v>
      </c>
      <c r="AO1181" s="38">
        <v>69.91</v>
      </c>
      <c r="AP1181" s="38">
        <v>74.97</v>
      </c>
      <c r="AQ1181" s="38">
        <v>78.55</v>
      </c>
      <c r="AR1181" s="38">
        <v>81.75</v>
      </c>
      <c r="AS1181" s="38">
        <v>84.2</v>
      </c>
      <c r="AT1181" s="38">
        <v>83.2</v>
      </c>
      <c r="AU1181" s="38">
        <v>79.739999999999995</v>
      </c>
      <c r="AV1181" s="38">
        <v>72.25</v>
      </c>
      <c r="AW1181" s="38">
        <v>67.3</v>
      </c>
      <c r="AX1181" s="38">
        <v>66.150000000000006</v>
      </c>
      <c r="AY1181" s="38">
        <v>64.59</v>
      </c>
      <c r="BA1181" s="37">
        <v>88.28</v>
      </c>
      <c r="BB1181" s="38">
        <v>1.2676000000000001</v>
      </c>
    </row>
    <row r="1182" spans="1:54" x14ac:dyDescent="0.35">
      <c r="A1182" s="2">
        <f t="shared" si="18"/>
        <v>45476</v>
      </c>
      <c r="B1182" t="s">
        <v>1775</v>
      </c>
      <c r="C1182" s="32">
        <v>45476</v>
      </c>
      <c r="D1182" s="38">
        <v>75.97</v>
      </c>
      <c r="E1182" s="38">
        <v>81.319999999999993</v>
      </c>
      <c r="F1182" s="38">
        <v>85.11</v>
      </c>
      <c r="G1182" s="38">
        <v>97.06</v>
      </c>
      <c r="H1182" s="38">
        <v>101.49</v>
      </c>
      <c r="I1182" s="38">
        <v>102.76</v>
      </c>
      <c r="J1182" s="38">
        <v>102.86</v>
      </c>
      <c r="K1182" s="38">
        <v>99.29</v>
      </c>
      <c r="L1182" s="38">
        <v>94.45</v>
      </c>
      <c r="M1182" s="38">
        <v>91.42</v>
      </c>
      <c r="N1182" s="38">
        <v>89.78</v>
      </c>
      <c r="O1182" s="38">
        <v>88.53</v>
      </c>
      <c r="P1182" s="38">
        <v>90.16</v>
      </c>
      <c r="Q1182" s="38">
        <v>91.41</v>
      </c>
      <c r="R1182" s="38">
        <v>92.72</v>
      </c>
      <c r="S1182" s="38">
        <v>97.1</v>
      </c>
      <c r="T1182" s="38">
        <v>100.76</v>
      </c>
      <c r="U1182" s="38">
        <v>103.75</v>
      </c>
      <c r="V1182" s="38">
        <v>103.78</v>
      </c>
      <c r="W1182" s="38">
        <v>96.19</v>
      </c>
      <c r="X1182" s="38">
        <v>80.290000000000006</v>
      </c>
      <c r="Y1182" s="38">
        <v>78.45</v>
      </c>
      <c r="Z1182" s="38">
        <v>75.849999999999994</v>
      </c>
      <c r="AA1182" s="38">
        <v>74.41</v>
      </c>
      <c r="AB1182" s="38">
        <v>74.98</v>
      </c>
      <c r="AC1182" s="38">
        <v>77.180000000000007</v>
      </c>
      <c r="AD1182" s="38">
        <v>81.069999999999993</v>
      </c>
      <c r="AE1182" s="38">
        <v>84.93</v>
      </c>
      <c r="AF1182" s="38">
        <v>88.02</v>
      </c>
      <c r="AG1182" s="38">
        <v>90.45</v>
      </c>
      <c r="AH1182" s="38">
        <v>89.37</v>
      </c>
      <c r="AI1182" s="38">
        <v>85.13</v>
      </c>
      <c r="AJ1182" s="38">
        <v>73.78</v>
      </c>
      <c r="AK1182" s="38">
        <v>69.75</v>
      </c>
      <c r="AL1182" s="38">
        <v>67.02</v>
      </c>
      <c r="AM1182" s="38">
        <v>66.13</v>
      </c>
      <c r="AN1182" s="38">
        <v>66.66</v>
      </c>
      <c r="AO1182" s="38">
        <v>69.64</v>
      </c>
      <c r="AP1182" s="38">
        <v>74.7</v>
      </c>
      <c r="AQ1182" s="38">
        <v>78.28</v>
      </c>
      <c r="AR1182" s="38">
        <v>81.48</v>
      </c>
      <c r="AS1182" s="38">
        <v>83.95</v>
      </c>
      <c r="AT1182" s="38">
        <v>82.96</v>
      </c>
      <c r="AU1182" s="38">
        <v>79.5</v>
      </c>
      <c r="AV1182" s="38">
        <v>71.900000000000006</v>
      </c>
      <c r="AW1182" s="38">
        <v>66.95</v>
      </c>
      <c r="AX1182" s="38">
        <v>65.8</v>
      </c>
      <c r="AY1182" s="38">
        <v>64.239999999999995</v>
      </c>
      <c r="BA1182" s="37">
        <v>88.25</v>
      </c>
      <c r="BB1182" s="38">
        <v>1.2762</v>
      </c>
    </row>
    <row r="1183" spans="1:54" x14ac:dyDescent="0.35">
      <c r="A1183" s="2">
        <f t="shared" si="18"/>
        <v>45477</v>
      </c>
      <c r="B1183" t="s">
        <v>1776</v>
      </c>
      <c r="C1183" s="32">
        <v>45477</v>
      </c>
      <c r="D1183" s="38">
        <v>77.98</v>
      </c>
      <c r="E1183" s="38">
        <v>82.8</v>
      </c>
      <c r="F1183" s="38">
        <v>86.13</v>
      </c>
      <c r="G1183" s="38">
        <v>97.75</v>
      </c>
      <c r="H1183" s="38">
        <v>102.31</v>
      </c>
      <c r="I1183" s="38">
        <v>103.48</v>
      </c>
      <c r="J1183" s="38">
        <v>103.64</v>
      </c>
      <c r="K1183" s="38">
        <v>100.11</v>
      </c>
      <c r="L1183" s="38">
        <v>95.25</v>
      </c>
      <c r="M1183" s="38">
        <v>92.72</v>
      </c>
      <c r="N1183" s="38">
        <v>91.04</v>
      </c>
      <c r="O1183" s="38">
        <v>89.55</v>
      </c>
      <c r="P1183" s="38">
        <v>91.18</v>
      </c>
      <c r="Q1183" s="38">
        <v>92.43</v>
      </c>
      <c r="R1183" s="38">
        <v>93.73</v>
      </c>
      <c r="S1183" s="38">
        <v>98.15</v>
      </c>
      <c r="T1183" s="38">
        <v>101.85</v>
      </c>
      <c r="U1183" s="38">
        <v>104.84</v>
      </c>
      <c r="V1183" s="38">
        <v>104.87</v>
      </c>
      <c r="W1183" s="38">
        <v>97.28</v>
      </c>
      <c r="X1183" s="38">
        <v>81.06</v>
      </c>
      <c r="Y1183" s="38">
        <v>79.22</v>
      </c>
      <c r="Z1183" s="38">
        <v>76.62</v>
      </c>
      <c r="AA1183" s="38">
        <v>75.36</v>
      </c>
      <c r="AB1183" s="38">
        <v>75.930000000000007</v>
      </c>
      <c r="AC1183" s="38">
        <v>78.13</v>
      </c>
      <c r="AD1183" s="38">
        <v>81.75</v>
      </c>
      <c r="AE1183" s="38">
        <v>85.61</v>
      </c>
      <c r="AF1183" s="38">
        <v>88.7</v>
      </c>
      <c r="AG1183" s="38">
        <v>91.13</v>
      </c>
      <c r="AH1183" s="38">
        <v>90.05</v>
      </c>
      <c r="AI1183" s="38">
        <v>85.81</v>
      </c>
      <c r="AJ1183" s="38">
        <v>74.09</v>
      </c>
      <c r="AK1183" s="38">
        <v>70.06</v>
      </c>
      <c r="AL1183" s="38">
        <v>67.33</v>
      </c>
      <c r="AM1183" s="38">
        <v>66.760000000000005</v>
      </c>
      <c r="AN1183" s="38">
        <v>67.290000000000006</v>
      </c>
      <c r="AO1183" s="38">
        <v>70.27</v>
      </c>
      <c r="AP1183" s="38">
        <v>75.040000000000006</v>
      </c>
      <c r="AQ1183" s="38">
        <v>78.88</v>
      </c>
      <c r="AR1183" s="38">
        <v>82.08</v>
      </c>
      <c r="AS1183" s="38">
        <v>84.44</v>
      </c>
      <c r="AT1183" s="38">
        <v>83.45</v>
      </c>
      <c r="AU1183" s="38">
        <v>79.989999999999995</v>
      </c>
      <c r="AV1183" s="38">
        <v>72.39</v>
      </c>
      <c r="AW1183" s="38">
        <v>67.44</v>
      </c>
      <c r="AX1183" s="38">
        <v>66.290000000000006</v>
      </c>
      <c r="AY1183" s="38">
        <v>64.72</v>
      </c>
      <c r="BA1183" s="37">
        <v>88.34</v>
      </c>
      <c r="BB1183" s="38">
        <v>1.2762</v>
      </c>
    </row>
    <row r="1184" spans="1:54" x14ac:dyDescent="0.35">
      <c r="A1184" s="2">
        <f t="shared" si="18"/>
        <v>45478</v>
      </c>
      <c r="B1184" t="s">
        <v>1777</v>
      </c>
      <c r="C1184" s="32">
        <v>45478</v>
      </c>
      <c r="D1184" s="38">
        <v>77.27</v>
      </c>
      <c r="E1184" s="38">
        <v>81.98</v>
      </c>
      <c r="F1184" s="38">
        <v>85.45</v>
      </c>
      <c r="G1184" s="38">
        <v>96.72</v>
      </c>
      <c r="H1184" s="38">
        <v>101.31</v>
      </c>
      <c r="I1184" s="38">
        <v>102.51</v>
      </c>
      <c r="J1184" s="38">
        <v>102.56</v>
      </c>
      <c r="K1184" s="38">
        <v>99.01</v>
      </c>
      <c r="L1184" s="38">
        <v>94.2</v>
      </c>
      <c r="M1184" s="38">
        <v>91.7</v>
      </c>
      <c r="N1184" s="38">
        <v>89.98</v>
      </c>
      <c r="O1184" s="38">
        <v>88.55</v>
      </c>
      <c r="P1184" s="38">
        <v>90.2</v>
      </c>
      <c r="Q1184" s="38">
        <v>91.45</v>
      </c>
      <c r="R1184" s="38">
        <v>92.67</v>
      </c>
      <c r="S1184" s="38">
        <v>97.12</v>
      </c>
      <c r="T1184" s="38">
        <v>100.97</v>
      </c>
      <c r="U1184" s="38">
        <v>103.91</v>
      </c>
      <c r="V1184" s="38">
        <v>103.91</v>
      </c>
      <c r="W1184" s="38">
        <v>96.35</v>
      </c>
      <c r="X1184" s="38">
        <v>80.97</v>
      </c>
      <c r="Y1184" s="38">
        <v>79.150000000000006</v>
      </c>
      <c r="Z1184" s="38">
        <v>76.55</v>
      </c>
      <c r="AA1184" s="38">
        <v>75.290000000000006</v>
      </c>
      <c r="AB1184" s="38">
        <v>75.87</v>
      </c>
      <c r="AC1184" s="38">
        <v>78.040000000000006</v>
      </c>
      <c r="AD1184" s="38">
        <v>81.790000000000006</v>
      </c>
      <c r="AE1184" s="38">
        <v>85.65</v>
      </c>
      <c r="AF1184" s="38">
        <v>88.76</v>
      </c>
      <c r="AG1184" s="38">
        <v>91.31</v>
      </c>
      <c r="AH1184" s="38">
        <v>90.24</v>
      </c>
      <c r="AI1184" s="38">
        <v>86</v>
      </c>
      <c r="AJ1184" s="38">
        <v>73.209999999999994</v>
      </c>
      <c r="AK1184" s="38">
        <v>70.39</v>
      </c>
      <c r="AL1184" s="38">
        <v>67.66</v>
      </c>
      <c r="AM1184" s="38">
        <v>67.150000000000006</v>
      </c>
      <c r="AN1184" s="38">
        <v>67.7</v>
      </c>
      <c r="AO1184" s="38">
        <v>70.680000000000007</v>
      </c>
      <c r="AP1184" s="38">
        <v>75.319999999999993</v>
      </c>
      <c r="AQ1184" s="38">
        <v>79.180000000000007</v>
      </c>
      <c r="AR1184" s="38">
        <v>82.38</v>
      </c>
      <c r="AS1184" s="38">
        <v>84.63</v>
      </c>
      <c r="AT1184" s="38">
        <v>83.63</v>
      </c>
      <c r="AU1184" s="38">
        <v>80.180000000000007</v>
      </c>
      <c r="AV1184" s="38">
        <v>72.42</v>
      </c>
      <c r="AW1184" s="38">
        <v>67.459999999999994</v>
      </c>
      <c r="AX1184" s="38">
        <v>66.31</v>
      </c>
      <c r="AY1184" s="38">
        <v>64.739999999999995</v>
      </c>
      <c r="BA1184" s="37">
        <v>88.66</v>
      </c>
      <c r="BB1184" s="38">
        <v>1.2798</v>
      </c>
    </row>
    <row r="1185" spans="1:54" x14ac:dyDescent="0.35">
      <c r="A1185" s="2">
        <f t="shared" si="18"/>
        <v>45481</v>
      </c>
      <c r="B1185" t="s">
        <v>1778</v>
      </c>
      <c r="C1185" s="32">
        <v>45481</v>
      </c>
      <c r="D1185" s="38">
        <v>75</v>
      </c>
      <c r="E1185" s="38">
        <v>80.03</v>
      </c>
      <c r="F1185" s="38">
        <v>83.64</v>
      </c>
      <c r="G1185" s="38">
        <v>95.39</v>
      </c>
      <c r="H1185" s="38">
        <v>99.75</v>
      </c>
      <c r="I1185" s="38">
        <v>101.02</v>
      </c>
      <c r="J1185" s="38">
        <v>101.18</v>
      </c>
      <c r="K1185" s="38">
        <v>97.78</v>
      </c>
      <c r="L1185" s="38">
        <v>93.2</v>
      </c>
      <c r="M1185" s="38">
        <v>90.7</v>
      </c>
      <c r="N1185" s="38">
        <v>88.98</v>
      </c>
      <c r="O1185" s="38">
        <v>87.55</v>
      </c>
      <c r="P1185" s="38">
        <v>89.2</v>
      </c>
      <c r="Q1185" s="38">
        <v>90.46</v>
      </c>
      <c r="R1185" s="38">
        <v>91.72</v>
      </c>
      <c r="S1185" s="38">
        <v>96.17</v>
      </c>
      <c r="T1185" s="38">
        <v>100.02</v>
      </c>
      <c r="U1185" s="38">
        <v>102.96</v>
      </c>
      <c r="V1185" s="38">
        <v>102.96</v>
      </c>
      <c r="W1185" s="38">
        <v>95.4</v>
      </c>
      <c r="X1185" s="38">
        <v>80.02</v>
      </c>
      <c r="Y1185" s="38">
        <v>78.2</v>
      </c>
      <c r="Z1185" s="38">
        <v>75.599999999999994</v>
      </c>
      <c r="AA1185" s="38">
        <v>74.34</v>
      </c>
      <c r="AB1185" s="38">
        <v>74.92</v>
      </c>
      <c r="AC1185" s="38">
        <v>77.09</v>
      </c>
      <c r="AD1185" s="38">
        <v>80.84</v>
      </c>
      <c r="AE1185" s="38">
        <v>84.7</v>
      </c>
      <c r="AF1185" s="38">
        <v>87.81</v>
      </c>
      <c r="AG1185" s="38">
        <v>90.36</v>
      </c>
      <c r="AH1185" s="38">
        <v>89.29</v>
      </c>
      <c r="AI1185" s="38">
        <v>85.05</v>
      </c>
      <c r="AJ1185" s="38">
        <v>72.260000000000005</v>
      </c>
      <c r="AK1185" s="38">
        <v>69.44</v>
      </c>
      <c r="AL1185" s="38">
        <v>66.709999999999994</v>
      </c>
      <c r="AM1185" s="38">
        <v>66.2</v>
      </c>
      <c r="AN1185" s="38">
        <v>66.75</v>
      </c>
      <c r="AO1185" s="38">
        <v>69.73</v>
      </c>
      <c r="AP1185" s="38">
        <v>74.069999999999993</v>
      </c>
      <c r="AQ1185" s="38">
        <v>77.930000000000007</v>
      </c>
      <c r="AR1185" s="38">
        <v>81.13</v>
      </c>
      <c r="AS1185" s="38">
        <v>83.38</v>
      </c>
      <c r="AT1185" s="38">
        <v>82.38</v>
      </c>
      <c r="AU1185" s="38">
        <v>78.930000000000007</v>
      </c>
      <c r="AV1185" s="38">
        <v>71.67</v>
      </c>
      <c r="AW1185" s="38">
        <v>66.709999999999994</v>
      </c>
      <c r="AX1185" s="38">
        <v>65.56</v>
      </c>
      <c r="AY1185" s="38">
        <v>63.99</v>
      </c>
      <c r="BA1185" s="37">
        <v>87.15</v>
      </c>
      <c r="BB1185" s="38">
        <v>1.2833000000000001</v>
      </c>
    </row>
    <row r="1186" spans="1:54" x14ac:dyDescent="0.35">
      <c r="A1186" s="2">
        <f t="shared" si="18"/>
        <v>45482</v>
      </c>
      <c r="B1186" t="s">
        <v>1779</v>
      </c>
      <c r="C1186" s="32">
        <v>45482</v>
      </c>
      <c r="D1186" s="38">
        <v>72.790000000000006</v>
      </c>
      <c r="E1186" s="38">
        <v>77.69</v>
      </c>
      <c r="F1186" s="38">
        <v>81.36</v>
      </c>
      <c r="G1186" s="38">
        <v>93.06</v>
      </c>
      <c r="H1186" s="38">
        <v>97.48</v>
      </c>
      <c r="I1186" s="38">
        <v>98.65</v>
      </c>
      <c r="J1186" s="38">
        <v>98.77</v>
      </c>
      <c r="K1186" s="38">
        <v>95.52</v>
      </c>
      <c r="L1186" s="38">
        <v>90.82</v>
      </c>
      <c r="M1186" s="38">
        <v>88.77</v>
      </c>
      <c r="N1186" s="38">
        <v>87.05</v>
      </c>
      <c r="O1186" s="38">
        <v>85.62</v>
      </c>
      <c r="P1186" s="38">
        <v>87.27</v>
      </c>
      <c r="Q1186" s="38">
        <v>88.53</v>
      </c>
      <c r="R1186" s="38">
        <v>89.69</v>
      </c>
      <c r="S1186" s="38">
        <v>94.07</v>
      </c>
      <c r="T1186" s="38">
        <v>97.92</v>
      </c>
      <c r="U1186" s="38">
        <v>100.86</v>
      </c>
      <c r="V1186" s="38">
        <v>100.86</v>
      </c>
      <c r="W1186" s="38">
        <v>93.3</v>
      </c>
      <c r="X1186" s="38">
        <v>78.92</v>
      </c>
      <c r="Y1186" s="38">
        <v>77.099999999999994</v>
      </c>
      <c r="Z1186" s="38">
        <v>74.5</v>
      </c>
      <c r="AA1186" s="38">
        <v>73.239999999999995</v>
      </c>
      <c r="AB1186" s="38">
        <v>73.819999999999993</v>
      </c>
      <c r="AC1186" s="38">
        <v>75.989999999999995</v>
      </c>
      <c r="AD1186" s="38">
        <v>79.739999999999995</v>
      </c>
      <c r="AE1186" s="38">
        <v>83.6</v>
      </c>
      <c r="AF1186" s="38">
        <v>86.71</v>
      </c>
      <c r="AG1186" s="38">
        <v>89.26</v>
      </c>
      <c r="AH1186" s="38">
        <v>88.19</v>
      </c>
      <c r="AI1186" s="38">
        <v>83.95</v>
      </c>
      <c r="AJ1186" s="38">
        <v>72.36</v>
      </c>
      <c r="AK1186" s="38">
        <v>69.540000000000006</v>
      </c>
      <c r="AL1186" s="38">
        <v>66.81</v>
      </c>
      <c r="AM1186" s="38">
        <v>66.3</v>
      </c>
      <c r="AN1186" s="38">
        <v>66.849999999999994</v>
      </c>
      <c r="AO1186" s="38">
        <v>69.83</v>
      </c>
      <c r="AP1186" s="38">
        <v>73.87</v>
      </c>
      <c r="AQ1186" s="38">
        <v>77.73</v>
      </c>
      <c r="AR1186" s="38">
        <v>80.930000000000007</v>
      </c>
      <c r="AS1186" s="38">
        <v>83.18</v>
      </c>
      <c r="AT1186" s="38">
        <v>82.18</v>
      </c>
      <c r="AU1186" s="38">
        <v>78.73</v>
      </c>
      <c r="AV1186" s="38">
        <v>71.47</v>
      </c>
      <c r="AW1186" s="38">
        <v>66.510000000000005</v>
      </c>
      <c r="AX1186" s="38">
        <v>65.36</v>
      </c>
      <c r="AY1186" s="38">
        <v>63.79</v>
      </c>
      <c r="BA1186" s="37">
        <v>86.48</v>
      </c>
      <c r="BB1186" s="38">
        <v>1.2797000000000001</v>
      </c>
    </row>
    <row r="1187" spans="1:54" x14ac:dyDescent="0.35">
      <c r="A1187" s="2">
        <f t="shared" si="18"/>
        <v>45483</v>
      </c>
      <c r="B1187" t="s">
        <v>1780</v>
      </c>
      <c r="C1187" s="32">
        <v>45483</v>
      </c>
      <c r="D1187" s="38">
        <v>71.209999999999994</v>
      </c>
      <c r="E1187" s="38">
        <v>76.16</v>
      </c>
      <c r="F1187" s="38">
        <v>80.09</v>
      </c>
      <c r="G1187" s="38">
        <v>91.54</v>
      </c>
      <c r="H1187" s="38">
        <v>96.21</v>
      </c>
      <c r="I1187" s="38">
        <v>97.32</v>
      </c>
      <c r="J1187" s="38">
        <v>97.46</v>
      </c>
      <c r="K1187" s="38">
        <v>94.3</v>
      </c>
      <c r="L1187" s="38">
        <v>89.55</v>
      </c>
      <c r="M1187" s="38">
        <v>87.54</v>
      </c>
      <c r="N1187" s="38">
        <v>85.82</v>
      </c>
      <c r="O1187" s="38">
        <v>84.41</v>
      </c>
      <c r="P1187" s="38">
        <v>86.03</v>
      </c>
      <c r="Q1187" s="38">
        <v>87.23</v>
      </c>
      <c r="R1187" s="38">
        <v>88.45</v>
      </c>
      <c r="S1187" s="38">
        <v>92.94</v>
      </c>
      <c r="T1187" s="38">
        <v>96.69</v>
      </c>
      <c r="U1187" s="38">
        <v>99.75</v>
      </c>
      <c r="V1187" s="38">
        <v>99.7</v>
      </c>
      <c r="W1187" s="38">
        <v>92.4</v>
      </c>
      <c r="X1187" s="38">
        <v>78.64</v>
      </c>
      <c r="Y1187" s="38">
        <v>76.930000000000007</v>
      </c>
      <c r="Z1187" s="38">
        <v>74.349999999999994</v>
      </c>
      <c r="AA1187" s="38">
        <v>73.09</v>
      </c>
      <c r="AB1187" s="38">
        <v>73.67</v>
      </c>
      <c r="AC1187" s="38">
        <v>75.91</v>
      </c>
      <c r="AD1187" s="38">
        <v>79.760000000000005</v>
      </c>
      <c r="AE1187" s="38">
        <v>83.58</v>
      </c>
      <c r="AF1187" s="38">
        <v>86.63</v>
      </c>
      <c r="AG1187" s="38">
        <v>89.16</v>
      </c>
      <c r="AH1187" s="38">
        <v>88.04</v>
      </c>
      <c r="AI1187" s="38">
        <v>83.57</v>
      </c>
      <c r="AJ1187" s="38">
        <v>71.84</v>
      </c>
      <c r="AK1187" s="38">
        <v>68.84</v>
      </c>
      <c r="AL1187" s="38">
        <v>66.11</v>
      </c>
      <c r="AM1187" s="38">
        <v>65.599999999999994</v>
      </c>
      <c r="AN1187" s="38">
        <v>66.150000000000006</v>
      </c>
      <c r="AO1187" s="38">
        <v>69.12</v>
      </c>
      <c r="AP1187" s="38">
        <v>73.36</v>
      </c>
      <c r="AQ1187" s="38">
        <v>77.22</v>
      </c>
      <c r="AR1187" s="38">
        <v>80.42</v>
      </c>
      <c r="AS1187" s="38">
        <v>82.67</v>
      </c>
      <c r="AT1187" s="38">
        <v>81.67</v>
      </c>
      <c r="AU1187" s="38">
        <v>78.22</v>
      </c>
      <c r="AV1187" s="38">
        <v>70.599999999999994</v>
      </c>
      <c r="AW1187" s="38">
        <v>65.64</v>
      </c>
      <c r="AX1187" s="38">
        <v>64.489999999999995</v>
      </c>
      <c r="AY1187" s="38">
        <v>62.92</v>
      </c>
      <c r="BA1187" s="37">
        <v>86.55</v>
      </c>
      <c r="BB1187" s="38">
        <v>1.2829999999999999</v>
      </c>
    </row>
    <row r="1188" spans="1:54" x14ac:dyDescent="0.35">
      <c r="A1188" s="2">
        <f t="shared" si="18"/>
        <v>45484</v>
      </c>
      <c r="B1188" t="s">
        <v>1781</v>
      </c>
      <c r="C1188" s="32">
        <v>45484</v>
      </c>
      <c r="D1188" s="38">
        <v>72.17</v>
      </c>
      <c r="E1188" s="38">
        <v>76.849999999999994</v>
      </c>
      <c r="F1188" s="38">
        <v>80.94</v>
      </c>
      <c r="G1188" s="38">
        <v>92.16</v>
      </c>
      <c r="H1188" s="38">
        <v>96.87</v>
      </c>
      <c r="I1188" s="38">
        <v>98.21</v>
      </c>
      <c r="J1188" s="38">
        <v>98.38</v>
      </c>
      <c r="K1188" s="38">
        <v>94.88</v>
      </c>
      <c r="L1188" s="38">
        <v>89.6</v>
      </c>
      <c r="M1188" s="38">
        <v>88.05</v>
      </c>
      <c r="N1188" s="38">
        <v>86.29</v>
      </c>
      <c r="O1188" s="38">
        <v>84.9</v>
      </c>
      <c r="P1188" s="38">
        <v>86.53</v>
      </c>
      <c r="Q1188" s="38">
        <v>87.72</v>
      </c>
      <c r="R1188" s="38">
        <v>88.84</v>
      </c>
      <c r="S1188" s="38">
        <v>93.3</v>
      </c>
      <c r="T1188" s="38">
        <v>97.03</v>
      </c>
      <c r="U1188" s="38">
        <v>100.08</v>
      </c>
      <c r="V1188" s="38">
        <v>100.04</v>
      </c>
      <c r="W1188" s="38">
        <v>92.93</v>
      </c>
      <c r="X1188" s="38">
        <v>78.959999999999994</v>
      </c>
      <c r="Y1188" s="38">
        <v>77.09</v>
      </c>
      <c r="Z1188" s="38">
        <v>74.510000000000005</v>
      </c>
      <c r="AA1188" s="38">
        <v>73.25</v>
      </c>
      <c r="AB1188" s="38">
        <v>73.819999999999993</v>
      </c>
      <c r="AC1188" s="38">
        <v>76.069999999999993</v>
      </c>
      <c r="AD1188" s="38">
        <v>79.81</v>
      </c>
      <c r="AE1188" s="38">
        <v>83.63</v>
      </c>
      <c r="AF1188" s="38">
        <v>86.68</v>
      </c>
      <c r="AG1188" s="38">
        <v>89.22</v>
      </c>
      <c r="AH1188" s="38">
        <v>88.12</v>
      </c>
      <c r="AI1188" s="38">
        <v>83.65</v>
      </c>
      <c r="AJ1188" s="38">
        <v>71.8</v>
      </c>
      <c r="AK1188" s="38">
        <v>68.8</v>
      </c>
      <c r="AL1188" s="38">
        <v>66.069999999999993</v>
      </c>
      <c r="AM1188" s="38">
        <v>65.56</v>
      </c>
      <c r="AN1188" s="38">
        <v>66.11</v>
      </c>
      <c r="AO1188" s="38">
        <v>69.099999999999994</v>
      </c>
      <c r="AP1188" s="38">
        <v>73.17</v>
      </c>
      <c r="AQ1188" s="38">
        <v>77.040000000000006</v>
      </c>
      <c r="AR1188" s="38">
        <v>80.239999999999995</v>
      </c>
      <c r="AS1188" s="38">
        <v>82.36</v>
      </c>
      <c r="AT1188" s="38">
        <v>81.36</v>
      </c>
      <c r="AU1188" s="38">
        <v>77.92</v>
      </c>
      <c r="AV1188" s="38">
        <v>70.36</v>
      </c>
      <c r="AW1188" s="38">
        <v>65.400000000000006</v>
      </c>
      <c r="AX1188" s="38">
        <v>64.25</v>
      </c>
      <c r="AY1188" s="38">
        <v>62.68</v>
      </c>
      <c r="BA1188" s="37">
        <v>86.49</v>
      </c>
      <c r="BB1188" s="38">
        <v>1.2924</v>
      </c>
    </row>
    <row r="1189" spans="1:54" x14ac:dyDescent="0.35">
      <c r="A1189" s="2">
        <f t="shared" si="18"/>
        <v>45485</v>
      </c>
      <c r="B1189" t="s">
        <v>1782</v>
      </c>
      <c r="C1189" s="32">
        <v>45485</v>
      </c>
      <c r="D1189" s="38">
        <v>73.12</v>
      </c>
      <c r="E1189" s="38">
        <v>77.760000000000005</v>
      </c>
      <c r="F1189" s="38">
        <v>82.07</v>
      </c>
      <c r="G1189" s="38">
        <v>93.37</v>
      </c>
      <c r="H1189" s="38">
        <v>97.88</v>
      </c>
      <c r="I1189" s="38">
        <v>99.18</v>
      </c>
      <c r="J1189" s="38">
        <v>99.43</v>
      </c>
      <c r="K1189" s="38">
        <v>96.06</v>
      </c>
      <c r="L1189" s="38">
        <v>90.6</v>
      </c>
      <c r="M1189" s="38">
        <v>88.95</v>
      </c>
      <c r="N1189" s="38">
        <v>87.11</v>
      </c>
      <c r="O1189" s="38">
        <v>85.73</v>
      </c>
      <c r="P1189" s="38">
        <v>87.38</v>
      </c>
      <c r="Q1189" s="38">
        <v>88.53</v>
      </c>
      <c r="R1189" s="38">
        <v>90.48</v>
      </c>
      <c r="S1189" s="38">
        <v>94.04</v>
      </c>
      <c r="T1189" s="38">
        <v>97.8</v>
      </c>
      <c r="U1189" s="38">
        <v>100.76</v>
      </c>
      <c r="V1189" s="38">
        <v>100.73</v>
      </c>
      <c r="W1189" s="38">
        <v>93.62</v>
      </c>
      <c r="X1189" s="38">
        <v>79.38</v>
      </c>
      <c r="Y1189" s="38">
        <v>77.510000000000005</v>
      </c>
      <c r="Z1189" s="38">
        <v>74.930000000000007</v>
      </c>
      <c r="AA1189" s="38">
        <v>73.67</v>
      </c>
      <c r="AB1189" s="38">
        <v>74.239999999999995</v>
      </c>
      <c r="AC1189" s="38">
        <v>76.489999999999995</v>
      </c>
      <c r="AD1189" s="38">
        <v>80.260000000000005</v>
      </c>
      <c r="AE1189" s="38">
        <v>84.08</v>
      </c>
      <c r="AF1189" s="38">
        <v>87.13</v>
      </c>
      <c r="AG1189" s="38">
        <v>89.52</v>
      </c>
      <c r="AH1189" s="38">
        <v>88.42</v>
      </c>
      <c r="AI1189" s="38">
        <v>83.95</v>
      </c>
      <c r="AJ1189" s="38">
        <v>72.099999999999994</v>
      </c>
      <c r="AK1189" s="38">
        <v>69.099999999999994</v>
      </c>
      <c r="AL1189" s="38">
        <v>66.37</v>
      </c>
      <c r="AM1189" s="38">
        <v>65.86</v>
      </c>
      <c r="AN1189" s="38">
        <v>66.39</v>
      </c>
      <c r="AO1189" s="38">
        <v>69.38</v>
      </c>
      <c r="AP1189" s="38">
        <v>73.5</v>
      </c>
      <c r="AQ1189" s="38">
        <v>77.36</v>
      </c>
      <c r="AR1189" s="38">
        <v>80.56</v>
      </c>
      <c r="AS1189" s="38">
        <v>82.79</v>
      </c>
      <c r="AT1189" s="38">
        <v>81.790000000000006</v>
      </c>
      <c r="AU1189" s="38">
        <v>78.349999999999994</v>
      </c>
      <c r="AV1189" s="38">
        <v>70.38</v>
      </c>
      <c r="AW1189" s="38">
        <v>65.42</v>
      </c>
      <c r="AX1189" s="38">
        <v>64.27</v>
      </c>
      <c r="AY1189" s="38">
        <v>62.85</v>
      </c>
      <c r="BA1189" s="37">
        <v>87.35</v>
      </c>
      <c r="BB1189" s="38">
        <v>1.2988999999999999</v>
      </c>
    </row>
    <row r="1190" spans="1:54" x14ac:dyDescent="0.35">
      <c r="A1190" s="2">
        <f t="shared" si="18"/>
        <v>45488</v>
      </c>
      <c r="B1190" t="s">
        <v>1783</v>
      </c>
      <c r="C1190" s="32">
        <v>45488</v>
      </c>
      <c r="D1190" s="38">
        <v>72.239999999999995</v>
      </c>
      <c r="E1190" s="38">
        <v>76.819999999999993</v>
      </c>
      <c r="F1190" s="38">
        <v>81.209999999999994</v>
      </c>
      <c r="G1190" s="38">
        <v>92.49</v>
      </c>
      <c r="H1190" s="38">
        <v>97.03</v>
      </c>
      <c r="I1190" s="38">
        <v>98.42</v>
      </c>
      <c r="J1190" s="38">
        <v>98.69</v>
      </c>
      <c r="K1190" s="38">
        <v>95.29</v>
      </c>
      <c r="L1190" s="38">
        <v>90.14</v>
      </c>
      <c r="M1190" s="38">
        <v>88.24</v>
      </c>
      <c r="N1190" s="38">
        <v>86.39</v>
      </c>
      <c r="O1190" s="38">
        <v>85.02</v>
      </c>
      <c r="P1190" s="38">
        <v>86.66</v>
      </c>
      <c r="Q1190" s="38">
        <v>87.96</v>
      </c>
      <c r="R1190" s="38">
        <v>89.91</v>
      </c>
      <c r="S1190" s="38">
        <v>93.44</v>
      </c>
      <c r="T1190" s="38">
        <v>97.16</v>
      </c>
      <c r="U1190" s="38">
        <v>100.23</v>
      </c>
      <c r="V1190" s="38">
        <v>100</v>
      </c>
      <c r="W1190" s="38">
        <v>92.9</v>
      </c>
      <c r="X1190" s="38">
        <v>79.03</v>
      </c>
      <c r="Y1190" s="38">
        <v>77.16</v>
      </c>
      <c r="Z1190" s="38">
        <v>74.58</v>
      </c>
      <c r="AA1190" s="38">
        <v>73.319999999999993</v>
      </c>
      <c r="AB1190" s="38">
        <v>73.89</v>
      </c>
      <c r="AC1190" s="38">
        <v>76.14</v>
      </c>
      <c r="AD1190" s="38">
        <v>79.94</v>
      </c>
      <c r="AE1190" s="38">
        <v>83.76</v>
      </c>
      <c r="AF1190" s="38">
        <v>86.81</v>
      </c>
      <c r="AG1190" s="38">
        <v>89.2</v>
      </c>
      <c r="AH1190" s="38">
        <v>88.1</v>
      </c>
      <c r="AI1190" s="38">
        <v>83.63</v>
      </c>
      <c r="AJ1190" s="38">
        <v>72</v>
      </c>
      <c r="AK1190" s="38">
        <v>69</v>
      </c>
      <c r="AL1190" s="38">
        <v>66.27</v>
      </c>
      <c r="AM1190" s="38">
        <v>65.760000000000005</v>
      </c>
      <c r="AN1190" s="38">
        <v>66.290000000000006</v>
      </c>
      <c r="AO1190" s="38">
        <v>69.260000000000005</v>
      </c>
      <c r="AP1190" s="38">
        <v>73.33</v>
      </c>
      <c r="AQ1190" s="38">
        <v>77.209999999999994</v>
      </c>
      <c r="AR1190" s="38">
        <v>80.41</v>
      </c>
      <c r="AS1190" s="38">
        <v>82.71</v>
      </c>
      <c r="AT1190" s="38">
        <v>81.7</v>
      </c>
      <c r="AU1190" s="38">
        <v>78.260000000000005</v>
      </c>
      <c r="AV1190" s="38">
        <v>70.540000000000006</v>
      </c>
      <c r="AW1190" s="38">
        <v>65.58</v>
      </c>
      <c r="AX1190" s="38">
        <v>64.430000000000007</v>
      </c>
      <c r="AY1190" s="38">
        <v>63.01</v>
      </c>
      <c r="BA1190" s="37">
        <v>86.42</v>
      </c>
      <c r="BB1190" s="38">
        <v>1.2984</v>
      </c>
    </row>
    <row r="1191" spans="1:54" x14ac:dyDescent="0.35">
      <c r="A1191" s="2">
        <f t="shared" si="18"/>
        <v>45489</v>
      </c>
      <c r="B1191" t="s">
        <v>1784</v>
      </c>
      <c r="C1191" s="32">
        <v>45489</v>
      </c>
      <c r="D1191" s="38">
        <v>76.25</v>
      </c>
      <c r="E1191" s="38">
        <v>80.55</v>
      </c>
      <c r="F1191" s="38">
        <v>83.95</v>
      </c>
      <c r="G1191" s="38">
        <v>95.11</v>
      </c>
      <c r="H1191" s="38">
        <v>99.47</v>
      </c>
      <c r="I1191" s="38">
        <v>100.58</v>
      </c>
      <c r="J1191" s="38">
        <v>100.93</v>
      </c>
      <c r="K1191" s="38">
        <v>97.53</v>
      </c>
      <c r="L1191" s="38">
        <v>92.17</v>
      </c>
      <c r="M1191" s="38">
        <v>90.57</v>
      </c>
      <c r="N1191" s="38">
        <v>88.62</v>
      </c>
      <c r="O1191" s="38">
        <v>87.3</v>
      </c>
      <c r="P1191" s="38">
        <v>88.92</v>
      </c>
      <c r="Q1191" s="38">
        <v>90.09</v>
      </c>
      <c r="R1191" s="38">
        <v>92.03</v>
      </c>
      <c r="S1191" s="38">
        <v>95.61</v>
      </c>
      <c r="T1191" s="38">
        <v>99.34</v>
      </c>
      <c r="U1191" s="38">
        <v>102.42</v>
      </c>
      <c r="V1191" s="38">
        <v>102.18</v>
      </c>
      <c r="W1191" s="38">
        <v>94.81</v>
      </c>
      <c r="X1191" s="38">
        <v>79.72</v>
      </c>
      <c r="Y1191" s="38">
        <v>77.92</v>
      </c>
      <c r="Z1191" s="38">
        <v>75.459999999999994</v>
      </c>
      <c r="AA1191" s="38">
        <v>74.37</v>
      </c>
      <c r="AB1191" s="38">
        <v>75.12</v>
      </c>
      <c r="AC1191" s="38">
        <v>77.53</v>
      </c>
      <c r="AD1191" s="38">
        <v>81.03</v>
      </c>
      <c r="AE1191" s="38">
        <v>84.85</v>
      </c>
      <c r="AF1191" s="38">
        <v>87.9</v>
      </c>
      <c r="AG1191" s="38">
        <v>91.06</v>
      </c>
      <c r="AH1191" s="38">
        <v>89.95</v>
      </c>
      <c r="AI1191" s="38">
        <v>85.49</v>
      </c>
      <c r="AJ1191" s="38">
        <v>73.34</v>
      </c>
      <c r="AK1191" s="38">
        <v>70.34</v>
      </c>
      <c r="AL1191" s="38">
        <v>67.61</v>
      </c>
      <c r="AM1191" s="38">
        <v>67.099999999999994</v>
      </c>
      <c r="AN1191" s="38">
        <v>67.63</v>
      </c>
      <c r="AO1191" s="38">
        <v>70.58</v>
      </c>
      <c r="AP1191" s="38">
        <v>74.38</v>
      </c>
      <c r="AQ1191" s="38">
        <v>78.239999999999995</v>
      </c>
      <c r="AR1191" s="38">
        <v>81.44</v>
      </c>
      <c r="AS1191" s="38">
        <v>83.66</v>
      </c>
      <c r="AT1191" s="38">
        <v>82.65</v>
      </c>
      <c r="AU1191" s="38">
        <v>79.209999999999994</v>
      </c>
      <c r="AV1191" s="38">
        <v>71.42</v>
      </c>
      <c r="AW1191" s="38">
        <v>66.459999999999994</v>
      </c>
      <c r="AX1191" s="38">
        <v>65.31</v>
      </c>
      <c r="AY1191" s="38">
        <v>63.86</v>
      </c>
      <c r="BA1191" s="37">
        <v>86.6</v>
      </c>
      <c r="BB1191" s="38">
        <v>1.2948</v>
      </c>
    </row>
    <row r="1192" spans="1:54" x14ac:dyDescent="0.35">
      <c r="A1192" s="2">
        <f t="shared" si="18"/>
        <v>45490</v>
      </c>
      <c r="B1192" t="s">
        <v>1785</v>
      </c>
      <c r="C1192" s="32">
        <v>45490</v>
      </c>
      <c r="D1192" s="38">
        <v>73.77</v>
      </c>
      <c r="E1192" s="38">
        <v>78.22</v>
      </c>
      <c r="F1192" s="38">
        <v>81.96</v>
      </c>
      <c r="G1192" s="38">
        <v>92.94</v>
      </c>
      <c r="H1192" s="38">
        <v>97.64</v>
      </c>
      <c r="I1192" s="38">
        <v>98.82</v>
      </c>
      <c r="J1192" s="38">
        <v>98.92</v>
      </c>
      <c r="K1192" s="38">
        <v>95.97</v>
      </c>
      <c r="L1192" s="38">
        <v>91.17</v>
      </c>
      <c r="M1192" s="38">
        <v>88.52</v>
      </c>
      <c r="N1192" s="38">
        <v>86.64</v>
      </c>
      <c r="O1192" s="38">
        <v>85.29</v>
      </c>
      <c r="P1192" s="38">
        <v>87.09</v>
      </c>
      <c r="Q1192" s="38">
        <v>88.25</v>
      </c>
      <c r="R1192" s="38">
        <v>90.24</v>
      </c>
      <c r="S1192" s="38">
        <v>93.76</v>
      </c>
      <c r="T1192" s="38">
        <v>97.48</v>
      </c>
      <c r="U1192" s="38">
        <v>100.54</v>
      </c>
      <c r="V1192" s="38">
        <v>100.3</v>
      </c>
      <c r="W1192" s="38">
        <v>93</v>
      </c>
      <c r="X1192" s="38">
        <v>78.66</v>
      </c>
      <c r="Y1192" s="38">
        <v>76.87</v>
      </c>
      <c r="Z1192" s="38">
        <v>74.400000000000006</v>
      </c>
      <c r="AA1192" s="38">
        <v>73.31</v>
      </c>
      <c r="AB1192" s="38">
        <v>74.06</v>
      </c>
      <c r="AC1192" s="38">
        <v>76.459999999999994</v>
      </c>
      <c r="AD1192" s="38">
        <v>80.349999999999994</v>
      </c>
      <c r="AE1192" s="38">
        <v>84.15</v>
      </c>
      <c r="AF1192" s="38">
        <v>87.2</v>
      </c>
      <c r="AG1192" s="38">
        <v>89.93</v>
      </c>
      <c r="AH1192" s="38">
        <v>88.82</v>
      </c>
      <c r="AI1192" s="38">
        <v>84.36</v>
      </c>
      <c r="AJ1192" s="38">
        <v>72.56</v>
      </c>
      <c r="AK1192" s="38">
        <v>69.56</v>
      </c>
      <c r="AL1192" s="38">
        <v>66.83</v>
      </c>
      <c r="AM1192" s="38">
        <v>66.319999999999993</v>
      </c>
      <c r="AN1192" s="38">
        <v>66.849999999999994</v>
      </c>
      <c r="AO1192" s="38">
        <v>69.8</v>
      </c>
      <c r="AP1192" s="38">
        <v>73.56</v>
      </c>
      <c r="AQ1192" s="38">
        <v>77.42</v>
      </c>
      <c r="AR1192" s="38">
        <v>80.62</v>
      </c>
      <c r="AS1192" s="38">
        <v>82.98</v>
      </c>
      <c r="AT1192" s="38">
        <v>81.97</v>
      </c>
      <c r="AU1192" s="38">
        <v>78.540000000000006</v>
      </c>
      <c r="AV1192" s="38">
        <v>71.06</v>
      </c>
      <c r="AW1192" s="38">
        <v>66.099999999999994</v>
      </c>
      <c r="AX1192" s="38">
        <v>64.95</v>
      </c>
      <c r="AY1192" s="38">
        <v>63.5</v>
      </c>
      <c r="BA1192" s="37">
        <v>85.76</v>
      </c>
      <c r="BB1192" s="38">
        <v>1.3013999999999999</v>
      </c>
    </row>
    <row r="1193" spans="1:54" x14ac:dyDescent="0.35">
      <c r="A1193" s="2">
        <f t="shared" si="18"/>
        <v>45491</v>
      </c>
      <c r="B1193" t="s">
        <v>1786</v>
      </c>
      <c r="C1193" s="32">
        <v>45491</v>
      </c>
      <c r="D1193" s="38">
        <v>76.040000000000006</v>
      </c>
      <c r="E1193" s="38">
        <v>80.06</v>
      </c>
      <c r="F1193" s="38">
        <v>83.49</v>
      </c>
      <c r="G1193" s="38">
        <v>94.17</v>
      </c>
      <c r="H1193" s="38">
        <v>98.83</v>
      </c>
      <c r="I1193" s="38">
        <v>100.18</v>
      </c>
      <c r="J1193" s="38">
        <v>100.28</v>
      </c>
      <c r="K1193" s="38">
        <v>97.08</v>
      </c>
      <c r="L1193" s="38">
        <v>92.01</v>
      </c>
      <c r="M1193" s="38">
        <v>89.95</v>
      </c>
      <c r="N1193" s="38">
        <v>88.02</v>
      </c>
      <c r="O1193" s="38">
        <v>86.8</v>
      </c>
      <c r="P1193" s="38">
        <v>88.61</v>
      </c>
      <c r="Q1193" s="38">
        <v>89.61</v>
      </c>
      <c r="R1193" s="38">
        <v>91.6</v>
      </c>
      <c r="S1193" s="38">
        <v>95.23</v>
      </c>
      <c r="T1193" s="38">
        <v>98.92</v>
      </c>
      <c r="U1193" s="38">
        <v>101.97</v>
      </c>
      <c r="V1193" s="38">
        <v>101.77</v>
      </c>
      <c r="W1193" s="38">
        <v>94.47</v>
      </c>
      <c r="X1193" s="38">
        <v>79.739999999999995</v>
      </c>
      <c r="Y1193" s="38">
        <v>77.94</v>
      </c>
      <c r="Z1193" s="38">
        <v>75.47</v>
      </c>
      <c r="AA1193" s="38">
        <v>74.36</v>
      </c>
      <c r="AB1193" s="38">
        <v>75.099999999999994</v>
      </c>
      <c r="AC1193" s="38">
        <v>77.42</v>
      </c>
      <c r="AD1193" s="38">
        <v>81.180000000000007</v>
      </c>
      <c r="AE1193" s="38">
        <v>84.97</v>
      </c>
      <c r="AF1193" s="38">
        <v>88.03</v>
      </c>
      <c r="AG1193" s="38">
        <v>90.8</v>
      </c>
      <c r="AH1193" s="38">
        <v>89.68</v>
      </c>
      <c r="AI1193" s="38">
        <v>85.24</v>
      </c>
      <c r="AJ1193" s="38">
        <v>70.819999999999993</v>
      </c>
      <c r="AK1193" s="38">
        <v>70.34</v>
      </c>
      <c r="AL1193" s="38">
        <v>67.599999999999994</v>
      </c>
      <c r="AM1193" s="38">
        <v>67.09</v>
      </c>
      <c r="AN1193" s="38">
        <v>67.63</v>
      </c>
      <c r="AO1193" s="38">
        <v>70.58</v>
      </c>
      <c r="AP1193" s="38">
        <v>74.430000000000007</v>
      </c>
      <c r="AQ1193" s="38">
        <v>78.3</v>
      </c>
      <c r="AR1193" s="38">
        <v>81.5</v>
      </c>
      <c r="AS1193" s="38">
        <v>83.5</v>
      </c>
      <c r="AT1193" s="38">
        <v>82.48</v>
      </c>
      <c r="AU1193" s="38">
        <v>79.05</v>
      </c>
      <c r="AV1193" s="38">
        <v>71.239999999999995</v>
      </c>
      <c r="AW1193" s="38">
        <v>66.28</v>
      </c>
      <c r="AX1193" s="38">
        <v>65.13</v>
      </c>
      <c r="AY1193" s="38">
        <v>63.68</v>
      </c>
      <c r="BA1193" s="37">
        <v>86.26</v>
      </c>
      <c r="BB1193" s="38">
        <v>1.2978000000000001</v>
      </c>
    </row>
    <row r="1194" spans="1:54" x14ac:dyDescent="0.35">
      <c r="A1194" s="2">
        <f t="shared" si="18"/>
        <v>45492</v>
      </c>
      <c r="B1194" t="s">
        <v>1787</v>
      </c>
      <c r="C1194" s="32">
        <v>45492</v>
      </c>
      <c r="D1194" s="38">
        <v>74.73</v>
      </c>
      <c r="E1194" s="38">
        <v>79.2</v>
      </c>
      <c r="F1194" s="38">
        <v>82.73</v>
      </c>
      <c r="G1194" s="38">
        <v>93.47</v>
      </c>
      <c r="H1194" s="38">
        <v>98.16</v>
      </c>
      <c r="I1194" s="38">
        <v>99.45</v>
      </c>
      <c r="J1194" s="38">
        <v>99.83</v>
      </c>
      <c r="K1194" s="38">
        <v>96.38</v>
      </c>
      <c r="L1194" s="38">
        <v>91.25</v>
      </c>
      <c r="M1194" s="38">
        <v>89.16</v>
      </c>
      <c r="N1194" s="38">
        <v>87.23</v>
      </c>
      <c r="O1194" s="38">
        <v>85.96</v>
      </c>
      <c r="P1194" s="38">
        <v>87.83</v>
      </c>
      <c r="Q1194" s="38">
        <v>89</v>
      </c>
      <c r="R1194" s="38">
        <v>90.99</v>
      </c>
      <c r="S1194" s="38">
        <v>94.63</v>
      </c>
      <c r="T1194" s="38">
        <v>98.27</v>
      </c>
      <c r="U1194" s="38">
        <v>101.35</v>
      </c>
      <c r="V1194" s="38">
        <v>101.16</v>
      </c>
      <c r="W1194" s="38">
        <v>93.86</v>
      </c>
      <c r="X1194" s="38">
        <v>79.680000000000007</v>
      </c>
      <c r="Y1194" s="38">
        <v>77.09</v>
      </c>
      <c r="Z1194" s="38">
        <v>74.62</v>
      </c>
      <c r="AA1194" s="38">
        <v>73.5</v>
      </c>
      <c r="AB1194" s="38">
        <v>74.239999999999995</v>
      </c>
      <c r="AC1194" s="38">
        <v>76.569999999999993</v>
      </c>
      <c r="AD1194" s="38">
        <v>80.239999999999995</v>
      </c>
      <c r="AE1194" s="38">
        <v>84.03</v>
      </c>
      <c r="AF1194" s="38">
        <v>87.1</v>
      </c>
      <c r="AG1194" s="38">
        <v>89.87</v>
      </c>
      <c r="AH1194" s="38">
        <v>88.75</v>
      </c>
      <c r="AI1194" s="38">
        <v>84.31</v>
      </c>
      <c r="AJ1194" s="38">
        <v>69.900000000000006</v>
      </c>
      <c r="AK1194" s="38">
        <v>69.8</v>
      </c>
      <c r="AL1194" s="38">
        <v>67.42</v>
      </c>
      <c r="AM1194" s="38">
        <v>66.819999999999993</v>
      </c>
      <c r="AN1194" s="38">
        <v>67.319999999999993</v>
      </c>
      <c r="AO1194" s="38">
        <v>69.66</v>
      </c>
      <c r="AP1194" s="38">
        <v>73.28</v>
      </c>
      <c r="AQ1194" s="38">
        <v>77.150000000000006</v>
      </c>
      <c r="AR1194" s="38">
        <v>80.349999999999994</v>
      </c>
      <c r="AS1194" s="38">
        <v>82.46</v>
      </c>
      <c r="AT1194" s="38">
        <v>81.44</v>
      </c>
      <c r="AU1194" s="38">
        <v>78.010000000000005</v>
      </c>
      <c r="AV1194" s="38">
        <v>70.22</v>
      </c>
      <c r="AW1194" s="38">
        <v>65.260000000000005</v>
      </c>
      <c r="AX1194" s="38">
        <v>64.11</v>
      </c>
      <c r="AY1194" s="38">
        <v>62.66</v>
      </c>
      <c r="BA1194" s="37">
        <v>85.19</v>
      </c>
      <c r="BB1194" s="38">
        <v>1.2917000000000001</v>
      </c>
    </row>
    <row r="1195" spans="1:54" x14ac:dyDescent="0.35">
      <c r="A1195" s="2">
        <f t="shared" si="18"/>
        <v>45495</v>
      </c>
      <c r="B1195" t="s">
        <v>1788</v>
      </c>
      <c r="C1195" s="32">
        <v>45495</v>
      </c>
      <c r="D1195" s="38">
        <v>73.959999999999994</v>
      </c>
      <c r="E1195" s="38">
        <v>77.97</v>
      </c>
      <c r="F1195" s="38">
        <v>81.599999999999994</v>
      </c>
      <c r="G1195" s="38">
        <v>92.66</v>
      </c>
      <c r="H1195" s="38">
        <v>97.42</v>
      </c>
      <c r="I1195" s="38">
        <v>98.71</v>
      </c>
      <c r="J1195" s="38">
        <v>98.95</v>
      </c>
      <c r="K1195" s="38">
        <v>95.65</v>
      </c>
      <c r="L1195" s="38">
        <v>90.51</v>
      </c>
      <c r="M1195" s="38">
        <v>88.79</v>
      </c>
      <c r="N1195" s="38">
        <v>86.79</v>
      </c>
      <c r="O1195" s="38">
        <v>85.55</v>
      </c>
      <c r="P1195" s="38">
        <v>87.36</v>
      </c>
      <c r="Q1195" s="38">
        <v>88.6</v>
      </c>
      <c r="R1195" s="38">
        <v>90.43</v>
      </c>
      <c r="S1195" s="38">
        <v>93.89</v>
      </c>
      <c r="T1195" s="38">
        <v>97.47</v>
      </c>
      <c r="U1195" s="38">
        <v>100.59</v>
      </c>
      <c r="V1195" s="38">
        <v>100.44</v>
      </c>
      <c r="W1195" s="38">
        <v>93.14</v>
      </c>
      <c r="X1195" s="38">
        <v>79.459999999999994</v>
      </c>
      <c r="Y1195" s="38">
        <v>76.87</v>
      </c>
      <c r="Z1195" s="38">
        <v>74.400000000000006</v>
      </c>
      <c r="AA1195" s="38">
        <v>73.319999999999993</v>
      </c>
      <c r="AB1195" s="38">
        <v>74.06</v>
      </c>
      <c r="AC1195" s="38">
        <v>76.400000000000006</v>
      </c>
      <c r="AD1195" s="38">
        <v>80.78</v>
      </c>
      <c r="AE1195" s="38">
        <v>84.57</v>
      </c>
      <c r="AF1195" s="38">
        <v>87.64</v>
      </c>
      <c r="AG1195" s="38">
        <v>90.41</v>
      </c>
      <c r="AH1195" s="38">
        <v>89.29</v>
      </c>
      <c r="AI1195" s="38">
        <v>84.85</v>
      </c>
      <c r="AJ1195" s="38">
        <v>69.739999999999995</v>
      </c>
      <c r="AK1195" s="38">
        <v>69.64</v>
      </c>
      <c r="AL1195" s="38">
        <v>67.680000000000007</v>
      </c>
      <c r="AM1195" s="38">
        <v>67.06</v>
      </c>
      <c r="AN1195" s="38">
        <v>67.56</v>
      </c>
      <c r="AO1195" s="38">
        <v>69.900000000000006</v>
      </c>
      <c r="AP1195" s="38">
        <v>73.569999999999993</v>
      </c>
      <c r="AQ1195" s="38">
        <v>77.14</v>
      </c>
      <c r="AR1195" s="38">
        <v>80.34</v>
      </c>
      <c r="AS1195" s="38">
        <v>82.45</v>
      </c>
      <c r="AT1195" s="38">
        <v>81.430000000000007</v>
      </c>
      <c r="AU1195" s="38">
        <v>78.010000000000005</v>
      </c>
      <c r="AV1195" s="38">
        <v>70.23</v>
      </c>
      <c r="AW1195" s="38">
        <v>65.28</v>
      </c>
      <c r="AX1195" s="38">
        <v>64.13</v>
      </c>
      <c r="AY1195" s="38">
        <v>62.68</v>
      </c>
      <c r="BA1195" s="37">
        <v>83.44</v>
      </c>
      <c r="BB1195" s="38">
        <v>1.2912999999999999</v>
      </c>
    </row>
    <row r="1196" spans="1:54" x14ac:dyDescent="0.35">
      <c r="A1196" s="2">
        <f t="shared" si="18"/>
        <v>45496</v>
      </c>
      <c r="B1196" t="s">
        <v>1789</v>
      </c>
      <c r="C1196" s="32">
        <v>45496</v>
      </c>
      <c r="D1196" s="38">
        <v>73.209999999999994</v>
      </c>
      <c r="E1196" s="38">
        <v>77.400000000000006</v>
      </c>
      <c r="F1196" s="38">
        <v>80.97</v>
      </c>
      <c r="G1196" s="38">
        <v>91.96</v>
      </c>
      <c r="H1196" s="38">
        <v>96.65</v>
      </c>
      <c r="I1196" s="38">
        <v>97.94</v>
      </c>
      <c r="J1196" s="38">
        <v>98.18</v>
      </c>
      <c r="K1196" s="38">
        <v>94.98</v>
      </c>
      <c r="L1196" s="38">
        <v>90.11</v>
      </c>
      <c r="M1196" s="38">
        <v>88.31</v>
      </c>
      <c r="N1196" s="38">
        <v>86.31</v>
      </c>
      <c r="O1196" s="38">
        <v>85.07</v>
      </c>
      <c r="P1196" s="38">
        <v>86.88</v>
      </c>
      <c r="Q1196" s="38">
        <v>88.12</v>
      </c>
      <c r="R1196" s="38">
        <v>89.97</v>
      </c>
      <c r="S1196" s="38">
        <v>93.43</v>
      </c>
      <c r="T1196" s="38">
        <v>97.01</v>
      </c>
      <c r="U1196" s="38">
        <v>100.13</v>
      </c>
      <c r="V1196" s="38">
        <v>99.98</v>
      </c>
      <c r="W1196" s="38">
        <v>92.68</v>
      </c>
      <c r="X1196" s="38">
        <v>79.099999999999994</v>
      </c>
      <c r="Y1196" s="38">
        <v>76.510000000000005</v>
      </c>
      <c r="Z1196" s="38">
        <v>74.040000000000006</v>
      </c>
      <c r="AA1196" s="38">
        <v>72.959999999999994</v>
      </c>
      <c r="AB1196" s="38">
        <v>73.7</v>
      </c>
      <c r="AC1196" s="38">
        <v>76.040000000000006</v>
      </c>
      <c r="AD1196" s="38">
        <v>80.42</v>
      </c>
      <c r="AE1196" s="38">
        <v>84.21</v>
      </c>
      <c r="AF1196" s="38">
        <v>87.28</v>
      </c>
      <c r="AG1196" s="38">
        <v>90.05</v>
      </c>
      <c r="AH1196" s="38">
        <v>88.93</v>
      </c>
      <c r="AI1196" s="38">
        <v>84.49</v>
      </c>
      <c r="AJ1196" s="38">
        <v>69.48</v>
      </c>
      <c r="AK1196" s="38">
        <v>69.38</v>
      </c>
      <c r="AL1196" s="38">
        <v>67.42</v>
      </c>
      <c r="AM1196" s="38">
        <v>66.8</v>
      </c>
      <c r="AN1196" s="38">
        <v>67.3</v>
      </c>
      <c r="AO1196" s="38">
        <v>69.64</v>
      </c>
      <c r="AP1196" s="38">
        <v>73.31</v>
      </c>
      <c r="AQ1196" s="38">
        <v>76.88</v>
      </c>
      <c r="AR1196" s="38">
        <v>80.08</v>
      </c>
      <c r="AS1196" s="38">
        <v>82.19</v>
      </c>
      <c r="AT1196" s="38">
        <v>81.17</v>
      </c>
      <c r="AU1196" s="38">
        <v>77.75</v>
      </c>
      <c r="AV1196" s="38">
        <v>70.67</v>
      </c>
      <c r="AW1196" s="38">
        <v>65.72</v>
      </c>
      <c r="AX1196" s="38">
        <v>64.569999999999993</v>
      </c>
      <c r="AY1196" s="38">
        <v>63.12</v>
      </c>
      <c r="BA1196" s="37">
        <v>82.2</v>
      </c>
      <c r="BB1196" s="38">
        <v>1.2907999999999999</v>
      </c>
    </row>
    <row r="1197" spans="1:54" x14ac:dyDescent="0.35">
      <c r="A1197" s="2">
        <f t="shared" si="18"/>
        <v>45497</v>
      </c>
      <c r="B1197" t="s">
        <v>1790</v>
      </c>
      <c r="C1197" s="32">
        <v>45497</v>
      </c>
      <c r="D1197" s="38">
        <v>75.81</v>
      </c>
      <c r="E1197" s="38">
        <v>79.8</v>
      </c>
      <c r="F1197" s="38">
        <v>83.48</v>
      </c>
      <c r="G1197" s="38">
        <v>94.31</v>
      </c>
      <c r="H1197" s="38">
        <v>98.99</v>
      </c>
      <c r="I1197" s="38">
        <v>100.18</v>
      </c>
      <c r="J1197" s="38">
        <v>100.42</v>
      </c>
      <c r="K1197" s="38">
        <v>97.3</v>
      </c>
      <c r="L1197" s="38">
        <v>92.46</v>
      </c>
      <c r="M1197" s="38">
        <v>90.83</v>
      </c>
      <c r="N1197" s="38">
        <v>88.83</v>
      </c>
      <c r="O1197" s="38">
        <v>87.31</v>
      </c>
      <c r="P1197" s="38">
        <v>89.12</v>
      </c>
      <c r="Q1197" s="38">
        <v>90.36</v>
      </c>
      <c r="R1197" s="38">
        <v>92.11</v>
      </c>
      <c r="S1197" s="38">
        <v>95.57</v>
      </c>
      <c r="T1197" s="38">
        <v>99.15</v>
      </c>
      <c r="U1197" s="38">
        <v>102.27</v>
      </c>
      <c r="V1197" s="38">
        <v>102.12</v>
      </c>
      <c r="W1197" s="38">
        <v>94.82</v>
      </c>
      <c r="X1197" s="38">
        <v>80.44</v>
      </c>
      <c r="Y1197" s="38">
        <v>77.849999999999994</v>
      </c>
      <c r="Z1197" s="38">
        <v>75.38</v>
      </c>
      <c r="AA1197" s="38">
        <v>74.3</v>
      </c>
      <c r="AB1197" s="38">
        <v>75.040000000000006</v>
      </c>
      <c r="AC1197" s="38">
        <v>77.38</v>
      </c>
      <c r="AD1197" s="38">
        <v>81.260000000000005</v>
      </c>
      <c r="AE1197" s="38">
        <v>85.05</v>
      </c>
      <c r="AF1197" s="38">
        <v>88.12</v>
      </c>
      <c r="AG1197" s="38">
        <v>90.89</v>
      </c>
      <c r="AH1197" s="38">
        <v>89.77</v>
      </c>
      <c r="AI1197" s="38">
        <v>85.33</v>
      </c>
      <c r="AJ1197" s="38">
        <v>69.92</v>
      </c>
      <c r="AK1197" s="38">
        <v>69.819999999999993</v>
      </c>
      <c r="AL1197" s="38">
        <v>67.86</v>
      </c>
      <c r="AM1197" s="38">
        <v>67.239999999999995</v>
      </c>
      <c r="AN1197" s="38">
        <v>67.739999999999995</v>
      </c>
      <c r="AO1197" s="38">
        <v>70.08</v>
      </c>
      <c r="AP1197" s="38">
        <v>74.150000000000006</v>
      </c>
      <c r="AQ1197" s="38">
        <v>77.72</v>
      </c>
      <c r="AR1197" s="38">
        <v>80.92</v>
      </c>
      <c r="AS1197" s="38">
        <v>83.03</v>
      </c>
      <c r="AT1197" s="38">
        <v>82.01</v>
      </c>
      <c r="AU1197" s="38">
        <v>78.59</v>
      </c>
      <c r="AV1197" s="38">
        <v>72.510000000000005</v>
      </c>
      <c r="AW1197" s="38">
        <v>67.56</v>
      </c>
      <c r="AX1197" s="38">
        <v>66.41</v>
      </c>
      <c r="AY1197" s="38">
        <v>64.959999999999994</v>
      </c>
      <c r="BA1197" s="37">
        <v>83.01</v>
      </c>
      <c r="BB1197" s="38">
        <v>1.2918000000000001</v>
      </c>
    </row>
    <row r="1198" spans="1:54" x14ac:dyDescent="0.35">
      <c r="A1198" s="2">
        <f t="shared" si="18"/>
        <v>45498</v>
      </c>
      <c r="B1198" t="s">
        <v>1791</v>
      </c>
      <c r="C1198" s="32">
        <v>45498</v>
      </c>
      <c r="D1198" s="38">
        <v>74.19</v>
      </c>
      <c r="E1198" s="38">
        <v>78.19</v>
      </c>
      <c r="F1198" s="38">
        <v>81.87</v>
      </c>
      <c r="G1198" s="38">
        <v>92.88</v>
      </c>
      <c r="H1198" s="38">
        <v>97.39</v>
      </c>
      <c r="I1198" s="38">
        <v>98.87</v>
      </c>
      <c r="J1198" s="38">
        <v>99.15</v>
      </c>
      <c r="K1198" s="38">
        <v>96.03</v>
      </c>
      <c r="L1198" s="38">
        <v>91.79</v>
      </c>
      <c r="M1198" s="38">
        <v>90.39</v>
      </c>
      <c r="N1198" s="38">
        <v>88.39</v>
      </c>
      <c r="O1198" s="38">
        <v>86.69</v>
      </c>
      <c r="P1198" s="38">
        <v>88.5</v>
      </c>
      <c r="Q1198" s="38">
        <v>89.74</v>
      </c>
      <c r="R1198" s="38">
        <v>91.68</v>
      </c>
      <c r="S1198" s="38">
        <v>95.14</v>
      </c>
      <c r="T1198" s="38">
        <v>98.72</v>
      </c>
      <c r="U1198" s="38">
        <v>101.84</v>
      </c>
      <c r="V1198" s="38">
        <v>101.69</v>
      </c>
      <c r="W1198" s="38">
        <v>94.39</v>
      </c>
      <c r="X1198" s="38">
        <v>80.31</v>
      </c>
      <c r="Y1198" s="38">
        <v>77.72</v>
      </c>
      <c r="Z1198" s="38">
        <v>75.25</v>
      </c>
      <c r="AA1198" s="38">
        <v>74.17</v>
      </c>
      <c r="AB1198" s="38">
        <v>74.91</v>
      </c>
      <c r="AC1198" s="38">
        <v>77.25</v>
      </c>
      <c r="AD1198" s="38">
        <v>81.13</v>
      </c>
      <c r="AE1198" s="38">
        <v>84.92</v>
      </c>
      <c r="AF1198" s="38">
        <v>87.99</v>
      </c>
      <c r="AG1198" s="38">
        <v>90.76</v>
      </c>
      <c r="AH1198" s="38">
        <v>89.64</v>
      </c>
      <c r="AI1198" s="38">
        <v>85.2</v>
      </c>
      <c r="AJ1198" s="38">
        <v>69.790000000000006</v>
      </c>
      <c r="AK1198" s="38">
        <v>69.69</v>
      </c>
      <c r="AL1198" s="38">
        <v>67.73</v>
      </c>
      <c r="AM1198" s="38">
        <v>67.11</v>
      </c>
      <c r="AN1198" s="38">
        <v>67.61</v>
      </c>
      <c r="AO1198" s="38">
        <v>69.95</v>
      </c>
      <c r="AP1198" s="38">
        <v>74.02</v>
      </c>
      <c r="AQ1198" s="38">
        <v>77.59</v>
      </c>
      <c r="AR1198" s="38">
        <v>80.790000000000006</v>
      </c>
      <c r="AS1198" s="38">
        <v>82.9</v>
      </c>
      <c r="AT1198" s="38">
        <v>81.88</v>
      </c>
      <c r="AU1198" s="38">
        <v>78.459999999999994</v>
      </c>
      <c r="AV1198" s="38">
        <v>72.38</v>
      </c>
      <c r="AW1198" s="38">
        <v>67.430000000000007</v>
      </c>
      <c r="AX1198" s="38">
        <v>66.28</v>
      </c>
      <c r="AY1198" s="38">
        <v>64.83</v>
      </c>
      <c r="BA1198" s="37">
        <v>82.58</v>
      </c>
      <c r="BB1198" s="38">
        <v>1.2877000000000001</v>
      </c>
    </row>
    <row r="1199" spans="1:54" x14ac:dyDescent="0.35">
      <c r="A1199" s="2">
        <f t="shared" si="18"/>
        <v>45499</v>
      </c>
      <c r="B1199" t="s">
        <v>1792</v>
      </c>
      <c r="C1199" s="32">
        <v>45499</v>
      </c>
      <c r="D1199" s="38">
        <v>76.11</v>
      </c>
      <c r="E1199" s="38">
        <v>80.28</v>
      </c>
      <c r="F1199" s="38">
        <v>83.98</v>
      </c>
      <c r="G1199" s="38">
        <v>94.39</v>
      </c>
      <c r="H1199" s="38">
        <v>98.75</v>
      </c>
      <c r="I1199" s="38">
        <v>100.25</v>
      </c>
      <c r="J1199" s="38">
        <v>100.6</v>
      </c>
      <c r="K1199" s="38">
        <v>97.38</v>
      </c>
      <c r="L1199" s="38">
        <v>93.02</v>
      </c>
      <c r="M1199" s="38">
        <v>91.62</v>
      </c>
      <c r="N1199" s="38">
        <v>89.62</v>
      </c>
      <c r="O1199" s="38">
        <v>87.92</v>
      </c>
      <c r="P1199" s="38">
        <v>89.73</v>
      </c>
      <c r="Q1199" s="38">
        <v>90.97</v>
      </c>
      <c r="R1199" s="38">
        <v>92.71</v>
      </c>
      <c r="S1199" s="38">
        <v>96.17</v>
      </c>
      <c r="T1199" s="38">
        <v>99.58</v>
      </c>
      <c r="U1199" s="38">
        <v>102.7</v>
      </c>
      <c r="V1199" s="38">
        <v>102.55</v>
      </c>
      <c r="W1199" s="38">
        <v>95.25</v>
      </c>
      <c r="X1199" s="38">
        <v>80.97</v>
      </c>
      <c r="Y1199" s="38">
        <v>78.38</v>
      </c>
      <c r="Z1199" s="38">
        <v>75.91</v>
      </c>
      <c r="AA1199" s="38">
        <v>74.83</v>
      </c>
      <c r="AB1199" s="38">
        <v>75.569999999999993</v>
      </c>
      <c r="AC1199" s="38">
        <v>77.91</v>
      </c>
      <c r="AD1199" s="38">
        <v>81.72</v>
      </c>
      <c r="AE1199" s="38">
        <v>85.31</v>
      </c>
      <c r="AF1199" s="38">
        <v>88.38</v>
      </c>
      <c r="AG1199" s="38">
        <v>91.15</v>
      </c>
      <c r="AH1199" s="38">
        <v>90.03</v>
      </c>
      <c r="AI1199" s="38">
        <v>85.59</v>
      </c>
      <c r="AJ1199" s="38">
        <v>69.88</v>
      </c>
      <c r="AK1199" s="38">
        <v>69.78</v>
      </c>
      <c r="AL1199" s="38">
        <v>67.819999999999993</v>
      </c>
      <c r="AM1199" s="38">
        <v>67.2</v>
      </c>
      <c r="AN1199" s="38">
        <v>67.7</v>
      </c>
      <c r="AO1199" s="38">
        <v>70.040000000000006</v>
      </c>
      <c r="AP1199" s="38">
        <v>74.41</v>
      </c>
      <c r="AQ1199" s="38">
        <v>77.98</v>
      </c>
      <c r="AR1199" s="38">
        <v>81.180000000000007</v>
      </c>
      <c r="AS1199" s="38">
        <v>83.29</v>
      </c>
      <c r="AT1199" s="38">
        <v>82.27</v>
      </c>
      <c r="AU1199" s="38">
        <v>78.849999999999994</v>
      </c>
      <c r="AV1199" s="38">
        <v>72.77</v>
      </c>
      <c r="AW1199" s="38">
        <v>68.819999999999993</v>
      </c>
      <c r="AX1199" s="38">
        <v>67.67</v>
      </c>
      <c r="AY1199" s="38">
        <v>66.22</v>
      </c>
      <c r="BA1199" s="37">
        <v>81.349999999999994</v>
      </c>
      <c r="BB1199" s="38">
        <v>1.2853000000000001</v>
      </c>
    </row>
    <row r="1200" spans="1:54" x14ac:dyDescent="0.35">
      <c r="A1200" s="2">
        <f t="shared" si="18"/>
        <v>45502</v>
      </c>
      <c r="B1200" t="s">
        <v>1793</v>
      </c>
      <c r="C1200" s="32">
        <v>45502</v>
      </c>
      <c r="D1200" s="38">
        <v>79.7</v>
      </c>
      <c r="E1200" s="38">
        <v>83.84</v>
      </c>
      <c r="F1200" s="38">
        <v>87.2</v>
      </c>
      <c r="G1200" s="38">
        <v>96.83</v>
      </c>
      <c r="H1200" s="38">
        <v>101</v>
      </c>
      <c r="I1200" s="38">
        <v>102.24</v>
      </c>
      <c r="J1200" s="38">
        <v>102.59</v>
      </c>
      <c r="K1200" s="38">
        <v>99.37</v>
      </c>
      <c r="L1200" s="38">
        <v>95.13</v>
      </c>
      <c r="M1200" s="38">
        <v>93.73</v>
      </c>
      <c r="N1200" s="38">
        <v>91.73</v>
      </c>
      <c r="O1200" s="38">
        <v>90.19</v>
      </c>
      <c r="P1200" s="38">
        <v>92</v>
      </c>
      <c r="Q1200" s="38">
        <v>93.24</v>
      </c>
      <c r="R1200" s="38">
        <v>94.9</v>
      </c>
      <c r="S1200" s="38">
        <v>98.33</v>
      </c>
      <c r="T1200" s="38">
        <v>101.71</v>
      </c>
      <c r="U1200" s="38">
        <v>104.79</v>
      </c>
      <c r="V1200" s="38">
        <v>104.6</v>
      </c>
      <c r="W1200" s="38">
        <v>97.24</v>
      </c>
      <c r="X1200" s="38">
        <v>81.86</v>
      </c>
      <c r="Y1200" s="38">
        <v>79.27</v>
      </c>
      <c r="Z1200" s="38">
        <v>76.8</v>
      </c>
      <c r="AA1200" s="38">
        <v>75.72</v>
      </c>
      <c r="AB1200" s="38">
        <v>76.459999999999994</v>
      </c>
      <c r="AC1200" s="38">
        <v>78.8</v>
      </c>
      <c r="AD1200" s="38">
        <v>82.63</v>
      </c>
      <c r="AE1200" s="38">
        <v>86.22</v>
      </c>
      <c r="AF1200" s="38">
        <v>89.29</v>
      </c>
      <c r="AG1200" s="38">
        <v>92.06</v>
      </c>
      <c r="AH1200" s="38">
        <v>90.94</v>
      </c>
      <c r="AI1200" s="38">
        <v>86.5</v>
      </c>
      <c r="AJ1200" s="38">
        <v>70.3</v>
      </c>
      <c r="AK1200" s="38">
        <v>70.2</v>
      </c>
      <c r="AL1200" s="38">
        <v>68.239999999999995</v>
      </c>
      <c r="AM1200" s="38">
        <v>67.62</v>
      </c>
      <c r="AN1200" s="38">
        <v>68.12</v>
      </c>
      <c r="AO1200" s="38">
        <v>70.459999999999994</v>
      </c>
      <c r="AP1200" s="38">
        <v>74.83</v>
      </c>
      <c r="AQ1200" s="38">
        <v>78.400000000000006</v>
      </c>
      <c r="AR1200" s="38">
        <v>81.599999999999994</v>
      </c>
      <c r="AS1200" s="38">
        <v>83.71</v>
      </c>
      <c r="AT1200" s="38">
        <v>82.69</v>
      </c>
      <c r="AU1200" s="38">
        <v>79.27</v>
      </c>
      <c r="AV1200" s="38">
        <v>73.19</v>
      </c>
      <c r="AW1200" s="38">
        <v>69.239999999999995</v>
      </c>
      <c r="AX1200" s="38">
        <v>68.09</v>
      </c>
      <c r="AY1200" s="38">
        <v>66.64</v>
      </c>
      <c r="BA1200" s="37">
        <v>80.94</v>
      </c>
      <c r="BB1200" s="38">
        <v>1.2847</v>
      </c>
    </row>
    <row r="1201" spans="1:54" x14ac:dyDescent="0.35">
      <c r="A1201" s="2">
        <f t="shared" si="18"/>
        <v>45503</v>
      </c>
      <c r="B1201" t="s">
        <v>1794</v>
      </c>
      <c r="C1201" s="32">
        <v>45503</v>
      </c>
      <c r="D1201" s="38">
        <v>80.5</v>
      </c>
      <c r="E1201" s="38">
        <v>84.96</v>
      </c>
      <c r="F1201" s="38">
        <v>88.02</v>
      </c>
      <c r="G1201" s="38">
        <v>97.59</v>
      </c>
      <c r="H1201" s="38">
        <v>101.46</v>
      </c>
      <c r="I1201" s="38">
        <v>102.96</v>
      </c>
      <c r="J1201" s="38">
        <v>103.38</v>
      </c>
      <c r="K1201" s="38">
        <v>100.15</v>
      </c>
      <c r="L1201" s="38">
        <v>95.87</v>
      </c>
      <c r="M1201" s="38">
        <v>94.46</v>
      </c>
      <c r="N1201" s="38">
        <v>92.46</v>
      </c>
      <c r="O1201" s="38">
        <v>90.92</v>
      </c>
      <c r="P1201" s="38">
        <v>92.73</v>
      </c>
      <c r="Q1201" s="38">
        <v>93.97</v>
      </c>
      <c r="R1201" s="38">
        <v>95.1</v>
      </c>
      <c r="S1201" s="38">
        <v>98.53</v>
      </c>
      <c r="T1201" s="38">
        <v>101.91</v>
      </c>
      <c r="U1201" s="38">
        <v>104.99</v>
      </c>
      <c r="V1201" s="38">
        <v>104.8</v>
      </c>
      <c r="W1201" s="38">
        <v>97.44</v>
      </c>
      <c r="X1201" s="38">
        <v>81.77</v>
      </c>
      <c r="Y1201" s="38">
        <v>79.239999999999995</v>
      </c>
      <c r="Z1201" s="38">
        <v>76.81</v>
      </c>
      <c r="AA1201" s="38">
        <v>75.760000000000005</v>
      </c>
      <c r="AB1201" s="38">
        <v>76.52</v>
      </c>
      <c r="AC1201" s="38">
        <v>78.88</v>
      </c>
      <c r="AD1201" s="38">
        <v>82.68</v>
      </c>
      <c r="AE1201" s="38">
        <v>86.29</v>
      </c>
      <c r="AF1201" s="38">
        <v>89.38</v>
      </c>
      <c r="AG1201" s="38">
        <v>92.17</v>
      </c>
      <c r="AH1201" s="38">
        <v>91.08</v>
      </c>
      <c r="AI1201" s="38">
        <v>86.66</v>
      </c>
      <c r="AJ1201" s="38">
        <v>69.900000000000006</v>
      </c>
      <c r="AK1201" s="38">
        <v>69.86</v>
      </c>
      <c r="AL1201" s="38">
        <v>68.48</v>
      </c>
      <c r="AM1201" s="38">
        <v>67.900000000000006</v>
      </c>
      <c r="AN1201" s="38">
        <v>68.400000000000006</v>
      </c>
      <c r="AO1201" s="38">
        <v>70.739999999999995</v>
      </c>
      <c r="AP1201" s="38">
        <v>74.540000000000006</v>
      </c>
      <c r="AQ1201" s="38">
        <v>78.11</v>
      </c>
      <c r="AR1201" s="38">
        <v>81.31</v>
      </c>
      <c r="AS1201" s="38">
        <v>83.42</v>
      </c>
      <c r="AT1201" s="38">
        <v>82.4</v>
      </c>
      <c r="AU1201" s="38">
        <v>78.98</v>
      </c>
      <c r="AV1201" s="38">
        <v>72.900000000000006</v>
      </c>
      <c r="AW1201" s="38">
        <v>68.95</v>
      </c>
      <c r="AX1201" s="38">
        <v>67.8</v>
      </c>
      <c r="AY1201" s="38">
        <v>66.349999999999994</v>
      </c>
      <c r="BA1201" s="37">
        <v>79.260000000000005</v>
      </c>
      <c r="BB1201" s="38">
        <v>1.2827999999999999</v>
      </c>
    </row>
    <row r="1202" spans="1:54" x14ac:dyDescent="0.35">
      <c r="A1202" s="2">
        <f t="shared" si="18"/>
        <v>45504</v>
      </c>
      <c r="B1202" t="s">
        <v>1795</v>
      </c>
      <c r="C1202" s="32">
        <v>45504</v>
      </c>
      <c r="D1202" s="38">
        <v>86.98</v>
      </c>
      <c r="E1202" s="38">
        <v>89.96</v>
      </c>
      <c r="F1202" s="38">
        <v>99.34</v>
      </c>
      <c r="G1202" s="38">
        <v>103.38</v>
      </c>
      <c r="H1202" s="38">
        <v>104.73</v>
      </c>
      <c r="I1202" s="38">
        <v>104.99</v>
      </c>
      <c r="J1202" s="38">
        <v>101.59</v>
      </c>
      <c r="K1202" s="38">
        <v>97.24</v>
      </c>
      <c r="L1202" s="38">
        <v>95.83</v>
      </c>
      <c r="M1202" s="38">
        <v>93.83</v>
      </c>
      <c r="N1202" s="38">
        <v>92.29</v>
      </c>
      <c r="O1202" s="38">
        <v>94.1</v>
      </c>
      <c r="P1202" s="38">
        <v>95.34</v>
      </c>
      <c r="Q1202" s="38">
        <v>96.76</v>
      </c>
      <c r="R1202" s="38">
        <v>100.19</v>
      </c>
      <c r="S1202" s="38">
        <v>103.57</v>
      </c>
      <c r="T1202" s="38">
        <v>106.65</v>
      </c>
      <c r="U1202" s="38">
        <v>106.46</v>
      </c>
      <c r="V1202" s="38">
        <v>99.1</v>
      </c>
      <c r="W1202" s="38">
        <v>82.43</v>
      </c>
      <c r="X1202" s="38">
        <v>79.900000000000006</v>
      </c>
      <c r="Y1202" s="38">
        <v>77.47</v>
      </c>
      <c r="Z1202" s="38">
        <v>76.42</v>
      </c>
      <c r="AA1202" s="38">
        <v>77.180000000000007</v>
      </c>
      <c r="AB1202" s="38">
        <v>79.540000000000006</v>
      </c>
      <c r="AC1202" s="38">
        <v>83.29</v>
      </c>
      <c r="AD1202" s="38">
        <v>86.9</v>
      </c>
      <c r="AE1202" s="38">
        <v>89.99</v>
      </c>
      <c r="AF1202" s="38">
        <v>92.78</v>
      </c>
      <c r="AG1202" s="38">
        <v>91.69</v>
      </c>
      <c r="AH1202" s="38">
        <v>87.27</v>
      </c>
      <c r="AI1202" s="38">
        <v>70.61</v>
      </c>
      <c r="AJ1202" s="38">
        <v>70.569999999999993</v>
      </c>
      <c r="AK1202" s="38">
        <v>69.19</v>
      </c>
      <c r="AL1202" s="38">
        <v>68.61</v>
      </c>
      <c r="AM1202" s="38">
        <v>69.11</v>
      </c>
      <c r="AN1202" s="38">
        <v>71.45</v>
      </c>
      <c r="AO1202" s="38">
        <v>74.95</v>
      </c>
      <c r="AP1202" s="38">
        <v>78.52</v>
      </c>
      <c r="AQ1202" s="38">
        <v>81.72</v>
      </c>
      <c r="AR1202" s="38">
        <v>83.83</v>
      </c>
      <c r="AS1202" s="38">
        <v>82.81</v>
      </c>
      <c r="AT1202" s="38">
        <v>79.39</v>
      </c>
      <c r="AU1202" s="38">
        <v>73.31</v>
      </c>
      <c r="AV1202" s="38">
        <v>69.36</v>
      </c>
      <c r="AW1202" s="38">
        <v>68.209999999999994</v>
      </c>
      <c r="AX1202" s="38">
        <v>66.760000000000005</v>
      </c>
      <c r="AY1202" s="38">
        <v>65.38</v>
      </c>
      <c r="BA1202" s="37">
        <v>81.39</v>
      </c>
      <c r="BB1202" s="38">
        <v>1.2844</v>
      </c>
    </row>
    <row r="1203" spans="1:54" x14ac:dyDescent="0.35">
      <c r="A1203" s="2">
        <f t="shared" si="18"/>
        <v>45505</v>
      </c>
      <c r="B1203" t="s">
        <v>1796</v>
      </c>
      <c r="C1203" s="32">
        <v>45505</v>
      </c>
      <c r="D1203" s="38">
        <v>90.17</v>
      </c>
      <c r="E1203" s="38">
        <v>92.77</v>
      </c>
      <c r="F1203" s="38">
        <v>101.99</v>
      </c>
      <c r="G1203" s="38">
        <v>106.07</v>
      </c>
      <c r="H1203" s="38">
        <v>107.25</v>
      </c>
      <c r="I1203" s="38">
        <v>107.51</v>
      </c>
      <c r="J1203" s="38">
        <v>104.11</v>
      </c>
      <c r="K1203" s="38">
        <v>99.55</v>
      </c>
      <c r="L1203" s="38">
        <v>98.14</v>
      </c>
      <c r="M1203" s="38">
        <v>96.14</v>
      </c>
      <c r="N1203" s="38">
        <v>94.06</v>
      </c>
      <c r="O1203" s="38">
        <v>95.87</v>
      </c>
      <c r="P1203" s="38">
        <v>97.11</v>
      </c>
      <c r="Q1203" s="38">
        <v>98.71</v>
      </c>
      <c r="R1203" s="38">
        <v>102.14</v>
      </c>
      <c r="S1203" s="38">
        <v>105.52</v>
      </c>
      <c r="T1203" s="38">
        <v>108.37</v>
      </c>
      <c r="U1203" s="38">
        <v>108.18</v>
      </c>
      <c r="V1203" s="38">
        <v>100.82</v>
      </c>
      <c r="W1203" s="38">
        <v>83.93</v>
      </c>
      <c r="X1203" s="38">
        <v>81.400000000000006</v>
      </c>
      <c r="Y1203" s="38">
        <v>78.97</v>
      </c>
      <c r="Z1203" s="38">
        <v>77.92</v>
      </c>
      <c r="AA1203" s="38">
        <v>78.680000000000007</v>
      </c>
      <c r="AB1203" s="38">
        <v>81.040000000000006</v>
      </c>
      <c r="AC1203" s="38">
        <v>84.79</v>
      </c>
      <c r="AD1203" s="38">
        <v>88.4</v>
      </c>
      <c r="AE1203" s="38">
        <v>91.49</v>
      </c>
      <c r="AF1203" s="38">
        <v>94.28</v>
      </c>
      <c r="AG1203" s="38">
        <v>93.19</v>
      </c>
      <c r="AH1203" s="38">
        <v>88.77</v>
      </c>
      <c r="AI1203" s="38">
        <v>71.11</v>
      </c>
      <c r="AJ1203" s="38">
        <v>71.069999999999993</v>
      </c>
      <c r="AK1203" s="38">
        <v>69.69</v>
      </c>
      <c r="AL1203" s="38">
        <v>69.11</v>
      </c>
      <c r="AM1203" s="38">
        <v>69.61</v>
      </c>
      <c r="AN1203" s="38">
        <v>71.95</v>
      </c>
      <c r="AO1203" s="38">
        <v>75.45</v>
      </c>
      <c r="AP1203" s="38">
        <v>79.02</v>
      </c>
      <c r="AQ1203" s="38">
        <v>82.22</v>
      </c>
      <c r="AR1203" s="38">
        <v>84.33</v>
      </c>
      <c r="AS1203" s="38">
        <v>83.31</v>
      </c>
      <c r="AT1203" s="38">
        <v>79.89</v>
      </c>
      <c r="AU1203" s="38">
        <v>73.81</v>
      </c>
      <c r="AV1203" s="38">
        <v>69.86</v>
      </c>
      <c r="AW1203" s="38">
        <v>68.709999999999994</v>
      </c>
      <c r="AX1203" s="38">
        <v>67.260000000000005</v>
      </c>
      <c r="AY1203" s="38">
        <v>65.88</v>
      </c>
      <c r="BA1203" s="37">
        <v>81.37</v>
      </c>
      <c r="BB1203" s="38">
        <v>1.2793000000000001</v>
      </c>
    </row>
    <row r="1204" spans="1:54" x14ac:dyDescent="0.35">
      <c r="A1204" s="2">
        <f t="shared" si="18"/>
        <v>45506</v>
      </c>
      <c r="B1204" t="s">
        <v>1797</v>
      </c>
      <c r="C1204" s="32">
        <v>45506</v>
      </c>
      <c r="D1204" s="38">
        <v>89.8</v>
      </c>
      <c r="E1204" s="38">
        <v>92.71</v>
      </c>
      <c r="F1204" s="38">
        <v>102.57</v>
      </c>
      <c r="G1204" s="38">
        <v>106.51</v>
      </c>
      <c r="H1204" s="38">
        <v>107.58</v>
      </c>
      <c r="I1204" s="38">
        <v>107.84</v>
      </c>
      <c r="J1204" s="38">
        <v>104.44</v>
      </c>
      <c r="K1204" s="38">
        <v>99.9</v>
      </c>
      <c r="L1204" s="38">
        <v>98.49</v>
      </c>
      <c r="M1204" s="38">
        <v>96.49</v>
      </c>
      <c r="N1204" s="38">
        <v>94.71</v>
      </c>
      <c r="O1204" s="38">
        <v>96.52</v>
      </c>
      <c r="P1204" s="38">
        <v>97.76</v>
      </c>
      <c r="Q1204" s="38">
        <v>99.01</v>
      </c>
      <c r="R1204" s="38">
        <v>102.44</v>
      </c>
      <c r="S1204" s="38">
        <v>105.82</v>
      </c>
      <c r="T1204" s="38">
        <v>108.37</v>
      </c>
      <c r="U1204" s="38">
        <v>108.18</v>
      </c>
      <c r="V1204" s="38">
        <v>100.82</v>
      </c>
      <c r="W1204" s="38">
        <v>84.23</v>
      </c>
      <c r="X1204" s="38">
        <v>81.7</v>
      </c>
      <c r="Y1204" s="38">
        <v>79.27</v>
      </c>
      <c r="Z1204" s="38">
        <v>78.22</v>
      </c>
      <c r="AA1204" s="38">
        <v>78.98</v>
      </c>
      <c r="AB1204" s="38">
        <v>81.34</v>
      </c>
      <c r="AC1204" s="38">
        <v>85.09</v>
      </c>
      <c r="AD1204" s="38">
        <v>88.7</v>
      </c>
      <c r="AE1204" s="38">
        <v>91.79</v>
      </c>
      <c r="AF1204" s="38">
        <v>94.58</v>
      </c>
      <c r="AG1204" s="38">
        <v>93.49</v>
      </c>
      <c r="AH1204" s="38">
        <v>89.07</v>
      </c>
      <c r="AI1204" s="38">
        <v>71.41</v>
      </c>
      <c r="AJ1204" s="38">
        <v>71.37</v>
      </c>
      <c r="AK1204" s="38">
        <v>69.989999999999995</v>
      </c>
      <c r="AL1204" s="38">
        <v>69.41</v>
      </c>
      <c r="AM1204" s="38">
        <v>69.91</v>
      </c>
      <c r="AN1204" s="38">
        <v>72.25</v>
      </c>
      <c r="AO1204" s="38">
        <v>75</v>
      </c>
      <c r="AP1204" s="38">
        <v>78.569999999999993</v>
      </c>
      <c r="AQ1204" s="38">
        <v>81.77</v>
      </c>
      <c r="AR1204" s="38">
        <v>83.88</v>
      </c>
      <c r="AS1204" s="38">
        <v>82.86</v>
      </c>
      <c r="AT1204" s="38">
        <v>79.44</v>
      </c>
      <c r="AU1204" s="38">
        <v>73.36</v>
      </c>
      <c r="AV1204" s="38">
        <v>69.41</v>
      </c>
      <c r="AW1204" s="38">
        <v>68.260000000000005</v>
      </c>
      <c r="AX1204" s="38">
        <v>66.81</v>
      </c>
      <c r="AY1204" s="38">
        <v>65.430000000000007</v>
      </c>
      <c r="BA1204" s="37">
        <v>78.349999999999994</v>
      </c>
      <c r="BB1204" s="38">
        <v>1.2806999999999999</v>
      </c>
    </row>
    <row r="1205" spans="1:54" x14ac:dyDescent="0.35">
      <c r="A1205" s="2">
        <f t="shared" si="18"/>
        <v>45509</v>
      </c>
      <c r="B1205" t="s">
        <v>1798</v>
      </c>
      <c r="C1205" s="32">
        <v>45509</v>
      </c>
      <c r="D1205" s="38">
        <v>87.05</v>
      </c>
      <c r="E1205" s="38">
        <v>90.42</v>
      </c>
      <c r="F1205" s="38">
        <v>100.37</v>
      </c>
      <c r="G1205" s="38">
        <v>104.45</v>
      </c>
      <c r="H1205" s="38">
        <v>105.53</v>
      </c>
      <c r="I1205" s="38">
        <v>105.85</v>
      </c>
      <c r="J1205" s="38">
        <v>102.68</v>
      </c>
      <c r="K1205" s="38">
        <v>98.44</v>
      </c>
      <c r="L1205" s="38">
        <v>96.33</v>
      </c>
      <c r="M1205" s="38">
        <v>94.73</v>
      </c>
      <c r="N1205" s="38">
        <v>93.05</v>
      </c>
      <c r="O1205" s="38">
        <v>94.93</v>
      </c>
      <c r="P1205" s="38">
        <v>96.18</v>
      </c>
      <c r="Q1205" s="38">
        <v>97.56</v>
      </c>
      <c r="R1205" s="38">
        <v>101.31</v>
      </c>
      <c r="S1205" s="38">
        <v>104.74</v>
      </c>
      <c r="T1205" s="38">
        <v>106.48</v>
      </c>
      <c r="U1205" s="38">
        <v>107.2</v>
      </c>
      <c r="V1205" s="38">
        <v>99.87</v>
      </c>
      <c r="W1205" s="38">
        <v>83.74</v>
      </c>
      <c r="X1205" s="38">
        <v>81.209999999999994</v>
      </c>
      <c r="Y1205" s="38">
        <v>78.790000000000006</v>
      </c>
      <c r="Z1205" s="38">
        <v>77.73</v>
      </c>
      <c r="AA1205" s="38">
        <v>78.489999999999995</v>
      </c>
      <c r="AB1205" s="38">
        <v>80.84</v>
      </c>
      <c r="AC1205" s="38">
        <v>84.62</v>
      </c>
      <c r="AD1205" s="38">
        <v>88.2</v>
      </c>
      <c r="AE1205" s="38">
        <v>91.3</v>
      </c>
      <c r="AF1205" s="38">
        <v>94.31</v>
      </c>
      <c r="AG1205" s="38">
        <v>93.22</v>
      </c>
      <c r="AH1205" s="38">
        <v>88.8</v>
      </c>
      <c r="AI1205" s="38">
        <v>71.77</v>
      </c>
      <c r="AJ1205" s="38">
        <v>71.73</v>
      </c>
      <c r="AK1205" s="38">
        <v>70.349999999999994</v>
      </c>
      <c r="AL1205" s="38">
        <v>69.77</v>
      </c>
      <c r="AM1205" s="38">
        <v>70.27</v>
      </c>
      <c r="AN1205" s="38">
        <v>72.599999999999994</v>
      </c>
      <c r="AO1205" s="38">
        <v>75.3</v>
      </c>
      <c r="AP1205" s="38">
        <v>78.88</v>
      </c>
      <c r="AQ1205" s="38">
        <v>82.08</v>
      </c>
      <c r="AR1205" s="38">
        <v>84.13</v>
      </c>
      <c r="AS1205" s="38">
        <v>83.1</v>
      </c>
      <c r="AT1205" s="38">
        <v>79.680000000000007</v>
      </c>
      <c r="AU1205" s="38">
        <v>73.92</v>
      </c>
      <c r="AV1205" s="38">
        <v>69.97</v>
      </c>
      <c r="AW1205" s="38">
        <v>68.819999999999993</v>
      </c>
      <c r="AX1205" s="38">
        <v>67.37</v>
      </c>
      <c r="AY1205" s="38">
        <v>65.989999999999995</v>
      </c>
      <c r="BA1205" s="37">
        <v>77.510000000000005</v>
      </c>
      <c r="BB1205" s="38">
        <v>1.2759</v>
      </c>
    </row>
    <row r="1206" spans="1:54" x14ac:dyDescent="0.35">
      <c r="A1206" s="2">
        <f t="shared" si="18"/>
        <v>45510</v>
      </c>
      <c r="B1206" t="s">
        <v>1799</v>
      </c>
      <c r="C1206" s="32">
        <v>45510</v>
      </c>
      <c r="D1206" s="38">
        <v>90.29</v>
      </c>
      <c r="E1206" s="38">
        <v>93.36</v>
      </c>
      <c r="F1206" s="38">
        <v>102.38</v>
      </c>
      <c r="G1206" s="38">
        <v>106.26</v>
      </c>
      <c r="H1206" s="38">
        <v>107.36</v>
      </c>
      <c r="I1206" s="38">
        <v>107.57</v>
      </c>
      <c r="J1206" s="38">
        <v>104.38</v>
      </c>
      <c r="K1206" s="38">
        <v>99.49</v>
      </c>
      <c r="L1206" s="38">
        <v>97.53</v>
      </c>
      <c r="M1206" s="38">
        <v>95.86</v>
      </c>
      <c r="N1206" s="38">
        <v>94.17</v>
      </c>
      <c r="O1206" s="38">
        <v>96.03</v>
      </c>
      <c r="P1206" s="38">
        <v>97.28</v>
      </c>
      <c r="Q1206" s="38">
        <v>98.63</v>
      </c>
      <c r="R1206" s="38">
        <v>102.5</v>
      </c>
      <c r="S1206" s="38">
        <v>105.79</v>
      </c>
      <c r="T1206" s="38">
        <v>107.58</v>
      </c>
      <c r="U1206" s="38">
        <v>108.3</v>
      </c>
      <c r="V1206" s="38">
        <v>100.95</v>
      </c>
      <c r="W1206" s="38">
        <v>84.54</v>
      </c>
      <c r="X1206" s="38">
        <v>82.01</v>
      </c>
      <c r="Y1206" s="38">
        <v>79.59</v>
      </c>
      <c r="Z1206" s="38">
        <v>78.53</v>
      </c>
      <c r="AA1206" s="38">
        <v>79.290000000000006</v>
      </c>
      <c r="AB1206" s="38">
        <v>81.66</v>
      </c>
      <c r="AC1206" s="38">
        <v>85.41</v>
      </c>
      <c r="AD1206" s="38">
        <v>88.99</v>
      </c>
      <c r="AE1206" s="38">
        <v>92.09</v>
      </c>
      <c r="AF1206" s="38">
        <v>95.1</v>
      </c>
      <c r="AG1206" s="38">
        <v>94.02</v>
      </c>
      <c r="AH1206" s="38">
        <v>89.6</v>
      </c>
      <c r="AI1206" s="38">
        <v>72.39</v>
      </c>
      <c r="AJ1206" s="38">
        <v>72.349999999999994</v>
      </c>
      <c r="AK1206" s="38">
        <v>70.989999999999995</v>
      </c>
      <c r="AL1206" s="38">
        <v>70.41</v>
      </c>
      <c r="AM1206" s="38">
        <v>70.91</v>
      </c>
      <c r="AN1206" s="38">
        <v>73.239999999999995</v>
      </c>
      <c r="AO1206" s="38">
        <v>75.87</v>
      </c>
      <c r="AP1206" s="38">
        <v>79.45</v>
      </c>
      <c r="AQ1206" s="38">
        <v>82.65</v>
      </c>
      <c r="AR1206" s="38">
        <v>84.27</v>
      </c>
      <c r="AS1206" s="38">
        <v>83.24</v>
      </c>
      <c r="AT1206" s="38">
        <v>79.819999999999993</v>
      </c>
      <c r="AU1206" s="38">
        <v>74.25</v>
      </c>
      <c r="AV1206" s="38">
        <v>70.3</v>
      </c>
      <c r="AW1206" s="38">
        <v>69.14</v>
      </c>
      <c r="AX1206" s="38">
        <v>67.69</v>
      </c>
      <c r="AY1206" s="38">
        <v>66.31</v>
      </c>
      <c r="BA1206" s="37">
        <v>76.62</v>
      </c>
      <c r="BB1206" s="38">
        <v>1.2706</v>
      </c>
    </row>
    <row r="1207" spans="1:54" x14ac:dyDescent="0.35">
      <c r="A1207" s="2">
        <f t="shared" si="18"/>
        <v>45511</v>
      </c>
      <c r="B1207" t="s">
        <v>1800</v>
      </c>
      <c r="C1207" s="32">
        <v>45511</v>
      </c>
      <c r="D1207" s="38">
        <v>94.46</v>
      </c>
      <c r="E1207" s="38">
        <v>97.44</v>
      </c>
      <c r="F1207" s="38">
        <v>106.31</v>
      </c>
      <c r="G1207" s="38">
        <v>109.93</v>
      </c>
      <c r="H1207" s="38">
        <v>111.05</v>
      </c>
      <c r="I1207" s="38">
        <v>111.2</v>
      </c>
      <c r="J1207" s="38">
        <v>107.71</v>
      </c>
      <c r="K1207" s="38">
        <v>103.26</v>
      </c>
      <c r="L1207" s="38">
        <v>100.62</v>
      </c>
      <c r="M1207" s="38">
        <v>98.76</v>
      </c>
      <c r="N1207" s="38">
        <v>97.09</v>
      </c>
      <c r="O1207" s="38">
        <v>98.89</v>
      </c>
      <c r="P1207" s="38">
        <v>100.06</v>
      </c>
      <c r="Q1207" s="38">
        <v>101.44</v>
      </c>
      <c r="R1207" s="38">
        <v>105.31</v>
      </c>
      <c r="S1207" s="38">
        <v>108.65</v>
      </c>
      <c r="T1207" s="38">
        <v>110.5</v>
      </c>
      <c r="U1207" s="38">
        <v>111.16</v>
      </c>
      <c r="V1207" s="38">
        <v>103.41</v>
      </c>
      <c r="W1207" s="38">
        <v>86.17</v>
      </c>
      <c r="X1207" s="38">
        <v>83.42</v>
      </c>
      <c r="Y1207" s="38">
        <v>81</v>
      </c>
      <c r="Z1207" s="38">
        <v>79.930000000000007</v>
      </c>
      <c r="AA1207" s="38">
        <v>80.7</v>
      </c>
      <c r="AB1207" s="38">
        <v>83.07</v>
      </c>
      <c r="AC1207" s="38">
        <v>86.88</v>
      </c>
      <c r="AD1207" s="38">
        <v>90.47</v>
      </c>
      <c r="AE1207" s="38">
        <v>93.57</v>
      </c>
      <c r="AF1207" s="38">
        <v>96.17</v>
      </c>
      <c r="AG1207" s="38">
        <v>95.09</v>
      </c>
      <c r="AH1207" s="38">
        <v>90.66</v>
      </c>
      <c r="AI1207" s="38">
        <v>72.849999999999994</v>
      </c>
      <c r="AJ1207" s="38">
        <v>72.81</v>
      </c>
      <c r="AK1207" s="38">
        <v>71.45</v>
      </c>
      <c r="AL1207" s="38">
        <v>70.87</v>
      </c>
      <c r="AM1207" s="38">
        <v>71.37</v>
      </c>
      <c r="AN1207" s="38">
        <v>73.709999999999994</v>
      </c>
      <c r="AO1207" s="38">
        <v>76.180000000000007</v>
      </c>
      <c r="AP1207" s="38">
        <v>79.75</v>
      </c>
      <c r="AQ1207" s="38">
        <v>82.95</v>
      </c>
      <c r="AR1207" s="38">
        <v>84.76</v>
      </c>
      <c r="AS1207" s="38">
        <v>83.73</v>
      </c>
      <c r="AT1207" s="38">
        <v>80.31</v>
      </c>
      <c r="AU1207" s="38">
        <v>74.39</v>
      </c>
      <c r="AV1207" s="38">
        <v>70.44</v>
      </c>
      <c r="AW1207" s="38">
        <v>69.28</v>
      </c>
      <c r="AX1207" s="38">
        <v>67.83</v>
      </c>
      <c r="AY1207" s="38">
        <v>66.45</v>
      </c>
      <c r="BA1207" s="37">
        <v>78.260000000000005</v>
      </c>
      <c r="BB1207" s="38">
        <v>1.2721</v>
      </c>
    </row>
    <row r="1208" spans="1:54" x14ac:dyDescent="0.35">
      <c r="A1208" s="2">
        <f t="shared" si="18"/>
        <v>45512</v>
      </c>
      <c r="B1208" t="s">
        <v>1801</v>
      </c>
      <c r="C1208" s="32">
        <v>45512</v>
      </c>
      <c r="D1208" s="38">
        <v>98.11</v>
      </c>
      <c r="E1208" s="38">
        <v>101.37</v>
      </c>
      <c r="F1208" s="38">
        <v>109.62</v>
      </c>
      <c r="G1208" s="38">
        <v>113.25</v>
      </c>
      <c r="H1208" s="38">
        <v>114.25</v>
      </c>
      <c r="I1208" s="38">
        <v>114.35</v>
      </c>
      <c r="J1208" s="38">
        <v>110.3</v>
      </c>
      <c r="K1208" s="38">
        <v>105.72</v>
      </c>
      <c r="L1208" s="38">
        <v>103.7</v>
      </c>
      <c r="M1208" s="38">
        <v>101.76</v>
      </c>
      <c r="N1208" s="38">
        <v>99.82</v>
      </c>
      <c r="O1208" s="38">
        <v>101.55</v>
      </c>
      <c r="P1208" s="38">
        <v>102.72</v>
      </c>
      <c r="Q1208" s="38">
        <v>104.26</v>
      </c>
      <c r="R1208" s="38">
        <v>108.04</v>
      </c>
      <c r="S1208" s="38">
        <v>111.32</v>
      </c>
      <c r="T1208" s="38">
        <v>113.07</v>
      </c>
      <c r="U1208" s="38">
        <v>113.88</v>
      </c>
      <c r="V1208" s="38">
        <v>106.22</v>
      </c>
      <c r="W1208" s="38">
        <v>88.88</v>
      </c>
      <c r="X1208" s="38">
        <v>86.1</v>
      </c>
      <c r="Y1208" s="38">
        <v>83.67</v>
      </c>
      <c r="Z1208" s="38">
        <v>82.6</v>
      </c>
      <c r="AA1208" s="38">
        <v>83.35</v>
      </c>
      <c r="AB1208" s="38">
        <v>85.69</v>
      </c>
      <c r="AC1208" s="38">
        <v>89.48</v>
      </c>
      <c r="AD1208" s="38">
        <v>93.05</v>
      </c>
      <c r="AE1208" s="38">
        <v>96.12</v>
      </c>
      <c r="AF1208" s="38">
        <v>98.69</v>
      </c>
      <c r="AG1208" s="38">
        <v>97.56</v>
      </c>
      <c r="AH1208" s="38">
        <v>93.08</v>
      </c>
      <c r="AI1208" s="38">
        <v>75.16</v>
      </c>
      <c r="AJ1208" s="38">
        <v>72.739999999999995</v>
      </c>
      <c r="AK1208" s="38">
        <v>71.38</v>
      </c>
      <c r="AL1208" s="38">
        <v>70.8</v>
      </c>
      <c r="AM1208" s="38">
        <v>71.3</v>
      </c>
      <c r="AN1208" s="38">
        <v>73.64</v>
      </c>
      <c r="AO1208" s="38">
        <v>76.099999999999994</v>
      </c>
      <c r="AP1208" s="38">
        <v>79.67</v>
      </c>
      <c r="AQ1208" s="38">
        <v>82.87</v>
      </c>
      <c r="AR1208" s="38">
        <v>84.7</v>
      </c>
      <c r="AS1208" s="38">
        <v>83.67</v>
      </c>
      <c r="AT1208" s="38">
        <v>80.25</v>
      </c>
      <c r="AU1208" s="38">
        <v>74.31</v>
      </c>
      <c r="AV1208" s="38">
        <v>70.36</v>
      </c>
      <c r="AW1208" s="38">
        <v>69.2</v>
      </c>
      <c r="AX1208" s="38">
        <v>67.75</v>
      </c>
      <c r="AY1208" s="38">
        <v>66.37</v>
      </c>
      <c r="BA1208" s="37">
        <v>80.760000000000005</v>
      </c>
      <c r="BB1208" s="38">
        <v>1.2715000000000001</v>
      </c>
    </row>
    <row r="1209" spans="1:54" x14ac:dyDescent="0.35">
      <c r="A1209" s="2">
        <f t="shared" si="18"/>
        <v>45513</v>
      </c>
      <c r="B1209" t="s">
        <v>1802</v>
      </c>
      <c r="C1209" s="32">
        <v>45513</v>
      </c>
      <c r="D1209" s="38">
        <v>98.65</v>
      </c>
      <c r="E1209" s="38">
        <v>102.23</v>
      </c>
      <c r="F1209" s="38">
        <v>110.6</v>
      </c>
      <c r="G1209" s="38">
        <v>114.4</v>
      </c>
      <c r="H1209" s="38">
        <v>115.3</v>
      </c>
      <c r="I1209" s="38">
        <v>115.42</v>
      </c>
      <c r="J1209" s="38">
        <v>111.42</v>
      </c>
      <c r="K1209" s="38">
        <v>106.49</v>
      </c>
      <c r="L1209" s="38">
        <v>104.61</v>
      </c>
      <c r="M1209" s="38">
        <v>102.38</v>
      </c>
      <c r="N1209" s="38">
        <v>100.49</v>
      </c>
      <c r="O1209" s="38">
        <v>102.34</v>
      </c>
      <c r="P1209" s="38">
        <v>103.15</v>
      </c>
      <c r="Q1209" s="38">
        <v>103.91</v>
      </c>
      <c r="R1209" s="38">
        <v>108.8</v>
      </c>
      <c r="S1209" s="38">
        <v>112.13</v>
      </c>
      <c r="T1209" s="38">
        <v>113.95</v>
      </c>
      <c r="U1209" s="38">
        <v>114.8</v>
      </c>
      <c r="V1209" s="38">
        <v>107.2</v>
      </c>
      <c r="W1209" s="38">
        <v>88.09</v>
      </c>
      <c r="X1209" s="38">
        <v>85.34</v>
      </c>
      <c r="Y1209" s="38">
        <v>82.97</v>
      </c>
      <c r="Z1209" s="38">
        <v>82</v>
      </c>
      <c r="AA1209" s="38">
        <v>82.81</v>
      </c>
      <c r="AB1209" s="38">
        <v>85.34</v>
      </c>
      <c r="AC1209" s="38">
        <v>90.06</v>
      </c>
      <c r="AD1209" s="38">
        <v>93.64</v>
      </c>
      <c r="AE1209" s="38">
        <v>96.71</v>
      </c>
      <c r="AF1209" s="38">
        <v>99.09</v>
      </c>
      <c r="AG1209" s="38">
        <v>97.95</v>
      </c>
      <c r="AH1209" s="38">
        <v>93.49</v>
      </c>
      <c r="AI1209" s="38">
        <v>74.900000000000006</v>
      </c>
      <c r="AJ1209" s="38">
        <v>73.16</v>
      </c>
      <c r="AK1209" s="38">
        <v>71.540000000000006</v>
      </c>
      <c r="AL1209" s="38">
        <v>71.16</v>
      </c>
      <c r="AM1209" s="38">
        <v>71.66</v>
      </c>
      <c r="AN1209" s="38">
        <v>72.540000000000006</v>
      </c>
      <c r="AO1209" s="38">
        <v>75.14</v>
      </c>
      <c r="AP1209" s="38">
        <v>78.7</v>
      </c>
      <c r="AQ1209" s="38">
        <v>81.900000000000006</v>
      </c>
      <c r="AR1209" s="38">
        <v>83.71</v>
      </c>
      <c r="AS1209" s="38">
        <v>82.68</v>
      </c>
      <c r="AT1209" s="38">
        <v>79.239999999999995</v>
      </c>
      <c r="AU1209" s="38">
        <v>73.66</v>
      </c>
      <c r="AV1209" s="38">
        <v>69.709999999999994</v>
      </c>
      <c r="AW1209" s="38">
        <v>68.55</v>
      </c>
      <c r="AX1209" s="38">
        <v>67.099999999999994</v>
      </c>
      <c r="AY1209" s="38">
        <v>65.709999999999994</v>
      </c>
      <c r="BA1209" s="37">
        <v>81.069999999999993</v>
      </c>
      <c r="BB1209" s="38">
        <v>1.2764</v>
      </c>
    </row>
    <row r="1210" spans="1:54" x14ac:dyDescent="0.35">
      <c r="A1210" s="2">
        <f t="shared" si="18"/>
        <v>45516</v>
      </c>
      <c r="B1210" t="s">
        <v>1803</v>
      </c>
      <c r="C1210" s="32">
        <v>45516</v>
      </c>
      <c r="D1210" s="38">
        <v>96.73</v>
      </c>
      <c r="E1210" s="38">
        <v>100.42</v>
      </c>
      <c r="F1210" s="38">
        <v>109.51</v>
      </c>
      <c r="G1210" s="38">
        <v>113.49</v>
      </c>
      <c r="H1210" s="38">
        <v>114.15</v>
      </c>
      <c r="I1210" s="38">
        <v>114.31</v>
      </c>
      <c r="J1210" s="38">
        <v>110.4</v>
      </c>
      <c r="K1210" s="38">
        <v>106.07</v>
      </c>
      <c r="L1210" s="38">
        <v>103.37</v>
      </c>
      <c r="M1210" s="38">
        <v>101.24</v>
      </c>
      <c r="N1210" s="38">
        <v>99.3</v>
      </c>
      <c r="O1210" s="38">
        <v>101.28</v>
      </c>
      <c r="P1210" s="38">
        <v>102.35</v>
      </c>
      <c r="Q1210" s="38">
        <v>103.66</v>
      </c>
      <c r="R1210" s="38">
        <v>108.23</v>
      </c>
      <c r="S1210" s="38">
        <v>111.55</v>
      </c>
      <c r="T1210" s="38">
        <v>113.39</v>
      </c>
      <c r="U1210" s="38">
        <v>114.25</v>
      </c>
      <c r="V1210" s="38">
        <v>106.65</v>
      </c>
      <c r="W1210" s="38">
        <v>86.61</v>
      </c>
      <c r="X1210" s="38">
        <v>83.84</v>
      </c>
      <c r="Y1210" s="38">
        <v>81.47</v>
      </c>
      <c r="Z1210" s="38">
        <v>80.39</v>
      </c>
      <c r="AA1210" s="38">
        <v>81.2</v>
      </c>
      <c r="AB1210" s="38">
        <v>83.73</v>
      </c>
      <c r="AC1210" s="38">
        <v>88.63</v>
      </c>
      <c r="AD1210" s="38">
        <v>92.2</v>
      </c>
      <c r="AE1210" s="38">
        <v>95.27</v>
      </c>
      <c r="AF1210" s="38">
        <v>97.64</v>
      </c>
      <c r="AG1210" s="38">
        <v>96.5</v>
      </c>
      <c r="AH1210" s="38">
        <v>92.04</v>
      </c>
      <c r="AI1210" s="38">
        <v>73.900000000000006</v>
      </c>
      <c r="AJ1210" s="38">
        <v>71.72</v>
      </c>
      <c r="AK1210" s="38">
        <v>70.47</v>
      </c>
      <c r="AL1210" s="38">
        <v>69.849999999999994</v>
      </c>
      <c r="AM1210" s="38">
        <v>70.349999999999994</v>
      </c>
      <c r="AN1210" s="38">
        <v>71.22</v>
      </c>
      <c r="AO1210" s="38">
        <v>74.59</v>
      </c>
      <c r="AP1210" s="38">
        <v>78.150000000000006</v>
      </c>
      <c r="AQ1210" s="38">
        <v>81.33</v>
      </c>
      <c r="AR1210" s="38">
        <v>83.14</v>
      </c>
      <c r="AS1210" s="38">
        <v>82.11</v>
      </c>
      <c r="AT1210" s="38">
        <v>78.67</v>
      </c>
      <c r="AU1210" s="38">
        <v>73.14</v>
      </c>
      <c r="AV1210" s="38">
        <v>69.180000000000007</v>
      </c>
      <c r="AW1210" s="38">
        <v>68.02</v>
      </c>
      <c r="AX1210" s="38">
        <v>66.569999999999993</v>
      </c>
      <c r="AY1210" s="38">
        <v>65.180000000000007</v>
      </c>
      <c r="BA1210" s="37">
        <v>83.06</v>
      </c>
      <c r="BB1210" s="38">
        <v>1.2785</v>
      </c>
    </row>
    <row r="1211" spans="1:54" x14ac:dyDescent="0.35">
      <c r="A1211" s="2">
        <f t="shared" si="18"/>
        <v>45517</v>
      </c>
      <c r="B1211" t="s">
        <v>1804</v>
      </c>
      <c r="C1211" s="32">
        <v>45517</v>
      </c>
      <c r="D1211" s="38">
        <v>95.94</v>
      </c>
      <c r="E1211" s="38">
        <v>100.01</v>
      </c>
      <c r="F1211" s="38">
        <v>109.25</v>
      </c>
      <c r="G1211" s="38">
        <v>113.22</v>
      </c>
      <c r="H1211" s="38">
        <v>113.96</v>
      </c>
      <c r="I1211" s="38">
        <v>114.09</v>
      </c>
      <c r="J1211" s="38">
        <v>110.46</v>
      </c>
      <c r="K1211" s="38">
        <v>106.07</v>
      </c>
      <c r="L1211" s="38">
        <v>103.29</v>
      </c>
      <c r="M1211" s="38">
        <v>101.24</v>
      </c>
      <c r="N1211" s="38">
        <v>99.55</v>
      </c>
      <c r="O1211" s="38">
        <v>101.54</v>
      </c>
      <c r="P1211" s="38">
        <v>102.53</v>
      </c>
      <c r="Q1211" s="38">
        <v>103.76</v>
      </c>
      <c r="R1211" s="38">
        <v>108.3</v>
      </c>
      <c r="S1211" s="38">
        <v>111.88</v>
      </c>
      <c r="T1211" s="38">
        <v>113.71</v>
      </c>
      <c r="U1211" s="38">
        <v>114.47</v>
      </c>
      <c r="V1211" s="38">
        <v>106.85</v>
      </c>
      <c r="W1211" s="38">
        <v>86.21</v>
      </c>
      <c r="X1211" s="38">
        <v>83.44</v>
      </c>
      <c r="Y1211" s="38">
        <v>81.08</v>
      </c>
      <c r="Z1211" s="38">
        <v>80.14</v>
      </c>
      <c r="AA1211" s="38">
        <v>80.930000000000007</v>
      </c>
      <c r="AB1211" s="38">
        <v>83.36</v>
      </c>
      <c r="AC1211" s="38">
        <v>87.83</v>
      </c>
      <c r="AD1211" s="38">
        <v>91.27</v>
      </c>
      <c r="AE1211" s="38">
        <v>94.34</v>
      </c>
      <c r="AF1211" s="38">
        <v>96.75</v>
      </c>
      <c r="AG1211" s="38">
        <v>95.61</v>
      </c>
      <c r="AH1211" s="38">
        <v>91.16</v>
      </c>
      <c r="AI1211" s="38">
        <v>73.3</v>
      </c>
      <c r="AJ1211" s="38">
        <v>71.12</v>
      </c>
      <c r="AK1211" s="38">
        <v>69.86</v>
      </c>
      <c r="AL1211" s="38">
        <v>69.5</v>
      </c>
      <c r="AM1211" s="38">
        <v>70</v>
      </c>
      <c r="AN1211" s="38">
        <v>70.87</v>
      </c>
      <c r="AO1211" s="38">
        <v>74.319999999999993</v>
      </c>
      <c r="AP1211" s="38">
        <v>77.88</v>
      </c>
      <c r="AQ1211" s="38">
        <v>81.05</v>
      </c>
      <c r="AR1211" s="38">
        <v>83.1</v>
      </c>
      <c r="AS1211" s="38">
        <v>82.07</v>
      </c>
      <c r="AT1211" s="38">
        <v>78.62</v>
      </c>
      <c r="AU1211" s="38">
        <v>73.209999999999994</v>
      </c>
      <c r="AV1211" s="38">
        <v>69.25</v>
      </c>
      <c r="AW1211" s="38">
        <v>68.09</v>
      </c>
      <c r="AX1211" s="38">
        <v>66.64</v>
      </c>
      <c r="AY1211" s="38">
        <v>65.25</v>
      </c>
      <c r="BA1211" s="37">
        <v>82.51</v>
      </c>
      <c r="BB1211" s="38">
        <v>1.2824</v>
      </c>
    </row>
    <row r="1212" spans="1:54" x14ac:dyDescent="0.35">
      <c r="A1212" s="2">
        <f t="shared" si="18"/>
        <v>45518</v>
      </c>
      <c r="B1212" t="s">
        <v>1805</v>
      </c>
      <c r="C1212" s="32">
        <v>45518</v>
      </c>
      <c r="D1212" s="38">
        <v>94.19</v>
      </c>
      <c r="E1212" s="38">
        <v>99.09</v>
      </c>
      <c r="F1212" s="38">
        <v>109.02</v>
      </c>
      <c r="G1212" s="38">
        <v>113.24</v>
      </c>
      <c r="H1212" s="38">
        <v>114.17</v>
      </c>
      <c r="I1212" s="38">
        <v>114.39</v>
      </c>
      <c r="J1212" s="38">
        <v>110.67</v>
      </c>
      <c r="K1212" s="38">
        <v>106.42</v>
      </c>
      <c r="L1212" s="38">
        <v>103.99</v>
      </c>
      <c r="M1212" s="38">
        <v>102.02</v>
      </c>
      <c r="N1212" s="38">
        <v>100.18</v>
      </c>
      <c r="O1212" s="38">
        <v>102.32</v>
      </c>
      <c r="P1212" s="38">
        <v>103.31</v>
      </c>
      <c r="Q1212" s="38">
        <v>104.55</v>
      </c>
      <c r="R1212" s="38">
        <v>109.08</v>
      </c>
      <c r="S1212" s="38">
        <v>112.63</v>
      </c>
      <c r="T1212" s="38">
        <v>114.16</v>
      </c>
      <c r="U1212" s="38">
        <v>114.73</v>
      </c>
      <c r="V1212" s="38">
        <v>107.29</v>
      </c>
      <c r="W1212" s="38">
        <v>86.56</v>
      </c>
      <c r="X1212" s="38">
        <v>83.44</v>
      </c>
      <c r="Y1212" s="38">
        <v>81.040000000000006</v>
      </c>
      <c r="Z1212" s="38">
        <v>80.010000000000005</v>
      </c>
      <c r="AA1212" s="38">
        <v>80.7</v>
      </c>
      <c r="AB1212" s="38">
        <v>82.91</v>
      </c>
      <c r="AC1212" s="38">
        <v>87</v>
      </c>
      <c r="AD1212" s="38">
        <v>90.43</v>
      </c>
      <c r="AE1212" s="38">
        <v>93.49</v>
      </c>
      <c r="AF1212" s="38">
        <v>96.01</v>
      </c>
      <c r="AG1212" s="38">
        <v>94.88</v>
      </c>
      <c r="AH1212" s="38">
        <v>90.42</v>
      </c>
      <c r="AI1212" s="38">
        <v>72.39</v>
      </c>
      <c r="AJ1212" s="38">
        <v>70.239999999999995</v>
      </c>
      <c r="AK1212" s="38">
        <v>69</v>
      </c>
      <c r="AL1212" s="38">
        <v>68.680000000000007</v>
      </c>
      <c r="AM1212" s="38">
        <v>69.19</v>
      </c>
      <c r="AN1212" s="38">
        <v>70.08</v>
      </c>
      <c r="AO1212" s="38">
        <v>73.680000000000007</v>
      </c>
      <c r="AP1212" s="38">
        <v>77.239999999999995</v>
      </c>
      <c r="AQ1212" s="38">
        <v>80.41</v>
      </c>
      <c r="AR1212" s="38">
        <v>82.51</v>
      </c>
      <c r="AS1212" s="38">
        <v>81.48</v>
      </c>
      <c r="AT1212" s="38">
        <v>78.03</v>
      </c>
      <c r="AU1212" s="38">
        <v>72.599999999999994</v>
      </c>
      <c r="AV1212" s="38">
        <v>68.64</v>
      </c>
      <c r="AW1212" s="38">
        <v>67.48</v>
      </c>
      <c r="AX1212" s="38">
        <v>66.03</v>
      </c>
      <c r="AY1212" s="38">
        <v>64.64</v>
      </c>
      <c r="BA1212" s="37">
        <v>82.15</v>
      </c>
      <c r="BB1212" s="38">
        <v>1.2856000000000001</v>
      </c>
    </row>
    <row r="1213" spans="1:54" x14ac:dyDescent="0.35">
      <c r="A1213" s="2">
        <f t="shared" si="18"/>
        <v>45519</v>
      </c>
      <c r="B1213" t="s">
        <v>1806</v>
      </c>
      <c r="C1213" s="32">
        <v>45519</v>
      </c>
      <c r="D1213" s="38">
        <v>95.62</v>
      </c>
      <c r="E1213" s="38">
        <v>100.32</v>
      </c>
      <c r="F1213" s="38">
        <v>110.2</v>
      </c>
      <c r="G1213" s="38">
        <v>114.34</v>
      </c>
      <c r="H1213" s="38">
        <v>115.29</v>
      </c>
      <c r="I1213" s="38">
        <v>115.44</v>
      </c>
      <c r="J1213" s="38">
        <v>111.76</v>
      </c>
      <c r="K1213" s="38">
        <v>107.37</v>
      </c>
      <c r="L1213" s="38">
        <v>105</v>
      </c>
      <c r="M1213" s="38">
        <v>103</v>
      </c>
      <c r="N1213" s="38">
        <v>101.1</v>
      </c>
      <c r="O1213" s="38">
        <v>103.34</v>
      </c>
      <c r="P1213" s="38">
        <v>104.28</v>
      </c>
      <c r="Q1213" s="38">
        <v>105.59</v>
      </c>
      <c r="R1213" s="38">
        <v>110.21</v>
      </c>
      <c r="S1213" s="38">
        <v>113.66</v>
      </c>
      <c r="T1213" s="38">
        <v>115.09</v>
      </c>
      <c r="U1213" s="38">
        <v>115.69</v>
      </c>
      <c r="V1213" s="38">
        <v>108.24</v>
      </c>
      <c r="W1213" s="38">
        <v>87.24</v>
      </c>
      <c r="X1213" s="38">
        <v>84.12</v>
      </c>
      <c r="Y1213" s="38">
        <v>81.72</v>
      </c>
      <c r="Z1213" s="38">
        <v>80.69</v>
      </c>
      <c r="AA1213" s="38">
        <v>81.37</v>
      </c>
      <c r="AB1213" s="38">
        <v>83.47</v>
      </c>
      <c r="AC1213" s="38">
        <v>87.35</v>
      </c>
      <c r="AD1213" s="38">
        <v>90.77</v>
      </c>
      <c r="AE1213" s="38">
        <v>93.83</v>
      </c>
      <c r="AF1213" s="38">
        <v>96.41</v>
      </c>
      <c r="AG1213" s="38">
        <v>95.29</v>
      </c>
      <c r="AH1213" s="38">
        <v>90.84</v>
      </c>
      <c r="AI1213" s="38">
        <v>72.63</v>
      </c>
      <c r="AJ1213" s="38">
        <v>70.48</v>
      </c>
      <c r="AK1213" s="38">
        <v>69.239999999999995</v>
      </c>
      <c r="AL1213" s="38">
        <v>68.94</v>
      </c>
      <c r="AM1213" s="38">
        <v>69.430000000000007</v>
      </c>
      <c r="AN1213" s="38">
        <v>70.319999999999993</v>
      </c>
      <c r="AO1213" s="38">
        <v>74.180000000000007</v>
      </c>
      <c r="AP1213" s="38">
        <v>77.739999999999995</v>
      </c>
      <c r="AQ1213" s="38">
        <v>80.91</v>
      </c>
      <c r="AR1213" s="38">
        <v>82.67</v>
      </c>
      <c r="AS1213" s="38">
        <v>81.63</v>
      </c>
      <c r="AT1213" s="38">
        <v>78.180000000000007</v>
      </c>
      <c r="AU1213" s="38">
        <v>72.400000000000006</v>
      </c>
      <c r="AV1213" s="38">
        <v>68.44</v>
      </c>
      <c r="AW1213" s="38">
        <v>67.28</v>
      </c>
      <c r="AX1213" s="38">
        <v>65.83</v>
      </c>
      <c r="AY1213" s="38">
        <v>64.44</v>
      </c>
      <c r="BA1213" s="37">
        <v>83.09</v>
      </c>
      <c r="BB1213" s="38">
        <v>1.2853000000000001</v>
      </c>
    </row>
    <row r="1214" spans="1:54" x14ac:dyDescent="0.35">
      <c r="A1214" s="2">
        <f t="shared" si="18"/>
        <v>45520</v>
      </c>
      <c r="B1214" t="s">
        <v>1807</v>
      </c>
      <c r="C1214" s="32">
        <v>45520</v>
      </c>
      <c r="D1214" s="38">
        <v>95.28</v>
      </c>
      <c r="E1214" s="38">
        <v>99.99</v>
      </c>
      <c r="F1214" s="38">
        <v>109.9</v>
      </c>
      <c r="G1214" s="38">
        <v>114.4</v>
      </c>
      <c r="H1214" s="38">
        <v>115.41</v>
      </c>
      <c r="I1214" s="38">
        <v>115.52</v>
      </c>
      <c r="J1214" s="38">
        <v>111.69</v>
      </c>
      <c r="K1214" s="38">
        <v>107.22</v>
      </c>
      <c r="L1214" s="38">
        <v>105</v>
      </c>
      <c r="M1214" s="38">
        <v>103.12</v>
      </c>
      <c r="N1214" s="38">
        <v>101.22</v>
      </c>
      <c r="O1214" s="38">
        <v>103.43</v>
      </c>
      <c r="P1214" s="38">
        <v>104.45</v>
      </c>
      <c r="Q1214" s="38">
        <v>105.72</v>
      </c>
      <c r="R1214" s="38">
        <v>110.32</v>
      </c>
      <c r="S1214" s="38">
        <v>113.79</v>
      </c>
      <c r="T1214" s="38">
        <v>115.25</v>
      </c>
      <c r="U1214" s="38">
        <v>115.75</v>
      </c>
      <c r="V1214" s="38">
        <v>108.3</v>
      </c>
      <c r="W1214" s="38">
        <v>87.25</v>
      </c>
      <c r="X1214" s="38">
        <v>84.13</v>
      </c>
      <c r="Y1214" s="38">
        <v>81.73</v>
      </c>
      <c r="Z1214" s="38">
        <v>80.7</v>
      </c>
      <c r="AA1214" s="38">
        <v>81.37</v>
      </c>
      <c r="AB1214" s="38">
        <v>83.47</v>
      </c>
      <c r="AC1214" s="38">
        <v>87.27</v>
      </c>
      <c r="AD1214" s="38">
        <v>90.45</v>
      </c>
      <c r="AE1214" s="38">
        <v>93.51</v>
      </c>
      <c r="AF1214" s="38">
        <v>96.21</v>
      </c>
      <c r="AG1214" s="38">
        <v>95.09</v>
      </c>
      <c r="AH1214" s="38">
        <v>90.64</v>
      </c>
      <c r="AI1214" s="38">
        <v>72.319999999999993</v>
      </c>
      <c r="AJ1214" s="38">
        <v>70.17</v>
      </c>
      <c r="AK1214" s="38">
        <v>68.930000000000007</v>
      </c>
      <c r="AL1214" s="38">
        <v>68.63</v>
      </c>
      <c r="AM1214" s="38">
        <v>69.12</v>
      </c>
      <c r="AN1214" s="38">
        <v>70.010000000000005</v>
      </c>
      <c r="AO1214" s="38">
        <v>73.739999999999995</v>
      </c>
      <c r="AP1214" s="38">
        <v>77.3</v>
      </c>
      <c r="AQ1214" s="38">
        <v>80.47</v>
      </c>
      <c r="AR1214" s="38">
        <v>82.23</v>
      </c>
      <c r="AS1214" s="38">
        <v>81.19</v>
      </c>
      <c r="AT1214" s="38">
        <v>77.739999999999995</v>
      </c>
      <c r="AU1214" s="38">
        <v>71.959999999999994</v>
      </c>
      <c r="AV1214" s="38">
        <v>68</v>
      </c>
      <c r="AW1214" s="38">
        <v>66.84</v>
      </c>
      <c r="AX1214" s="38">
        <v>65.400000000000006</v>
      </c>
      <c r="AY1214" s="38">
        <v>64.010000000000005</v>
      </c>
      <c r="BA1214" s="37">
        <v>81.56</v>
      </c>
      <c r="BB1214" s="38">
        <v>1.2889999999999999</v>
      </c>
    </row>
    <row r="1215" spans="1:54" x14ac:dyDescent="0.35">
      <c r="A1215" s="2">
        <f t="shared" si="18"/>
        <v>45523</v>
      </c>
      <c r="B1215" t="s">
        <v>1808</v>
      </c>
      <c r="C1215" s="32">
        <v>45523</v>
      </c>
      <c r="D1215" s="38">
        <v>96.13</v>
      </c>
      <c r="E1215" s="38">
        <v>99.82</v>
      </c>
      <c r="F1215" s="38">
        <v>109.47</v>
      </c>
      <c r="G1215" s="38">
        <v>113.88</v>
      </c>
      <c r="H1215" s="38">
        <v>114.89</v>
      </c>
      <c r="I1215" s="38">
        <v>115.23</v>
      </c>
      <c r="J1215" s="38">
        <v>111.43</v>
      </c>
      <c r="K1215" s="38">
        <v>107</v>
      </c>
      <c r="L1215" s="38">
        <v>104.45</v>
      </c>
      <c r="M1215" s="38">
        <v>102.56</v>
      </c>
      <c r="N1215" s="38">
        <v>100.66</v>
      </c>
      <c r="O1215" s="38">
        <v>102.78</v>
      </c>
      <c r="P1215" s="38">
        <v>103.92</v>
      </c>
      <c r="Q1215" s="38">
        <v>105.19</v>
      </c>
      <c r="R1215" s="38">
        <v>109.81</v>
      </c>
      <c r="S1215" s="38">
        <v>113.2</v>
      </c>
      <c r="T1215" s="38">
        <v>114.75</v>
      </c>
      <c r="U1215" s="38">
        <v>115.24</v>
      </c>
      <c r="V1215" s="38">
        <v>107.8</v>
      </c>
      <c r="W1215" s="38">
        <v>86.75</v>
      </c>
      <c r="X1215" s="38">
        <v>83.63</v>
      </c>
      <c r="Y1215" s="38">
        <v>81.239999999999995</v>
      </c>
      <c r="Z1215" s="38">
        <v>80.209999999999994</v>
      </c>
      <c r="AA1215" s="38">
        <v>80.88</v>
      </c>
      <c r="AB1215" s="38">
        <v>83.06</v>
      </c>
      <c r="AC1215" s="38">
        <v>86.85</v>
      </c>
      <c r="AD1215" s="38">
        <v>90.13</v>
      </c>
      <c r="AE1215" s="38">
        <v>93.21</v>
      </c>
      <c r="AF1215" s="38">
        <v>95.58</v>
      </c>
      <c r="AG1215" s="38">
        <v>94.48</v>
      </c>
      <c r="AH1215" s="38">
        <v>90.06</v>
      </c>
      <c r="AI1215" s="38">
        <v>71.819999999999993</v>
      </c>
      <c r="AJ1215" s="38">
        <v>69.680000000000007</v>
      </c>
      <c r="AK1215" s="38">
        <v>68.47</v>
      </c>
      <c r="AL1215" s="38">
        <v>68.23</v>
      </c>
      <c r="AM1215" s="38">
        <v>68.819999999999993</v>
      </c>
      <c r="AN1215" s="38">
        <v>69.739999999999995</v>
      </c>
      <c r="AO1215" s="38">
        <v>73.900000000000006</v>
      </c>
      <c r="AP1215" s="38">
        <v>77.459999999999994</v>
      </c>
      <c r="AQ1215" s="38">
        <v>80.64</v>
      </c>
      <c r="AR1215" s="38">
        <v>82.54</v>
      </c>
      <c r="AS1215" s="38">
        <v>81.52</v>
      </c>
      <c r="AT1215" s="38">
        <v>78.069999999999993</v>
      </c>
      <c r="AU1215" s="38">
        <v>71</v>
      </c>
      <c r="AV1215" s="38">
        <v>67.06</v>
      </c>
      <c r="AW1215" s="38">
        <v>66.06</v>
      </c>
      <c r="AX1215" s="38">
        <v>65.56</v>
      </c>
      <c r="AY1215" s="38">
        <v>64.17</v>
      </c>
      <c r="BA1215" s="37">
        <v>81.09</v>
      </c>
      <c r="BB1215" s="38">
        <v>1.2986</v>
      </c>
    </row>
    <row r="1216" spans="1:54" x14ac:dyDescent="0.35">
      <c r="A1216" s="2">
        <f t="shared" si="18"/>
        <v>45524</v>
      </c>
      <c r="B1216" t="s">
        <v>1809</v>
      </c>
      <c r="C1216" s="32">
        <v>45524</v>
      </c>
      <c r="D1216" s="38">
        <v>91.46</v>
      </c>
      <c r="E1216" s="38">
        <v>94.7</v>
      </c>
      <c r="F1216" s="38">
        <v>104.51</v>
      </c>
      <c r="G1216" s="38">
        <v>109.16</v>
      </c>
      <c r="H1216" s="38">
        <v>110.22</v>
      </c>
      <c r="I1216" s="38">
        <v>110.42</v>
      </c>
      <c r="J1216" s="38">
        <v>106.85</v>
      </c>
      <c r="K1216" s="38">
        <v>102.5</v>
      </c>
      <c r="L1216" s="38">
        <v>100.35</v>
      </c>
      <c r="M1216" s="38">
        <v>98.77</v>
      </c>
      <c r="N1216" s="38">
        <v>96.94</v>
      </c>
      <c r="O1216" s="38">
        <v>99.1</v>
      </c>
      <c r="P1216" s="38">
        <v>100.32</v>
      </c>
      <c r="Q1216" s="38">
        <v>101.64</v>
      </c>
      <c r="R1216" s="38">
        <v>106.22</v>
      </c>
      <c r="S1216" s="38">
        <v>109.61</v>
      </c>
      <c r="T1216" s="38">
        <v>111.16</v>
      </c>
      <c r="U1216" s="38">
        <v>111.65</v>
      </c>
      <c r="V1216" s="38">
        <v>104.21</v>
      </c>
      <c r="W1216" s="38">
        <v>84.83</v>
      </c>
      <c r="X1216" s="38">
        <v>81.709999999999994</v>
      </c>
      <c r="Y1216" s="38">
        <v>79.31</v>
      </c>
      <c r="Z1216" s="38">
        <v>78.28</v>
      </c>
      <c r="AA1216" s="38">
        <v>78.95</v>
      </c>
      <c r="AB1216" s="38">
        <v>81.13</v>
      </c>
      <c r="AC1216" s="38">
        <v>84.92</v>
      </c>
      <c r="AD1216" s="38">
        <v>88.2</v>
      </c>
      <c r="AE1216" s="38">
        <v>91.28</v>
      </c>
      <c r="AF1216" s="38">
        <v>93.65</v>
      </c>
      <c r="AG1216" s="38">
        <v>92.55</v>
      </c>
      <c r="AH1216" s="38">
        <v>88.13</v>
      </c>
      <c r="AI1216" s="38">
        <v>69.89</v>
      </c>
      <c r="AJ1216" s="38">
        <v>67.75</v>
      </c>
      <c r="AK1216" s="38">
        <v>66.540000000000006</v>
      </c>
      <c r="AL1216" s="38">
        <v>66.3</v>
      </c>
      <c r="AM1216" s="38">
        <v>66.89</v>
      </c>
      <c r="AN1216" s="38">
        <v>67.81</v>
      </c>
      <c r="AO1216" s="38">
        <v>71.97</v>
      </c>
      <c r="AP1216" s="38">
        <v>75.53</v>
      </c>
      <c r="AQ1216" s="38">
        <v>78.709999999999994</v>
      </c>
      <c r="AR1216" s="38">
        <v>80.61</v>
      </c>
      <c r="AS1216" s="38">
        <v>79.59</v>
      </c>
      <c r="AT1216" s="38">
        <v>76.14</v>
      </c>
      <c r="AU1216" s="38">
        <v>69.069999999999993</v>
      </c>
      <c r="AV1216" s="38">
        <v>65.13</v>
      </c>
      <c r="AW1216" s="38">
        <v>64.13</v>
      </c>
      <c r="AX1216" s="38">
        <v>63.63</v>
      </c>
      <c r="AY1216" s="38">
        <v>62.24</v>
      </c>
      <c r="BA1216" s="37">
        <v>78.849999999999994</v>
      </c>
      <c r="BB1216" s="38">
        <v>1.3030999999999999</v>
      </c>
    </row>
    <row r="1217" spans="1:54" x14ac:dyDescent="0.35">
      <c r="A1217" s="2">
        <f t="shared" si="18"/>
        <v>45525</v>
      </c>
      <c r="B1217" t="s">
        <v>1810</v>
      </c>
      <c r="C1217" s="32">
        <v>45525</v>
      </c>
      <c r="D1217" s="38">
        <v>88.65</v>
      </c>
      <c r="E1217" s="38">
        <v>91.78</v>
      </c>
      <c r="F1217" s="38">
        <v>102.02</v>
      </c>
      <c r="G1217" s="38">
        <v>106.8</v>
      </c>
      <c r="H1217" s="38">
        <v>108.1</v>
      </c>
      <c r="I1217" s="38">
        <v>108.5</v>
      </c>
      <c r="J1217" s="38">
        <v>104.8</v>
      </c>
      <c r="K1217" s="38">
        <v>101.1</v>
      </c>
      <c r="L1217" s="38">
        <v>98.65</v>
      </c>
      <c r="M1217" s="38">
        <v>97</v>
      </c>
      <c r="N1217" s="38">
        <v>95.05</v>
      </c>
      <c r="O1217" s="38">
        <v>97.26</v>
      </c>
      <c r="P1217" s="38">
        <v>98.49</v>
      </c>
      <c r="Q1217" s="38">
        <v>99.84</v>
      </c>
      <c r="R1217" s="38">
        <v>104.5</v>
      </c>
      <c r="S1217" s="38">
        <v>107.88</v>
      </c>
      <c r="T1217" s="38">
        <v>109.37</v>
      </c>
      <c r="U1217" s="38">
        <v>109.93</v>
      </c>
      <c r="V1217" s="38">
        <v>102.47</v>
      </c>
      <c r="W1217" s="38">
        <v>84.51</v>
      </c>
      <c r="X1217" s="38">
        <v>81.400000000000006</v>
      </c>
      <c r="Y1217" s="38">
        <v>79</v>
      </c>
      <c r="Z1217" s="38">
        <v>77.98</v>
      </c>
      <c r="AA1217" s="38">
        <v>78.650000000000006</v>
      </c>
      <c r="AB1217" s="38">
        <v>80.83</v>
      </c>
      <c r="AC1217" s="38">
        <v>84.8</v>
      </c>
      <c r="AD1217" s="38">
        <v>88.09</v>
      </c>
      <c r="AE1217" s="38">
        <v>91.18</v>
      </c>
      <c r="AF1217" s="38">
        <v>93.72</v>
      </c>
      <c r="AG1217" s="38">
        <v>92.69</v>
      </c>
      <c r="AH1217" s="38">
        <v>88.44</v>
      </c>
      <c r="AI1217" s="38">
        <v>70.37</v>
      </c>
      <c r="AJ1217" s="38">
        <v>68.23</v>
      </c>
      <c r="AK1217" s="38">
        <v>67.02</v>
      </c>
      <c r="AL1217" s="38">
        <v>66.78</v>
      </c>
      <c r="AM1217" s="38">
        <v>67.37</v>
      </c>
      <c r="AN1217" s="38">
        <v>68.290000000000006</v>
      </c>
      <c r="AO1217" s="38">
        <v>72.400000000000006</v>
      </c>
      <c r="AP1217" s="38">
        <v>75.959999999999994</v>
      </c>
      <c r="AQ1217" s="38">
        <v>79.14</v>
      </c>
      <c r="AR1217" s="38">
        <v>81.03</v>
      </c>
      <c r="AS1217" s="38">
        <v>80.010000000000005</v>
      </c>
      <c r="AT1217" s="38">
        <v>76.56</v>
      </c>
      <c r="AU1217" s="38">
        <v>69.489999999999995</v>
      </c>
      <c r="AV1217" s="38">
        <v>65.55</v>
      </c>
      <c r="AW1217" s="38">
        <v>64.55</v>
      </c>
      <c r="AX1217" s="38">
        <v>64.05</v>
      </c>
      <c r="AY1217" s="38">
        <v>62.66</v>
      </c>
      <c r="BA1217" s="37">
        <v>78.77</v>
      </c>
      <c r="BB1217" s="38">
        <v>1.3061</v>
      </c>
    </row>
    <row r="1218" spans="1:54" x14ac:dyDescent="0.35">
      <c r="A1218" s="2">
        <f t="shared" si="18"/>
        <v>45526</v>
      </c>
      <c r="B1218" t="s">
        <v>1811</v>
      </c>
      <c r="C1218" s="32">
        <v>45526</v>
      </c>
      <c r="D1218" s="38">
        <v>87.52</v>
      </c>
      <c r="E1218" s="38">
        <v>90.52</v>
      </c>
      <c r="F1218" s="38">
        <v>100.85</v>
      </c>
      <c r="G1218" s="38">
        <v>105.29</v>
      </c>
      <c r="H1218" s="38">
        <v>106.84</v>
      </c>
      <c r="I1218" s="38">
        <v>107.28</v>
      </c>
      <c r="J1218" s="38">
        <v>103.61</v>
      </c>
      <c r="K1218" s="38">
        <v>99.93</v>
      </c>
      <c r="L1218" s="38">
        <v>97.69</v>
      </c>
      <c r="M1218" s="38">
        <v>95.6</v>
      </c>
      <c r="N1218" s="38">
        <v>93.77</v>
      </c>
      <c r="O1218" s="38">
        <v>95.93</v>
      </c>
      <c r="P1218" s="38">
        <v>97.1</v>
      </c>
      <c r="Q1218" s="38">
        <v>98.71</v>
      </c>
      <c r="R1218" s="38">
        <v>103.38</v>
      </c>
      <c r="S1218" s="38">
        <v>106.77</v>
      </c>
      <c r="T1218" s="38">
        <v>108.28</v>
      </c>
      <c r="U1218" s="38">
        <v>108.85</v>
      </c>
      <c r="V1218" s="38">
        <v>101.39</v>
      </c>
      <c r="W1218" s="38">
        <v>83.56</v>
      </c>
      <c r="X1218" s="38">
        <v>80.48</v>
      </c>
      <c r="Y1218" s="38">
        <v>78.09</v>
      </c>
      <c r="Z1218" s="38">
        <v>77.19</v>
      </c>
      <c r="AA1218" s="38">
        <v>77.87</v>
      </c>
      <c r="AB1218" s="38">
        <v>80.05</v>
      </c>
      <c r="AC1218" s="38">
        <v>84.13</v>
      </c>
      <c r="AD1218" s="38">
        <v>87.42</v>
      </c>
      <c r="AE1218" s="38">
        <v>90.51</v>
      </c>
      <c r="AF1218" s="38">
        <v>92.93</v>
      </c>
      <c r="AG1218" s="38">
        <v>91.89</v>
      </c>
      <c r="AH1218" s="38">
        <v>87.65</v>
      </c>
      <c r="AI1218" s="38">
        <v>70.959999999999994</v>
      </c>
      <c r="AJ1218" s="38">
        <v>68.760000000000005</v>
      </c>
      <c r="AK1218" s="38">
        <v>67.510000000000005</v>
      </c>
      <c r="AL1218" s="38">
        <v>67.25</v>
      </c>
      <c r="AM1218" s="38">
        <v>67.81</v>
      </c>
      <c r="AN1218" s="38">
        <v>68.72</v>
      </c>
      <c r="AO1218" s="38">
        <v>74.260000000000005</v>
      </c>
      <c r="AP1218" s="38">
        <v>77.77</v>
      </c>
      <c r="AQ1218" s="38">
        <v>80.930000000000007</v>
      </c>
      <c r="AR1218" s="38">
        <v>82.82</v>
      </c>
      <c r="AS1218" s="38">
        <v>81.8</v>
      </c>
      <c r="AT1218" s="38">
        <v>78.349999999999994</v>
      </c>
      <c r="AU1218" s="38">
        <v>71.36</v>
      </c>
      <c r="AV1218" s="38">
        <v>67.42</v>
      </c>
      <c r="AW1218" s="38">
        <v>66.42</v>
      </c>
      <c r="AX1218" s="38">
        <v>65.92</v>
      </c>
      <c r="AY1218" s="38">
        <v>64.53</v>
      </c>
      <c r="BA1218" s="37">
        <v>78.8</v>
      </c>
      <c r="BB1218" s="38">
        <v>1.3103</v>
      </c>
    </row>
    <row r="1219" spans="1:54" x14ac:dyDescent="0.35">
      <c r="A1219" s="2">
        <f t="shared" si="18"/>
        <v>45527</v>
      </c>
      <c r="B1219" t="s">
        <v>1812</v>
      </c>
      <c r="C1219" s="32">
        <v>45527</v>
      </c>
      <c r="D1219" s="38">
        <v>88.63</v>
      </c>
      <c r="E1219" s="38">
        <v>90.84</v>
      </c>
      <c r="F1219" s="38">
        <v>101.3</v>
      </c>
      <c r="G1219" s="38">
        <v>105.57</v>
      </c>
      <c r="H1219" s="38">
        <v>107.2</v>
      </c>
      <c r="I1219" s="38">
        <v>107.74</v>
      </c>
      <c r="J1219" s="38">
        <v>104.71</v>
      </c>
      <c r="K1219" s="38">
        <v>100.73</v>
      </c>
      <c r="L1219" s="38">
        <v>99.07</v>
      </c>
      <c r="M1219" s="38">
        <v>97.1</v>
      </c>
      <c r="N1219" s="38">
        <v>94.85</v>
      </c>
      <c r="O1219" s="38">
        <v>96.95</v>
      </c>
      <c r="P1219" s="38">
        <v>98.12</v>
      </c>
      <c r="Q1219" s="38">
        <v>99.78</v>
      </c>
      <c r="R1219" s="38">
        <v>104.45</v>
      </c>
      <c r="S1219" s="38">
        <v>107.87</v>
      </c>
      <c r="T1219" s="38">
        <v>109.38</v>
      </c>
      <c r="U1219" s="38">
        <v>109.96</v>
      </c>
      <c r="V1219" s="38">
        <v>102.39</v>
      </c>
      <c r="W1219" s="38">
        <v>84.25</v>
      </c>
      <c r="X1219" s="38">
        <v>81.13</v>
      </c>
      <c r="Y1219" s="38">
        <v>78.67</v>
      </c>
      <c r="Z1219" s="38">
        <v>77.77</v>
      </c>
      <c r="AA1219" s="38">
        <v>78.45</v>
      </c>
      <c r="AB1219" s="38">
        <v>80.63</v>
      </c>
      <c r="AC1219" s="38">
        <v>84.66</v>
      </c>
      <c r="AD1219" s="38">
        <v>87.95</v>
      </c>
      <c r="AE1219" s="38">
        <v>90.97</v>
      </c>
      <c r="AF1219" s="38">
        <v>93.36</v>
      </c>
      <c r="AG1219" s="38">
        <v>92.32</v>
      </c>
      <c r="AH1219" s="38">
        <v>88.02</v>
      </c>
      <c r="AI1219" s="38">
        <v>71.19</v>
      </c>
      <c r="AJ1219" s="38">
        <v>68.930000000000007</v>
      </c>
      <c r="AK1219" s="38">
        <v>67.680000000000007</v>
      </c>
      <c r="AL1219" s="38">
        <v>67.42</v>
      </c>
      <c r="AM1219" s="38">
        <v>67.98</v>
      </c>
      <c r="AN1219" s="38">
        <v>68.89</v>
      </c>
      <c r="AO1219" s="38">
        <v>74.430000000000007</v>
      </c>
      <c r="AP1219" s="38">
        <v>77.87</v>
      </c>
      <c r="AQ1219" s="38">
        <v>81.03</v>
      </c>
      <c r="AR1219" s="38">
        <v>82.9</v>
      </c>
      <c r="AS1219" s="38">
        <v>81.88</v>
      </c>
      <c r="AT1219" s="38">
        <v>78.430000000000007</v>
      </c>
      <c r="AU1219" s="38">
        <v>71.39</v>
      </c>
      <c r="AV1219" s="38">
        <v>67.45</v>
      </c>
      <c r="AW1219" s="38">
        <v>66.45</v>
      </c>
      <c r="AX1219" s="38">
        <v>65.95</v>
      </c>
      <c r="AY1219" s="38">
        <v>64.56</v>
      </c>
      <c r="BA1219" s="37">
        <v>80.34</v>
      </c>
      <c r="BB1219" s="38">
        <v>1.3189</v>
      </c>
    </row>
    <row r="1220" spans="1:54" x14ac:dyDescent="0.35">
      <c r="A1220" s="2">
        <f t="shared" si="18"/>
        <v>45530</v>
      </c>
      <c r="B1220" t="s">
        <v>1813</v>
      </c>
      <c r="C1220" s="32">
        <v>45530</v>
      </c>
      <c r="D1220" s="38">
        <v>88.63</v>
      </c>
      <c r="E1220" s="38">
        <v>90.84</v>
      </c>
      <c r="F1220" s="38">
        <v>101.3</v>
      </c>
      <c r="G1220" s="38">
        <v>105.57</v>
      </c>
      <c r="H1220" s="38">
        <v>107.2</v>
      </c>
      <c r="I1220" s="38">
        <v>107.74</v>
      </c>
      <c r="J1220" s="38">
        <v>104.71</v>
      </c>
      <c r="K1220" s="38">
        <v>100.73</v>
      </c>
      <c r="L1220" s="38">
        <v>99.07</v>
      </c>
      <c r="M1220" s="38">
        <v>97.1</v>
      </c>
      <c r="N1220" s="38">
        <v>94.85</v>
      </c>
      <c r="O1220" s="38">
        <v>96.95</v>
      </c>
      <c r="P1220" s="38">
        <v>98.12</v>
      </c>
      <c r="Q1220" s="38">
        <v>99.78</v>
      </c>
      <c r="R1220" s="38">
        <v>104.45</v>
      </c>
      <c r="S1220" s="38">
        <v>107.87</v>
      </c>
      <c r="T1220" s="38">
        <v>109.38</v>
      </c>
      <c r="U1220" s="38">
        <v>109.96</v>
      </c>
      <c r="V1220" s="38">
        <v>102.39</v>
      </c>
      <c r="W1220" s="38">
        <v>84.25</v>
      </c>
      <c r="X1220" s="38">
        <v>81.13</v>
      </c>
      <c r="Y1220" s="38">
        <v>78.67</v>
      </c>
      <c r="Z1220" s="38">
        <v>77.77</v>
      </c>
      <c r="AA1220" s="38">
        <v>78.45</v>
      </c>
      <c r="AB1220" s="38">
        <v>80.63</v>
      </c>
      <c r="AC1220" s="38">
        <v>84.66</v>
      </c>
      <c r="AD1220" s="38">
        <v>87.95</v>
      </c>
      <c r="AE1220" s="38">
        <v>90.97</v>
      </c>
      <c r="AF1220" s="38">
        <v>93.36</v>
      </c>
      <c r="AG1220" s="38">
        <v>92.32</v>
      </c>
      <c r="AH1220" s="38">
        <v>88.02</v>
      </c>
      <c r="AI1220" s="38">
        <v>71.19</v>
      </c>
      <c r="AJ1220" s="38">
        <v>68.930000000000007</v>
      </c>
      <c r="AK1220" s="38">
        <v>67.680000000000007</v>
      </c>
      <c r="AL1220" s="38">
        <v>67.42</v>
      </c>
      <c r="AM1220" s="38">
        <v>67.98</v>
      </c>
      <c r="AN1220" s="38">
        <v>68.89</v>
      </c>
      <c r="AO1220" s="38">
        <v>74.430000000000007</v>
      </c>
      <c r="AP1220" s="38">
        <v>77.87</v>
      </c>
      <c r="AQ1220" s="38">
        <v>81.03</v>
      </c>
      <c r="AR1220" s="38">
        <v>82.9</v>
      </c>
      <c r="AS1220" s="38">
        <v>81.88</v>
      </c>
      <c r="AT1220" s="38">
        <v>78.430000000000007</v>
      </c>
      <c r="AU1220" s="38">
        <v>71.39</v>
      </c>
      <c r="AV1220" s="38">
        <v>67.45</v>
      </c>
      <c r="AW1220" s="38">
        <v>66.45</v>
      </c>
      <c r="AX1220" s="38">
        <v>65.95</v>
      </c>
      <c r="AY1220" s="38">
        <v>64.56</v>
      </c>
      <c r="BA1220" s="37" t="e">
        <v>#N/A</v>
      </c>
      <c r="BB1220" s="38" t="e">
        <v>#N/A</v>
      </c>
    </row>
    <row r="1221" spans="1:54" x14ac:dyDescent="0.35">
      <c r="A1221" s="2">
        <f t="shared" si="18"/>
        <v>45531</v>
      </c>
      <c r="B1221" t="s">
        <v>1814</v>
      </c>
      <c r="C1221" s="32">
        <v>45531</v>
      </c>
      <c r="D1221" s="38">
        <v>93.25</v>
      </c>
      <c r="E1221" s="38">
        <v>94.76</v>
      </c>
      <c r="F1221" s="38">
        <v>104.34</v>
      </c>
      <c r="G1221" s="38">
        <v>108.48</v>
      </c>
      <c r="H1221" s="38">
        <v>110.32</v>
      </c>
      <c r="I1221" s="38">
        <v>110.61</v>
      </c>
      <c r="J1221" s="38">
        <v>107.3</v>
      </c>
      <c r="K1221" s="38">
        <v>103.04</v>
      </c>
      <c r="L1221" s="38">
        <v>101.12</v>
      </c>
      <c r="M1221" s="38">
        <v>98.95</v>
      </c>
      <c r="N1221" s="38">
        <v>96.75</v>
      </c>
      <c r="O1221" s="38">
        <v>98.65</v>
      </c>
      <c r="P1221" s="38">
        <v>99.73</v>
      </c>
      <c r="Q1221" s="38">
        <v>101.4</v>
      </c>
      <c r="R1221" s="38">
        <v>106.12</v>
      </c>
      <c r="S1221" s="38">
        <v>109.79</v>
      </c>
      <c r="T1221" s="38">
        <v>111.52</v>
      </c>
      <c r="U1221" s="38">
        <v>112.1</v>
      </c>
      <c r="V1221" s="38">
        <v>104.41</v>
      </c>
      <c r="W1221" s="38">
        <v>85.62</v>
      </c>
      <c r="X1221" s="38">
        <v>82.35</v>
      </c>
      <c r="Y1221" s="38">
        <v>79.86</v>
      </c>
      <c r="Z1221" s="38">
        <v>78.959999999999994</v>
      </c>
      <c r="AA1221" s="38">
        <v>79.64</v>
      </c>
      <c r="AB1221" s="38">
        <v>81.61</v>
      </c>
      <c r="AC1221" s="38">
        <v>85.31</v>
      </c>
      <c r="AD1221" s="38">
        <v>88.42</v>
      </c>
      <c r="AE1221" s="38">
        <v>91.44</v>
      </c>
      <c r="AF1221" s="38">
        <v>93.83</v>
      </c>
      <c r="AG1221" s="38">
        <v>92.79</v>
      </c>
      <c r="AH1221" s="38">
        <v>88.36</v>
      </c>
      <c r="AI1221" s="38">
        <v>71.22</v>
      </c>
      <c r="AJ1221" s="38">
        <v>68.84</v>
      </c>
      <c r="AK1221" s="38">
        <v>67.59</v>
      </c>
      <c r="AL1221" s="38">
        <v>67.33</v>
      </c>
      <c r="AM1221" s="38">
        <v>67.88</v>
      </c>
      <c r="AN1221" s="38">
        <v>68.790000000000006</v>
      </c>
      <c r="AO1221" s="38">
        <v>74.239999999999995</v>
      </c>
      <c r="AP1221" s="38">
        <v>77.680000000000007</v>
      </c>
      <c r="AQ1221" s="38">
        <v>80.83</v>
      </c>
      <c r="AR1221" s="38">
        <v>82.57</v>
      </c>
      <c r="AS1221" s="38">
        <v>81.55</v>
      </c>
      <c r="AT1221" s="38">
        <v>78.11</v>
      </c>
      <c r="AU1221" s="38">
        <v>71.06</v>
      </c>
      <c r="AV1221" s="38">
        <v>67.12</v>
      </c>
      <c r="AW1221" s="38">
        <v>66.099999999999994</v>
      </c>
      <c r="AX1221" s="38">
        <v>65.569999999999993</v>
      </c>
      <c r="AY1221" s="38">
        <v>64.17</v>
      </c>
      <c r="BA1221" s="37">
        <v>81.510000000000005</v>
      </c>
      <c r="BB1221" s="38">
        <v>1.3234999999999999</v>
      </c>
    </row>
    <row r="1222" spans="1:54" x14ac:dyDescent="0.35">
      <c r="A1222" s="2">
        <f t="shared" si="18"/>
        <v>45532</v>
      </c>
      <c r="B1222" t="s">
        <v>1815</v>
      </c>
      <c r="C1222" s="32">
        <v>45532</v>
      </c>
      <c r="D1222" s="38">
        <v>92.79</v>
      </c>
      <c r="E1222" s="38">
        <v>94.41</v>
      </c>
      <c r="F1222" s="38">
        <v>103.48</v>
      </c>
      <c r="G1222" s="38">
        <v>107.57</v>
      </c>
      <c r="H1222" s="38">
        <v>109.32</v>
      </c>
      <c r="I1222" s="38">
        <v>109.82</v>
      </c>
      <c r="J1222" s="38">
        <v>106.37</v>
      </c>
      <c r="K1222" s="38">
        <v>102.02</v>
      </c>
      <c r="L1222" s="38">
        <v>99.82</v>
      </c>
      <c r="M1222" s="38">
        <v>97.57</v>
      </c>
      <c r="N1222" s="38">
        <v>95.73</v>
      </c>
      <c r="O1222" s="38">
        <v>97.64</v>
      </c>
      <c r="P1222" s="38">
        <v>98.59</v>
      </c>
      <c r="Q1222" s="38">
        <v>100.41</v>
      </c>
      <c r="R1222" s="38">
        <v>105.15</v>
      </c>
      <c r="S1222" s="38">
        <v>108.74</v>
      </c>
      <c r="T1222" s="38">
        <v>110.62</v>
      </c>
      <c r="U1222" s="38">
        <v>111.25</v>
      </c>
      <c r="V1222" s="38">
        <v>103.56</v>
      </c>
      <c r="W1222" s="38">
        <v>84.82</v>
      </c>
      <c r="X1222" s="38">
        <v>81.55</v>
      </c>
      <c r="Y1222" s="38">
        <v>79.06</v>
      </c>
      <c r="Z1222" s="38">
        <v>78.16</v>
      </c>
      <c r="AA1222" s="38">
        <v>78.84</v>
      </c>
      <c r="AB1222" s="38">
        <v>80.81</v>
      </c>
      <c r="AC1222" s="38">
        <v>84.58</v>
      </c>
      <c r="AD1222" s="38">
        <v>87.69</v>
      </c>
      <c r="AE1222" s="38">
        <v>90.71</v>
      </c>
      <c r="AF1222" s="38">
        <v>93.1</v>
      </c>
      <c r="AG1222" s="38">
        <v>92.06</v>
      </c>
      <c r="AH1222" s="38">
        <v>87.73</v>
      </c>
      <c r="AI1222" s="38">
        <v>70.91</v>
      </c>
      <c r="AJ1222" s="38">
        <v>68.66</v>
      </c>
      <c r="AK1222" s="38">
        <v>67.41</v>
      </c>
      <c r="AL1222" s="38">
        <v>67.150000000000006</v>
      </c>
      <c r="AM1222" s="38">
        <v>67.7</v>
      </c>
      <c r="AN1222" s="38">
        <v>68.61</v>
      </c>
      <c r="AO1222" s="38">
        <v>74.180000000000007</v>
      </c>
      <c r="AP1222" s="38">
        <v>77.66</v>
      </c>
      <c r="AQ1222" s="38">
        <v>80.81</v>
      </c>
      <c r="AR1222" s="38">
        <v>82.55</v>
      </c>
      <c r="AS1222" s="38">
        <v>81.53</v>
      </c>
      <c r="AT1222" s="38">
        <v>78.09</v>
      </c>
      <c r="AU1222" s="38">
        <v>71.040000000000006</v>
      </c>
      <c r="AV1222" s="38">
        <v>67.099999999999994</v>
      </c>
      <c r="AW1222" s="38">
        <v>66.08</v>
      </c>
      <c r="AX1222" s="38">
        <v>65.55</v>
      </c>
      <c r="AY1222" s="38">
        <v>64.150000000000006</v>
      </c>
      <c r="BA1222" s="37">
        <v>80.040000000000006</v>
      </c>
      <c r="BB1222" s="38">
        <v>1.3212999999999999</v>
      </c>
    </row>
    <row r="1223" spans="1:54" x14ac:dyDescent="0.35">
      <c r="A1223" s="2">
        <f t="shared" si="18"/>
        <v>45533</v>
      </c>
      <c r="B1223" t="s">
        <v>1816</v>
      </c>
      <c r="C1223" s="32">
        <v>45533</v>
      </c>
      <c r="D1223" s="38">
        <v>91.73</v>
      </c>
      <c r="E1223" s="38">
        <v>94.16</v>
      </c>
      <c r="F1223" s="38">
        <v>102.85</v>
      </c>
      <c r="G1223" s="38">
        <v>106.84</v>
      </c>
      <c r="H1223" s="38">
        <v>108.36</v>
      </c>
      <c r="I1223" s="38">
        <v>109.02</v>
      </c>
      <c r="J1223" s="38">
        <v>105.79</v>
      </c>
      <c r="K1223" s="38">
        <v>102.09</v>
      </c>
      <c r="L1223" s="38">
        <v>99.12</v>
      </c>
      <c r="M1223" s="38">
        <v>96.83</v>
      </c>
      <c r="N1223" s="38">
        <v>95.33</v>
      </c>
      <c r="O1223" s="38">
        <v>97.31</v>
      </c>
      <c r="P1223" s="38">
        <v>98.44</v>
      </c>
      <c r="Q1223" s="38">
        <v>100.22</v>
      </c>
      <c r="R1223" s="38">
        <v>104.91</v>
      </c>
      <c r="S1223" s="38">
        <v>108.36</v>
      </c>
      <c r="T1223" s="38">
        <v>110.3</v>
      </c>
      <c r="U1223" s="38">
        <v>110.91</v>
      </c>
      <c r="V1223" s="38">
        <v>103.21</v>
      </c>
      <c r="W1223" s="38">
        <v>84.98</v>
      </c>
      <c r="X1223" s="38">
        <v>81.78</v>
      </c>
      <c r="Y1223" s="38">
        <v>79.290000000000006</v>
      </c>
      <c r="Z1223" s="38">
        <v>78.55</v>
      </c>
      <c r="AA1223" s="38">
        <v>79.22</v>
      </c>
      <c r="AB1223" s="38">
        <v>81.19</v>
      </c>
      <c r="AC1223" s="38">
        <v>85.25</v>
      </c>
      <c r="AD1223" s="38">
        <v>88.53</v>
      </c>
      <c r="AE1223" s="38">
        <v>91.62</v>
      </c>
      <c r="AF1223" s="38">
        <v>93.95</v>
      </c>
      <c r="AG1223" s="38">
        <v>92.91</v>
      </c>
      <c r="AH1223" s="38">
        <v>88.59</v>
      </c>
      <c r="AI1223" s="38">
        <v>71.510000000000005</v>
      </c>
      <c r="AJ1223" s="38">
        <v>69.12</v>
      </c>
      <c r="AK1223" s="38">
        <v>67.86</v>
      </c>
      <c r="AL1223" s="38">
        <v>67.599999999999994</v>
      </c>
      <c r="AM1223" s="38">
        <v>68.150000000000006</v>
      </c>
      <c r="AN1223" s="38">
        <v>69.06</v>
      </c>
      <c r="AO1223" s="38">
        <v>74.680000000000007</v>
      </c>
      <c r="AP1223" s="38">
        <v>78.16</v>
      </c>
      <c r="AQ1223" s="38">
        <v>81.31</v>
      </c>
      <c r="AR1223" s="38">
        <v>83.15</v>
      </c>
      <c r="AS1223" s="38">
        <v>82.13</v>
      </c>
      <c r="AT1223" s="38">
        <v>78.69</v>
      </c>
      <c r="AU1223" s="38">
        <v>71.98</v>
      </c>
      <c r="AV1223" s="38">
        <v>68.040000000000006</v>
      </c>
      <c r="AW1223" s="38">
        <v>67.02</v>
      </c>
      <c r="AX1223" s="38">
        <v>66.489999999999995</v>
      </c>
      <c r="AY1223" s="38">
        <v>65.09</v>
      </c>
      <c r="BA1223" s="37">
        <v>81.55</v>
      </c>
      <c r="BB1223" s="38">
        <v>1.3154999999999999</v>
      </c>
    </row>
    <row r="1224" spans="1:54" x14ac:dyDescent="0.35">
      <c r="A1224" s="2">
        <f t="shared" si="18"/>
        <v>45534</v>
      </c>
      <c r="B1224" t="s">
        <v>1817</v>
      </c>
      <c r="C1224" s="32">
        <v>45534</v>
      </c>
      <c r="D1224" s="38">
        <v>96.15</v>
      </c>
      <c r="E1224" s="38">
        <v>104.44</v>
      </c>
      <c r="F1224" s="38">
        <v>108.5</v>
      </c>
      <c r="G1224" s="38">
        <v>110.04</v>
      </c>
      <c r="H1224" s="38">
        <v>110.75</v>
      </c>
      <c r="I1224" s="38">
        <v>107.29</v>
      </c>
      <c r="J1224" s="38">
        <v>103.29</v>
      </c>
      <c r="K1224" s="38">
        <v>99.63</v>
      </c>
      <c r="L1224" s="38">
        <v>98.2</v>
      </c>
      <c r="M1224" s="38">
        <v>96.37</v>
      </c>
      <c r="N1224" s="38">
        <v>98.36</v>
      </c>
      <c r="O1224" s="38">
        <v>99.51</v>
      </c>
      <c r="P1224" s="38">
        <v>101.38</v>
      </c>
      <c r="Q1224" s="38">
        <v>105.83</v>
      </c>
      <c r="R1224" s="38">
        <v>109.25</v>
      </c>
      <c r="S1224" s="38">
        <v>111.25</v>
      </c>
      <c r="T1224" s="38">
        <v>111.85</v>
      </c>
      <c r="U1224" s="38">
        <v>104.09</v>
      </c>
      <c r="V1224" s="38">
        <v>85.68</v>
      </c>
      <c r="W1224" s="38">
        <v>82.59</v>
      </c>
      <c r="X1224" s="38">
        <v>80.099999999999994</v>
      </c>
      <c r="Y1224" s="38">
        <v>79.36</v>
      </c>
      <c r="Z1224" s="38">
        <v>80.03</v>
      </c>
      <c r="AA1224" s="38">
        <v>82.01</v>
      </c>
      <c r="AB1224" s="38">
        <v>86.14</v>
      </c>
      <c r="AC1224" s="38">
        <v>89.42</v>
      </c>
      <c r="AD1224" s="38">
        <v>92.51</v>
      </c>
      <c r="AE1224" s="38">
        <v>94.85</v>
      </c>
      <c r="AF1224" s="38">
        <v>93.81</v>
      </c>
      <c r="AG1224" s="38">
        <v>89.43</v>
      </c>
      <c r="AH1224" s="38">
        <v>72.150000000000006</v>
      </c>
      <c r="AI1224" s="38">
        <v>69.73</v>
      </c>
      <c r="AJ1224" s="38">
        <v>68.47</v>
      </c>
      <c r="AK1224" s="38">
        <v>68.23</v>
      </c>
      <c r="AL1224" s="38">
        <v>68.78</v>
      </c>
      <c r="AM1224" s="38">
        <v>69.69</v>
      </c>
      <c r="AN1224" s="38">
        <v>74.31</v>
      </c>
      <c r="AO1224" s="38">
        <v>77.790000000000006</v>
      </c>
      <c r="AP1224" s="38">
        <v>80.94</v>
      </c>
      <c r="AQ1224" s="38">
        <v>82.79</v>
      </c>
      <c r="AR1224" s="38">
        <v>81.77</v>
      </c>
      <c r="AS1224" s="38">
        <v>78.33</v>
      </c>
      <c r="AT1224" s="38">
        <v>71.61</v>
      </c>
      <c r="AU1224" s="38">
        <v>67.680000000000007</v>
      </c>
      <c r="AV1224" s="38">
        <v>66.66</v>
      </c>
      <c r="AW1224" s="38">
        <v>66.13</v>
      </c>
      <c r="AX1224" s="38">
        <v>64.73</v>
      </c>
      <c r="AY1224" s="38">
        <v>67.66</v>
      </c>
      <c r="BA1224" s="37">
        <v>80.2</v>
      </c>
      <c r="BB1224" s="38">
        <v>1.3144</v>
      </c>
    </row>
    <row r="1225" spans="1:54" x14ac:dyDescent="0.35">
      <c r="A1225" s="2">
        <f t="shared" si="18"/>
        <v>45537</v>
      </c>
      <c r="B1225" t="s">
        <v>1818</v>
      </c>
      <c r="C1225" s="32">
        <v>45537</v>
      </c>
      <c r="D1225" s="38">
        <v>92.94</v>
      </c>
      <c r="E1225" s="38">
        <v>101.53</v>
      </c>
      <c r="F1225" s="38">
        <v>106.05</v>
      </c>
      <c r="G1225" s="38">
        <v>107.83</v>
      </c>
      <c r="H1225" s="38">
        <v>108.14</v>
      </c>
      <c r="I1225" s="38">
        <v>105.02</v>
      </c>
      <c r="J1225" s="38">
        <v>101.38</v>
      </c>
      <c r="K1225" s="38">
        <v>98</v>
      </c>
      <c r="L1225" s="38">
        <v>96.6</v>
      </c>
      <c r="M1225" s="38">
        <v>94.66</v>
      </c>
      <c r="N1225" s="38">
        <v>96.65</v>
      </c>
      <c r="O1225" s="38">
        <v>97.8</v>
      </c>
      <c r="P1225" s="38">
        <v>99.4</v>
      </c>
      <c r="Q1225" s="38">
        <v>103.9</v>
      </c>
      <c r="R1225" s="38">
        <v>107.32</v>
      </c>
      <c r="S1225" s="38">
        <v>109.57</v>
      </c>
      <c r="T1225" s="38">
        <v>110.17</v>
      </c>
      <c r="U1225" s="38">
        <v>102.41</v>
      </c>
      <c r="V1225" s="38">
        <v>84.02</v>
      </c>
      <c r="W1225" s="38">
        <v>80.930000000000007</v>
      </c>
      <c r="X1225" s="38">
        <v>78.44</v>
      </c>
      <c r="Y1225" s="38">
        <v>77.7</v>
      </c>
      <c r="Z1225" s="38">
        <v>78.37</v>
      </c>
      <c r="AA1225" s="38">
        <v>80.349999999999994</v>
      </c>
      <c r="AB1225" s="38">
        <v>84.48</v>
      </c>
      <c r="AC1225" s="38">
        <v>87.76</v>
      </c>
      <c r="AD1225" s="38">
        <v>90.85</v>
      </c>
      <c r="AE1225" s="38">
        <v>93.19</v>
      </c>
      <c r="AF1225" s="38">
        <v>92.15</v>
      </c>
      <c r="AG1225" s="38">
        <v>87.77</v>
      </c>
      <c r="AH1225" s="38">
        <v>70.73</v>
      </c>
      <c r="AI1225" s="38">
        <v>68.31</v>
      </c>
      <c r="AJ1225" s="38">
        <v>67.05</v>
      </c>
      <c r="AK1225" s="38">
        <v>66.81</v>
      </c>
      <c r="AL1225" s="38">
        <v>67.36</v>
      </c>
      <c r="AM1225" s="38">
        <v>68.27</v>
      </c>
      <c r="AN1225" s="38">
        <v>73.37</v>
      </c>
      <c r="AO1225" s="38">
        <v>76.849999999999994</v>
      </c>
      <c r="AP1225" s="38">
        <v>80</v>
      </c>
      <c r="AQ1225" s="38">
        <v>81.849999999999994</v>
      </c>
      <c r="AR1225" s="38">
        <v>80.83</v>
      </c>
      <c r="AS1225" s="38">
        <v>77.39</v>
      </c>
      <c r="AT1225" s="38">
        <v>70.67</v>
      </c>
      <c r="AU1225" s="38">
        <v>66.739999999999995</v>
      </c>
      <c r="AV1225" s="38">
        <v>65.72</v>
      </c>
      <c r="AW1225" s="38">
        <v>65.19</v>
      </c>
      <c r="AX1225" s="38">
        <v>63.79</v>
      </c>
      <c r="AY1225" s="38">
        <v>66.72</v>
      </c>
      <c r="BA1225" s="37">
        <v>77.819999999999993</v>
      </c>
      <c r="BB1225" s="38">
        <v>1.3151999999999999</v>
      </c>
    </row>
    <row r="1226" spans="1:54" x14ac:dyDescent="0.35">
      <c r="A1226" s="2">
        <f t="shared" si="18"/>
        <v>45538</v>
      </c>
      <c r="B1226" t="s">
        <v>1819</v>
      </c>
      <c r="C1226" s="32">
        <v>45538</v>
      </c>
      <c r="D1226" s="38">
        <v>89.37</v>
      </c>
      <c r="E1226" s="38">
        <v>98.28</v>
      </c>
      <c r="F1226" s="38">
        <v>102.76</v>
      </c>
      <c r="G1226" s="38">
        <v>104.59</v>
      </c>
      <c r="H1226" s="38">
        <v>105.24</v>
      </c>
      <c r="I1226" s="38">
        <v>102.34</v>
      </c>
      <c r="J1226" s="38">
        <v>99.14</v>
      </c>
      <c r="K1226" s="38">
        <v>95.82</v>
      </c>
      <c r="L1226" s="38">
        <v>94.42</v>
      </c>
      <c r="M1226" s="38">
        <v>92.55</v>
      </c>
      <c r="N1226" s="38">
        <v>94.54</v>
      </c>
      <c r="O1226" s="38">
        <v>95.7</v>
      </c>
      <c r="P1226" s="38">
        <v>96.85</v>
      </c>
      <c r="Q1226" s="38">
        <v>102</v>
      </c>
      <c r="R1226" s="38">
        <v>105.6</v>
      </c>
      <c r="S1226" s="38">
        <v>107.85</v>
      </c>
      <c r="T1226" s="38">
        <v>108.45</v>
      </c>
      <c r="U1226" s="38">
        <v>100.69</v>
      </c>
      <c r="V1226" s="38">
        <v>82.57</v>
      </c>
      <c r="W1226" s="38">
        <v>79.48</v>
      </c>
      <c r="X1226" s="38">
        <v>76.989999999999995</v>
      </c>
      <c r="Y1226" s="38">
        <v>76.239999999999995</v>
      </c>
      <c r="Z1226" s="38">
        <v>76.91</v>
      </c>
      <c r="AA1226" s="38">
        <v>78.89</v>
      </c>
      <c r="AB1226" s="38">
        <v>83.15</v>
      </c>
      <c r="AC1226" s="38">
        <v>86.43</v>
      </c>
      <c r="AD1226" s="38">
        <v>89.52</v>
      </c>
      <c r="AE1226" s="38">
        <v>91.86</v>
      </c>
      <c r="AF1226" s="38">
        <v>90.82</v>
      </c>
      <c r="AG1226" s="38">
        <v>86.44</v>
      </c>
      <c r="AH1226" s="38">
        <v>69.400000000000006</v>
      </c>
      <c r="AI1226" s="38">
        <v>66.98</v>
      </c>
      <c r="AJ1226" s="38">
        <v>65.72</v>
      </c>
      <c r="AK1226" s="38">
        <v>65.48</v>
      </c>
      <c r="AL1226" s="38">
        <v>66.03</v>
      </c>
      <c r="AM1226" s="38">
        <v>66.94</v>
      </c>
      <c r="AN1226" s="38">
        <v>72.14</v>
      </c>
      <c r="AO1226" s="38">
        <v>75.62</v>
      </c>
      <c r="AP1226" s="38">
        <v>78.77</v>
      </c>
      <c r="AQ1226" s="38">
        <v>80.62</v>
      </c>
      <c r="AR1226" s="38">
        <v>79.599999999999994</v>
      </c>
      <c r="AS1226" s="38">
        <v>76.16</v>
      </c>
      <c r="AT1226" s="38">
        <v>69.86</v>
      </c>
      <c r="AU1226" s="38">
        <v>65.930000000000007</v>
      </c>
      <c r="AV1226" s="38">
        <v>64.91</v>
      </c>
      <c r="AW1226" s="38">
        <v>64.38</v>
      </c>
      <c r="AX1226" s="38">
        <v>62.98</v>
      </c>
      <c r="AY1226" s="38">
        <v>65.91</v>
      </c>
      <c r="BA1226" s="37">
        <v>76.459999999999994</v>
      </c>
      <c r="BB1226" s="38">
        <v>1.3095000000000001</v>
      </c>
    </row>
    <row r="1227" spans="1:54" x14ac:dyDescent="0.35">
      <c r="A1227" s="2">
        <f t="shared" si="18"/>
        <v>45539</v>
      </c>
      <c r="B1227" t="s">
        <v>1820</v>
      </c>
      <c r="C1227" s="32">
        <v>45539</v>
      </c>
      <c r="D1227" s="38">
        <v>85.98</v>
      </c>
      <c r="E1227" s="38">
        <v>95.32</v>
      </c>
      <c r="F1227" s="38">
        <v>99.68</v>
      </c>
      <c r="G1227" s="38">
        <v>101.62</v>
      </c>
      <c r="H1227" s="38">
        <v>102.37</v>
      </c>
      <c r="I1227" s="38">
        <v>99.35</v>
      </c>
      <c r="J1227" s="38">
        <v>96.2</v>
      </c>
      <c r="K1227" s="38">
        <v>93.15</v>
      </c>
      <c r="L1227" s="38">
        <v>91.8</v>
      </c>
      <c r="M1227" s="38">
        <v>89.8</v>
      </c>
      <c r="N1227" s="38">
        <v>91.79</v>
      </c>
      <c r="O1227" s="38">
        <v>92.95</v>
      </c>
      <c r="P1227" s="38">
        <v>93.78</v>
      </c>
      <c r="Q1227" s="38">
        <v>98.94</v>
      </c>
      <c r="R1227" s="38">
        <v>102.55</v>
      </c>
      <c r="S1227" s="38">
        <v>104.81</v>
      </c>
      <c r="T1227" s="38">
        <v>105.42</v>
      </c>
      <c r="U1227" s="38">
        <v>97.67</v>
      </c>
      <c r="V1227" s="38">
        <v>80.260000000000005</v>
      </c>
      <c r="W1227" s="38">
        <v>77.19</v>
      </c>
      <c r="X1227" s="38">
        <v>74.709999999999994</v>
      </c>
      <c r="Y1227" s="38">
        <v>73.97</v>
      </c>
      <c r="Z1227" s="38">
        <v>74.650000000000006</v>
      </c>
      <c r="AA1227" s="38">
        <v>76.64</v>
      </c>
      <c r="AB1227" s="38">
        <v>81.11</v>
      </c>
      <c r="AC1227" s="38">
        <v>84.39</v>
      </c>
      <c r="AD1227" s="38">
        <v>87.48</v>
      </c>
      <c r="AE1227" s="38">
        <v>89.82</v>
      </c>
      <c r="AF1227" s="38">
        <v>88.78</v>
      </c>
      <c r="AG1227" s="38">
        <v>84.4</v>
      </c>
      <c r="AH1227" s="38">
        <v>68.06</v>
      </c>
      <c r="AI1227" s="38">
        <v>65.64</v>
      </c>
      <c r="AJ1227" s="38">
        <v>64.38</v>
      </c>
      <c r="AK1227" s="38">
        <v>64.14</v>
      </c>
      <c r="AL1227" s="38">
        <v>64.69</v>
      </c>
      <c r="AM1227" s="38">
        <v>65.599999999999994</v>
      </c>
      <c r="AN1227" s="38">
        <v>71.099999999999994</v>
      </c>
      <c r="AO1227" s="38">
        <v>74.58</v>
      </c>
      <c r="AP1227" s="38">
        <v>77.73</v>
      </c>
      <c r="AQ1227" s="38">
        <v>79.58</v>
      </c>
      <c r="AR1227" s="38">
        <v>78.56</v>
      </c>
      <c r="AS1227" s="38">
        <v>75.12</v>
      </c>
      <c r="AT1227" s="38">
        <v>69.12</v>
      </c>
      <c r="AU1227" s="38">
        <v>65.19</v>
      </c>
      <c r="AV1227" s="38">
        <v>64.17</v>
      </c>
      <c r="AW1227" s="38">
        <v>63.64</v>
      </c>
      <c r="AX1227" s="38">
        <v>62.24</v>
      </c>
      <c r="AY1227" s="38">
        <v>65.17</v>
      </c>
      <c r="BA1227" s="37">
        <v>74.67</v>
      </c>
      <c r="BB1227" s="38">
        <v>1.3161</v>
      </c>
    </row>
    <row r="1228" spans="1:54" x14ac:dyDescent="0.35">
      <c r="A1228" s="2">
        <f t="shared" si="18"/>
        <v>45540</v>
      </c>
      <c r="B1228" t="s">
        <v>1821</v>
      </c>
      <c r="C1228" s="32">
        <v>45540</v>
      </c>
      <c r="D1228" s="38">
        <v>86.99</v>
      </c>
      <c r="E1228" s="38">
        <v>96.02</v>
      </c>
      <c r="F1228" s="38">
        <v>100.11</v>
      </c>
      <c r="G1228" s="38">
        <v>102.25</v>
      </c>
      <c r="H1228" s="38">
        <v>103</v>
      </c>
      <c r="I1228" s="38">
        <v>100.25</v>
      </c>
      <c r="J1228" s="38">
        <v>96.68</v>
      </c>
      <c r="K1228" s="38">
        <v>93.53</v>
      </c>
      <c r="L1228" s="38">
        <v>92.18</v>
      </c>
      <c r="M1228" s="38">
        <v>90.19</v>
      </c>
      <c r="N1228" s="38">
        <v>92.17</v>
      </c>
      <c r="O1228" s="38">
        <v>93.33</v>
      </c>
      <c r="P1228" s="38">
        <v>93.89</v>
      </c>
      <c r="Q1228" s="38">
        <v>98.85</v>
      </c>
      <c r="R1228" s="38">
        <v>102.46</v>
      </c>
      <c r="S1228" s="38">
        <v>104.72</v>
      </c>
      <c r="T1228" s="38">
        <v>105.33</v>
      </c>
      <c r="U1228" s="38">
        <v>97.58</v>
      </c>
      <c r="V1228" s="38">
        <v>80.540000000000006</v>
      </c>
      <c r="W1228" s="38">
        <v>77.47</v>
      </c>
      <c r="X1228" s="38">
        <v>74.989999999999995</v>
      </c>
      <c r="Y1228" s="38">
        <v>74.25</v>
      </c>
      <c r="Z1228" s="38">
        <v>74.930000000000007</v>
      </c>
      <c r="AA1228" s="38">
        <v>76.92</v>
      </c>
      <c r="AB1228" s="38">
        <v>81.150000000000006</v>
      </c>
      <c r="AC1228" s="38">
        <v>84.43</v>
      </c>
      <c r="AD1228" s="38">
        <v>87.52</v>
      </c>
      <c r="AE1228" s="38">
        <v>89.86</v>
      </c>
      <c r="AF1228" s="38">
        <v>88.82</v>
      </c>
      <c r="AG1228" s="38">
        <v>84.44</v>
      </c>
      <c r="AH1228" s="38">
        <v>68.099999999999994</v>
      </c>
      <c r="AI1228" s="38">
        <v>65.680000000000007</v>
      </c>
      <c r="AJ1228" s="38">
        <v>64.42</v>
      </c>
      <c r="AK1228" s="38">
        <v>64.180000000000007</v>
      </c>
      <c r="AL1228" s="38">
        <v>64.73</v>
      </c>
      <c r="AM1228" s="38">
        <v>65.64</v>
      </c>
      <c r="AN1228" s="38">
        <v>71.14</v>
      </c>
      <c r="AO1228" s="38">
        <v>74.62</v>
      </c>
      <c r="AP1228" s="38">
        <v>77.77</v>
      </c>
      <c r="AQ1228" s="38">
        <v>79.62</v>
      </c>
      <c r="AR1228" s="38">
        <v>78.599999999999994</v>
      </c>
      <c r="AS1228" s="38">
        <v>75.16</v>
      </c>
      <c r="AT1228" s="38">
        <v>69.16</v>
      </c>
      <c r="AU1228" s="38">
        <v>65.23</v>
      </c>
      <c r="AV1228" s="38">
        <v>64.209999999999994</v>
      </c>
      <c r="AW1228" s="38">
        <v>63.68</v>
      </c>
      <c r="AX1228" s="38">
        <v>62.28</v>
      </c>
      <c r="AY1228" s="38">
        <v>65.209999999999994</v>
      </c>
      <c r="BA1228" s="37">
        <v>74.47</v>
      </c>
      <c r="BB1228" s="38">
        <v>1.3158000000000001</v>
      </c>
    </row>
    <row r="1229" spans="1:54" x14ac:dyDescent="0.35">
      <c r="A1229" s="2">
        <f t="shared" ref="A1229:A1292" si="19">+A1224+7</f>
        <v>45541</v>
      </c>
      <c r="B1229" t="s">
        <v>1822</v>
      </c>
      <c r="C1229" s="32">
        <v>45541</v>
      </c>
      <c r="D1229" s="38">
        <v>87.83</v>
      </c>
      <c r="E1229" s="38">
        <v>96.43</v>
      </c>
      <c r="F1229" s="38">
        <v>100.54</v>
      </c>
      <c r="G1229" s="38">
        <v>102.59</v>
      </c>
      <c r="H1229" s="38">
        <v>103.14</v>
      </c>
      <c r="I1229" s="38">
        <v>100.24</v>
      </c>
      <c r="J1229" s="38">
        <v>96.67</v>
      </c>
      <c r="K1229" s="38">
        <v>93.62</v>
      </c>
      <c r="L1229" s="38">
        <v>92.32</v>
      </c>
      <c r="M1229" s="38">
        <v>90.33</v>
      </c>
      <c r="N1229" s="38">
        <v>92.31</v>
      </c>
      <c r="O1229" s="38">
        <v>93.47</v>
      </c>
      <c r="P1229" s="38">
        <v>94.02</v>
      </c>
      <c r="Q1229" s="38">
        <v>98.98</v>
      </c>
      <c r="R1229" s="38">
        <v>102.59</v>
      </c>
      <c r="S1229" s="38">
        <v>104.79</v>
      </c>
      <c r="T1229" s="38">
        <v>105.4</v>
      </c>
      <c r="U1229" s="38">
        <v>97.65</v>
      </c>
      <c r="V1229" s="38">
        <v>80.67</v>
      </c>
      <c r="W1229" s="38">
        <v>77.599999999999994</v>
      </c>
      <c r="X1229" s="38">
        <v>75.12</v>
      </c>
      <c r="Y1229" s="38">
        <v>74.38</v>
      </c>
      <c r="Z1229" s="38">
        <v>75.06</v>
      </c>
      <c r="AA1229" s="38">
        <v>77.05</v>
      </c>
      <c r="AB1229" s="38">
        <v>81.28</v>
      </c>
      <c r="AC1229" s="38">
        <v>84.56</v>
      </c>
      <c r="AD1229" s="38">
        <v>87.65</v>
      </c>
      <c r="AE1229" s="38">
        <v>89.99</v>
      </c>
      <c r="AF1229" s="38">
        <v>88.95</v>
      </c>
      <c r="AG1229" s="38">
        <v>84.57</v>
      </c>
      <c r="AH1229" s="38">
        <v>68.19</v>
      </c>
      <c r="AI1229" s="38">
        <v>65.77</v>
      </c>
      <c r="AJ1229" s="38">
        <v>64.510000000000005</v>
      </c>
      <c r="AK1229" s="38">
        <v>64.27</v>
      </c>
      <c r="AL1229" s="38">
        <v>64.819999999999993</v>
      </c>
      <c r="AM1229" s="38">
        <v>65.73</v>
      </c>
      <c r="AN1229" s="38">
        <v>71.23</v>
      </c>
      <c r="AO1229" s="38">
        <v>74.709999999999994</v>
      </c>
      <c r="AP1229" s="38">
        <v>77.86</v>
      </c>
      <c r="AQ1229" s="38">
        <v>79.709999999999994</v>
      </c>
      <c r="AR1229" s="38">
        <v>78.69</v>
      </c>
      <c r="AS1229" s="38">
        <v>75.25</v>
      </c>
      <c r="AT1229" s="38">
        <v>69.209999999999994</v>
      </c>
      <c r="AU1229" s="38">
        <v>65.28</v>
      </c>
      <c r="AV1229" s="38">
        <v>64.260000000000005</v>
      </c>
      <c r="AW1229" s="38">
        <v>63.73</v>
      </c>
      <c r="AX1229" s="38">
        <v>62.33</v>
      </c>
      <c r="AY1229" s="38">
        <v>65.260000000000005</v>
      </c>
      <c r="BA1229" s="37">
        <v>72.819999999999993</v>
      </c>
      <c r="BB1229" s="38">
        <v>1.3160000000000001</v>
      </c>
    </row>
    <row r="1230" spans="1:54" x14ac:dyDescent="0.35">
      <c r="A1230" s="2">
        <f t="shared" si="19"/>
        <v>45544</v>
      </c>
      <c r="B1230" t="s">
        <v>1823</v>
      </c>
      <c r="C1230" s="32">
        <v>45544</v>
      </c>
      <c r="D1230" s="38">
        <v>89.94</v>
      </c>
      <c r="E1230" s="38">
        <v>98.26</v>
      </c>
      <c r="F1230" s="38">
        <v>102.17</v>
      </c>
      <c r="G1230" s="38">
        <v>104.26</v>
      </c>
      <c r="H1230" s="38">
        <v>104.87</v>
      </c>
      <c r="I1230" s="38">
        <v>101.97</v>
      </c>
      <c r="J1230" s="38">
        <v>97.7</v>
      </c>
      <c r="K1230" s="38">
        <v>94.55</v>
      </c>
      <c r="L1230" s="38">
        <v>93.25</v>
      </c>
      <c r="M1230" s="38">
        <v>91.26</v>
      </c>
      <c r="N1230" s="38">
        <v>93.24</v>
      </c>
      <c r="O1230" s="38">
        <v>94.38</v>
      </c>
      <c r="P1230" s="38">
        <v>95.16</v>
      </c>
      <c r="Q1230" s="38">
        <v>100.12</v>
      </c>
      <c r="R1230" s="38">
        <v>103.73</v>
      </c>
      <c r="S1230" s="38">
        <v>104.97</v>
      </c>
      <c r="T1230" s="38">
        <v>105.58</v>
      </c>
      <c r="U1230" s="38">
        <v>97.83</v>
      </c>
      <c r="V1230" s="38">
        <v>80.52</v>
      </c>
      <c r="W1230" s="38">
        <v>77.45</v>
      </c>
      <c r="X1230" s="38">
        <v>74.97</v>
      </c>
      <c r="Y1230" s="38">
        <v>74.23</v>
      </c>
      <c r="Z1230" s="38">
        <v>74.91</v>
      </c>
      <c r="AA1230" s="38">
        <v>76.900000000000006</v>
      </c>
      <c r="AB1230" s="38">
        <v>81.13</v>
      </c>
      <c r="AC1230" s="38">
        <v>84.41</v>
      </c>
      <c r="AD1230" s="38">
        <v>87.5</v>
      </c>
      <c r="AE1230" s="38">
        <v>89.84</v>
      </c>
      <c r="AF1230" s="38">
        <v>88.8</v>
      </c>
      <c r="AG1230" s="38">
        <v>84.42</v>
      </c>
      <c r="AH1230" s="38">
        <v>68.650000000000006</v>
      </c>
      <c r="AI1230" s="38">
        <v>66.23</v>
      </c>
      <c r="AJ1230" s="38">
        <v>64.97</v>
      </c>
      <c r="AK1230" s="38">
        <v>64.73</v>
      </c>
      <c r="AL1230" s="38">
        <v>65.28</v>
      </c>
      <c r="AM1230" s="38">
        <v>66.19</v>
      </c>
      <c r="AN1230" s="38">
        <v>71.010000000000005</v>
      </c>
      <c r="AO1230" s="38">
        <v>74.489999999999995</v>
      </c>
      <c r="AP1230" s="38">
        <v>77.64</v>
      </c>
      <c r="AQ1230" s="38">
        <v>79.489999999999995</v>
      </c>
      <c r="AR1230" s="38">
        <v>78.47</v>
      </c>
      <c r="AS1230" s="38">
        <v>75.03</v>
      </c>
      <c r="AT1230" s="38">
        <v>69.31</v>
      </c>
      <c r="AU1230" s="38">
        <v>65.38</v>
      </c>
      <c r="AV1230" s="38">
        <v>64.36</v>
      </c>
      <c r="AW1230" s="38">
        <v>63.83</v>
      </c>
      <c r="AX1230" s="38">
        <v>62.43</v>
      </c>
      <c r="AY1230" s="38">
        <v>65.36</v>
      </c>
      <c r="BA1230" s="37">
        <v>72.37</v>
      </c>
      <c r="BB1230" s="38">
        <v>1.3079000000000001</v>
      </c>
    </row>
    <row r="1231" spans="1:54" x14ac:dyDescent="0.35">
      <c r="A1231" s="2">
        <f t="shared" si="19"/>
        <v>45545</v>
      </c>
      <c r="B1231" t="s">
        <v>1824</v>
      </c>
      <c r="C1231" s="32">
        <v>45545</v>
      </c>
      <c r="D1231" s="38">
        <v>84.58</v>
      </c>
      <c r="E1231" s="38">
        <v>93.5</v>
      </c>
      <c r="F1231" s="38">
        <v>97.85</v>
      </c>
      <c r="G1231" s="38">
        <v>99.89</v>
      </c>
      <c r="H1231" s="38">
        <v>100.49</v>
      </c>
      <c r="I1231" s="38">
        <v>97.41</v>
      </c>
      <c r="J1231" s="38">
        <v>93.81</v>
      </c>
      <c r="K1231" s="38">
        <v>90.66</v>
      </c>
      <c r="L1231" s="38">
        <v>89.36</v>
      </c>
      <c r="M1231" s="38">
        <v>87.56</v>
      </c>
      <c r="N1231" s="38">
        <v>89.54</v>
      </c>
      <c r="O1231" s="38">
        <v>90.68</v>
      </c>
      <c r="P1231" s="38">
        <v>91.34</v>
      </c>
      <c r="Q1231" s="38">
        <v>96.9</v>
      </c>
      <c r="R1231" s="38">
        <v>100.51</v>
      </c>
      <c r="S1231" s="38">
        <v>101.75</v>
      </c>
      <c r="T1231" s="38">
        <v>102.36</v>
      </c>
      <c r="U1231" s="38">
        <v>94.86</v>
      </c>
      <c r="V1231" s="38">
        <v>79.260000000000005</v>
      </c>
      <c r="W1231" s="38">
        <v>76.19</v>
      </c>
      <c r="X1231" s="38">
        <v>73.709999999999994</v>
      </c>
      <c r="Y1231" s="38">
        <v>72.97</v>
      </c>
      <c r="Z1231" s="38">
        <v>73.650000000000006</v>
      </c>
      <c r="AA1231" s="38">
        <v>75.64</v>
      </c>
      <c r="AB1231" s="38">
        <v>79.87</v>
      </c>
      <c r="AC1231" s="38">
        <v>83.15</v>
      </c>
      <c r="AD1231" s="38">
        <v>86.24</v>
      </c>
      <c r="AE1231" s="38">
        <v>88.58</v>
      </c>
      <c r="AF1231" s="38">
        <v>87.54</v>
      </c>
      <c r="AG1231" s="38">
        <v>83.16</v>
      </c>
      <c r="AH1231" s="38">
        <v>67.66</v>
      </c>
      <c r="AI1231" s="38">
        <v>65.239999999999995</v>
      </c>
      <c r="AJ1231" s="38">
        <v>63.98</v>
      </c>
      <c r="AK1231" s="38">
        <v>63.74</v>
      </c>
      <c r="AL1231" s="38">
        <v>64.290000000000006</v>
      </c>
      <c r="AM1231" s="38">
        <v>65.2</v>
      </c>
      <c r="AN1231" s="38">
        <v>70.02</v>
      </c>
      <c r="AO1231" s="38">
        <v>73.5</v>
      </c>
      <c r="AP1231" s="38">
        <v>76.650000000000006</v>
      </c>
      <c r="AQ1231" s="38">
        <v>78.5</v>
      </c>
      <c r="AR1231" s="38">
        <v>77.48</v>
      </c>
      <c r="AS1231" s="38">
        <v>74.040000000000006</v>
      </c>
      <c r="AT1231" s="38">
        <v>68.739999999999995</v>
      </c>
      <c r="AU1231" s="38">
        <v>64.81</v>
      </c>
      <c r="AV1231" s="38">
        <v>63.79</v>
      </c>
      <c r="AW1231" s="38">
        <v>63.26</v>
      </c>
      <c r="AX1231" s="38">
        <v>61.86</v>
      </c>
      <c r="AY1231" s="38">
        <v>64.790000000000006</v>
      </c>
      <c r="BA1231" s="37">
        <v>70.34</v>
      </c>
      <c r="BB1231" s="38">
        <v>1.3057000000000001</v>
      </c>
    </row>
    <row r="1232" spans="1:54" x14ac:dyDescent="0.35">
      <c r="A1232" s="2">
        <f t="shared" si="19"/>
        <v>45546</v>
      </c>
      <c r="B1232" t="s">
        <v>1825</v>
      </c>
      <c r="C1232" s="32">
        <v>45546</v>
      </c>
      <c r="D1232" s="38">
        <v>87.31</v>
      </c>
      <c r="E1232" s="38">
        <v>95.32</v>
      </c>
      <c r="F1232" s="38">
        <v>99.03</v>
      </c>
      <c r="G1232" s="38">
        <v>101.22</v>
      </c>
      <c r="H1232" s="38">
        <v>101.91</v>
      </c>
      <c r="I1232" s="38">
        <v>98.72</v>
      </c>
      <c r="J1232" s="38">
        <v>94.72</v>
      </c>
      <c r="K1232" s="38">
        <v>91.49</v>
      </c>
      <c r="L1232" s="38">
        <v>90.15</v>
      </c>
      <c r="M1232" s="38">
        <v>88.23</v>
      </c>
      <c r="N1232" s="38">
        <v>90.21</v>
      </c>
      <c r="O1232" s="38">
        <v>91.35</v>
      </c>
      <c r="P1232" s="38">
        <v>92.6</v>
      </c>
      <c r="Q1232" s="38">
        <v>98.16</v>
      </c>
      <c r="R1232" s="38">
        <v>101.77</v>
      </c>
      <c r="S1232" s="38">
        <v>102.41</v>
      </c>
      <c r="T1232" s="38">
        <v>103.02</v>
      </c>
      <c r="U1232" s="38">
        <v>95.52</v>
      </c>
      <c r="V1232" s="38">
        <v>79.709999999999994</v>
      </c>
      <c r="W1232" s="38">
        <v>76.64</v>
      </c>
      <c r="X1232" s="38">
        <v>74.16</v>
      </c>
      <c r="Y1232" s="38">
        <v>73.42</v>
      </c>
      <c r="Z1232" s="38">
        <v>74.099999999999994</v>
      </c>
      <c r="AA1232" s="38">
        <v>76.09</v>
      </c>
      <c r="AB1232" s="38">
        <v>80.25</v>
      </c>
      <c r="AC1232" s="38">
        <v>83.53</v>
      </c>
      <c r="AD1232" s="38">
        <v>86.62</v>
      </c>
      <c r="AE1232" s="38">
        <v>88.96</v>
      </c>
      <c r="AF1232" s="38">
        <v>87.92</v>
      </c>
      <c r="AG1232" s="38">
        <v>83.54</v>
      </c>
      <c r="AH1232" s="38">
        <v>67.94</v>
      </c>
      <c r="AI1232" s="38">
        <v>65.52</v>
      </c>
      <c r="AJ1232" s="38">
        <v>64.260000000000005</v>
      </c>
      <c r="AK1232" s="38">
        <v>64.02</v>
      </c>
      <c r="AL1232" s="38">
        <v>64.569999999999993</v>
      </c>
      <c r="AM1232" s="38">
        <v>65.48</v>
      </c>
      <c r="AN1232" s="38">
        <v>70.3</v>
      </c>
      <c r="AO1232" s="38">
        <v>73.78</v>
      </c>
      <c r="AP1232" s="38">
        <v>76.930000000000007</v>
      </c>
      <c r="AQ1232" s="38">
        <v>78.78</v>
      </c>
      <c r="AR1232" s="38">
        <v>77.760000000000005</v>
      </c>
      <c r="AS1232" s="38">
        <v>74.319999999999993</v>
      </c>
      <c r="AT1232" s="38">
        <v>68.92</v>
      </c>
      <c r="AU1232" s="38">
        <v>64.989999999999995</v>
      </c>
      <c r="AV1232" s="38">
        <v>63.97</v>
      </c>
      <c r="AW1232" s="38">
        <v>63.44</v>
      </c>
      <c r="AX1232" s="38">
        <v>62.04</v>
      </c>
      <c r="AY1232" s="38">
        <v>64.97</v>
      </c>
      <c r="BA1232" s="37">
        <v>70.31</v>
      </c>
      <c r="BB1232" s="38">
        <v>1.3015000000000001</v>
      </c>
    </row>
    <row r="1233" spans="1:54" x14ac:dyDescent="0.35">
      <c r="A1233" s="2">
        <f t="shared" si="19"/>
        <v>45547</v>
      </c>
      <c r="B1233" t="s">
        <v>1826</v>
      </c>
      <c r="C1233" s="32">
        <v>45547</v>
      </c>
      <c r="D1233" s="38">
        <v>84.42</v>
      </c>
      <c r="E1233" s="38">
        <v>92.56</v>
      </c>
      <c r="F1233" s="38">
        <v>96.3</v>
      </c>
      <c r="G1233" s="38">
        <v>98.42</v>
      </c>
      <c r="H1233" s="38">
        <v>99.17</v>
      </c>
      <c r="I1233" s="38">
        <v>96.05</v>
      </c>
      <c r="J1233" s="38">
        <v>92.19</v>
      </c>
      <c r="K1233" s="38">
        <v>89.13</v>
      </c>
      <c r="L1233" s="38">
        <v>87.84</v>
      </c>
      <c r="M1233" s="38">
        <v>86.24</v>
      </c>
      <c r="N1233" s="38">
        <v>87.74</v>
      </c>
      <c r="O1233" s="38">
        <v>88.89</v>
      </c>
      <c r="P1233" s="38">
        <v>90.07</v>
      </c>
      <c r="Q1233" s="38">
        <v>95.66</v>
      </c>
      <c r="R1233" s="38">
        <v>99.29</v>
      </c>
      <c r="S1233" s="38">
        <v>99.95</v>
      </c>
      <c r="T1233" s="38">
        <v>100.58</v>
      </c>
      <c r="U1233" s="38">
        <v>93.25</v>
      </c>
      <c r="V1233" s="38">
        <v>79.05</v>
      </c>
      <c r="W1233" s="38">
        <v>75.98</v>
      </c>
      <c r="X1233" s="38">
        <v>73.5</v>
      </c>
      <c r="Y1233" s="38">
        <v>72.48</v>
      </c>
      <c r="Z1233" s="38">
        <v>73.16</v>
      </c>
      <c r="AA1233" s="38">
        <v>75.150000000000006</v>
      </c>
      <c r="AB1233" s="38">
        <v>79.58</v>
      </c>
      <c r="AC1233" s="38">
        <v>82.88</v>
      </c>
      <c r="AD1233" s="38">
        <v>85.99</v>
      </c>
      <c r="AE1233" s="38">
        <v>88.37</v>
      </c>
      <c r="AF1233" s="38">
        <v>87.37</v>
      </c>
      <c r="AG1233" s="38">
        <v>83.04</v>
      </c>
      <c r="AH1233" s="38">
        <v>67.510000000000005</v>
      </c>
      <c r="AI1233" s="38">
        <v>65.25</v>
      </c>
      <c r="AJ1233" s="38">
        <v>64</v>
      </c>
      <c r="AK1233" s="38">
        <v>63.76</v>
      </c>
      <c r="AL1233" s="38">
        <v>64.31</v>
      </c>
      <c r="AM1233" s="38">
        <v>65.22</v>
      </c>
      <c r="AN1233" s="38">
        <v>70.239999999999995</v>
      </c>
      <c r="AO1233" s="38">
        <v>73.72</v>
      </c>
      <c r="AP1233" s="38">
        <v>76.87</v>
      </c>
      <c r="AQ1233" s="38">
        <v>78.72</v>
      </c>
      <c r="AR1233" s="38">
        <v>77.7</v>
      </c>
      <c r="AS1233" s="38">
        <v>74.260000000000005</v>
      </c>
      <c r="AT1233" s="38">
        <v>68.91</v>
      </c>
      <c r="AU1233" s="38">
        <v>64.98</v>
      </c>
      <c r="AV1233" s="38">
        <v>63.96</v>
      </c>
      <c r="AW1233" s="38">
        <v>63.43</v>
      </c>
      <c r="AX1233" s="38">
        <v>62.03</v>
      </c>
      <c r="AY1233" s="38">
        <v>64.959999999999994</v>
      </c>
      <c r="BA1233" s="37">
        <v>73.81</v>
      </c>
      <c r="BB1233" s="38">
        <v>1.3079000000000001</v>
      </c>
    </row>
    <row r="1234" spans="1:54" x14ac:dyDescent="0.35">
      <c r="A1234" s="2">
        <f t="shared" si="19"/>
        <v>45548</v>
      </c>
      <c r="B1234" t="s">
        <v>1827</v>
      </c>
      <c r="C1234" s="32">
        <v>45548</v>
      </c>
      <c r="D1234" s="38">
        <v>85.76</v>
      </c>
      <c r="E1234" s="38">
        <v>93.34</v>
      </c>
      <c r="F1234" s="38">
        <v>96.9</v>
      </c>
      <c r="G1234" s="38">
        <v>98.99</v>
      </c>
      <c r="H1234" s="38">
        <v>99.69</v>
      </c>
      <c r="I1234" s="38">
        <v>96.64</v>
      </c>
      <c r="J1234" s="38">
        <v>92.83</v>
      </c>
      <c r="K1234" s="38">
        <v>90.23</v>
      </c>
      <c r="L1234" s="38">
        <v>88.6</v>
      </c>
      <c r="M1234" s="38">
        <v>87.29</v>
      </c>
      <c r="N1234" s="38">
        <v>88.19</v>
      </c>
      <c r="O1234" s="38">
        <v>89.77</v>
      </c>
      <c r="P1234" s="38">
        <v>90.69</v>
      </c>
      <c r="Q1234" s="38">
        <v>96.03</v>
      </c>
      <c r="R1234" s="38">
        <v>99.51</v>
      </c>
      <c r="S1234" s="38">
        <v>100.12</v>
      </c>
      <c r="T1234" s="38">
        <v>100.75</v>
      </c>
      <c r="U1234" s="38">
        <v>93.46</v>
      </c>
      <c r="V1234" s="38">
        <v>79.349999999999994</v>
      </c>
      <c r="W1234" s="38">
        <v>76.290000000000006</v>
      </c>
      <c r="X1234" s="38">
        <v>73.81</v>
      </c>
      <c r="Y1234" s="38">
        <v>72.790000000000006</v>
      </c>
      <c r="Z1234" s="38">
        <v>73.47</v>
      </c>
      <c r="AA1234" s="38">
        <v>75.459999999999994</v>
      </c>
      <c r="AB1234" s="38">
        <v>79.900000000000006</v>
      </c>
      <c r="AC1234" s="38">
        <v>83.2</v>
      </c>
      <c r="AD1234" s="38">
        <v>86.26</v>
      </c>
      <c r="AE1234" s="38">
        <v>88.54</v>
      </c>
      <c r="AF1234" s="38">
        <v>87.54</v>
      </c>
      <c r="AG1234" s="38">
        <v>83.21</v>
      </c>
      <c r="AH1234" s="38">
        <v>67.69</v>
      </c>
      <c r="AI1234" s="38">
        <v>65.430000000000007</v>
      </c>
      <c r="AJ1234" s="38">
        <v>64.180000000000007</v>
      </c>
      <c r="AK1234" s="38">
        <v>64</v>
      </c>
      <c r="AL1234" s="38">
        <v>64.55</v>
      </c>
      <c r="AM1234" s="38">
        <v>65.19</v>
      </c>
      <c r="AN1234" s="38">
        <v>70.260000000000005</v>
      </c>
      <c r="AO1234" s="38">
        <v>73.739999999999995</v>
      </c>
      <c r="AP1234" s="38">
        <v>76.900000000000006</v>
      </c>
      <c r="AQ1234" s="38">
        <v>78.7</v>
      </c>
      <c r="AR1234" s="38">
        <v>77.77</v>
      </c>
      <c r="AS1234" s="38">
        <v>74.33</v>
      </c>
      <c r="AT1234" s="38">
        <v>68.73</v>
      </c>
      <c r="AU1234" s="38">
        <v>64.53</v>
      </c>
      <c r="AV1234" s="38">
        <v>63.45</v>
      </c>
      <c r="AW1234" s="38">
        <v>63.57</v>
      </c>
      <c r="AX1234" s="38">
        <v>62.52</v>
      </c>
      <c r="AY1234" s="38">
        <v>65.92</v>
      </c>
      <c r="BA1234" s="37">
        <v>73.680000000000007</v>
      </c>
      <c r="BB1234" s="38">
        <v>1.3154999999999999</v>
      </c>
    </row>
    <row r="1235" spans="1:54" x14ac:dyDescent="0.35">
      <c r="A1235" s="2">
        <f t="shared" si="19"/>
        <v>45551</v>
      </c>
      <c r="B1235" t="s">
        <v>1828</v>
      </c>
      <c r="C1235" s="32">
        <v>45551</v>
      </c>
      <c r="D1235" s="38">
        <v>81.17</v>
      </c>
      <c r="E1235" s="38">
        <v>89.3</v>
      </c>
      <c r="F1235" s="38">
        <v>92.91</v>
      </c>
      <c r="G1235" s="38">
        <v>95.19</v>
      </c>
      <c r="H1235" s="38">
        <v>96.03</v>
      </c>
      <c r="I1235" s="38">
        <v>93.23</v>
      </c>
      <c r="J1235" s="38">
        <v>89.52</v>
      </c>
      <c r="K1235" s="38">
        <v>86.86</v>
      </c>
      <c r="L1235" s="38">
        <v>85.21</v>
      </c>
      <c r="M1235" s="38">
        <v>83.91</v>
      </c>
      <c r="N1235" s="38">
        <v>84.81</v>
      </c>
      <c r="O1235" s="38">
        <v>86.39</v>
      </c>
      <c r="P1235" s="38">
        <v>87.49</v>
      </c>
      <c r="Q1235" s="38">
        <v>92.83</v>
      </c>
      <c r="R1235" s="38">
        <v>96.31</v>
      </c>
      <c r="S1235" s="38">
        <v>96.92</v>
      </c>
      <c r="T1235" s="38">
        <v>97.55</v>
      </c>
      <c r="U1235" s="38">
        <v>90.51</v>
      </c>
      <c r="V1235" s="38">
        <v>78.209999999999994</v>
      </c>
      <c r="W1235" s="38">
        <v>75.150000000000006</v>
      </c>
      <c r="X1235" s="38">
        <v>72.67</v>
      </c>
      <c r="Y1235" s="38">
        <v>71.650000000000006</v>
      </c>
      <c r="Z1235" s="38">
        <v>72.33</v>
      </c>
      <c r="AA1235" s="38">
        <v>74.319999999999993</v>
      </c>
      <c r="AB1235" s="38">
        <v>78.760000000000005</v>
      </c>
      <c r="AC1235" s="38">
        <v>82.06</v>
      </c>
      <c r="AD1235" s="38">
        <v>85.12</v>
      </c>
      <c r="AE1235" s="38">
        <v>87.4</v>
      </c>
      <c r="AF1235" s="38">
        <v>86.4</v>
      </c>
      <c r="AG1235" s="38">
        <v>82.07</v>
      </c>
      <c r="AH1235" s="38">
        <v>67.069999999999993</v>
      </c>
      <c r="AI1235" s="38">
        <v>64.81</v>
      </c>
      <c r="AJ1235" s="38">
        <v>63.56</v>
      </c>
      <c r="AK1235" s="38">
        <v>63.38</v>
      </c>
      <c r="AL1235" s="38">
        <v>63.93</v>
      </c>
      <c r="AM1235" s="38">
        <v>64.569999999999993</v>
      </c>
      <c r="AN1235" s="38">
        <v>69.64</v>
      </c>
      <c r="AO1235" s="38">
        <v>73.12</v>
      </c>
      <c r="AP1235" s="38">
        <v>76.28</v>
      </c>
      <c r="AQ1235" s="38">
        <v>78.08</v>
      </c>
      <c r="AR1235" s="38">
        <v>77.150000000000006</v>
      </c>
      <c r="AS1235" s="38">
        <v>73.709999999999994</v>
      </c>
      <c r="AT1235" s="38">
        <v>68.31</v>
      </c>
      <c r="AU1235" s="38">
        <v>64.11</v>
      </c>
      <c r="AV1235" s="38">
        <v>63.03</v>
      </c>
      <c r="AW1235" s="38">
        <v>63.15</v>
      </c>
      <c r="AX1235" s="38">
        <v>62.1</v>
      </c>
      <c r="AY1235" s="38">
        <v>65.5</v>
      </c>
      <c r="BA1235" s="37">
        <v>73.959999999999994</v>
      </c>
      <c r="BB1235" s="38">
        <v>1.32</v>
      </c>
    </row>
    <row r="1236" spans="1:54" x14ac:dyDescent="0.35">
      <c r="A1236" s="2">
        <f t="shared" si="19"/>
        <v>45552</v>
      </c>
      <c r="B1236" t="s">
        <v>1829</v>
      </c>
      <c r="C1236" s="32">
        <v>45552</v>
      </c>
      <c r="D1236" s="38">
        <v>85.21</v>
      </c>
      <c r="E1236" s="38">
        <v>92.85</v>
      </c>
      <c r="F1236" s="38">
        <v>96.41</v>
      </c>
      <c r="G1236" s="38">
        <v>98.62</v>
      </c>
      <c r="H1236" s="38">
        <v>99.48</v>
      </c>
      <c r="I1236" s="38">
        <v>97.21</v>
      </c>
      <c r="J1236" s="38">
        <v>93.51</v>
      </c>
      <c r="K1236" s="38">
        <v>90.63</v>
      </c>
      <c r="L1236" s="38">
        <v>88.97</v>
      </c>
      <c r="M1236" s="38">
        <v>87.81</v>
      </c>
      <c r="N1236" s="38">
        <v>88.7</v>
      </c>
      <c r="O1236" s="38">
        <v>90.19</v>
      </c>
      <c r="P1236" s="38">
        <v>90.72</v>
      </c>
      <c r="Q1236" s="38">
        <v>95.97</v>
      </c>
      <c r="R1236" s="38">
        <v>99.45</v>
      </c>
      <c r="S1236" s="38">
        <v>100.14</v>
      </c>
      <c r="T1236" s="38">
        <v>100.77</v>
      </c>
      <c r="U1236" s="38">
        <v>93.73</v>
      </c>
      <c r="V1236" s="38">
        <v>79.92</v>
      </c>
      <c r="W1236" s="38">
        <v>76.86</v>
      </c>
      <c r="X1236" s="38">
        <v>74.38</v>
      </c>
      <c r="Y1236" s="38">
        <v>73.349999999999994</v>
      </c>
      <c r="Z1236" s="38">
        <v>74.03</v>
      </c>
      <c r="AA1236" s="38">
        <v>76.02</v>
      </c>
      <c r="AB1236" s="38">
        <v>79.75</v>
      </c>
      <c r="AC1236" s="38">
        <v>83.05</v>
      </c>
      <c r="AD1236" s="38">
        <v>86.11</v>
      </c>
      <c r="AE1236" s="38">
        <v>88.39</v>
      </c>
      <c r="AF1236" s="38">
        <v>87.39</v>
      </c>
      <c r="AG1236" s="38">
        <v>83.06</v>
      </c>
      <c r="AH1236" s="38">
        <v>67.52</v>
      </c>
      <c r="AI1236" s="38">
        <v>65.260000000000005</v>
      </c>
      <c r="AJ1236" s="38">
        <v>64.010000000000005</v>
      </c>
      <c r="AK1236" s="38">
        <v>63.83</v>
      </c>
      <c r="AL1236" s="38">
        <v>64.38</v>
      </c>
      <c r="AM1236" s="38">
        <v>65.02</v>
      </c>
      <c r="AN1236" s="38">
        <v>70.22</v>
      </c>
      <c r="AO1236" s="38">
        <v>73.7</v>
      </c>
      <c r="AP1236" s="38">
        <v>76.86</v>
      </c>
      <c r="AQ1236" s="38">
        <v>78.66</v>
      </c>
      <c r="AR1236" s="38">
        <v>77.73</v>
      </c>
      <c r="AS1236" s="38">
        <v>74.290000000000006</v>
      </c>
      <c r="AT1236" s="38">
        <v>68.59</v>
      </c>
      <c r="AU1236" s="38">
        <v>64.39</v>
      </c>
      <c r="AV1236" s="38">
        <v>63.31</v>
      </c>
      <c r="AW1236" s="38">
        <v>63.43</v>
      </c>
      <c r="AX1236" s="38">
        <v>62.38</v>
      </c>
      <c r="AY1236" s="38">
        <v>65.78</v>
      </c>
      <c r="BA1236" s="37">
        <v>74.55</v>
      </c>
      <c r="BB1236" s="38">
        <v>1.3188</v>
      </c>
    </row>
    <row r="1237" spans="1:54" x14ac:dyDescent="0.35">
      <c r="A1237" s="2">
        <f t="shared" si="19"/>
        <v>45553</v>
      </c>
      <c r="B1237" t="s">
        <v>1830</v>
      </c>
      <c r="C1237" s="32">
        <v>45553</v>
      </c>
      <c r="D1237" s="38">
        <v>84.28</v>
      </c>
      <c r="E1237" s="38">
        <v>92.19</v>
      </c>
      <c r="F1237" s="38">
        <v>95.95</v>
      </c>
      <c r="G1237" s="38">
        <v>98.15</v>
      </c>
      <c r="H1237" s="38">
        <v>99.05</v>
      </c>
      <c r="I1237" s="38">
        <v>96.75</v>
      </c>
      <c r="J1237" s="38">
        <v>93.26</v>
      </c>
      <c r="K1237" s="38">
        <v>90.49</v>
      </c>
      <c r="L1237" s="38">
        <v>88.93</v>
      </c>
      <c r="M1237" s="38">
        <v>87.77</v>
      </c>
      <c r="N1237" s="38">
        <v>88.66</v>
      </c>
      <c r="O1237" s="38">
        <v>90.15</v>
      </c>
      <c r="P1237" s="38">
        <v>90.61</v>
      </c>
      <c r="Q1237" s="38">
        <v>95.86</v>
      </c>
      <c r="R1237" s="38">
        <v>99.34</v>
      </c>
      <c r="S1237" s="38">
        <v>100.03</v>
      </c>
      <c r="T1237" s="38">
        <v>100.66</v>
      </c>
      <c r="U1237" s="38">
        <v>93.62</v>
      </c>
      <c r="V1237" s="38">
        <v>79.81</v>
      </c>
      <c r="W1237" s="38">
        <v>76.75</v>
      </c>
      <c r="X1237" s="38">
        <v>74.27</v>
      </c>
      <c r="Y1237" s="38">
        <v>73.239999999999995</v>
      </c>
      <c r="Z1237" s="38">
        <v>73.92</v>
      </c>
      <c r="AA1237" s="38">
        <v>75.91</v>
      </c>
      <c r="AB1237" s="38">
        <v>79.66</v>
      </c>
      <c r="AC1237" s="38">
        <v>82.96</v>
      </c>
      <c r="AD1237" s="38">
        <v>86.02</v>
      </c>
      <c r="AE1237" s="38">
        <v>88.3</v>
      </c>
      <c r="AF1237" s="38">
        <v>87.3</v>
      </c>
      <c r="AG1237" s="38">
        <v>82.97</v>
      </c>
      <c r="AH1237" s="38">
        <v>67.48</v>
      </c>
      <c r="AI1237" s="38">
        <v>65.22</v>
      </c>
      <c r="AJ1237" s="38">
        <v>63.97</v>
      </c>
      <c r="AK1237" s="38">
        <v>63.79</v>
      </c>
      <c r="AL1237" s="38">
        <v>64.34</v>
      </c>
      <c r="AM1237" s="38">
        <v>64.98</v>
      </c>
      <c r="AN1237" s="38">
        <v>70.180000000000007</v>
      </c>
      <c r="AO1237" s="38">
        <v>73.66</v>
      </c>
      <c r="AP1237" s="38">
        <v>76.819999999999993</v>
      </c>
      <c r="AQ1237" s="38">
        <v>78.62</v>
      </c>
      <c r="AR1237" s="38">
        <v>77.69</v>
      </c>
      <c r="AS1237" s="38">
        <v>74.25</v>
      </c>
      <c r="AT1237" s="38">
        <v>68.58</v>
      </c>
      <c r="AU1237" s="38">
        <v>64.38</v>
      </c>
      <c r="AV1237" s="38">
        <v>63.3</v>
      </c>
      <c r="AW1237" s="38">
        <v>63.42</v>
      </c>
      <c r="AX1237" s="38">
        <v>62.37</v>
      </c>
      <c r="AY1237" s="38">
        <v>65.77</v>
      </c>
      <c r="BA1237" s="37">
        <v>74.52</v>
      </c>
      <c r="BB1237" s="38">
        <v>1.3211999999999999</v>
      </c>
    </row>
    <row r="1238" spans="1:54" x14ac:dyDescent="0.35">
      <c r="A1238" s="2">
        <f t="shared" si="19"/>
        <v>45554</v>
      </c>
      <c r="B1238" t="s">
        <v>1831</v>
      </c>
      <c r="C1238" s="32">
        <v>45554</v>
      </c>
      <c r="D1238" s="38">
        <v>79.11</v>
      </c>
      <c r="E1238" s="38">
        <v>85.85</v>
      </c>
      <c r="F1238" s="38">
        <v>89.16</v>
      </c>
      <c r="G1238" s="38">
        <v>91.25</v>
      </c>
      <c r="H1238" s="38">
        <v>92.15</v>
      </c>
      <c r="I1238" s="38">
        <v>89.85</v>
      </c>
      <c r="J1238" s="38">
        <v>86.55</v>
      </c>
      <c r="K1238" s="38">
        <v>84.48</v>
      </c>
      <c r="L1238" s="38">
        <v>82.96</v>
      </c>
      <c r="M1238" s="38">
        <v>81.84</v>
      </c>
      <c r="N1238" s="38">
        <v>82.76</v>
      </c>
      <c r="O1238" s="38">
        <v>84.25</v>
      </c>
      <c r="P1238" s="38">
        <v>85.97</v>
      </c>
      <c r="Q1238" s="38">
        <v>91.17</v>
      </c>
      <c r="R1238" s="38">
        <v>94.62</v>
      </c>
      <c r="S1238" s="38">
        <v>95.29</v>
      </c>
      <c r="T1238" s="38">
        <v>95.91</v>
      </c>
      <c r="U1238" s="38">
        <v>89.4</v>
      </c>
      <c r="V1238" s="38">
        <v>78.989999999999995</v>
      </c>
      <c r="W1238" s="38">
        <v>75.91</v>
      </c>
      <c r="X1238" s="38">
        <v>73.42</v>
      </c>
      <c r="Y1238" s="38">
        <v>72.36</v>
      </c>
      <c r="Z1238" s="38">
        <v>73.010000000000005</v>
      </c>
      <c r="AA1238" s="38">
        <v>74.94</v>
      </c>
      <c r="AB1238" s="38">
        <v>79.41</v>
      </c>
      <c r="AC1238" s="38">
        <v>82.71</v>
      </c>
      <c r="AD1238" s="38">
        <v>85.77</v>
      </c>
      <c r="AE1238" s="38">
        <v>88.05</v>
      </c>
      <c r="AF1238" s="38">
        <v>87.05</v>
      </c>
      <c r="AG1238" s="38">
        <v>82.72</v>
      </c>
      <c r="AH1238" s="38">
        <v>67.319999999999993</v>
      </c>
      <c r="AI1238" s="38">
        <v>65.06</v>
      </c>
      <c r="AJ1238" s="38">
        <v>63.81</v>
      </c>
      <c r="AK1238" s="38">
        <v>63.63</v>
      </c>
      <c r="AL1238" s="38">
        <v>64.180000000000007</v>
      </c>
      <c r="AM1238" s="38">
        <v>64.819999999999993</v>
      </c>
      <c r="AN1238" s="38">
        <v>70.02</v>
      </c>
      <c r="AO1238" s="38">
        <v>73.5</v>
      </c>
      <c r="AP1238" s="38">
        <v>76.66</v>
      </c>
      <c r="AQ1238" s="38">
        <v>78.459999999999994</v>
      </c>
      <c r="AR1238" s="38">
        <v>77.53</v>
      </c>
      <c r="AS1238" s="38">
        <v>74.09</v>
      </c>
      <c r="AT1238" s="38">
        <v>68.489999999999995</v>
      </c>
      <c r="AU1238" s="38">
        <v>64.290000000000006</v>
      </c>
      <c r="AV1238" s="38">
        <v>63.21</v>
      </c>
      <c r="AW1238" s="38">
        <v>63.33</v>
      </c>
      <c r="AX1238" s="38">
        <v>62.28</v>
      </c>
      <c r="AY1238" s="38">
        <v>65.680000000000007</v>
      </c>
      <c r="BA1238" s="37">
        <v>75.930000000000007</v>
      </c>
      <c r="BB1238" s="38">
        <v>1.325</v>
      </c>
    </row>
    <row r="1239" spans="1:54" x14ac:dyDescent="0.35">
      <c r="A1239" s="2">
        <f t="shared" si="19"/>
        <v>45555</v>
      </c>
      <c r="B1239" t="s">
        <v>1832</v>
      </c>
      <c r="C1239" s="32">
        <v>45555</v>
      </c>
      <c r="D1239" s="38">
        <v>82.5</v>
      </c>
      <c r="E1239" s="38">
        <v>89.07</v>
      </c>
      <c r="F1239" s="38">
        <v>91.78</v>
      </c>
      <c r="G1239" s="38">
        <v>93.82</v>
      </c>
      <c r="H1239" s="38">
        <v>94.72</v>
      </c>
      <c r="I1239" s="38">
        <v>92.37</v>
      </c>
      <c r="J1239" s="38">
        <v>88.67</v>
      </c>
      <c r="K1239" s="38">
        <v>86.52</v>
      </c>
      <c r="L1239" s="38">
        <v>85</v>
      </c>
      <c r="M1239" s="38">
        <v>83.88</v>
      </c>
      <c r="N1239" s="38">
        <v>84.8</v>
      </c>
      <c r="O1239" s="38">
        <v>86.19</v>
      </c>
      <c r="P1239" s="38">
        <v>87.35</v>
      </c>
      <c r="Q1239" s="38">
        <v>92.44</v>
      </c>
      <c r="R1239" s="38">
        <v>95.89</v>
      </c>
      <c r="S1239" s="38">
        <v>96.64</v>
      </c>
      <c r="T1239" s="38">
        <v>97.26</v>
      </c>
      <c r="U1239" s="38">
        <v>90.75</v>
      </c>
      <c r="V1239" s="38">
        <v>79.849999999999994</v>
      </c>
      <c r="W1239" s="38">
        <v>76.77</v>
      </c>
      <c r="X1239" s="38">
        <v>74.28</v>
      </c>
      <c r="Y1239" s="38">
        <v>73.22</v>
      </c>
      <c r="Z1239" s="38">
        <v>73.87</v>
      </c>
      <c r="AA1239" s="38">
        <v>75.8</v>
      </c>
      <c r="AB1239" s="38">
        <v>80.27</v>
      </c>
      <c r="AC1239" s="38">
        <v>83.57</v>
      </c>
      <c r="AD1239" s="38">
        <v>86.63</v>
      </c>
      <c r="AE1239" s="38">
        <v>88.91</v>
      </c>
      <c r="AF1239" s="38">
        <v>87.91</v>
      </c>
      <c r="AG1239" s="38">
        <v>83.58</v>
      </c>
      <c r="AH1239" s="38">
        <v>67.88</v>
      </c>
      <c r="AI1239" s="38">
        <v>65.62</v>
      </c>
      <c r="AJ1239" s="38">
        <v>64.37</v>
      </c>
      <c r="AK1239" s="38">
        <v>64.19</v>
      </c>
      <c r="AL1239" s="38">
        <v>64.739999999999995</v>
      </c>
      <c r="AM1239" s="38">
        <v>65.38</v>
      </c>
      <c r="AN1239" s="38">
        <v>70.58</v>
      </c>
      <c r="AO1239" s="38">
        <v>74.06</v>
      </c>
      <c r="AP1239" s="38">
        <v>77.22</v>
      </c>
      <c r="AQ1239" s="38">
        <v>79.02</v>
      </c>
      <c r="AR1239" s="38">
        <v>78.09</v>
      </c>
      <c r="AS1239" s="38">
        <v>74.650000000000006</v>
      </c>
      <c r="AT1239" s="38">
        <v>68.75</v>
      </c>
      <c r="AU1239" s="38">
        <v>64.55</v>
      </c>
      <c r="AV1239" s="38">
        <v>63.47</v>
      </c>
      <c r="AW1239" s="38">
        <v>63.59</v>
      </c>
      <c r="AX1239" s="38">
        <v>62.54</v>
      </c>
      <c r="AY1239" s="38">
        <v>65.94</v>
      </c>
      <c r="BA1239" s="37">
        <v>75.959999999999994</v>
      </c>
      <c r="BB1239" s="38">
        <v>1.3281000000000001</v>
      </c>
    </row>
    <row r="1240" spans="1:54" x14ac:dyDescent="0.35">
      <c r="A1240" s="2">
        <f t="shared" si="19"/>
        <v>45558</v>
      </c>
      <c r="B1240" t="s">
        <v>1833</v>
      </c>
      <c r="C1240" s="32">
        <v>45558</v>
      </c>
      <c r="D1240" s="38">
        <v>87.1</v>
      </c>
      <c r="E1240" s="38">
        <v>92.11</v>
      </c>
      <c r="F1240" s="38">
        <v>94.6</v>
      </c>
      <c r="G1240" s="38">
        <v>96.31</v>
      </c>
      <c r="H1240" s="38">
        <v>97.1</v>
      </c>
      <c r="I1240" s="38">
        <v>94.75</v>
      </c>
      <c r="J1240" s="38">
        <v>90.83</v>
      </c>
      <c r="K1240" s="38">
        <v>88.72</v>
      </c>
      <c r="L1240" s="38">
        <v>87.26</v>
      </c>
      <c r="M1240" s="38">
        <v>85.95</v>
      </c>
      <c r="N1240" s="38">
        <v>86.84</v>
      </c>
      <c r="O1240" s="38">
        <v>88.2</v>
      </c>
      <c r="P1240" s="38">
        <v>89.13</v>
      </c>
      <c r="Q1240" s="38">
        <v>94.04</v>
      </c>
      <c r="R1240" s="38">
        <v>97.52</v>
      </c>
      <c r="S1240" s="38">
        <v>98.31</v>
      </c>
      <c r="T1240" s="38">
        <v>99.02</v>
      </c>
      <c r="U1240" s="38">
        <v>92.31</v>
      </c>
      <c r="V1240" s="38">
        <v>80.78</v>
      </c>
      <c r="W1240" s="38">
        <v>77.12</v>
      </c>
      <c r="X1240" s="38">
        <v>74.63</v>
      </c>
      <c r="Y1240" s="38">
        <v>73.569999999999993</v>
      </c>
      <c r="Z1240" s="38">
        <v>74.22</v>
      </c>
      <c r="AA1240" s="38">
        <v>76.150000000000006</v>
      </c>
      <c r="AB1240" s="38">
        <v>80.459999999999994</v>
      </c>
      <c r="AC1240" s="38">
        <v>83.78</v>
      </c>
      <c r="AD1240" s="38">
        <v>86.86</v>
      </c>
      <c r="AE1240" s="38">
        <v>89.18</v>
      </c>
      <c r="AF1240" s="38">
        <v>87.77</v>
      </c>
      <c r="AG1240" s="38">
        <v>83.45</v>
      </c>
      <c r="AH1240" s="38">
        <v>68.53</v>
      </c>
      <c r="AI1240" s="38">
        <v>66.28</v>
      </c>
      <c r="AJ1240" s="38">
        <v>65.05</v>
      </c>
      <c r="AK1240" s="38">
        <v>65.099999999999994</v>
      </c>
      <c r="AL1240" s="38">
        <v>65.55</v>
      </c>
      <c r="AM1240" s="38">
        <v>66.19</v>
      </c>
      <c r="AN1240" s="38">
        <v>71.14</v>
      </c>
      <c r="AO1240" s="38">
        <v>74.62</v>
      </c>
      <c r="AP1240" s="38">
        <v>77.790000000000006</v>
      </c>
      <c r="AQ1240" s="38">
        <v>79.58</v>
      </c>
      <c r="AR1240" s="38">
        <v>78.819999999999993</v>
      </c>
      <c r="AS1240" s="38">
        <v>75.38</v>
      </c>
      <c r="AT1240" s="38">
        <v>69.489999999999995</v>
      </c>
      <c r="AU1240" s="38">
        <v>65.28</v>
      </c>
      <c r="AV1240" s="38">
        <v>64.209999999999994</v>
      </c>
      <c r="AW1240" s="38">
        <v>64.33</v>
      </c>
      <c r="AX1240" s="38">
        <v>63.28</v>
      </c>
      <c r="AY1240" s="38">
        <v>66.680000000000007</v>
      </c>
      <c r="BA1240" s="37">
        <v>74.95</v>
      </c>
      <c r="BB1240" s="38">
        <v>1.335</v>
      </c>
    </row>
    <row r="1241" spans="1:54" x14ac:dyDescent="0.35">
      <c r="A1241" s="2">
        <f t="shared" si="19"/>
        <v>45559</v>
      </c>
      <c r="B1241" t="s">
        <v>1834</v>
      </c>
      <c r="C1241" s="32">
        <v>45559</v>
      </c>
      <c r="D1241" s="38">
        <v>85.16</v>
      </c>
      <c r="E1241" s="38">
        <v>90.05</v>
      </c>
      <c r="F1241" s="38">
        <v>92.65</v>
      </c>
      <c r="G1241" s="38">
        <v>94.53</v>
      </c>
      <c r="H1241" s="38">
        <v>95.34</v>
      </c>
      <c r="I1241" s="38">
        <v>93.3</v>
      </c>
      <c r="J1241" s="38">
        <v>89.55</v>
      </c>
      <c r="K1241" s="38">
        <v>87.32</v>
      </c>
      <c r="L1241" s="38">
        <v>85.82</v>
      </c>
      <c r="M1241" s="38">
        <v>84.54</v>
      </c>
      <c r="N1241" s="38">
        <v>85.43</v>
      </c>
      <c r="O1241" s="38">
        <v>86.8</v>
      </c>
      <c r="P1241" s="38">
        <v>88.25</v>
      </c>
      <c r="Q1241" s="38">
        <v>93.18</v>
      </c>
      <c r="R1241" s="38">
        <v>96.64</v>
      </c>
      <c r="S1241" s="38">
        <v>97.31</v>
      </c>
      <c r="T1241" s="38">
        <v>98.01</v>
      </c>
      <c r="U1241" s="38">
        <v>91.3</v>
      </c>
      <c r="V1241" s="38">
        <v>80.94</v>
      </c>
      <c r="W1241" s="38">
        <v>77.290000000000006</v>
      </c>
      <c r="X1241" s="38">
        <v>74.8</v>
      </c>
      <c r="Y1241" s="38">
        <v>73.56</v>
      </c>
      <c r="Z1241" s="38">
        <v>74.209999999999994</v>
      </c>
      <c r="AA1241" s="38">
        <v>76.14</v>
      </c>
      <c r="AB1241" s="38">
        <v>80.48</v>
      </c>
      <c r="AC1241" s="38">
        <v>83.8</v>
      </c>
      <c r="AD1241" s="38">
        <v>86.87</v>
      </c>
      <c r="AE1241" s="38">
        <v>89.19</v>
      </c>
      <c r="AF1241" s="38">
        <v>87.78</v>
      </c>
      <c r="AG1241" s="38">
        <v>83.46</v>
      </c>
      <c r="AH1241" s="38">
        <v>68.650000000000006</v>
      </c>
      <c r="AI1241" s="38">
        <v>66.400000000000006</v>
      </c>
      <c r="AJ1241" s="38">
        <v>65.17</v>
      </c>
      <c r="AK1241" s="38">
        <v>65.55</v>
      </c>
      <c r="AL1241" s="38">
        <v>66.010000000000005</v>
      </c>
      <c r="AM1241" s="38">
        <v>66.650000000000006</v>
      </c>
      <c r="AN1241" s="38">
        <v>71.75</v>
      </c>
      <c r="AO1241" s="38">
        <v>75.23</v>
      </c>
      <c r="AP1241" s="38">
        <v>78.400000000000006</v>
      </c>
      <c r="AQ1241" s="38">
        <v>80.180000000000007</v>
      </c>
      <c r="AR1241" s="38">
        <v>79.42</v>
      </c>
      <c r="AS1241" s="38">
        <v>75.98</v>
      </c>
      <c r="AT1241" s="38">
        <v>70.31</v>
      </c>
      <c r="AU1241" s="38">
        <v>66.099999999999994</v>
      </c>
      <c r="AV1241" s="38">
        <v>65.03</v>
      </c>
      <c r="AW1241" s="38">
        <v>65.430000000000007</v>
      </c>
      <c r="AX1241" s="38">
        <v>64.38</v>
      </c>
      <c r="AY1241" s="38">
        <v>67.78</v>
      </c>
      <c r="BA1241" s="37">
        <v>75.290000000000006</v>
      </c>
      <c r="BB1241" s="38">
        <v>1.339</v>
      </c>
    </row>
    <row r="1242" spans="1:54" x14ac:dyDescent="0.35">
      <c r="A1242" s="2">
        <f t="shared" si="19"/>
        <v>45560</v>
      </c>
      <c r="B1242" t="s">
        <v>1835</v>
      </c>
      <c r="C1242" s="32">
        <v>45560</v>
      </c>
      <c r="D1242" s="38">
        <v>90.24</v>
      </c>
      <c r="E1242" s="38">
        <v>94.7</v>
      </c>
      <c r="F1242" s="38">
        <v>96.47</v>
      </c>
      <c r="G1242" s="38">
        <v>98.27</v>
      </c>
      <c r="H1242" s="38">
        <v>98.96</v>
      </c>
      <c r="I1242" s="38">
        <v>96.94</v>
      </c>
      <c r="J1242" s="38">
        <v>92.9</v>
      </c>
      <c r="K1242" s="38">
        <v>90.14</v>
      </c>
      <c r="L1242" s="38">
        <v>88.66</v>
      </c>
      <c r="M1242" s="38">
        <v>87.53</v>
      </c>
      <c r="N1242" s="38">
        <v>88.43</v>
      </c>
      <c r="O1242" s="38">
        <v>89.81</v>
      </c>
      <c r="P1242" s="38">
        <v>91.14</v>
      </c>
      <c r="Q1242" s="38">
        <v>96.01</v>
      </c>
      <c r="R1242" s="38">
        <v>99.39</v>
      </c>
      <c r="S1242" s="38">
        <v>100.18</v>
      </c>
      <c r="T1242" s="38">
        <v>100.79</v>
      </c>
      <c r="U1242" s="38">
        <v>94.04</v>
      </c>
      <c r="V1242" s="38">
        <v>82.63</v>
      </c>
      <c r="W1242" s="38">
        <v>78.45</v>
      </c>
      <c r="X1242" s="38">
        <v>75.959999999999994</v>
      </c>
      <c r="Y1242" s="38">
        <v>74.900000000000006</v>
      </c>
      <c r="Z1242" s="38">
        <v>75.55</v>
      </c>
      <c r="AA1242" s="38">
        <v>77.489999999999995</v>
      </c>
      <c r="AB1242" s="38">
        <v>81.59</v>
      </c>
      <c r="AC1242" s="38">
        <v>84.93</v>
      </c>
      <c r="AD1242" s="38">
        <v>88.03</v>
      </c>
      <c r="AE1242" s="38">
        <v>90.65</v>
      </c>
      <c r="AF1242" s="38">
        <v>89.25</v>
      </c>
      <c r="AG1242" s="38">
        <v>84.03</v>
      </c>
      <c r="AH1242" s="38">
        <v>69.28</v>
      </c>
      <c r="AI1242" s="38">
        <v>66.78</v>
      </c>
      <c r="AJ1242" s="38">
        <v>65.540000000000006</v>
      </c>
      <c r="AK1242" s="38">
        <v>65.97</v>
      </c>
      <c r="AL1242" s="38">
        <v>66.430000000000007</v>
      </c>
      <c r="AM1242" s="38">
        <v>67.069999999999993</v>
      </c>
      <c r="AN1242" s="38">
        <v>72.23</v>
      </c>
      <c r="AO1242" s="38">
        <v>75.73</v>
      </c>
      <c r="AP1242" s="38">
        <v>78.92</v>
      </c>
      <c r="AQ1242" s="38">
        <v>80.650000000000006</v>
      </c>
      <c r="AR1242" s="38">
        <v>79.89</v>
      </c>
      <c r="AS1242" s="38">
        <v>76.45</v>
      </c>
      <c r="AT1242" s="38">
        <v>70.540000000000006</v>
      </c>
      <c r="AU1242" s="38">
        <v>66.33</v>
      </c>
      <c r="AV1242" s="38">
        <v>65.260000000000005</v>
      </c>
      <c r="AW1242" s="38">
        <v>65.67</v>
      </c>
      <c r="AX1242" s="38">
        <v>64.61</v>
      </c>
      <c r="AY1242" s="38">
        <v>68.010000000000005</v>
      </c>
      <c r="BA1242" s="37">
        <v>75.400000000000006</v>
      </c>
      <c r="BB1242" s="38">
        <v>1.3374999999999999</v>
      </c>
    </row>
    <row r="1243" spans="1:54" x14ac:dyDescent="0.35">
      <c r="A1243" s="2">
        <f t="shared" si="19"/>
        <v>45561</v>
      </c>
      <c r="B1243" t="s">
        <v>1836</v>
      </c>
      <c r="C1243" s="32">
        <v>45561</v>
      </c>
      <c r="D1243" s="38">
        <v>91.41</v>
      </c>
      <c r="E1243" s="38">
        <v>95.77</v>
      </c>
      <c r="F1243" s="38">
        <v>97.74</v>
      </c>
      <c r="G1243" s="38">
        <v>99.51</v>
      </c>
      <c r="H1243" s="38">
        <v>100.11</v>
      </c>
      <c r="I1243" s="38">
        <v>97.96</v>
      </c>
      <c r="J1243" s="38">
        <v>94.2</v>
      </c>
      <c r="K1243" s="38">
        <v>90.89</v>
      </c>
      <c r="L1243" s="38">
        <v>88.99</v>
      </c>
      <c r="M1243" s="38">
        <v>88.19</v>
      </c>
      <c r="N1243" s="38">
        <v>89.09</v>
      </c>
      <c r="O1243" s="38">
        <v>90.58</v>
      </c>
      <c r="P1243" s="38">
        <v>91.78</v>
      </c>
      <c r="Q1243" s="38">
        <v>96.47</v>
      </c>
      <c r="R1243" s="38">
        <v>99.88</v>
      </c>
      <c r="S1243" s="38">
        <v>100.72</v>
      </c>
      <c r="T1243" s="38">
        <v>101.33</v>
      </c>
      <c r="U1243" s="38">
        <v>94.57</v>
      </c>
      <c r="V1243" s="38">
        <v>82.86</v>
      </c>
      <c r="W1243" s="38">
        <v>78.47</v>
      </c>
      <c r="X1243" s="38">
        <v>75.98</v>
      </c>
      <c r="Y1243" s="38">
        <v>74.95</v>
      </c>
      <c r="Z1243" s="38">
        <v>75.599999999999994</v>
      </c>
      <c r="AA1243" s="38">
        <v>77.58</v>
      </c>
      <c r="AB1243" s="38">
        <v>81.75</v>
      </c>
      <c r="AC1243" s="38">
        <v>85.09</v>
      </c>
      <c r="AD1243" s="38">
        <v>88.19</v>
      </c>
      <c r="AE1243" s="38">
        <v>90.81</v>
      </c>
      <c r="AF1243" s="38">
        <v>89.41</v>
      </c>
      <c r="AG1243" s="38">
        <v>84.19</v>
      </c>
      <c r="AH1243" s="38">
        <v>69.77</v>
      </c>
      <c r="AI1243" s="38">
        <v>67.27</v>
      </c>
      <c r="AJ1243" s="38">
        <v>66.02</v>
      </c>
      <c r="AK1243" s="38">
        <v>66.459999999999994</v>
      </c>
      <c r="AL1243" s="38">
        <v>66.92</v>
      </c>
      <c r="AM1243" s="38">
        <v>67.89</v>
      </c>
      <c r="AN1243" s="38">
        <v>72.91</v>
      </c>
      <c r="AO1243" s="38">
        <v>76.61</v>
      </c>
      <c r="AP1243" s="38">
        <v>80.12</v>
      </c>
      <c r="AQ1243" s="38">
        <v>81.73</v>
      </c>
      <c r="AR1243" s="38">
        <v>80.94</v>
      </c>
      <c r="AS1243" s="38">
        <v>77.47</v>
      </c>
      <c r="AT1243" s="38">
        <v>71.319999999999993</v>
      </c>
      <c r="AU1243" s="38">
        <v>66.94</v>
      </c>
      <c r="AV1243" s="38">
        <v>65.69</v>
      </c>
      <c r="AW1243" s="38">
        <v>65.87</v>
      </c>
      <c r="AX1243" s="38">
        <v>64.81</v>
      </c>
      <c r="AY1243" s="38">
        <v>68.209999999999994</v>
      </c>
      <c r="BA1243" s="37">
        <v>73.06</v>
      </c>
      <c r="BB1243" s="38">
        <v>1.3395999999999999</v>
      </c>
    </row>
    <row r="1244" spans="1:54" x14ac:dyDescent="0.35">
      <c r="A1244" s="2">
        <f t="shared" si="19"/>
        <v>45562</v>
      </c>
      <c r="B1244" t="s">
        <v>1837</v>
      </c>
      <c r="C1244" s="32">
        <v>45562</v>
      </c>
      <c r="D1244" s="38">
        <v>91.66</v>
      </c>
      <c r="E1244" s="38">
        <v>96.4</v>
      </c>
      <c r="F1244" s="38">
        <v>98.59</v>
      </c>
      <c r="G1244" s="38">
        <v>100.37</v>
      </c>
      <c r="H1244" s="38">
        <v>101</v>
      </c>
      <c r="I1244" s="38">
        <v>98.78</v>
      </c>
      <c r="J1244" s="38">
        <v>94.72</v>
      </c>
      <c r="K1244" s="38">
        <v>91.98</v>
      </c>
      <c r="L1244" s="38">
        <v>89.75</v>
      </c>
      <c r="M1244" s="38">
        <v>88.83</v>
      </c>
      <c r="N1244" s="38">
        <v>89.77</v>
      </c>
      <c r="O1244" s="38">
        <v>91.3</v>
      </c>
      <c r="P1244" s="38">
        <v>92.44</v>
      </c>
      <c r="Q1244" s="38">
        <v>97.2</v>
      </c>
      <c r="R1244" s="38">
        <v>100.8</v>
      </c>
      <c r="S1244" s="38">
        <v>101.72</v>
      </c>
      <c r="T1244" s="38">
        <v>102.21</v>
      </c>
      <c r="U1244" s="38">
        <v>95.31</v>
      </c>
      <c r="V1244" s="38">
        <v>83.2</v>
      </c>
      <c r="W1244" s="38">
        <v>78.66</v>
      </c>
      <c r="X1244" s="38">
        <v>76.09</v>
      </c>
      <c r="Y1244" s="38">
        <v>75</v>
      </c>
      <c r="Z1244" s="38">
        <v>75.599999999999994</v>
      </c>
      <c r="AA1244" s="38">
        <v>77.42</v>
      </c>
      <c r="AB1244" s="38">
        <v>81.569999999999993</v>
      </c>
      <c r="AC1244" s="38">
        <v>84.91</v>
      </c>
      <c r="AD1244" s="38">
        <v>88.01</v>
      </c>
      <c r="AE1244" s="38">
        <v>90.63</v>
      </c>
      <c r="AF1244" s="38">
        <v>89.25</v>
      </c>
      <c r="AG1244" s="38">
        <v>84.03</v>
      </c>
      <c r="AH1244" s="38">
        <v>69.59</v>
      </c>
      <c r="AI1244" s="38">
        <v>67.11</v>
      </c>
      <c r="AJ1244" s="38">
        <v>65.86</v>
      </c>
      <c r="AK1244" s="38">
        <v>66.3</v>
      </c>
      <c r="AL1244" s="38">
        <v>66.760000000000005</v>
      </c>
      <c r="AM1244" s="38">
        <v>67.599999999999994</v>
      </c>
      <c r="AN1244" s="38">
        <v>72.66</v>
      </c>
      <c r="AO1244" s="38">
        <v>76.45</v>
      </c>
      <c r="AP1244" s="38">
        <v>79.959999999999994</v>
      </c>
      <c r="AQ1244" s="38">
        <v>81.319999999999993</v>
      </c>
      <c r="AR1244" s="38">
        <v>80.41</v>
      </c>
      <c r="AS1244" s="38">
        <v>76.94</v>
      </c>
      <c r="AT1244" s="38">
        <v>70.680000000000007</v>
      </c>
      <c r="AU1244" s="38">
        <v>66.3</v>
      </c>
      <c r="AV1244" s="38">
        <v>65.05</v>
      </c>
      <c r="AW1244" s="38">
        <v>65.349999999999994</v>
      </c>
      <c r="AX1244" s="38">
        <v>64.290000000000006</v>
      </c>
      <c r="AY1244" s="38">
        <v>67.680000000000007</v>
      </c>
      <c r="BA1244" s="37">
        <v>71.63</v>
      </c>
      <c r="BB1244" s="38">
        <v>1.3408</v>
      </c>
    </row>
    <row r="1245" spans="1:54" x14ac:dyDescent="0.35">
      <c r="A1245" s="2">
        <f t="shared" si="19"/>
        <v>45565</v>
      </c>
      <c r="B1245" t="s">
        <v>1838</v>
      </c>
      <c r="C1245" s="32">
        <v>45565</v>
      </c>
      <c r="D1245" s="38">
        <v>97.36</v>
      </c>
      <c r="E1245" s="38">
        <v>99.36</v>
      </c>
      <c r="F1245" s="38">
        <v>101.19</v>
      </c>
      <c r="G1245" s="38">
        <v>101.56</v>
      </c>
      <c r="H1245" s="38">
        <v>99.41</v>
      </c>
      <c r="I1245" s="38">
        <v>95.98</v>
      </c>
      <c r="J1245" s="38">
        <v>92.49</v>
      </c>
      <c r="K1245" s="38">
        <v>90.05</v>
      </c>
      <c r="L1245" s="38">
        <v>89.21</v>
      </c>
      <c r="M1245" s="38">
        <v>90.15</v>
      </c>
      <c r="N1245" s="38">
        <v>91.75</v>
      </c>
      <c r="O1245" s="38">
        <v>93.15</v>
      </c>
      <c r="P1245" s="38">
        <v>97.91</v>
      </c>
      <c r="Q1245" s="38">
        <v>101.51</v>
      </c>
      <c r="R1245" s="38">
        <v>102.07</v>
      </c>
      <c r="S1245" s="38">
        <v>102.56</v>
      </c>
      <c r="T1245" s="38">
        <v>95.66</v>
      </c>
      <c r="U1245" s="38">
        <v>83.21</v>
      </c>
      <c r="V1245" s="38">
        <v>78.67</v>
      </c>
      <c r="W1245" s="38">
        <v>76.099999999999994</v>
      </c>
      <c r="X1245" s="38">
        <v>75.010000000000005</v>
      </c>
      <c r="Y1245" s="38">
        <v>75.61</v>
      </c>
      <c r="Z1245" s="38">
        <v>77.430000000000007</v>
      </c>
      <c r="AA1245" s="38">
        <v>81.58</v>
      </c>
      <c r="AB1245" s="38">
        <v>84.92</v>
      </c>
      <c r="AC1245" s="38">
        <v>88.02</v>
      </c>
      <c r="AD1245" s="38">
        <v>90.64</v>
      </c>
      <c r="AE1245" s="38">
        <v>89.26</v>
      </c>
      <c r="AF1245" s="38">
        <v>84.04</v>
      </c>
      <c r="AG1245" s="38">
        <v>69.599999999999994</v>
      </c>
      <c r="AH1245" s="38">
        <v>67.12</v>
      </c>
      <c r="AI1245" s="38">
        <v>65.87</v>
      </c>
      <c r="AJ1245" s="38">
        <v>66.31</v>
      </c>
      <c r="AK1245" s="38">
        <v>66.77</v>
      </c>
      <c r="AL1245" s="38">
        <v>67.61</v>
      </c>
      <c r="AM1245" s="38">
        <v>72.67</v>
      </c>
      <c r="AN1245" s="38">
        <v>76.459999999999994</v>
      </c>
      <c r="AO1245" s="38">
        <v>79.97</v>
      </c>
      <c r="AP1245" s="38">
        <v>81.33</v>
      </c>
      <c r="AQ1245" s="38">
        <v>80.42</v>
      </c>
      <c r="AR1245" s="38">
        <v>76.95</v>
      </c>
      <c r="AS1245" s="38">
        <v>70.69</v>
      </c>
      <c r="AT1245" s="38">
        <v>66.31</v>
      </c>
      <c r="AU1245" s="38">
        <v>65.06</v>
      </c>
      <c r="AV1245" s="38">
        <v>65.36</v>
      </c>
      <c r="AW1245" s="38">
        <v>64.3</v>
      </c>
      <c r="AX1245" s="38">
        <v>67.69</v>
      </c>
      <c r="AY1245" s="38">
        <v>71.650000000000006</v>
      </c>
      <c r="BA1245" s="37">
        <v>72.349999999999994</v>
      </c>
      <c r="BB1245" s="38">
        <v>1.3412999999999999</v>
      </c>
    </row>
    <row r="1246" spans="1:54" x14ac:dyDescent="0.35">
      <c r="A1246" s="2">
        <f t="shared" si="19"/>
        <v>45566</v>
      </c>
      <c r="B1246" t="s">
        <v>1839</v>
      </c>
      <c r="C1246" s="32">
        <v>45566</v>
      </c>
      <c r="D1246" s="38">
        <v>97.77</v>
      </c>
      <c r="E1246" s="38">
        <v>100.13</v>
      </c>
      <c r="F1246" s="38">
        <v>101.91</v>
      </c>
      <c r="G1246" s="38">
        <v>102.39</v>
      </c>
      <c r="H1246" s="38">
        <v>100.15</v>
      </c>
      <c r="I1246" s="38">
        <v>96.37</v>
      </c>
      <c r="J1246" s="38">
        <v>93.37</v>
      </c>
      <c r="K1246" s="38">
        <v>91.03</v>
      </c>
      <c r="L1246" s="38">
        <v>90.23</v>
      </c>
      <c r="M1246" s="38">
        <v>91.17</v>
      </c>
      <c r="N1246" s="38">
        <v>92.82</v>
      </c>
      <c r="O1246" s="38">
        <v>94.26</v>
      </c>
      <c r="P1246" s="38">
        <v>98.87</v>
      </c>
      <c r="Q1246" s="38">
        <v>102.38</v>
      </c>
      <c r="R1246" s="38">
        <v>102.85</v>
      </c>
      <c r="S1246" s="38">
        <v>103.33</v>
      </c>
      <c r="T1246" s="38">
        <v>96.32</v>
      </c>
      <c r="U1246" s="38">
        <v>83.32</v>
      </c>
      <c r="V1246" s="38">
        <v>78.62</v>
      </c>
      <c r="W1246" s="38">
        <v>76.05</v>
      </c>
      <c r="X1246" s="38">
        <v>74.959999999999994</v>
      </c>
      <c r="Y1246" s="38">
        <v>75.56</v>
      </c>
      <c r="Z1246" s="38">
        <v>77.38</v>
      </c>
      <c r="AA1246" s="38">
        <v>81.23</v>
      </c>
      <c r="AB1246" s="38">
        <v>84.57</v>
      </c>
      <c r="AC1246" s="38">
        <v>87.67</v>
      </c>
      <c r="AD1246" s="38">
        <v>90.29</v>
      </c>
      <c r="AE1246" s="38">
        <v>88.91</v>
      </c>
      <c r="AF1246" s="38">
        <v>83.69</v>
      </c>
      <c r="AG1246" s="38">
        <v>69.69</v>
      </c>
      <c r="AH1246" s="38">
        <v>67.209999999999994</v>
      </c>
      <c r="AI1246" s="38">
        <v>65.959999999999994</v>
      </c>
      <c r="AJ1246" s="38">
        <v>66.400000000000006</v>
      </c>
      <c r="AK1246" s="38">
        <v>66.86</v>
      </c>
      <c r="AL1246" s="38">
        <v>67.7</v>
      </c>
      <c r="AM1246" s="38">
        <v>72.760000000000005</v>
      </c>
      <c r="AN1246" s="38">
        <v>76.55</v>
      </c>
      <c r="AO1246" s="38">
        <v>80.06</v>
      </c>
      <c r="AP1246" s="38">
        <v>81.42</v>
      </c>
      <c r="AQ1246" s="38">
        <v>80.510000000000005</v>
      </c>
      <c r="AR1246" s="38">
        <v>77.040000000000006</v>
      </c>
      <c r="AS1246" s="38">
        <v>70.78</v>
      </c>
      <c r="AT1246" s="38">
        <v>66.400000000000006</v>
      </c>
      <c r="AU1246" s="38">
        <v>65.150000000000006</v>
      </c>
      <c r="AV1246" s="38">
        <v>65.45</v>
      </c>
      <c r="AW1246" s="38">
        <v>64.39</v>
      </c>
      <c r="AX1246" s="38">
        <v>67.78</v>
      </c>
      <c r="AY1246" s="38">
        <v>71.739999999999995</v>
      </c>
      <c r="BA1246" s="37">
        <v>75.3</v>
      </c>
      <c r="BB1246" s="38">
        <v>1.3289</v>
      </c>
    </row>
    <row r="1247" spans="1:54" x14ac:dyDescent="0.35">
      <c r="A1247" s="2">
        <f t="shared" si="19"/>
        <v>45567</v>
      </c>
      <c r="B1247" t="s">
        <v>1840</v>
      </c>
      <c r="C1247" s="32">
        <v>45567</v>
      </c>
      <c r="D1247" s="38">
        <v>95.86</v>
      </c>
      <c r="E1247" s="38">
        <v>98.34</v>
      </c>
      <c r="F1247" s="38">
        <v>100.51</v>
      </c>
      <c r="G1247" s="38">
        <v>101.26</v>
      </c>
      <c r="H1247" s="38">
        <v>99.11</v>
      </c>
      <c r="I1247" s="38">
        <v>95.67</v>
      </c>
      <c r="J1247" s="38">
        <v>92.82</v>
      </c>
      <c r="K1247" s="38">
        <v>90.72</v>
      </c>
      <c r="L1247" s="38">
        <v>89.79</v>
      </c>
      <c r="M1247" s="38">
        <v>90.73</v>
      </c>
      <c r="N1247" s="38">
        <v>92.38</v>
      </c>
      <c r="O1247" s="38">
        <v>93.78</v>
      </c>
      <c r="P1247" s="38">
        <v>98.39</v>
      </c>
      <c r="Q1247" s="38">
        <v>101.9</v>
      </c>
      <c r="R1247" s="38">
        <v>102.62</v>
      </c>
      <c r="S1247" s="38">
        <v>103.1</v>
      </c>
      <c r="T1247" s="38">
        <v>96.09</v>
      </c>
      <c r="U1247" s="38">
        <v>83.61</v>
      </c>
      <c r="V1247" s="38">
        <v>78.91</v>
      </c>
      <c r="W1247" s="38">
        <v>76.34</v>
      </c>
      <c r="X1247" s="38">
        <v>75.25</v>
      </c>
      <c r="Y1247" s="38">
        <v>75.849999999999994</v>
      </c>
      <c r="Z1247" s="38">
        <v>77.67</v>
      </c>
      <c r="AA1247" s="38">
        <v>81.63</v>
      </c>
      <c r="AB1247" s="38">
        <v>84.97</v>
      </c>
      <c r="AC1247" s="38">
        <v>88.07</v>
      </c>
      <c r="AD1247" s="38">
        <v>90.69</v>
      </c>
      <c r="AE1247" s="38">
        <v>89.31</v>
      </c>
      <c r="AF1247" s="38">
        <v>84.09</v>
      </c>
      <c r="AG1247" s="38">
        <v>70.069999999999993</v>
      </c>
      <c r="AH1247" s="38">
        <v>67.59</v>
      </c>
      <c r="AI1247" s="38">
        <v>66.34</v>
      </c>
      <c r="AJ1247" s="38">
        <v>66.78</v>
      </c>
      <c r="AK1247" s="38">
        <v>67.239999999999995</v>
      </c>
      <c r="AL1247" s="38">
        <v>68.08</v>
      </c>
      <c r="AM1247" s="38">
        <v>73.14</v>
      </c>
      <c r="AN1247" s="38">
        <v>76.930000000000007</v>
      </c>
      <c r="AO1247" s="38">
        <v>80.44</v>
      </c>
      <c r="AP1247" s="38">
        <v>81.8</v>
      </c>
      <c r="AQ1247" s="38">
        <v>80.89</v>
      </c>
      <c r="AR1247" s="38">
        <v>77.42</v>
      </c>
      <c r="AS1247" s="38">
        <v>71.02</v>
      </c>
      <c r="AT1247" s="38">
        <v>66.64</v>
      </c>
      <c r="AU1247" s="38">
        <v>65.39</v>
      </c>
      <c r="AV1247" s="38">
        <v>65.69</v>
      </c>
      <c r="AW1247" s="38">
        <v>64.63</v>
      </c>
      <c r="AX1247" s="38">
        <v>68.02</v>
      </c>
      <c r="AY1247" s="38">
        <v>71.98</v>
      </c>
      <c r="BA1247" s="37">
        <v>74.86</v>
      </c>
      <c r="BB1247" s="38">
        <v>1.3250999999999999</v>
      </c>
    </row>
    <row r="1248" spans="1:54" x14ac:dyDescent="0.35">
      <c r="A1248" s="2">
        <f t="shared" si="19"/>
        <v>45568</v>
      </c>
      <c r="B1248" t="s">
        <v>1841</v>
      </c>
      <c r="C1248" s="32">
        <v>45568</v>
      </c>
      <c r="D1248" s="38">
        <v>100.28</v>
      </c>
      <c r="E1248" s="38">
        <v>102.32</v>
      </c>
      <c r="F1248" s="38">
        <v>103.97</v>
      </c>
      <c r="G1248" s="38">
        <v>104.58</v>
      </c>
      <c r="H1248" s="38">
        <v>102.58</v>
      </c>
      <c r="I1248" s="38">
        <v>98.49</v>
      </c>
      <c r="J1248" s="38">
        <v>95.59</v>
      </c>
      <c r="K1248" s="38">
        <v>93.49</v>
      </c>
      <c r="L1248" s="38">
        <v>92.55</v>
      </c>
      <c r="M1248" s="38">
        <v>93.49</v>
      </c>
      <c r="N1248" s="38">
        <v>94.81</v>
      </c>
      <c r="O1248" s="38">
        <v>96.02</v>
      </c>
      <c r="P1248" s="38">
        <v>100.63</v>
      </c>
      <c r="Q1248" s="38">
        <v>104.14</v>
      </c>
      <c r="R1248" s="38">
        <v>104.91</v>
      </c>
      <c r="S1248" s="38">
        <v>105.39</v>
      </c>
      <c r="T1248" s="38">
        <v>98.24</v>
      </c>
      <c r="U1248" s="38">
        <v>84.94</v>
      </c>
      <c r="V1248" s="38">
        <v>79.94</v>
      </c>
      <c r="W1248" s="38">
        <v>77.37</v>
      </c>
      <c r="X1248" s="38">
        <v>76.28</v>
      </c>
      <c r="Y1248" s="38">
        <v>76.88</v>
      </c>
      <c r="Z1248" s="38">
        <v>78.7</v>
      </c>
      <c r="AA1248" s="38">
        <v>82.46</v>
      </c>
      <c r="AB1248" s="38">
        <v>85.8</v>
      </c>
      <c r="AC1248" s="38">
        <v>88.9</v>
      </c>
      <c r="AD1248" s="38">
        <v>91.52</v>
      </c>
      <c r="AE1248" s="38">
        <v>90.14</v>
      </c>
      <c r="AF1248" s="38">
        <v>84.92</v>
      </c>
      <c r="AG1248" s="38">
        <v>70.900000000000006</v>
      </c>
      <c r="AH1248" s="38">
        <v>68.42</v>
      </c>
      <c r="AI1248" s="38">
        <v>67.17</v>
      </c>
      <c r="AJ1248" s="38">
        <v>67.61</v>
      </c>
      <c r="AK1248" s="38">
        <v>68.069999999999993</v>
      </c>
      <c r="AL1248" s="38">
        <v>68.91</v>
      </c>
      <c r="AM1248" s="38">
        <v>73.97</v>
      </c>
      <c r="AN1248" s="38">
        <v>77.760000000000005</v>
      </c>
      <c r="AO1248" s="38">
        <v>81.27</v>
      </c>
      <c r="AP1248" s="38">
        <v>82.63</v>
      </c>
      <c r="AQ1248" s="38">
        <v>81.72</v>
      </c>
      <c r="AR1248" s="38">
        <v>78.25</v>
      </c>
      <c r="AS1248" s="38">
        <v>71.55</v>
      </c>
      <c r="AT1248" s="38">
        <v>67.17</v>
      </c>
      <c r="AU1248" s="38">
        <v>65.92</v>
      </c>
      <c r="AV1248" s="38">
        <v>66.22</v>
      </c>
      <c r="AW1248" s="38">
        <v>65.16</v>
      </c>
      <c r="AX1248" s="38">
        <v>68.55</v>
      </c>
      <c r="AY1248" s="38">
        <v>72.349999999999994</v>
      </c>
      <c r="BA1248" s="37">
        <v>77.569999999999993</v>
      </c>
      <c r="BB1248" s="38">
        <v>1.3108</v>
      </c>
    </row>
    <row r="1249" spans="1:54" x14ac:dyDescent="0.35">
      <c r="A1249" s="2">
        <f t="shared" si="19"/>
        <v>45569</v>
      </c>
      <c r="B1249" t="s">
        <v>1842</v>
      </c>
      <c r="C1249" s="32">
        <v>45569</v>
      </c>
      <c r="D1249" s="38">
        <v>102.6</v>
      </c>
      <c r="E1249" s="38">
        <v>104.71</v>
      </c>
      <c r="F1249" s="38">
        <v>106.47</v>
      </c>
      <c r="G1249" s="38">
        <v>106.92</v>
      </c>
      <c r="H1249" s="38">
        <v>104.52</v>
      </c>
      <c r="I1249" s="38">
        <v>99.99</v>
      </c>
      <c r="J1249" s="38">
        <v>97.09</v>
      </c>
      <c r="K1249" s="38">
        <v>94.99</v>
      </c>
      <c r="L1249" s="38">
        <v>94.12</v>
      </c>
      <c r="M1249" s="38">
        <v>95.06</v>
      </c>
      <c r="N1249" s="38">
        <v>96.38</v>
      </c>
      <c r="O1249" s="38">
        <v>97.42</v>
      </c>
      <c r="P1249" s="38">
        <v>102.03</v>
      </c>
      <c r="Q1249" s="38">
        <v>105.54</v>
      </c>
      <c r="R1249" s="38">
        <v>106.31</v>
      </c>
      <c r="S1249" s="38">
        <v>106.79</v>
      </c>
      <c r="T1249" s="38">
        <v>99.64</v>
      </c>
      <c r="U1249" s="38">
        <v>85.64</v>
      </c>
      <c r="V1249" s="38">
        <v>80.64</v>
      </c>
      <c r="W1249" s="38">
        <v>78.069999999999993</v>
      </c>
      <c r="X1249" s="38">
        <v>76.98</v>
      </c>
      <c r="Y1249" s="38">
        <v>77.58</v>
      </c>
      <c r="Z1249" s="38">
        <v>79.400000000000006</v>
      </c>
      <c r="AA1249" s="38">
        <v>82.7</v>
      </c>
      <c r="AB1249" s="38">
        <v>86.04</v>
      </c>
      <c r="AC1249" s="38">
        <v>89.14</v>
      </c>
      <c r="AD1249" s="38">
        <v>91.76</v>
      </c>
      <c r="AE1249" s="38">
        <v>90.38</v>
      </c>
      <c r="AF1249" s="38">
        <v>85.16</v>
      </c>
      <c r="AG1249" s="38">
        <v>71.040000000000006</v>
      </c>
      <c r="AH1249" s="38">
        <v>68.56</v>
      </c>
      <c r="AI1249" s="38">
        <v>67.31</v>
      </c>
      <c r="AJ1249" s="38">
        <v>67.75</v>
      </c>
      <c r="AK1249" s="38">
        <v>68.209999999999994</v>
      </c>
      <c r="AL1249" s="38">
        <v>69.05</v>
      </c>
      <c r="AM1249" s="38">
        <v>74.11</v>
      </c>
      <c r="AN1249" s="38">
        <v>77.900000000000006</v>
      </c>
      <c r="AO1249" s="38">
        <v>81.41</v>
      </c>
      <c r="AP1249" s="38">
        <v>82.77</v>
      </c>
      <c r="AQ1249" s="38">
        <v>81.86</v>
      </c>
      <c r="AR1249" s="38">
        <v>78.39</v>
      </c>
      <c r="AS1249" s="38">
        <v>71.64</v>
      </c>
      <c r="AT1249" s="38">
        <v>67.260000000000005</v>
      </c>
      <c r="AU1249" s="38">
        <v>66.010000000000005</v>
      </c>
      <c r="AV1249" s="38">
        <v>66.31</v>
      </c>
      <c r="AW1249" s="38">
        <v>65.25</v>
      </c>
      <c r="AX1249" s="38">
        <v>68.64</v>
      </c>
      <c r="AY1249" s="38">
        <v>72.44</v>
      </c>
      <c r="BA1249" s="37">
        <v>79.319999999999993</v>
      </c>
      <c r="BB1249" s="38">
        <v>1.3112999999999999</v>
      </c>
    </row>
    <row r="1250" spans="1:54" x14ac:dyDescent="0.35">
      <c r="A1250" s="2">
        <f t="shared" si="19"/>
        <v>45572</v>
      </c>
      <c r="B1250" t="s">
        <v>1843</v>
      </c>
      <c r="C1250" s="32">
        <v>45572</v>
      </c>
      <c r="D1250" s="38">
        <v>100.86</v>
      </c>
      <c r="E1250" s="38">
        <v>103.25</v>
      </c>
      <c r="F1250" s="38">
        <v>105.26</v>
      </c>
      <c r="G1250" s="38">
        <v>105.88</v>
      </c>
      <c r="H1250" s="38">
        <v>103.6</v>
      </c>
      <c r="I1250" s="38">
        <v>99.55</v>
      </c>
      <c r="J1250" s="38">
        <v>96.67</v>
      </c>
      <c r="K1250" s="38">
        <v>94.85</v>
      </c>
      <c r="L1250" s="38">
        <v>94.3</v>
      </c>
      <c r="M1250" s="38">
        <v>94.78</v>
      </c>
      <c r="N1250" s="38">
        <v>96.13</v>
      </c>
      <c r="O1250" s="38">
        <v>97.22</v>
      </c>
      <c r="P1250" s="38">
        <v>101.81</v>
      </c>
      <c r="Q1250" s="38">
        <v>105.38</v>
      </c>
      <c r="R1250" s="38">
        <v>106.22</v>
      </c>
      <c r="S1250" s="38">
        <v>106.52</v>
      </c>
      <c r="T1250" s="38">
        <v>99.37</v>
      </c>
      <c r="U1250" s="38">
        <v>85.49</v>
      </c>
      <c r="V1250" s="38">
        <v>80.650000000000006</v>
      </c>
      <c r="W1250" s="38">
        <v>77.540000000000006</v>
      </c>
      <c r="X1250" s="38">
        <v>76.83</v>
      </c>
      <c r="Y1250" s="38">
        <v>77.27</v>
      </c>
      <c r="Z1250" s="38">
        <v>79.010000000000005</v>
      </c>
      <c r="AA1250" s="38">
        <v>82.06</v>
      </c>
      <c r="AB1250" s="38">
        <v>85.32</v>
      </c>
      <c r="AC1250" s="38">
        <v>88.42</v>
      </c>
      <c r="AD1250" s="38">
        <v>91.33</v>
      </c>
      <c r="AE1250" s="38">
        <v>89.95</v>
      </c>
      <c r="AF1250" s="38">
        <v>84.73</v>
      </c>
      <c r="AG1250" s="38">
        <v>70.92</v>
      </c>
      <c r="AH1250" s="38">
        <v>68.44</v>
      </c>
      <c r="AI1250" s="38">
        <v>67.2</v>
      </c>
      <c r="AJ1250" s="38">
        <v>67.739999999999995</v>
      </c>
      <c r="AK1250" s="38">
        <v>68.19</v>
      </c>
      <c r="AL1250" s="38">
        <v>69.03</v>
      </c>
      <c r="AM1250" s="38">
        <v>74.19</v>
      </c>
      <c r="AN1250" s="38">
        <v>77.98</v>
      </c>
      <c r="AO1250" s="38">
        <v>81.489999999999995</v>
      </c>
      <c r="AP1250" s="38">
        <v>82.91</v>
      </c>
      <c r="AQ1250" s="38">
        <v>82.01</v>
      </c>
      <c r="AR1250" s="38">
        <v>78.53</v>
      </c>
      <c r="AS1250" s="38">
        <v>71.81</v>
      </c>
      <c r="AT1250" s="38">
        <v>67.430000000000007</v>
      </c>
      <c r="AU1250" s="38">
        <v>66.180000000000007</v>
      </c>
      <c r="AV1250" s="38">
        <v>66.48</v>
      </c>
      <c r="AW1250" s="38">
        <v>65.42</v>
      </c>
      <c r="AX1250" s="38">
        <v>68.81</v>
      </c>
      <c r="AY1250" s="38">
        <v>72.61</v>
      </c>
      <c r="BA1250" s="37">
        <v>81.739999999999995</v>
      </c>
      <c r="BB1250" s="38">
        <v>1.3079000000000001</v>
      </c>
    </row>
    <row r="1251" spans="1:54" x14ac:dyDescent="0.35">
      <c r="A1251" s="2">
        <f t="shared" si="19"/>
        <v>45573</v>
      </c>
      <c r="B1251" t="s">
        <v>1844</v>
      </c>
      <c r="C1251" s="32">
        <v>45573</v>
      </c>
      <c r="D1251" s="38">
        <v>97.14</v>
      </c>
      <c r="E1251" s="38">
        <v>99.78</v>
      </c>
      <c r="F1251" s="38">
        <v>101.99</v>
      </c>
      <c r="G1251" s="38">
        <v>102.88</v>
      </c>
      <c r="H1251" s="38">
        <v>100.49</v>
      </c>
      <c r="I1251" s="38">
        <v>96.64</v>
      </c>
      <c r="J1251" s="38">
        <v>93.7</v>
      </c>
      <c r="K1251" s="38">
        <v>92.06</v>
      </c>
      <c r="L1251" s="38">
        <v>91.22</v>
      </c>
      <c r="M1251" s="38">
        <v>91.73</v>
      </c>
      <c r="N1251" s="38">
        <v>94.38</v>
      </c>
      <c r="O1251" s="38">
        <v>94.81</v>
      </c>
      <c r="P1251" s="38">
        <v>99.12</v>
      </c>
      <c r="Q1251" s="38">
        <v>102.69</v>
      </c>
      <c r="R1251" s="38">
        <v>103.59</v>
      </c>
      <c r="S1251" s="38">
        <v>103.78</v>
      </c>
      <c r="T1251" s="38">
        <v>96.83</v>
      </c>
      <c r="U1251" s="38">
        <v>84.2</v>
      </c>
      <c r="V1251" s="38">
        <v>79.81</v>
      </c>
      <c r="W1251" s="38">
        <v>76.7</v>
      </c>
      <c r="X1251" s="38">
        <v>75.95</v>
      </c>
      <c r="Y1251" s="38">
        <v>76.41</v>
      </c>
      <c r="Z1251" s="38">
        <v>78.430000000000007</v>
      </c>
      <c r="AA1251" s="38">
        <v>81.75</v>
      </c>
      <c r="AB1251" s="38">
        <v>84.88</v>
      </c>
      <c r="AC1251" s="38">
        <v>87.98</v>
      </c>
      <c r="AD1251" s="38">
        <v>90.88</v>
      </c>
      <c r="AE1251" s="38">
        <v>89.5</v>
      </c>
      <c r="AF1251" s="38">
        <v>84.28</v>
      </c>
      <c r="AG1251" s="38">
        <v>70.44</v>
      </c>
      <c r="AH1251" s="38">
        <v>67.95</v>
      </c>
      <c r="AI1251" s="38">
        <v>66.69</v>
      </c>
      <c r="AJ1251" s="38">
        <v>67.33</v>
      </c>
      <c r="AK1251" s="38">
        <v>67.77</v>
      </c>
      <c r="AL1251" s="38">
        <v>68.599999999999994</v>
      </c>
      <c r="AM1251" s="38">
        <v>73.55</v>
      </c>
      <c r="AN1251" s="38">
        <v>77.319999999999993</v>
      </c>
      <c r="AO1251" s="38">
        <v>80.81</v>
      </c>
      <c r="AP1251" s="38">
        <v>82.25</v>
      </c>
      <c r="AQ1251" s="38">
        <v>81.33</v>
      </c>
      <c r="AR1251" s="38">
        <v>77.84</v>
      </c>
      <c r="AS1251" s="38">
        <v>71.28</v>
      </c>
      <c r="AT1251" s="38">
        <v>66.88</v>
      </c>
      <c r="AU1251" s="38">
        <v>65.599999999999994</v>
      </c>
      <c r="AV1251" s="38">
        <v>65.87</v>
      </c>
      <c r="AW1251" s="38">
        <v>64.760000000000005</v>
      </c>
      <c r="AX1251" s="38">
        <v>68.09</v>
      </c>
      <c r="AY1251" s="38">
        <v>71.790000000000006</v>
      </c>
      <c r="BA1251" s="37">
        <v>78.19</v>
      </c>
      <c r="BB1251" s="38">
        <v>1.3092999999999999</v>
      </c>
    </row>
    <row r="1252" spans="1:54" x14ac:dyDescent="0.35">
      <c r="A1252" s="2">
        <f t="shared" si="19"/>
        <v>45574</v>
      </c>
      <c r="B1252" t="s">
        <v>1845</v>
      </c>
      <c r="C1252" s="32">
        <v>45574</v>
      </c>
      <c r="D1252" s="38">
        <v>95.58</v>
      </c>
      <c r="E1252" s="38">
        <v>98.1</v>
      </c>
      <c r="F1252" s="38">
        <v>100.18</v>
      </c>
      <c r="G1252" s="38">
        <v>100.85</v>
      </c>
      <c r="H1252" s="38">
        <v>98.59</v>
      </c>
      <c r="I1252" s="38">
        <v>94.99</v>
      </c>
      <c r="J1252" s="38">
        <v>92.14</v>
      </c>
      <c r="K1252" s="38">
        <v>90.24</v>
      </c>
      <c r="L1252" s="38">
        <v>89.73</v>
      </c>
      <c r="M1252" s="38">
        <v>90.14</v>
      </c>
      <c r="N1252" s="38">
        <v>92.76</v>
      </c>
      <c r="O1252" s="38">
        <v>93.41</v>
      </c>
      <c r="P1252" s="38">
        <v>97.66</v>
      </c>
      <c r="Q1252" s="38">
        <v>101.36</v>
      </c>
      <c r="R1252" s="38">
        <v>102.11</v>
      </c>
      <c r="S1252" s="38">
        <v>102.46</v>
      </c>
      <c r="T1252" s="38">
        <v>95.52</v>
      </c>
      <c r="U1252" s="38">
        <v>83.27</v>
      </c>
      <c r="V1252" s="38">
        <v>79.09</v>
      </c>
      <c r="W1252" s="38">
        <v>76</v>
      </c>
      <c r="X1252" s="38">
        <v>75.239999999999995</v>
      </c>
      <c r="Y1252" s="38">
        <v>75.709999999999994</v>
      </c>
      <c r="Z1252" s="38">
        <v>77.73</v>
      </c>
      <c r="AA1252" s="38">
        <v>81.14</v>
      </c>
      <c r="AB1252" s="38">
        <v>84.47</v>
      </c>
      <c r="AC1252" s="38">
        <v>87.57</v>
      </c>
      <c r="AD1252" s="38">
        <v>90.29</v>
      </c>
      <c r="AE1252" s="38">
        <v>88.96</v>
      </c>
      <c r="AF1252" s="38">
        <v>83.81</v>
      </c>
      <c r="AG1252" s="38">
        <v>70.31</v>
      </c>
      <c r="AH1252" s="38">
        <v>67.819999999999993</v>
      </c>
      <c r="AI1252" s="38">
        <v>66.56</v>
      </c>
      <c r="AJ1252" s="38">
        <v>67.2</v>
      </c>
      <c r="AK1252" s="38">
        <v>67.650000000000006</v>
      </c>
      <c r="AL1252" s="38">
        <v>68.48</v>
      </c>
      <c r="AM1252" s="38">
        <v>73.48</v>
      </c>
      <c r="AN1252" s="38">
        <v>77.25</v>
      </c>
      <c r="AO1252" s="38">
        <v>80.739999999999995</v>
      </c>
      <c r="AP1252" s="38">
        <v>82.16</v>
      </c>
      <c r="AQ1252" s="38">
        <v>81.239999999999995</v>
      </c>
      <c r="AR1252" s="38">
        <v>77.760000000000005</v>
      </c>
      <c r="AS1252" s="38">
        <v>70.900000000000006</v>
      </c>
      <c r="AT1252" s="38">
        <v>66.5</v>
      </c>
      <c r="AU1252" s="38">
        <v>65.22</v>
      </c>
      <c r="AV1252" s="38">
        <v>65.489999999999995</v>
      </c>
      <c r="AW1252" s="38">
        <v>64.38</v>
      </c>
      <c r="AX1252" s="38">
        <v>67.709999999999994</v>
      </c>
      <c r="AY1252" s="38">
        <v>71.41</v>
      </c>
      <c r="BA1252" s="37">
        <v>77.06</v>
      </c>
      <c r="BB1252" s="38">
        <v>1.3071999999999999</v>
      </c>
    </row>
    <row r="1253" spans="1:54" x14ac:dyDescent="0.35">
      <c r="A1253" s="2">
        <f t="shared" si="19"/>
        <v>45575</v>
      </c>
      <c r="B1253" t="s">
        <v>1846</v>
      </c>
      <c r="C1253" s="32">
        <v>45575</v>
      </c>
      <c r="D1253" s="38">
        <v>100.42</v>
      </c>
      <c r="E1253" s="38">
        <v>103.07</v>
      </c>
      <c r="F1253" s="38">
        <v>104.7</v>
      </c>
      <c r="G1253" s="38">
        <v>105.39</v>
      </c>
      <c r="H1253" s="38">
        <v>103.13</v>
      </c>
      <c r="I1253" s="38">
        <v>99.08</v>
      </c>
      <c r="J1253" s="38">
        <v>96.07</v>
      </c>
      <c r="K1253" s="38">
        <v>94.5</v>
      </c>
      <c r="L1253" s="38">
        <v>93.52</v>
      </c>
      <c r="M1253" s="38">
        <v>93.84</v>
      </c>
      <c r="N1253" s="38">
        <v>96.21</v>
      </c>
      <c r="O1253" s="38">
        <v>96.46</v>
      </c>
      <c r="P1253" s="38">
        <v>100.97</v>
      </c>
      <c r="Q1253" s="38">
        <v>104.89</v>
      </c>
      <c r="R1253" s="38">
        <v>105.71</v>
      </c>
      <c r="S1253" s="38">
        <v>105.86</v>
      </c>
      <c r="T1253" s="38">
        <v>98.8</v>
      </c>
      <c r="U1253" s="38">
        <v>85.54</v>
      </c>
      <c r="V1253" s="38">
        <v>80.87</v>
      </c>
      <c r="W1253" s="38">
        <v>77.510000000000005</v>
      </c>
      <c r="X1253" s="38">
        <v>76.84</v>
      </c>
      <c r="Y1253" s="38">
        <v>77.28</v>
      </c>
      <c r="Z1253" s="38">
        <v>79.25</v>
      </c>
      <c r="AA1253" s="38">
        <v>82.73</v>
      </c>
      <c r="AB1253" s="38">
        <v>86.06</v>
      </c>
      <c r="AC1253" s="38">
        <v>89.15</v>
      </c>
      <c r="AD1253" s="38">
        <v>91.91</v>
      </c>
      <c r="AE1253" s="38">
        <v>90.58</v>
      </c>
      <c r="AF1253" s="38">
        <v>85.43</v>
      </c>
      <c r="AG1253" s="38">
        <v>71.290000000000006</v>
      </c>
      <c r="AH1253" s="38">
        <v>68.81</v>
      </c>
      <c r="AI1253" s="38">
        <v>67.569999999999993</v>
      </c>
      <c r="AJ1253" s="38">
        <v>68.17</v>
      </c>
      <c r="AK1253" s="38">
        <v>68.650000000000006</v>
      </c>
      <c r="AL1253" s="38">
        <v>69.489999999999995</v>
      </c>
      <c r="AM1253" s="38">
        <v>74.59</v>
      </c>
      <c r="AN1253" s="38">
        <v>78.36</v>
      </c>
      <c r="AO1253" s="38">
        <v>81.849999999999994</v>
      </c>
      <c r="AP1253" s="38">
        <v>83.15</v>
      </c>
      <c r="AQ1253" s="38">
        <v>82.23</v>
      </c>
      <c r="AR1253" s="38">
        <v>78.75</v>
      </c>
      <c r="AS1253" s="38">
        <v>71.31</v>
      </c>
      <c r="AT1253" s="38">
        <v>66.91</v>
      </c>
      <c r="AU1253" s="38">
        <v>65.63</v>
      </c>
      <c r="AV1253" s="38">
        <v>65.900000000000006</v>
      </c>
      <c r="AW1253" s="38">
        <v>64.790000000000006</v>
      </c>
      <c r="AX1253" s="38">
        <v>68.11</v>
      </c>
      <c r="AY1253" s="38">
        <v>71.81</v>
      </c>
      <c r="BA1253" s="37">
        <v>79.45</v>
      </c>
      <c r="BB1253" s="38">
        <v>1.3048999999999999</v>
      </c>
    </row>
    <row r="1254" spans="1:54" x14ac:dyDescent="0.35">
      <c r="A1254" s="2">
        <f t="shared" si="19"/>
        <v>45576</v>
      </c>
      <c r="B1254" t="s">
        <v>1847</v>
      </c>
      <c r="C1254" s="32">
        <v>45576</v>
      </c>
      <c r="D1254" s="38">
        <v>99.37</v>
      </c>
      <c r="E1254" s="38">
        <v>101.96</v>
      </c>
      <c r="F1254" s="38">
        <v>103.79</v>
      </c>
      <c r="G1254" s="38">
        <v>104.54</v>
      </c>
      <c r="H1254" s="38">
        <v>102.29</v>
      </c>
      <c r="I1254" s="38">
        <v>97.83</v>
      </c>
      <c r="J1254" s="38">
        <v>95.4</v>
      </c>
      <c r="K1254" s="38">
        <v>93.86</v>
      </c>
      <c r="L1254" s="38">
        <v>92.88</v>
      </c>
      <c r="M1254" s="38">
        <v>93.19</v>
      </c>
      <c r="N1254" s="38">
        <v>95.57</v>
      </c>
      <c r="O1254" s="38">
        <v>95.9</v>
      </c>
      <c r="P1254" s="38">
        <v>100.41</v>
      </c>
      <c r="Q1254" s="38">
        <v>104.32</v>
      </c>
      <c r="R1254" s="38">
        <v>105.1</v>
      </c>
      <c r="S1254" s="38">
        <v>105.3</v>
      </c>
      <c r="T1254" s="38">
        <v>98.35</v>
      </c>
      <c r="U1254" s="38">
        <v>85.36</v>
      </c>
      <c r="V1254" s="38">
        <v>80.709999999999994</v>
      </c>
      <c r="W1254" s="38">
        <v>77.459999999999994</v>
      </c>
      <c r="X1254" s="38">
        <v>76.83</v>
      </c>
      <c r="Y1254" s="38">
        <v>77.3</v>
      </c>
      <c r="Z1254" s="38">
        <v>79.31</v>
      </c>
      <c r="AA1254" s="38">
        <v>82.96</v>
      </c>
      <c r="AB1254" s="38">
        <v>86.29</v>
      </c>
      <c r="AC1254" s="38">
        <v>89.38</v>
      </c>
      <c r="AD1254" s="38">
        <v>92.02</v>
      </c>
      <c r="AE1254" s="38">
        <v>90.69</v>
      </c>
      <c r="AF1254" s="38">
        <v>85.55</v>
      </c>
      <c r="AG1254" s="38">
        <v>71.290000000000006</v>
      </c>
      <c r="AH1254" s="38">
        <v>68.709999999999994</v>
      </c>
      <c r="AI1254" s="38">
        <v>67.39</v>
      </c>
      <c r="AJ1254" s="38">
        <v>67.930000000000007</v>
      </c>
      <c r="AK1254" s="38">
        <v>68.319999999999993</v>
      </c>
      <c r="AL1254" s="38">
        <v>69.05</v>
      </c>
      <c r="AM1254" s="38">
        <v>74.02</v>
      </c>
      <c r="AN1254" s="38">
        <v>77.790000000000006</v>
      </c>
      <c r="AO1254" s="38">
        <v>81.28</v>
      </c>
      <c r="AP1254" s="38">
        <v>82.65</v>
      </c>
      <c r="AQ1254" s="38">
        <v>81.73</v>
      </c>
      <c r="AR1254" s="38">
        <v>78.25</v>
      </c>
      <c r="AS1254" s="38">
        <v>70.81</v>
      </c>
      <c r="AT1254" s="38">
        <v>66.41</v>
      </c>
      <c r="AU1254" s="38">
        <v>65.13</v>
      </c>
      <c r="AV1254" s="38">
        <v>65.400000000000006</v>
      </c>
      <c r="AW1254" s="38">
        <v>64.290000000000006</v>
      </c>
      <c r="AX1254" s="38">
        <v>67.61</v>
      </c>
      <c r="AY1254" s="38">
        <v>71.260000000000005</v>
      </c>
      <c r="BA1254" s="37">
        <v>80.27</v>
      </c>
      <c r="BB1254" s="38">
        <v>1.3075000000000001</v>
      </c>
    </row>
    <row r="1255" spans="1:54" x14ac:dyDescent="0.35">
      <c r="A1255" s="2">
        <f t="shared" si="19"/>
        <v>45579</v>
      </c>
      <c r="B1255" t="s">
        <v>1848</v>
      </c>
      <c r="C1255" s="32">
        <v>45579</v>
      </c>
      <c r="D1255" s="38">
        <v>100.86</v>
      </c>
      <c r="E1255" s="38">
        <v>103.19</v>
      </c>
      <c r="F1255" s="38">
        <v>104.89</v>
      </c>
      <c r="G1255" s="38">
        <v>105.71</v>
      </c>
      <c r="H1255" s="38">
        <v>103.54</v>
      </c>
      <c r="I1255" s="38">
        <v>99</v>
      </c>
      <c r="J1255" s="38">
        <v>96.87</v>
      </c>
      <c r="K1255" s="38">
        <v>95.33</v>
      </c>
      <c r="L1255" s="38">
        <v>94.35</v>
      </c>
      <c r="M1255" s="38">
        <v>94.66</v>
      </c>
      <c r="N1255" s="38">
        <v>97.04</v>
      </c>
      <c r="O1255" s="38">
        <v>97.37</v>
      </c>
      <c r="P1255" s="38">
        <v>101.88</v>
      </c>
      <c r="Q1255" s="38">
        <v>105.79</v>
      </c>
      <c r="R1255" s="38">
        <v>106.57</v>
      </c>
      <c r="S1255" s="38">
        <v>106.77</v>
      </c>
      <c r="T1255" s="38">
        <v>99.82</v>
      </c>
      <c r="U1255" s="38">
        <v>86.07</v>
      </c>
      <c r="V1255" s="38">
        <v>81.37</v>
      </c>
      <c r="W1255" s="38">
        <v>78.12</v>
      </c>
      <c r="X1255" s="38">
        <v>77.489999999999995</v>
      </c>
      <c r="Y1255" s="38">
        <v>77.959999999999994</v>
      </c>
      <c r="Z1255" s="38">
        <v>79.97</v>
      </c>
      <c r="AA1255" s="38">
        <v>83.37</v>
      </c>
      <c r="AB1255" s="38">
        <v>86.7</v>
      </c>
      <c r="AC1255" s="38">
        <v>89.79</v>
      </c>
      <c r="AD1255" s="38">
        <v>92.43</v>
      </c>
      <c r="AE1255" s="38">
        <v>91.1</v>
      </c>
      <c r="AF1255" s="38">
        <v>85.96</v>
      </c>
      <c r="AG1255" s="38">
        <v>71.459999999999994</v>
      </c>
      <c r="AH1255" s="38">
        <v>68.88</v>
      </c>
      <c r="AI1255" s="38">
        <v>67.56</v>
      </c>
      <c r="AJ1255" s="38">
        <v>68.099999999999994</v>
      </c>
      <c r="AK1255" s="38">
        <v>68.489999999999995</v>
      </c>
      <c r="AL1255" s="38">
        <v>69.22</v>
      </c>
      <c r="AM1255" s="38">
        <v>74.19</v>
      </c>
      <c r="AN1255" s="38">
        <v>77.959999999999994</v>
      </c>
      <c r="AO1255" s="38">
        <v>81.45</v>
      </c>
      <c r="AP1255" s="38">
        <v>82.82</v>
      </c>
      <c r="AQ1255" s="38">
        <v>81.900000000000006</v>
      </c>
      <c r="AR1255" s="38">
        <v>78.42</v>
      </c>
      <c r="AS1255" s="38">
        <v>70.92</v>
      </c>
      <c r="AT1255" s="38">
        <v>66.52</v>
      </c>
      <c r="AU1255" s="38">
        <v>65.239999999999995</v>
      </c>
      <c r="AV1255" s="38">
        <v>65.510000000000005</v>
      </c>
      <c r="AW1255" s="38">
        <v>64.400000000000006</v>
      </c>
      <c r="AX1255" s="38">
        <v>67.72</v>
      </c>
      <c r="AY1255" s="38">
        <v>71.37</v>
      </c>
      <c r="BA1255" s="37">
        <v>78.47</v>
      </c>
      <c r="BB1255" s="38">
        <v>1.3057000000000001</v>
      </c>
    </row>
    <row r="1256" spans="1:54" x14ac:dyDescent="0.35">
      <c r="A1256" s="2">
        <f t="shared" si="19"/>
        <v>45580</v>
      </c>
      <c r="B1256" t="s">
        <v>1849</v>
      </c>
      <c r="C1256" s="32">
        <v>45580</v>
      </c>
      <c r="D1256" s="38">
        <v>98.8</v>
      </c>
      <c r="E1256" s="38">
        <v>101.12</v>
      </c>
      <c r="F1256" s="38">
        <v>102.89</v>
      </c>
      <c r="G1256" s="38">
        <v>103.68</v>
      </c>
      <c r="H1256" s="38">
        <v>101.78</v>
      </c>
      <c r="I1256" s="38">
        <v>97.78</v>
      </c>
      <c r="J1256" s="38">
        <v>95.38</v>
      </c>
      <c r="K1256" s="38">
        <v>93.72</v>
      </c>
      <c r="L1256" s="38">
        <v>92.71</v>
      </c>
      <c r="M1256" s="38">
        <v>93</v>
      </c>
      <c r="N1256" s="38">
        <v>95.37</v>
      </c>
      <c r="O1256" s="38">
        <v>95.87</v>
      </c>
      <c r="P1256" s="38">
        <v>100.49</v>
      </c>
      <c r="Q1256" s="38">
        <v>104.35</v>
      </c>
      <c r="R1256" s="38">
        <v>104.85</v>
      </c>
      <c r="S1256" s="38">
        <v>105.05</v>
      </c>
      <c r="T1256" s="38">
        <v>98.1</v>
      </c>
      <c r="U1256" s="38">
        <v>84.9</v>
      </c>
      <c r="V1256" s="38">
        <v>80.2</v>
      </c>
      <c r="W1256" s="38">
        <v>76.959999999999994</v>
      </c>
      <c r="X1256" s="38">
        <v>76.33</v>
      </c>
      <c r="Y1256" s="38">
        <v>76.8</v>
      </c>
      <c r="Z1256" s="38">
        <v>78.81</v>
      </c>
      <c r="AA1256" s="38">
        <v>82.21</v>
      </c>
      <c r="AB1256" s="38">
        <v>85.55</v>
      </c>
      <c r="AC1256" s="38">
        <v>88.64</v>
      </c>
      <c r="AD1256" s="38">
        <v>91.28</v>
      </c>
      <c r="AE1256" s="38">
        <v>89.95</v>
      </c>
      <c r="AF1256" s="38">
        <v>84.81</v>
      </c>
      <c r="AG1256" s="38">
        <v>71.11</v>
      </c>
      <c r="AH1256" s="38">
        <v>68.53</v>
      </c>
      <c r="AI1256" s="38">
        <v>67.209999999999994</v>
      </c>
      <c r="AJ1256" s="38">
        <v>67.75</v>
      </c>
      <c r="AK1256" s="38">
        <v>68.14</v>
      </c>
      <c r="AL1256" s="38">
        <v>68.87</v>
      </c>
      <c r="AM1256" s="38">
        <v>73.84</v>
      </c>
      <c r="AN1256" s="38">
        <v>77.61</v>
      </c>
      <c r="AO1256" s="38">
        <v>81.099999999999994</v>
      </c>
      <c r="AP1256" s="38">
        <v>82.47</v>
      </c>
      <c r="AQ1256" s="38">
        <v>81.55</v>
      </c>
      <c r="AR1256" s="38">
        <v>78.069999999999993</v>
      </c>
      <c r="AS1256" s="38">
        <v>70.91</v>
      </c>
      <c r="AT1256" s="38">
        <v>66.510000000000005</v>
      </c>
      <c r="AU1256" s="38">
        <v>65.23</v>
      </c>
      <c r="AV1256" s="38">
        <v>65.5</v>
      </c>
      <c r="AW1256" s="38">
        <v>64.39</v>
      </c>
      <c r="AX1256" s="38">
        <v>67.709999999999994</v>
      </c>
      <c r="AY1256" s="38">
        <v>71.36</v>
      </c>
      <c r="BA1256" s="37">
        <v>73.680000000000007</v>
      </c>
      <c r="BB1256" s="38">
        <v>1.3093999999999999</v>
      </c>
    </row>
    <row r="1257" spans="1:54" x14ac:dyDescent="0.35">
      <c r="A1257" s="2">
        <f t="shared" si="19"/>
        <v>45581</v>
      </c>
      <c r="B1257" t="s">
        <v>1850</v>
      </c>
      <c r="C1257" s="32">
        <v>45581</v>
      </c>
      <c r="D1257" s="38">
        <v>97.6</v>
      </c>
      <c r="E1257" s="38">
        <v>99.99</v>
      </c>
      <c r="F1257" s="38">
        <v>101.67</v>
      </c>
      <c r="G1257" s="38">
        <v>102.31</v>
      </c>
      <c r="H1257" s="38">
        <v>100.54</v>
      </c>
      <c r="I1257" s="38">
        <v>96.48</v>
      </c>
      <c r="J1257" s="38">
        <v>94.07</v>
      </c>
      <c r="K1257" s="38">
        <v>92.41</v>
      </c>
      <c r="L1257" s="38">
        <v>91.39</v>
      </c>
      <c r="M1257" s="38">
        <v>91.67</v>
      </c>
      <c r="N1257" s="38">
        <v>94.03</v>
      </c>
      <c r="O1257" s="38">
        <v>94.74</v>
      </c>
      <c r="P1257" s="38">
        <v>99.35</v>
      </c>
      <c r="Q1257" s="38">
        <v>103.21</v>
      </c>
      <c r="R1257" s="38">
        <v>103.7</v>
      </c>
      <c r="S1257" s="38">
        <v>103.89</v>
      </c>
      <c r="T1257" s="38">
        <v>96.93</v>
      </c>
      <c r="U1257" s="38">
        <v>84.42</v>
      </c>
      <c r="V1257" s="38">
        <v>79.72</v>
      </c>
      <c r="W1257" s="38">
        <v>76.47</v>
      </c>
      <c r="X1257" s="38">
        <v>75.83</v>
      </c>
      <c r="Y1257" s="38">
        <v>76.290000000000006</v>
      </c>
      <c r="Z1257" s="38">
        <v>78.290000000000006</v>
      </c>
      <c r="AA1257" s="38">
        <v>81.98</v>
      </c>
      <c r="AB1257" s="38">
        <v>85.32</v>
      </c>
      <c r="AC1257" s="38">
        <v>88.41</v>
      </c>
      <c r="AD1257" s="38">
        <v>91.05</v>
      </c>
      <c r="AE1257" s="38">
        <v>89.72</v>
      </c>
      <c r="AF1257" s="38">
        <v>84.58</v>
      </c>
      <c r="AG1257" s="38">
        <v>71.180000000000007</v>
      </c>
      <c r="AH1257" s="38">
        <v>68.599999999999994</v>
      </c>
      <c r="AI1257" s="38">
        <v>67.28</v>
      </c>
      <c r="AJ1257" s="38">
        <v>67.819999999999993</v>
      </c>
      <c r="AK1257" s="38">
        <v>68.209999999999994</v>
      </c>
      <c r="AL1257" s="38">
        <v>68.94</v>
      </c>
      <c r="AM1257" s="38">
        <v>73.94</v>
      </c>
      <c r="AN1257" s="38">
        <v>77.709999999999994</v>
      </c>
      <c r="AO1257" s="38">
        <v>81.2</v>
      </c>
      <c r="AP1257" s="38">
        <v>82.57</v>
      </c>
      <c r="AQ1257" s="38">
        <v>81.650000000000006</v>
      </c>
      <c r="AR1257" s="38">
        <v>78.17</v>
      </c>
      <c r="AS1257" s="38">
        <v>70.88</v>
      </c>
      <c r="AT1257" s="38">
        <v>66.48</v>
      </c>
      <c r="AU1257" s="38">
        <v>65.2</v>
      </c>
      <c r="AV1257" s="38">
        <v>65.47</v>
      </c>
      <c r="AW1257" s="38">
        <v>64.36</v>
      </c>
      <c r="AX1257" s="38">
        <v>67.680000000000007</v>
      </c>
      <c r="AY1257" s="38">
        <v>71.33</v>
      </c>
      <c r="BA1257" s="37">
        <v>73.650000000000006</v>
      </c>
      <c r="BB1257" s="38">
        <v>1.3008999999999999</v>
      </c>
    </row>
    <row r="1258" spans="1:54" x14ac:dyDescent="0.35">
      <c r="A1258" s="2">
        <f t="shared" si="19"/>
        <v>45582</v>
      </c>
      <c r="B1258" t="s">
        <v>1851</v>
      </c>
      <c r="C1258" s="32">
        <v>45582</v>
      </c>
      <c r="D1258" s="38">
        <v>98.6</v>
      </c>
      <c r="E1258" s="38">
        <v>100.63</v>
      </c>
      <c r="F1258" s="38">
        <v>102.14</v>
      </c>
      <c r="G1258" s="38">
        <v>102.87</v>
      </c>
      <c r="H1258" s="38">
        <v>101.07</v>
      </c>
      <c r="I1258" s="38">
        <v>96.56</v>
      </c>
      <c r="J1258" s="38">
        <v>94.14</v>
      </c>
      <c r="K1258" s="38">
        <v>92.48</v>
      </c>
      <c r="L1258" s="38">
        <v>91.45</v>
      </c>
      <c r="M1258" s="38">
        <v>91.73</v>
      </c>
      <c r="N1258" s="38">
        <v>94.08</v>
      </c>
      <c r="O1258" s="38">
        <v>94.58</v>
      </c>
      <c r="P1258" s="38">
        <v>99.13</v>
      </c>
      <c r="Q1258" s="38">
        <v>102.99</v>
      </c>
      <c r="R1258" s="38">
        <v>103.48</v>
      </c>
      <c r="S1258" s="38">
        <v>103.67</v>
      </c>
      <c r="T1258" s="38">
        <v>96.71</v>
      </c>
      <c r="U1258" s="38">
        <v>84.71</v>
      </c>
      <c r="V1258" s="38">
        <v>80.010000000000005</v>
      </c>
      <c r="W1258" s="38">
        <v>76.760000000000005</v>
      </c>
      <c r="X1258" s="38">
        <v>76.12</v>
      </c>
      <c r="Y1258" s="38">
        <v>76.58</v>
      </c>
      <c r="Z1258" s="38">
        <v>78.58</v>
      </c>
      <c r="AA1258" s="38">
        <v>82.48</v>
      </c>
      <c r="AB1258" s="38">
        <v>85.82</v>
      </c>
      <c r="AC1258" s="38">
        <v>88.91</v>
      </c>
      <c r="AD1258" s="38">
        <v>91.55</v>
      </c>
      <c r="AE1258" s="38">
        <v>90.22</v>
      </c>
      <c r="AF1258" s="38">
        <v>85.08</v>
      </c>
      <c r="AG1258" s="38">
        <v>71.38</v>
      </c>
      <c r="AH1258" s="38">
        <v>68.8</v>
      </c>
      <c r="AI1258" s="38">
        <v>67.48</v>
      </c>
      <c r="AJ1258" s="38">
        <v>68.02</v>
      </c>
      <c r="AK1258" s="38">
        <v>68.41</v>
      </c>
      <c r="AL1258" s="38">
        <v>69.14</v>
      </c>
      <c r="AM1258" s="38">
        <v>74.14</v>
      </c>
      <c r="AN1258" s="38">
        <v>77.91</v>
      </c>
      <c r="AO1258" s="38">
        <v>81.400000000000006</v>
      </c>
      <c r="AP1258" s="38">
        <v>82.77</v>
      </c>
      <c r="AQ1258" s="38">
        <v>81.849999999999994</v>
      </c>
      <c r="AR1258" s="38">
        <v>78.37</v>
      </c>
      <c r="AS1258" s="38">
        <v>70.97</v>
      </c>
      <c r="AT1258" s="38">
        <v>66.569999999999993</v>
      </c>
      <c r="AU1258" s="38">
        <v>65.290000000000006</v>
      </c>
      <c r="AV1258" s="38">
        <v>65.56</v>
      </c>
      <c r="AW1258" s="38">
        <v>64.45</v>
      </c>
      <c r="AX1258" s="38">
        <v>67.77</v>
      </c>
      <c r="AY1258" s="38">
        <v>71.42</v>
      </c>
      <c r="BA1258" s="37">
        <v>74.37</v>
      </c>
      <c r="BB1258" s="38">
        <v>1.2997000000000001</v>
      </c>
    </row>
    <row r="1259" spans="1:54" x14ac:dyDescent="0.35">
      <c r="A1259" s="2">
        <f t="shared" si="19"/>
        <v>45583</v>
      </c>
      <c r="B1259" t="s">
        <v>1852</v>
      </c>
      <c r="C1259" s="32">
        <v>45583</v>
      </c>
      <c r="D1259" s="38">
        <v>97.99</v>
      </c>
      <c r="E1259" s="38">
        <v>99.82</v>
      </c>
      <c r="F1259" s="38">
        <v>101.41</v>
      </c>
      <c r="G1259" s="38">
        <v>102.02</v>
      </c>
      <c r="H1259" s="38">
        <v>100.07</v>
      </c>
      <c r="I1259" s="38">
        <v>95.81</v>
      </c>
      <c r="J1259" s="38">
        <v>93.38</v>
      </c>
      <c r="K1259" s="38">
        <v>91.66</v>
      </c>
      <c r="L1259" s="38">
        <v>90.66</v>
      </c>
      <c r="M1259" s="38">
        <v>90.94</v>
      </c>
      <c r="N1259" s="38">
        <v>93.29</v>
      </c>
      <c r="O1259" s="38">
        <v>93.8</v>
      </c>
      <c r="P1259" s="38">
        <v>98.35</v>
      </c>
      <c r="Q1259" s="38">
        <v>102.21</v>
      </c>
      <c r="R1259" s="38">
        <v>102.7</v>
      </c>
      <c r="S1259" s="38">
        <v>102.89</v>
      </c>
      <c r="T1259" s="38">
        <v>95.93</v>
      </c>
      <c r="U1259" s="38">
        <v>84.44</v>
      </c>
      <c r="V1259" s="38">
        <v>79.739999999999995</v>
      </c>
      <c r="W1259" s="38">
        <v>76.489999999999995</v>
      </c>
      <c r="X1259" s="38">
        <v>75.849999999999994</v>
      </c>
      <c r="Y1259" s="38">
        <v>76.31</v>
      </c>
      <c r="Z1259" s="38">
        <v>78.31</v>
      </c>
      <c r="AA1259" s="38">
        <v>82.11</v>
      </c>
      <c r="AB1259" s="38">
        <v>85.45</v>
      </c>
      <c r="AC1259" s="38">
        <v>88.54</v>
      </c>
      <c r="AD1259" s="38">
        <v>91.18</v>
      </c>
      <c r="AE1259" s="38">
        <v>89.85</v>
      </c>
      <c r="AF1259" s="38">
        <v>84.71</v>
      </c>
      <c r="AG1259" s="38">
        <v>71.41</v>
      </c>
      <c r="AH1259" s="38">
        <v>68.83</v>
      </c>
      <c r="AI1259" s="38">
        <v>67.510000000000005</v>
      </c>
      <c r="AJ1259" s="38">
        <v>68.05</v>
      </c>
      <c r="AK1259" s="38">
        <v>68.44</v>
      </c>
      <c r="AL1259" s="38">
        <v>69.17</v>
      </c>
      <c r="AM1259" s="38">
        <v>74.17</v>
      </c>
      <c r="AN1259" s="38">
        <v>77.94</v>
      </c>
      <c r="AO1259" s="38">
        <v>81.430000000000007</v>
      </c>
      <c r="AP1259" s="38">
        <v>82.8</v>
      </c>
      <c r="AQ1259" s="38">
        <v>81.88</v>
      </c>
      <c r="AR1259" s="38">
        <v>78.400000000000006</v>
      </c>
      <c r="AS1259" s="38">
        <v>71.3</v>
      </c>
      <c r="AT1259" s="38">
        <v>66.900000000000006</v>
      </c>
      <c r="AU1259" s="38">
        <v>65.62</v>
      </c>
      <c r="AV1259" s="38">
        <v>65.89</v>
      </c>
      <c r="AW1259" s="38">
        <v>64.78</v>
      </c>
      <c r="AX1259" s="38">
        <v>68.099999999999994</v>
      </c>
      <c r="AY1259" s="38">
        <v>71.849999999999994</v>
      </c>
      <c r="BA1259" s="37">
        <v>72.75</v>
      </c>
      <c r="BB1259" s="38">
        <v>1.3036000000000001</v>
      </c>
    </row>
    <row r="1260" spans="1:54" x14ac:dyDescent="0.35">
      <c r="A1260" s="2">
        <f t="shared" si="19"/>
        <v>45586</v>
      </c>
      <c r="B1260" t="s">
        <v>1853</v>
      </c>
      <c r="C1260" s="32">
        <v>45586</v>
      </c>
      <c r="D1260" s="38">
        <v>100.15</v>
      </c>
      <c r="E1260" s="38">
        <v>101.74</v>
      </c>
      <c r="F1260" s="38">
        <v>103.3</v>
      </c>
      <c r="G1260" s="38">
        <v>103.8</v>
      </c>
      <c r="H1260" s="38">
        <v>102.01</v>
      </c>
      <c r="I1260" s="38">
        <v>97.11</v>
      </c>
      <c r="J1260" s="38">
        <v>94.64</v>
      </c>
      <c r="K1260" s="38">
        <v>92.96</v>
      </c>
      <c r="L1260" s="38">
        <v>92.39</v>
      </c>
      <c r="M1260" s="38">
        <v>92.67</v>
      </c>
      <c r="N1260" s="38">
        <v>93.39</v>
      </c>
      <c r="O1260" s="38">
        <v>95.34</v>
      </c>
      <c r="P1260" s="38">
        <v>99.78</v>
      </c>
      <c r="Q1260" s="38">
        <v>103.53</v>
      </c>
      <c r="R1260" s="38">
        <v>103.74</v>
      </c>
      <c r="S1260" s="38">
        <v>103.22</v>
      </c>
      <c r="T1260" s="38">
        <v>98.22</v>
      </c>
      <c r="U1260" s="38">
        <v>85.92</v>
      </c>
      <c r="V1260" s="38">
        <v>81.19</v>
      </c>
      <c r="W1260" s="38">
        <v>77.92</v>
      </c>
      <c r="X1260" s="38">
        <v>77.27</v>
      </c>
      <c r="Y1260" s="38">
        <v>77.73</v>
      </c>
      <c r="Z1260" s="38">
        <v>79.72</v>
      </c>
      <c r="AA1260" s="38">
        <v>83.52</v>
      </c>
      <c r="AB1260" s="38">
        <v>86.86</v>
      </c>
      <c r="AC1260" s="38">
        <v>89.95</v>
      </c>
      <c r="AD1260" s="38">
        <v>92.35</v>
      </c>
      <c r="AE1260" s="38">
        <v>91.02</v>
      </c>
      <c r="AF1260" s="38">
        <v>85.88</v>
      </c>
      <c r="AG1260" s="38">
        <v>72.58</v>
      </c>
      <c r="AH1260" s="38">
        <v>70</v>
      </c>
      <c r="AI1260" s="38">
        <v>68.680000000000007</v>
      </c>
      <c r="AJ1260" s="38">
        <v>69.22</v>
      </c>
      <c r="AK1260" s="38">
        <v>69.61</v>
      </c>
      <c r="AL1260" s="38">
        <v>70.34</v>
      </c>
      <c r="AM1260" s="38">
        <v>75.34</v>
      </c>
      <c r="AN1260" s="38">
        <v>79.11</v>
      </c>
      <c r="AO1260" s="38">
        <v>82.6</v>
      </c>
      <c r="AP1260" s="38">
        <v>83.97</v>
      </c>
      <c r="AQ1260" s="38">
        <v>83.05</v>
      </c>
      <c r="AR1260" s="38">
        <v>79.569999999999993</v>
      </c>
      <c r="AS1260" s="38">
        <v>72.47</v>
      </c>
      <c r="AT1260" s="38">
        <v>68.069999999999993</v>
      </c>
      <c r="AU1260" s="38">
        <v>66.790000000000006</v>
      </c>
      <c r="AV1260" s="38">
        <v>67.06</v>
      </c>
      <c r="AW1260" s="38">
        <v>65.95</v>
      </c>
      <c r="AX1260" s="38">
        <v>69.27</v>
      </c>
      <c r="AY1260" s="38">
        <v>73.02</v>
      </c>
      <c r="BA1260" s="37">
        <v>73.290000000000006</v>
      </c>
      <c r="BB1260" s="38">
        <v>1.3002</v>
      </c>
    </row>
    <row r="1261" spans="1:54" x14ac:dyDescent="0.35">
      <c r="A1261" s="2">
        <f t="shared" si="19"/>
        <v>45587</v>
      </c>
      <c r="B1261" t="s">
        <v>1854</v>
      </c>
      <c r="C1261" s="32">
        <v>45587</v>
      </c>
      <c r="D1261" s="38">
        <v>101.89</v>
      </c>
      <c r="E1261" s="38">
        <v>103.46</v>
      </c>
      <c r="F1261" s="38">
        <v>104.86</v>
      </c>
      <c r="G1261" s="38">
        <v>105.23</v>
      </c>
      <c r="H1261" s="38">
        <v>103.36</v>
      </c>
      <c r="I1261" s="38">
        <v>98.8</v>
      </c>
      <c r="J1261" s="38">
        <v>96.47</v>
      </c>
      <c r="K1261" s="38">
        <v>94.77</v>
      </c>
      <c r="L1261" s="38">
        <v>94.22</v>
      </c>
      <c r="M1261" s="38">
        <v>94.43</v>
      </c>
      <c r="N1261" s="38">
        <v>95.01</v>
      </c>
      <c r="O1261" s="38">
        <v>96.68</v>
      </c>
      <c r="P1261" s="38">
        <v>101</v>
      </c>
      <c r="Q1261" s="38">
        <v>104.8</v>
      </c>
      <c r="R1261" s="38">
        <v>105.17</v>
      </c>
      <c r="S1261" s="38">
        <v>104.66</v>
      </c>
      <c r="T1261" s="38">
        <v>99.56</v>
      </c>
      <c r="U1261" s="38">
        <v>86.95</v>
      </c>
      <c r="V1261" s="38">
        <v>82.17</v>
      </c>
      <c r="W1261" s="38">
        <v>78.760000000000005</v>
      </c>
      <c r="X1261" s="38">
        <v>78.09</v>
      </c>
      <c r="Y1261" s="38">
        <v>78.36</v>
      </c>
      <c r="Z1261" s="38">
        <v>80.42</v>
      </c>
      <c r="AA1261" s="38">
        <v>83.99</v>
      </c>
      <c r="AB1261" s="38">
        <v>87.51</v>
      </c>
      <c r="AC1261" s="38">
        <v>90.27</v>
      </c>
      <c r="AD1261" s="38">
        <v>92.92</v>
      </c>
      <c r="AE1261" s="38">
        <v>91.59</v>
      </c>
      <c r="AF1261" s="38">
        <v>86.26</v>
      </c>
      <c r="AG1261" s="38">
        <v>72.64</v>
      </c>
      <c r="AH1261" s="38">
        <v>69.83</v>
      </c>
      <c r="AI1261" s="38">
        <v>68.510000000000005</v>
      </c>
      <c r="AJ1261" s="38">
        <v>69.19</v>
      </c>
      <c r="AK1261" s="38">
        <v>69.58</v>
      </c>
      <c r="AL1261" s="38">
        <v>70.3</v>
      </c>
      <c r="AM1261" s="38">
        <v>75.150000000000006</v>
      </c>
      <c r="AN1261" s="38">
        <v>78.91</v>
      </c>
      <c r="AO1261" s="38">
        <v>82.4</v>
      </c>
      <c r="AP1261" s="38">
        <v>83.6</v>
      </c>
      <c r="AQ1261" s="38">
        <v>82.7</v>
      </c>
      <c r="AR1261" s="38">
        <v>79.22</v>
      </c>
      <c r="AS1261" s="38">
        <v>71.92</v>
      </c>
      <c r="AT1261" s="38">
        <v>67.52</v>
      </c>
      <c r="AU1261" s="38">
        <v>66.239999999999995</v>
      </c>
      <c r="AV1261" s="38">
        <v>66.510000000000005</v>
      </c>
      <c r="AW1261" s="38">
        <v>65.400000000000006</v>
      </c>
      <c r="AX1261" s="38">
        <v>68.72</v>
      </c>
      <c r="AY1261" s="38">
        <v>72.42</v>
      </c>
      <c r="BA1261" s="37">
        <v>75.59</v>
      </c>
      <c r="BB1261" s="38">
        <v>1.2975000000000001</v>
      </c>
    </row>
    <row r="1262" spans="1:54" x14ac:dyDescent="0.35">
      <c r="A1262" s="2">
        <f t="shared" si="19"/>
        <v>45588</v>
      </c>
      <c r="B1262" t="s">
        <v>1855</v>
      </c>
      <c r="C1262" s="32">
        <v>45588</v>
      </c>
      <c r="D1262" s="38">
        <v>103.68</v>
      </c>
      <c r="E1262" s="38">
        <v>105.13</v>
      </c>
      <c r="F1262" s="38">
        <v>106.48</v>
      </c>
      <c r="G1262" s="38">
        <v>106.81</v>
      </c>
      <c r="H1262" s="38">
        <v>104.89</v>
      </c>
      <c r="I1262" s="38">
        <v>100.53</v>
      </c>
      <c r="J1262" s="38">
        <v>97.83</v>
      </c>
      <c r="K1262" s="38">
        <v>96.18</v>
      </c>
      <c r="L1262" s="38">
        <v>95.75</v>
      </c>
      <c r="M1262" s="38">
        <v>95.98</v>
      </c>
      <c r="N1262" s="38">
        <v>96.53</v>
      </c>
      <c r="O1262" s="38">
        <v>98.13</v>
      </c>
      <c r="P1262" s="38">
        <v>102.43</v>
      </c>
      <c r="Q1262" s="38">
        <v>106.22</v>
      </c>
      <c r="R1262" s="38">
        <v>106.63</v>
      </c>
      <c r="S1262" s="38">
        <v>106.19</v>
      </c>
      <c r="T1262" s="38">
        <v>100.93</v>
      </c>
      <c r="U1262" s="38">
        <v>87.97</v>
      </c>
      <c r="V1262" s="38">
        <v>82.97</v>
      </c>
      <c r="W1262" s="38">
        <v>79.56</v>
      </c>
      <c r="X1262" s="38">
        <v>78.959999999999994</v>
      </c>
      <c r="Y1262" s="38">
        <v>79.27</v>
      </c>
      <c r="Z1262" s="38">
        <v>81.150000000000006</v>
      </c>
      <c r="AA1262" s="38">
        <v>84.75</v>
      </c>
      <c r="AB1262" s="38">
        <v>88.27</v>
      </c>
      <c r="AC1262" s="38">
        <v>91.05</v>
      </c>
      <c r="AD1262" s="38">
        <v>93.47</v>
      </c>
      <c r="AE1262" s="38">
        <v>92.13</v>
      </c>
      <c r="AF1262" s="38">
        <v>86.75</v>
      </c>
      <c r="AG1262" s="38">
        <v>72.790000000000006</v>
      </c>
      <c r="AH1262" s="38">
        <v>69.989999999999995</v>
      </c>
      <c r="AI1262" s="38">
        <v>68.67</v>
      </c>
      <c r="AJ1262" s="38">
        <v>69.33</v>
      </c>
      <c r="AK1262" s="38">
        <v>69.72</v>
      </c>
      <c r="AL1262" s="38">
        <v>70.44</v>
      </c>
      <c r="AM1262" s="38">
        <v>75.52</v>
      </c>
      <c r="AN1262" s="38">
        <v>79.2</v>
      </c>
      <c r="AO1262" s="38">
        <v>82.69</v>
      </c>
      <c r="AP1262" s="38">
        <v>83.6</v>
      </c>
      <c r="AQ1262" s="38">
        <v>82.7</v>
      </c>
      <c r="AR1262" s="38">
        <v>79.22</v>
      </c>
      <c r="AS1262" s="38">
        <v>72.16</v>
      </c>
      <c r="AT1262" s="38">
        <v>67.760000000000005</v>
      </c>
      <c r="AU1262" s="38">
        <v>66.489999999999995</v>
      </c>
      <c r="AV1262" s="38">
        <v>66.760000000000005</v>
      </c>
      <c r="AW1262" s="38">
        <v>65.64</v>
      </c>
      <c r="AX1262" s="38">
        <v>68.959999999999994</v>
      </c>
      <c r="AY1262" s="38">
        <v>72.67</v>
      </c>
      <c r="BA1262" s="37">
        <v>74.680000000000007</v>
      </c>
      <c r="BB1262" s="38">
        <v>1.2948</v>
      </c>
    </row>
    <row r="1263" spans="1:54" x14ac:dyDescent="0.35">
      <c r="A1263" s="2">
        <f t="shared" si="19"/>
        <v>45589</v>
      </c>
      <c r="B1263" t="s">
        <v>1856</v>
      </c>
      <c r="C1263" s="32">
        <v>45589</v>
      </c>
      <c r="D1263" s="38">
        <v>106.38</v>
      </c>
      <c r="E1263" s="38">
        <v>107.73</v>
      </c>
      <c r="F1263" s="38">
        <v>108.74</v>
      </c>
      <c r="G1263" s="38">
        <v>109.06</v>
      </c>
      <c r="H1263" s="38">
        <v>106.77</v>
      </c>
      <c r="I1263" s="38">
        <v>102.41</v>
      </c>
      <c r="J1263" s="38">
        <v>99.57</v>
      </c>
      <c r="K1263" s="38">
        <v>97.85</v>
      </c>
      <c r="L1263" s="38">
        <v>97.4</v>
      </c>
      <c r="M1263" s="38">
        <v>97.64</v>
      </c>
      <c r="N1263" s="38">
        <v>98.19</v>
      </c>
      <c r="O1263" s="38">
        <v>99.31</v>
      </c>
      <c r="P1263" s="38">
        <v>103.87</v>
      </c>
      <c r="Q1263" s="38">
        <v>107.69</v>
      </c>
      <c r="R1263" s="38">
        <v>108.2</v>
      </c>
      <c r="S1263" s="38">
        <v>107.57</v>
      </c>
      <c r="T1263" s="38">
        <v>102.22</v>
      </c>
      <c r="U1263" s="38">
        <v>89.18</v>
      </c>
      <c r="V1263" s="38">
        <v>83.82</v>
      </c>
      <c r="W1263" s="38">
        <v>80.41</v>
      </c>
      <c r="X1263" s="38">
        <v>79.790000000000006</v>
      </c>
      <c r="Y1263" s="38">
        <v>80.099999999999994</v>
      </c>
      <c r="Z1263" s="38">
        <v>82.04</v>
      </c>
      <c r="AA1263" s="38">
        <v>85.9</v>
      </c>
      <c r="AB1263" s="38">
        <v>89.04</v>
      </c>
      <c r="AC1263" s="38">
        <v>91.8</v>
      </c>
      <c r="AD1263" s="38">
        <v>94.34</v>
      </c>
      <c r="AE1263" s="38">
        <v>93.02</v>
      </c>
      <c r="AF1263" s="38">
        <v>87.64</v>
      </c>
      <c r="AG1263" s="38">
        <v>73.150000000000006</v>
      </c>
      <c r="AH1263" s="38">
        <v>70.34</v>
      </c>
      <c r="AI1263" s="38">
        <v>69.02</v>
      </c>
      <c r="AJ1263" s="38">
        <v>69.790000000000006</v>
      </c>
      <c r="AK1263" s="38">
        <v>70.19</v>
      </c>
      <c r="AL1263" s="38">
        <v>70.900000000000006</v>
      </c>
      <c r="AM1263" s="38">
        <v>75.540000000000006</v>
      </c>
      <c r="AN1263" s="38">
        <v>79.22</v>
      </c>
      <c r="AO1263" s="38">
        <v>82.74</v>
      </c>
      <c r="AP1263" s="38">
        <v>83.89</v>
      </c>
      <c r="AQ1263" s="38">
        <v>83.02</v>
      </c>
      <c r="AR1263" s="38">
        <v>79.540000000000006</v>
      </c>
      <c r="AS1263" s="38">
        <v>71.97</v>
      </c>
      <c r="AT1263" s="38">
        <v>67.56</v>
      </c>
      <c r="AU1263" s="38">
        <v>66.290000000000006</v>
      </c>
      <c r="AV1263" s="38">
        <v>66.56</v>
      </c>
      <c r="AW1263" s="38">
        <v>65.44</v>
      </c>
      <c r="AX1263" s="38">
        <v>68.760000000000005</v>
      </c>
      <c r="AY1263" s="38">
        <v>72.62</v>
      </c>
      <c r="BA1263" s="37">
        <v>74.27</v>
      </c>
      <c r="BB1263" s="38">
        <v>1.2961</v>
      </c>
    </row>
    <row r="1264" spans="1:54" x14ac:dyDescent="0.35">
      <c r="A1264" s="2">
        <f t="shared" si="19"/>
        <v>45590</v>
      </c>
      <c r="B1264" t="s">
        <v>1857</v>
      </c>
      <c r="C1264" s="32">
        <v>45590</v>
      </c>
      <c r="D1264" s="38">
        <v>110.13</v>
      </c>
      <c r="E1264" s="38">
        <v>111.24</v>
      </c>
      <c r="F1264" s="38">
        <v>111.93</v>
      </c>
      <c r="G1264" s="38">
        <v>112.28</v>
      </c>
      <c r="H1264" s="38">
        <v>109.92</v>
      </c>
      <c r="I1264" s="38">
        <v>104.94</v>
      </c>
      <c r="J1264" s="38">
        <v>101.62</v>
      </c>
      <c r="K1264" s="38">
        <v>100.19</v>
      </c>
      <c r="L1264" s="38">
        <v>99.91</v>
      </c>
      <c r="M1264" s="38">
        <v>99.76</v>
      </c>
      <c r="N1264" s="38">
        <v>100.11</v>
      </c>
      <c r="O1264" s="38">
        <v>100.83</v>
      </c>
      <c r="P1264" s="38">
        <v>105.69</v>
      </c>
      <c r="Q1264" s="38">
        <v>109.64</v>
      </c>
      <c r="R1264" s="38">
        <v>110.32</v>
      </c>
      <c r="S1264" s="38">
        <v>109.24</v>
      </c>
      <c r="T1264" s="38">
        <v>103.35</v>
      </c>
      <c r="U1264" s="38">
        <v>89.29</v>
      </c>
      <c r="V1264" s="38">
        <v>83.66</v>
      </c>
      <c r="W1264" s="38">
        <v>80.569999999999993</v>
      </c>
      <c r="X1264" s="38">
        <v>80.290000000000006</v>
      </c>
      <c r="Y1264" s="38">
        <v>80.59</v>
      </c>
      <c r="Z1264" s="38">
        <v>82.51</v>
      </c>
      <c r="AA1264" s="38">
        <v>86.3</v>
      </c>
      <c r="AB1264" s="38">
        <v>89.25</v>
      </c>
      <c r="AC1264" s="38">
        <v>92.01</v>
      </c>
      <c r="AD1264" s="38">
        <v>94.55</v>
      </c>
      <c r="AE1264" s="38">
        <v>93.24</v>
      </c>
      <c r="AF1264" s="38">
        <v>87.87</v>
      </c>
      <c r="AG1264" s="38">
        <v>73.67</v>
      </c>
      <c r="AH1264" s="38">
        <v>70.86</v>
      </c>
      <c r="AI1264" s="38">
        <v>69.540000000000006</v>
      </c>
      <c r="AJ1264" s="38">
        <v>70.33</v>
      </c>
      <c r="AK1264" s="38">
        <v>70.73</v>
      </c>
      <c r="AL1264" s="38">
        <v>71.42</v>
      </c>
      <c r="AM1264" s="38">
        <v>76.06</v>
      </c>
      <c r="AN1264" s="38">
        <v>79.739999999999995</v>
      </c>
      <c r="AO1264" s="38">
        <v>83.26</v>
      </c>
      <c r="AP1264" s="38">
        <v>84.41</v>
      </c>
      <c r="AQ1264" s="38">
        <v>83.54</v>
      </c>
      <c r="AR1264" s="38">
        <v>80.06</v>
      </c>
      <c r="AS1264" s="38">
        <v>71.83</v>
      </c>
      <c r="AT1264" s="38">
        <v>67.430000000000007</v>
      </c>
      <c r="AU1264" s="38">
        <v>66.150000000000006</v>
      </c>
      <c r="AV1264" s="38">
        <v>66.42</v>
      </c>
      <c r="AW1264" s="38">
        <v>65.3</v>
      </c>
      <c r="AX1264" s="38">
        <v>68.62</v>
      </c>
      <c r="AY1264" s="38">
        <v>72.790000000000006</v>
      </c>
      <c r="BA1264" s="37">
        <v>75.62</v>
      </c>
      <c r="BB1264" s="38">
        <v>1.2990999999999999</v>
      </c>
    </row>
    <row r="1265" spans="1:54" x14ac:dyDescent="0.35">
      <c r="A1265" s="2">
        <f t="shared" si="19"/>
        <v>45593</v>
      </c>
      <c r="B1265" t="s">
        <v>1858</v>
      </c>
      <c r="C1265" s="32">
        <v>45593</v>
      </c>
      <c r="D1265" s="38">
        <v>106.91</v>
      </c>
      <c r="E1265" s="38">
        <v>108.23</v>
      </c>
      <c r="F1265" s="38">
        <v>109.09</v>
      </c>
      <c r="G1265" s="38">
        <v>109.64</v>
      </c>
      <c r="H1265" s="38">
        <v>107.36</v>
      </c>
      <c r="I1265" s="38">
        <v>102.94</v>
      </c>
      <c r="J1265" s="38">
        <v>99.53</v>
      </c>
      <c r="K1265" s="38">
        <v>99.12</v>
      </c>
      <c r="L1265" s="38">
        <v>98.4</v>
      </c>
      <c r="M1265" s="38">
        <v>98.21</v>
      </c>
      <c r="N1265" s="38">
        <v>98.54</v>
      </c>
      <c r="O1265" s="38">
        <v>98.91</v>
      </c>
      <c r="P1265" s="38">
        <v>103.76</v>
      </c>
      <c r="Q1265" s="38">
        <v>107.8</v>
      </c>
      <c r="R1265" s="38">
        <v>108.5</v>
      </c>
      <c r="S1265" s="38">
        <v>107.7</v>
      </c>
      <c r="T1265" s="38">
        <v>101.8</v>
      </c>
      <c r="U1265" s="38">
        <v>87.96</v>
      </c>
      <c r="V1265" s="38">
        <v>82.41</v>
      </c>
      <c r="W1265" s="38">
        <v>78.88</v>
      </c>
      <c r="X1265" s="38">
        <v>79.09</v>
      </c>
      <c r="Y1265" s="38">
        <v>79.39</v>
      </c>
      <c r="Z1265" s="38">
        <v>81.290000000000006</v>
      </c>
      <c r="AA1265" s="38">
        <v>85.14</v>
      </c>
      <c r="AB1265" s="38">
        <v>88.11</v>
      </c>
      <c r="AC1265" s="38">
        <v>90.86</v>
      </c>
      <c r="AD1265" s="38">
        <v>93.47</v>
      </c>
      <c r="AE1265" s="38">
        <v>92.15</v>
      </c>
      <c r="AF1265" s="38">
        <v>86.78</v>
      </c>
      <c r="AG1265" s="38">
        <v>73.36</v>
      </c>
      <c r="AH1265" s="38">
        <v>70.55</v>
      </c>
      <c r="AI1265" s="38">
        <v>69.23</v>
      </c>
      <c r="AJ1265" s="38">
        <v>70.02</v>
      </c>
      <c r="AK1265" s="38">
        <v>70.42</v>
      </c>
      <c r="AL1265" s="38">
        <v>71.12</v>
      </c>
      <c r="AM1265" s="38">
        <v>75.760000000000005</v>
      </c>
      <c r="AN1265" s="38">
        <v>79.44</v>
      </c>
      <c r="AO1265" s="38">
        <v>82.96</v>
      </c>
      <c r="AP1265" s="38">
        <v>84.07</v>
      </c>
      <c r="AQ1265" s="38">
        <v>83.2</v>
      </c>
      <c r="AR1265" s="38">
        <v>79.73</v>
      </c>
      <c r="AS1265" s="38">
        <v>71.5</v>
      </c>
      <c r="AT1265" s="38">
        <v>67.099999999999994</v>
      </c>
      <c r="AU1265" s="38">
        <v>65.819999999999993</v>
      </c>
      <c r="AV1265" s="38">
        <v>66.09</v>
      </c>
      <c r="AW1265" s="38">
        <v>64.97</v>
      </c>
      <c r="AX1265" s="38">
        <v>68.290000000000006</v>
      </c>
      <c r="AY1265" s="38">
        <v>72.510000000000005</v>
      </c>
      <c r="BA1265" s="37">
        <v>71.87</v>
      </c>
      <c r="BB1265" s="38">
        <v>1.2996000000000001</v>
      </c>
    </row>
    <row r="1266" spans="1:54" x14ac:dyDescent="0.35">
      <c r="A1266" s="2">
        <f t="shared" si="19"/>
        <v>45594</v>
      </c>
      <c r="B1266" t="s">
        <v>1859</v>
      </c>
      <c r="C1266" s="32">
        <v>45594</v>
      </c>
      <c r="D1266" s="38">
        <v>107.22</v>
      </c>
      <c r="E1266" s="38">
        <v>108.91</v>
      </c>
      <c r="F1266" s="38">
        <v>109.73</v>
      </c>
      <c r="G1266" s="38">
        <v>110.19</v>
      </c>
      <c r="H1266" s="38">
        <v>107.95</v>
      </c>
      <c r="I1266" s="38">
        <v>103.58</v>
      </c>
      <c r="J1266" s="38">
        <v>100.2</v>
      </c>
      <c r="K1266" s="38">
        <v>99.56</v>
      </c>
      <c r="L1266" s="38">
        <v>98.98</v>
      </c>
      <c r="M1266" s="38">
        <v>98.84</v>
      </c>
      <c r="N1266" s="38">
        <v>98.95</v>
      </c>
      <c r="O1266" s="38">
        <v>98.75</v>
      </c>
      <c r="P1266" s="38">
        <v>102.99</v>
      </c>
      <c r="Q1266" s="38">
        <v>106.57</v>
      </c>
      <c r="R1266" s="38">
        <v>107.13</v>
      </c>
      <c r="S1266" s="38">
        <v>106.33</v>
      </c>
      <c r="T1266" s="38">
        <v>100.31</v>
      </c>
      <c r="U1266" s="38">
        <v>87.27</v>
      </c>
      <c r="V1266" s="38">
        <v>81.8</v>
      </c>
      <c r="W1266" s="38">
        <v>78.489999999999995</v>
      </c>
      <c r="X1266" s="38">
        <v>78.62</v>
      </c>
      <c r="Y1266" s="38">
        <v>78.92</v>
      </c>
      <c r="Z1266" s="38">
        <v>80.47</v>
      </c>
      <c r="AA1266" s="38">
        <v>84.46</v>
      </c>
      <c r="AB1266" s="38">
        <v>87.43</v>
      </c>
      <c r="AC1266" s="38">
        <v>90.18</v>
      </c>
      <c r="AD1266" s="38">
        <v>92.44</v>
      </c>
      <c r="AE1266" s="38">
        <v>91.12</v>
      </c>
      <c r="AF1266" s="38">
        <v>85.87</v>
      </c>
      <c r="AG1266" s="38">
        <v>72.989999999999995</v>
      </c>
      <c r="AH1266" s="38">
        <v>70.39</v>
      </c>
      <c r="AI1266" s="38">
        <v>69.09</v>
      </c>
      <c r="AJ1266" s="38">
        <v>69.88</v>
      </c>
      <c r="AK1266" s="38">
        <v>70.28</v>
      </c>
      <c r="AL1266" s="38">
        <v>70.97</v>
      </c>
      <c r="AM1266" s="38">
        <v>75.45</v>
      </c>
      <c r="AN1266" s="38">
        <v>79.33</v>
      </c>
      <c r="AO1266" s="38">
        <v>82.85</v>
      </c>
      <c r="AP1266" s="38">
        <v>83.38</v>
      </c>
      <c r="AQ1266" s="38">
        <v>82.63</v>
      </c>
      <c r="AR1266" s="38">
        <v>79.17</v>
      </c>
      <c r="AS1266" s="38">
        <v>71.17</v>
      </c>
      <c r="AT1266" s="38">
        <v>66.77</v>
      </c>
      <c r="AU1266" s="38">
        <v>65.489999999999995</v>
      </c>
      <c r="AV1266" s="38">
        <v>65.8</v>
      </c>
      <c r="AW1266" s="38">
        <v>64.680000000000007</v>
      </c>
      <c r="AX1266" s="38">
        <v>67.98</v>
      </c>
      <c r="AY1266" s="38">
        <v>72.209999999999994</v>
      </c>
      <c r="BA1266" s="37">
        <v>71.09</v>
      </c>
      <c r="BB1266" s="38">
        <v>1.2996000000000001</v>
      </c>
    </row>
    <row r="1267" spans="1:54" x14ac:dyDescent="0.35">
      <c r="A1267" s="2">
        <f t="shared" si="19"/>
        <v>45595</v>
      </c>
      <c r="B1267" t="s">
        <v>1860</v>
      </c>
      <c r="C1267" s="32">
        <v>45595</v>
      </c>
      <c r="D1267" s="38">
        <v>102.6</v>
      </c>
      <c r="E1267" s="38">
        <v>104.74</v>
      </c>
      <c r="F1267" s="38">
        <v>105.85</v>
      </c>
      <c r="G1267" s="38">
        <v>106.35</v>
      </c>
      <c r="H1267" s="38">
        <v>104.22</v>
      </c>
      <c r="I1267" s="38">
        <v>100.44</v>
      </c>
      <c r="J1267" s="38">
        <v>97.39</v>
      </c>
      <c r="K1267" s="38">
        <v>96.63</v>
      </c>
      <c r="L1267" s="38">
        <v>96.3</v>
      </c>
      <c r="M1267" s="38">
        <v>96.22</v>
      </c>
      <c r="N1267" s="38">
        <v>96.28</v>
      </c>
      <c r="O1267" s="38">
        <v>96.2</v>
      </c>
      <c r="P1267" s="38">
        <v>100.31</v>
      </c>
      <c r="Q1267" s="38">
        <v>103.92</v>
      </c>
      <c r="R1267" s="38">
        <v>104.44</v>
      </c>
      <c r="S1267" s="38">
        <v>103.58</v>
      </c>
      <c r="T1267" s="38">
        <v>97.77</v>
      </c>
      <c r="U1267" s="38">
        <v>85.36</v>
      </c>
      <c r="V1267" s="38">
        <v>80.14</v>
      </c>
      <c r="W1267" s="38">
        <v>76.959999999999994</v>
      </c>
      <c r="X1267" s="38">
        <v>77.08</v>
      </c>
      <c r="Y1267" s="38">
        <v>77.39</v>
      </c>
      <c r="Z1267" s="38">
        <v>78.97</v>
      </c>
      <c r="AA1267" s="38">
        <v>82.63</v>
      </c>
      <c r="AB1267" s="38">
        <v>85.61</v>
      </c>
      <c r="AC1267" s="38">
        <v>88.39</v>
      </c>
      <c r="AD1267" s="38">
        <v>90.87</v>
      </c>
      <c r="AE1267" s="38">
        <v>89.59</v>
      </c>
      <c r="AF1267" s="38">
        <v>84.43</v>
      </c>
      <c r="AG1267" s="38">
        <v>72.61</v>
      </c>
      <c r="AH1267" s="38">
        <v>70.010000000000005</v>
      </c>
      <c r="AI1267" s="38">
        <v>68.7</v>
      </c>
      <c r="AJ1267" s="38">
        <v>69.489999999999995</v>
      </c>
      <c r="AK1267" s="38">
        <v>69.89</v>
      </c>
      <c r="AL1267" s="38">
        <v>70.55</v>
      </c>
      <c r="AM1267" s="38">
        <v>74.900000000000006</v>
      </c>
      <c r="AN1267" s="38">
        <v>78.78</v>
      </c>
      <c r="AO1267" s="38">
        <v>82.3</v>
      </c>
      <c r="AP1267" s="38">
        <v>83.01</v>
      </c>
      <c r="AQ1267" s="38">
        <v>82.27</v>
      </c>
      <c r="AR1267" s="38">
        <v>78.819999999999993</v>
      </c>
      <c r="AS1267" s="38">
        <v>71.11</v>
      </c>
      <c r="AT1267" s="38">
        <v>66.709999999999994</v>
      </c>
      <c r="AU1267" s="38">
        <v>65.430000000000007</v>
      </c>
      <c r="AV1267" s="38">
        <v>65.739999999999995</v>
      </c>
      <c r="AW1267" s="38">
        <v>64.62</v>
      </c>
      <c r="AX1267" s="38">
        <v>67.92</v>
      </c>
      <c r="AY1267" s="38">
        <v>72.28</v>
      </c>
      <c r="BA1267" s="37">
        <v>73.209999999999994</v>
      </c>
      <c r="BB1267" s="38">
        <v>1.2996000000000001</v>
      </c>
    </row>
    <row r="1268" spans="1:54" x14ac:dyDescent="0.35">
      <c r="A1268" s="2">
        <f t="shared" si="19"/>
        <v>45596</v>
      </c>
      <c r="B1268" t="s">
        <v>1861</v>
      </c>
      <c r="C1268" s="32">
        <v>45596</v>
      </c>
      <c r="D1268" s="38">
        <v>103.36</v>
      </c>
      <c r="E1268" s="38">
        <v>104.86</v>
      </c>
      <c r="F1268" s="38">
        <v>105.43</v>
      </c>
      <c r="G1268" s="38">
        <v>103.59</v>
      </c>
      <c r="H1268" s="38">
        <v>100.5</v>
      </c>
      <c r="I1268" s="38">
        <v>97.38</v>
      </c>
      <c r="J1268" s="38">
        <v>96.45</v>
      </c>
      <c r="K1268" s="38">
        <v>96.2</v>
      </c>
      <c r="L1268" s="38">
        <v>96.23</v>
      </c>
      <c r="M1268" s="38">
        <v>96.47</v>
      </c>
      <c r="N1268" s="38">
        <v>96.4</v>
      </c>
      <c r="O1268" s="38">
        <v>100.69</v>
      </c>
      <c r="P1268" s="38">
        <v>104.37</v>
      </c>
      <c r="Q1268" s="38">
        <v>105.03</v>
      </c>
      <c r="R1268" s="38">
        <v>104.28</v>
      </c>
      <c r="S1268" s="38">
        <v>98.24</v>
      </c>
      <c r="T1268" s="38">
        <v>85.88</v>
      </c>
      <c r="U1268" s="38">
        <v>80.72</v>
      </c>
      <c r="V1268" s="38">
        <v>77.53</v>
      </c>
      <c r="W1268" s="38">
        <v>77.59</v>
      </c>
      <c r="X1268" s="38">
        <v>77.89</v>
      </c>
      <c r="Y1268" s="38">
        <v>79.459999999999994</v>
      </c>
      <c r="Z1268" s="38">
        <v>83.17</v>
      </c>
      <c r="AA1268" s="38">
        <v>86.13</v>
      </c>
      <c r="AB1268" s="38">
        <v>88.91</v>
      </c>
      <c r="AC1268" s="38">
        <v>91.39</v>
      </c>
      <c r="AD1268" s="38">
        <v>90.13</v>
      </c>
      <c r="AE1268" s="38">
        <v>84.96</v>
      </c>
      <c r="AF1268" s="38">
        <v>73.28</v>
      </c>
      <c r="AG1268" s="38">
        <v>70.7</v>
      </c>
      <c r="AH1268" s="38">
        <v>69.39</v>
      </c>
      <c r="AI1268" s="38">
        <v>70.180000000000007</v>
      </c>
      <c r="AJ1268" s="38">
        <v>70.58</v>
      </c>
      <c r="AK1268" s="38">
        <v>71.239999999999995</v>
      </c>
      <c r="AL1268" s="38">
        <v>75.59</v>
      </c>
      <c r="AM1268" s="38">
        <v>79.459999999999994</v>
      </c>
      <c r="AN1268" s="38">
        <v>82.98</v>
      </c>
      <c r="AO1268" s="38">
        <v>83.82</v>
      </c>
      <c r="AP1268" s="38">
        <v>83.08</v>
      </c>
      <c r="AQ1268" s="38">
        <v>79.63</v>
      </c>
      <c r="AR1268" s="38">
        <v>71.89</v>
      </c>
      <c r="AS1268" s="38">
        <v>67.489999999999995</v>
      </c>
      <c r="AT1268" s="38">
        <v>66.209999999999994</v>
      </c>
      <c r="AU1268" s="38">
        <v>66.52</v>
      </c>
      <c r="AV1268" s="38">
        <v>65.400000000000006</v>
      </c>
      <c r="AW1268" s="38">
        <v>68.7</v>
      </c>
      <c r="AX1268" s="38">
        <v>72.709999999999994</v>
      </c>
      <c r="AY1268" s="38">
        <v>76.790000000000006</v>
      </c>
      <c r="BA1268" s="37">
        <v>73.25</v>
      </c>
      <c r="BB1268" s="38">
        <v>1.2856000000000001</v>
      </c>
    </row>
    <row r="1269" spans="1:54" x14ac:dyDescent="0.35">
      <c r="A1269" s="2">
        <f t="shared" si="19"/>
        <v>45597</v>
      </c>
      <c r="B1269" t="s">
        <v>1862</v>
      </c>
      <c r="C1269" s="32">
        <v>45597</v>
      </c>
      <c r="D1269" s="38">
        <v>99.18</v>
      </c>
      <c r="E1269" s="38">
        <v>100.73</v>
      </c>
      <c r="F1269" s="38">
        <v>101.46</v>
      </c>
      <c r="G1269" s="38">
        <v>99.62</v>
      </c>
      <c r="H1269" s="38">
        <v>96.58</v>
      </c>
      <c r="I1269" s="38">
        <v>93.39</v>
      </c>
      <c r="J1269" s="38">
        <v>92.27</v>
      </c>
      <c r="K1269" s="38">
        <v>92.14</v>
      </c>
      <c r="L1269" s="38">
        <v>92.05</v>
      </c>
      <c r="M1269" s="38">
        <v>92.23</v>
      </c>
      <c r="N1269" s="38">
        <v>92.37</v>
      </c>
      <c r="O1269" s="38">
        <v>96.69</v>
      </c>
      <c r="P1269" s="38">
        <v>100.72</v>
      </c>
      <c r="Q1269" s="38">
        <v>101.43</v>
      </c>
      <c r="R1269" s="38">
        <v>100.73</v>
      </c>
      <c r="S1269" s="38">
        <v>95.1</v>
      </c>
      <c r="T1269" s="38">
        <v>84.43</v>
      </c>
      <c r="U1269" s="38">
        <v>79.989999999999995</v>
      </c>
      <c r="V1269" s="38">
        <v>77.02</v>
      </c>
      <c r="W1269" s="38">
        <v>76.84</v>
      </c>
      <c r="X1269" s="38">
        <v>77.13</v>
      </c>
      <c r="Y1269" s="38">
        <v>78.7</v>
      </c>
      <c r="Z1269" s="38">
        <v>82.32</v>
      </c>
      <c r="AA1269" s="38">
        <v>85.05</v>
      </c>
      <c r="AB1269" s="38">
        <v>87.61</v>
      </c>
      <c r="AC1269" s="38">
        <v>89.76</v>
      </c>
      <c r="AD1269" s="38">
        <v>88.32</v>
      </c>
      <c r="AE1269" s="38">
        <v>83.01</v>
      </c>
      <c r="AF1269" s="38">
        <v>71.540000000000006</v>
      </c>
      <c r="AG1269" s="38">
        <v>69.39</v>
      </c>
      <c r="AH1269" s="38">
        <v>68.02</v>
      </c>
      <c r="AI1269" s="38">
        <v>68.930000000000007</v>
      </c>
      <c r="AJ1269" s="38">
        <v>69.28</v>
      </c>
      <c r="AK1269" s="38">
        <v>69.89</v>
      </c>
      <c r="AL1269" s="38">
        <v>74.05</v>
      </c>
      <c r="AM1269" s="38">
        <v>77.89</v>
      </c>
      <c r="AN1269" s="38">
        <v>81.400000000000006</v>
      </c>
      <c r="AO1269" s="38">
        <v>82.22</v>
      </c>
      <c r="AP1269" s="38">
        <v>81.47</v>
      </c>
      <c r="AQ1269" s="38">
        <v>78.02</v>
      </c>
      <c r="AR1269" s="38">
        <v>70.28</v>
      </c>
      <c r="AS1269" s="38">
        <v>65.87</v>
      </c>
      <c r="AT1269" s="38">
        <v>64.58</v>
      </c>
      <c r="AU1269" s="38">
        <v>64.89</v>
      </c>
      <c r="AV1269" s="38">
        <v>63.74</v>
      </c>
      <c r="AW1269" s="38">
        <v>67.03</v>
      </c>
      <c r="AX1269" s="38">
        <v>71.67</v>
      </c>
      <c r="AY1269" s="38">
        <v>75.45</v>
      </c>
      <c r="BA1269" s="37">
        <v>73.63</v>
      </c>
      <c r="BB1269" s="38">
        <v>1.296</v>
      </c>
    </row>
    <row r="1270" spans="1:54" x14ac:dyDescent="0.35">
      <c r="A1270" s="2">
        <f t="shared" si="19"/>
        <v>45600</v>
      </c>
      <c r="B1270" t="s">
        <v>1863</v>
      </c>
      <c r="C1270" s="32">
        <v>45600</v>
      </c>
      <c r="D1270" s="38">
        <v>102.46</v>
      </c>
      <c r="E1270" s="38">
        <v>103.92</v>
      </c>
      <c r="F1270" s="38">
        <v>104.34</v>
      </c>
      <c r="G1270" s="38">
        <v>102.42</v>
      </c>
      <c r="H1270" s="38">
        <v>98.89</v>
      </c>
      <c r="I1270" s="38">
        <v>96.23</v>
      </c>
      <c r="J1270" s="38">
        <v>94.51</v>
      </c>
      <c r="K1270" s="38">
        <v>94.43</v>
      </c>
      <c r="L1270" s="38">
        <v>94.43</v>
      </c>
      <c r="M1270" s="38">
        <v>94.43</v>
      </c>
      <c r="N1270" s="38">
        <v>94.53</v>
      </c>
      <c r="O1270" s="38">
        <v>98.23</v>
      </c>
      <c r="P1270" s="38">
        <v>101.75</v>
      </c>
      <c r="Q1270" s="38">
        <v>102.24</v>
      </c>
      <c r="R1270" s="38">
        <v>101.52</v>
      </c>
      <c r="S1270" s="38">
        <v>95.87</v>
      </c>
      <c r="T1270" s="38">
        <v>85.23</v>
      </c>
      <c r="U1270" s="38">
        <v>80.86</v>
      </c>
      <c r="V1270" s="38">
        <v>77.89</v>
      </c>
      <c r="W1270" s="38">
        <v>77.63</v>
      </c>
      <c r="X1270" s="38">
        <v>77.92</v>
      </c>
      <c r="Y1270" s="38">
        <v>79.45</v>
      </c>
      <c r="Z1270" s="38">
        <v>83.41</v>
      </c>
      <c r="AA1270" s="38">
        <v>86.02</v>
      </c>
      <c r="AB1270" s="38">
        <v>88.17</v>
      </c>
      <c r="AC1270" s="38">
        <v>90.54</v>
      </c>
      <c r="AD1270" s="38">
        <v>89.02</v>
      </c>
      <c r="AE1270" s="38">
        <v>83.76</v>
      </c>
      <c r="AF1270" s="38">
        <v>72.099999999999994</v>
      </c>
      <c r="AG1270" s="38">
        <v>69.989999999999995</v>
      </c>
      <c r="AH1270" s="38">
        <v>68.66</v>
      </c>
      <c r="AI1270" s="38">
        <v>69.650000000000006</v>
      </c>
      <c r="AJ1270" s="38">
        <v>70.05</v>
      </c>
      <c r="AK1270" s="38">
        <v>70.72</v>
      </c>
      <c r="AL1270" s="38">
        <v>74.95</v>
      </c>
      <c r="AM1270" s="38">
        <v>78.760000000000005</v>
      </c>
      <c r="AN1270" s="38">
        <v>82.27</v>
      </c>
      <c r="AO1270" s="38">
        <v>83.27</v>
      </c>
      <c r="AP1270" s="38">
        <v>82.44</v>
      </c>
      <c r="AQ1270" s="38">
        <v>79.02</v>
      </c>
      <c r="AR1270" s="38">
        <v>71.14</v>
      </c>
      <c r="AS1270" s="38">
        <v>66.73</v>
      </c>
      <c r="AT1270" s="38">
        <v>65.44</v>
      </c>
      <c r="AU1270" s="38">
        <v>65.75</v>
      </c>
      <c r="AV1270" s="38">
        <v>64.59</v>
      </c>
      <c r="AW1270" s="38">
        <v>67.88</v>
      </c>
      <c r="AX1270" s="38">
        <v>72.45</v>
      </c>
      <c r="AY1270" s="38">
        <v>76.23</v>
      </c>
      <c r="BA1270" s="37">
        <v>74.89</v>
      </c>
      <c r="BB1270" s="38">
        <v>1.2981</v>
      </c>
    </row>
    <row r="1271" spans="1:54" x14ac:dyDescent="0.35">
      <c r="A1271" s="2">
        <f t="shared" si="19"/>
        <v>45601</v>
      </c>
      <c r="B1271" t="s">
        <v>1864</v>
      </c>
      <c r="C1271" s="32">
        <v>45601</v>
      </c>
      <c r="D1271" s="38">
        <v>102.69</v>
      </c>
      <c r="E1271" s="38">
        <v>104.08</v>
      </c>
      <c r="F1271" s="38">
        <v>104.65</v>
      </c>
      <c r="G1271" s="38">
        <v>102.67</v>
      </c>
      <c r="H1271" s="38">
        <v>99.31</v>
      </c>
      <c r="I1271" s="38">
        <v>96.71</v>
      </c>
      <c r="J1271" s="38">
        <v>94.77</v>
      </c>
      <c r="K1271" s="38">
        <v>94.87</v>
      </c>
      <c r="L1271" s="38">
        <v>94.88</v>
      </c>
      <c r="M1271" s="38">
        <v>94.85</v>
      </c>
      <c r="N1271" s="38">
        <v>94.85</v>
      </c>
      <c r="O1271" s="38">
        <v>98.45</v>
      </c>
      <c r="P1271" s="38">
        <v>101.79</v>
      </c>
      <c r="Q1271" s="38">
        <v>102.17</v>
      </c>
      <c r="R1271" s="38">
        <v>101.54</v>
      </c>
      <c r="S1271" s="38">
        <v>95.9</v>
      </c>
      <c r="T1271" s="38">
        <v>85.25</v>
      </c>
      <c r="U1271" s="38">
        <v>80.87</v>
      </c>
      <c r="V1271" s="38">
        <v>78</v>
      </c>
      <c r="W1271" s="38">
        <v>78.040000000000006</v>
      </c>
      <c r="X1271" s="38">
        <v>78.41</v>
      </c>
      <c r="Y1271" s="38">
        <v>79.94</v>
      </c>
      <c r="Z1271" s="38">
        <v>83.54</v>
      </c>
      <c r="AA1271" s="38">
        <v>85.86</v>
      </c>
      <c r="AB1271" s="38">
        <v>88.01</v>
      </c>
      <c r="AC1271" s="38">
        <v>90.38</v>
      </c>
      <c r="AD1271" s="38">
        <v>88.89</v>
      </c>
      <c r="AE1271" s="38">
        <v>83.62</v>
      </c>
      <c r="AF1271" s="38">
        <v>72.7</v>
      </c>
      <c r="AG1271" s="38">
        <v>69.92</v>
      </c>
      <c r="AH1271" s="38">
        <v>68.59</v>
      </c>
      <c r="AI1271" s="38">
        <v>69.58</v>
      </c>
      <c r="AJ1271" s="38">
        <v>69.97</v>
      </c>
      <c r="AK1271" s="38">
        <v>70.81</v>
      </c>
      <c r="AL1271" s="38">
        <v>75.13</v>
      </c>
      <c r="AM1271" s="38">
        <v>78.94</v>
      </c>
      <c r="AN1271" s="38">
        <v>82.28</v>
      </c>
      <c r="AO1271" s="38">
        <v>83.23</v>
      </c>
      <c r="AP1271" s="38">
        <v>82.38</v>
      </c>
      <c r="AQ1271" s="38">
        <v>78.959999999999994</v>
      </c>
      <c r="AR1271" s="38">
        <v>71.27</v>
      </c>
      <c r="AS1271" s="38">
        <v>67.040000000000006</v>
      </c>
      <c r="AT1271" s="38">
        <v>65.75</v>
      </c>
      <c r="AU1271" s="38">
        <v>66.06</v>
      </c>
      <c r="AV1271" s="38">
        <v>64.900000000000006</v>
      </c>
      <c r="AW1271" s="38">
        <v>68.19</v>
      </c>
      <c r="AX1271" s="38">
        <v>72.599999999999994</v>
      </c>
      <c r="AY1271" s="38">
        <v>76.37</v>
      </c>
      <c r="BA1271" s="37">
        <v>76.98</v>
      </c>
      <c r="BB1271" s="38">
        <v>1.3002</v>
      </c>
    </row>
    <row r="1272" spans="1:54" x14ac:dyDescent="0.35">
      <c r="A1272" s="2">
        <f t="shared" si="19"/>
        <v>45602</v>
      </c>
      <c r="B1272" t="s">
        <v>1865</v>
      </c>
      <c r="C1272" s="32">
        <v>45602</v>
      </c>
      <c r="D1272" s="38">
        <v>101.84</v>
      </c>
      <c r="E1272" s="38">
        <v>103.13</v>
      </c>
      <c r="F1272" s="38">
        <v>103.68</v>
      </c>
      <c r="G1272" s="38">
        <v>101.68</v>
      </c>
      <c r="H1272" s="38">
        <v>98.29</v>
      </c>
      <c r="I1272" s="38">
        <v>95.7</v>
      </c>
      <c r="J1272" s="38">
        <v>94.09</v>
      </c>
      <c r="K1272" s="38">
        <v>94.1</v>
      </c>
      <c r="L1272" s="38">
        <v>94.14</v>
      </c>
      <c r="M1272" s="38">
        <v>94.12</v>
      </c>
      <c r="N1272" s="38">
        <v>94.16</v>
      </c>
      <c r="O1272" s="38">
        <v>97.75</v>
      </c>
      <c r="P1272" s="38">
        <v>101.18</v>
      </c>
      <c r="Q1272" s="38">
        <v>101.56</v>
      </c>
      <c r="R1272" s="38">
        <v>101.04</v>
      </c>
      <c r="S1272" s="38">
        <v>95.53</v>
      </c>
      <c r="T1272" s="38">
        <v>85.09</v>
      </c>
      <c r="U1272" s="38">
        <v>80.7</v>
      </c>
      <c r="V1272" s="38">
        <v>77.83</v>
      </c>
      <c r="W1272" s="38">
        <v>77.87</v>
      </c>
      <c r="X1272" s="38">
        <v>78.23</v>
      </c>
      <c r="Y1272" s="38">
        <v>79.77</v>
      </c>
      <c r="Z1272" s="38">
        <v>83.11</v>
      </c>
      <c r="AA1272" s="38">
        <v>85.43</v>
      </c>
      <c r="AB1272" s="38">
        <v>87.6</v>
      </c>
      <c r="AC1272" s="38">
        <v>89.96</v>
      </c>
      <c r="AD1272" s="38">
        <v>88.47</v>
      </c>
      <c r="AE1272" s="38">
        <v>83.19</v>
      </c>
      <c r="AF1272" s="38">
        <v>72.53</v>
      </c>
      <c r="AG1272" s="38">
        <v>69.73</v>
      </c>
      <c r="AH1272" s="38">
        <v>68.400000000000006</v>
      </c>
      <c r="AI1272" s="38">
        <v>69.38</v>
      </c>
      <c r="AJ1272" s="38">
        <v>69.760000000000005</v>
      </c>
      <c r="AK1272" s="38">
        <v>70.58</v>
      </c>
      <c r="AL1272" s="38">
        <v>74.459999999999994</v>
      </c>
      <c r="AM1272" s="38">
        <v>78.239999999999995</v>
      </c>
      <c r="AN1272" s="38">
        <v>81.56</v>
      </c>
      <c r="AO1272" s="38">
        <v>83.17</v>
      </c>
      <c r="AP1272" s="38">
        <v>82.33</v>
      </c>
      <c r="AQ1272" s="38">
        <v>78.94</v>
      </c>
      <c r="AR1272" s="38">
        <v>71.09</v>
      </c>
      <c r="AS1272" s="38">
        <v>66.86</v>
      </c>
      <c r="AT1272" s="38">
        <v>65.56</v>
      </c>
      <c r="AU1272" s="38">
        <v>65.87</v>
      </c>
      <c r="AV1272" s="38">
        <v>64.709999999999994</v>
      </c>
      <c r="AW1272" s="38">
        <v>68</v>
      </c>
      <c r="AX1272" s="38">
        <v>72.05</v>
      </c>
      <c r="AY1272" s="38">
        <v>75.83</v>
      </c>
      <c r="BA1272" s="37">
        <v>76.52</v>
      </c>
      <c r="BB1272" s="38">
        <v>1.2889999999999999</v>
      </c>
    </row>
    <row r="1273" spans="1:54" x14ac:dyDescent="0.35">
      <c r="A1273" s="2">
        <f t="shared" si="19"/>
        <v>45603</v>
      </c>
      <c r="B1273" t="s">
        <v>1866</v>
      </c>
      <c r="C1273" s="32">
        <v>45603</v>
      </c>
      <c r="D1273" s="38">
        <v>104.32</v>
      </c>
      <c r="E1273" s="38">
        <v>105.48</v>
      </c>
      <c r="F1273" s="38">
        <v>105.77</v>
      </c>
      <c r="G1273" s="38">
        <v>103.65</v>
      </c>
      <c r="H1273" s="38">
        <v>100.73</v>
      </c>
      <c r="I1273" s="38">
        <v>98.27</v>
      </c>
      <c r="J1273" s="38">
        <v>97.07</v>
      </c>
      <c r="K1273" s="38">
        <v>96.56</v>
      </c>
      <c r="L1273" s="38">
        <v>96.58</v>
      </c>
      <c r="M1273" s="38">
        <v>96.28</v>
      </c>
      <c r="N1273" s="38">
        <v>95.42</v>
      </c>
      <c r="O1273" s="38">
        <v>98.92</v>
      </c>
      <c r="P1273" s="38">
        <v>102.24</v>
      </c>
      <c r="Q1273" s="38">
        <v>102.24</v>
      </c>
      <c r="R1273" s="38">
        <v>101.44</v>
      </c>
      <c r="S1273" s="38">
        <v>96.01</v>
      </c>
      <c r="T1273" s="38">
        <v>85.68</v>
      </c>
      <c r="U1273" s="38">
        <v>81.290000000000006</v>
      </c>
      <c r="V1273" s="38">
        <v>78.42</v>
      </c>
      <c r="W1273" s="38">
        <v>78.459999999999994</v>
      </c>
      <c r="X1273" s="38">
        <v>78.819999999999993</v>
      </c>
      <c r="Y1273" s="38">
        <v>80.349999999999994</v>
      </c>
      <c r="Z1273" s="38">
        <v>83.65</v>
      </c>
      <c r="AA1273" s="38">
        <v>85.84</v>
      </c>
      <c r="AB1273" s="38">
        <v>88</v>
      </c>
      <c r="AC1273" s="38">
        <v>90.14</v>
      </c>
      <c r="AD1273" s="38">
        <v>88.6</v>
      </c>
      <c r="AE1273" s="38">
        <v>83.22</v>
      </c>
      <c r="AF1273" s="38">
        <v>72.58</v>
      </c>
      <c r="AG1273" s="38">
        <v>69.78</v>
      </c>
      <c r="AH1273" s="38">
        <v>68.45</v>
      </c>
      <c r="AI1273" s="38">
        <v>69.430000000000007</v>
      </c>
      <c r="AJ1273" s="38">
        <v>69.900000000000006</v>
      </c>
      <c r="AK1273" s="38">
        <v>70.92</v>
      </c>
      <c r="AL1273" s="38">
        <v>74.95</v>
      </c>
      <c r="AM1273" s="38">
        <v>78.73</v>
      </c>
      <c r="AN1273" s="38">
        <v>82.05</v>
      </c>
      <c r="AO1273" s="38">
        <v>83.87</v>
      </c>
      <c r="AP1273" s="38">
        <v>83.02</v>
      </c>
      <c r="AQ1273" s="38">
        <v>79.63</v>
      </c>
      <c r="AR1273" s="38">
        <v>71.28</v>
      </c>
      <c r="AS1273" s="38">
        <v>67.05</v>
      </c>
      <c r="AT1273" s="38">
        <v>65.739999999999995</v>
      </c>
      <c r="AU1273" s="38">
        <v>66.05</v>
      </c>
      <c r="AV1273" s="38">
        <v>64.89</v>
      </c>
      <c r="AW1273" s="38">
        <v>68.17</v>
      </c>
      <c r="AX1273" s="38">
        <v>71.91</v>
      </c>
      <c r="AY1273" s="38">
        <v>75.56</v>
      </c>
      <c r="BA1273" s="37">
        <v>75.73</v>
      </c>
      <c r="BB1273" s="38">
        <v>1.2996000000000001</v>
      </c>
    </row>
    <row r="1274" spans="1:54" x14ac:dyDescent="0.35">
      <c r="A1274" s="2">
        <f t="shared" si="19"/>
        <v>45604</v>
      </c>
      <c r="B1274" t="s">
        <v>1867</v>
      </c>
      <c r="C1274" s="32">
        <v>45604</v>
      </c>
      <c r="D1274" s="38">
        <v>107.41</v>
      </c>
      <c r="E1274" s="38">
        <v>108.17</v>
      </c>
      <c r="F1274" s="38">
        <v>108.37</v>
      </c>
      <c r="G1274" s="38">
        <v>105.92</v>
      </c>
      <c r="H1274" s="38">
        <v>102.93</v>
      </c>
      <c r="I1274" s="38">
        <v>100.43</v>
      </c>
      <c r="J1274" s="38">
        <v>99.13</v>
      </c>
      <c r="K1274" s="38">
        <v>98.62</v>
      </c>
      <c r="L1274" s="38">
        <v>98.62</v>
      </c>
      <c r="M1274" s="38">
        <v>98.05</v>
      </c>
      <c r="N1274" s="38">
        <v>96.47</v>
      </c>
      <c r="O1274" s="38">
        <v>98.61</v>
      </c>
      <c r="P1274" s="38">
        <v>101.36</v>
      </c>
      <c r="Q1274" s="38">
        <v>101.23</v>
      </c>
      <c r="R1274" s="38">
        <v>100.43</v>
      </c>
      <c r="S1274" s="38">
        <v>95</v>
      </c>
      <c r="T1274" s="38">
        <v>85.35</v>
      </c>
      <c r="U1274" s="38">
        <v>80.959999999999994</v>
      </c>
      <c r="V1274" s="38">
        <v>78.010000000000005</v>
      </c>
      <c r="W1274" s="38">
        <v>78.05</v>
      </c>
      <c r="X1274" s="38">
        <v>78.459999999999994</v>
      </c>
      <c r="Y1274" s="38">
        <v>79.989999999999995</v>
      </c>
      <c r="Z1274" s="38">
        <v>83.14</v>
      </c>
      <c r="AA1274" s="38">
        <v>85.33</v>
      </c>
      <c r="AB1274" s="38">
        <v>87.54</v>
      </c>
      <c r="AC1274" s="38">
        <v>89.65</v>
      </c>
      <c r="AD1274" s="38">
        <v>88.11</v>
      </c>
      <c r="AE1274" s="38">
        <v>82.73</v>
      </c>
      <c r="AF1274" s="38">
        <v>72.69</v>
      </c>
      <c r="AG1274" s="38">
        <v>69.89</v>
      </c>
      <c r="AH1274" s="38">
        <v>68.56</v>
      </c>
      <c r="AI1274" s="38">
        <v>69.540000000000006</v>
      </c>
      <c r="AJ1274" s="38">
        <v>70.010000000000005</v>
      </c>
      <c r="AK1274" s="38">
        <v>71.03</v>
      </c>
      <c r="AL1274" s="38">
        <v>75.010000000000005</v>
      </c>
      <c r="AM1274" s="38">
        <v>78.790000000000006</v>
      </c>
      <c r="AN1274" s="38">
        <v>82.09</v>
      </c>
      <c r="AO1274" s="38">
        <v>83.8</v>
      </c>
      <c r="AP1274" s="38">
        <v>82.91</v>
      </c>
      <c r="AQ1274" s="38">
        <v>79.459999999999994</v>
      </c>
      <c r="AR1274" s="38">
        <v>70.77</v>
      </c>
      <c r="AS1274" s="38">
        <v>66.540000000000006</v>
      </c>
      <c r="AT1274" s="38">
        <v>65.23</v>
      </c>
      <c r="AU1274" s="38">
        <v>65.55</v>
      </c>
      <c r="AV1274" s="38">
        <v>64.39</v>
      </c>
      <c r="AW1274" s="38">
        <v>67.67</v>
      </c>
      <c r="AX1274" s="38">
        <v>71.28</v>
      </c>
      <c r="AY1274" s="38">
        <v>74.930000000000007</v>
      </c>
      <c r="BA1274" s="37">
        <v>74.040000000000006</v>
      </c>
      <c r="BB1274" s="38">
        <v>1.2939000000000001</v>
      </c>
    </row>
    <row r="1275" spans="1:54" x14ac:dyDescent="0.35">
      <c r="A1275" s="2">
        <f t="shared" si="19"/>
        <v>45607</v>
      </c>
      <c r="B1275" t="s">
        <v>1868</v>
      </c>
      <c r="C1275" s="32">
        <v>45607</v>
      </c>
      <c r="D1275" s="38">
        <v>110.56</v>
      </c>
      <c r="E1275" s="38">
        <v>110.99</v>
      </c>
      <c r="F1275" s="38">
        <v>111.24</v>
      </c>
      <c r="G1275" s="38">
        <v>108.67</v>
      </c>
      <c r="H1275" s="38">
        <v>105.82</v>
      </c>
      <c r="I1275" s="38">
        <v>103.32</v>
      </c>
      <c r="J1275" s="38">
        <v>102.02</v>
      </c>
      <c r="K1275" s="38">
        <v>101.91</v>
      </c>
      <c r="L1275" s="38">
        <v>101.92</v>
      </c>
      <c r="M1275" s="38">
        <v>100.46</v>
      </c>
      <c r="N1275" s="38">
        <v>98.17</v>
      </c>
      <c r="O1275" s="38">
        <v>99.99</v>
      </c>
      <c r="P1275" s="38">
        <v>102.04</v>
      </c>
      <c r="Q1275" s="38">
        <v>101.84</v>
      </c>
      <c r="R1275" s="38">
        <v>101.07</v>
      </c>
      <c r="S1275" s="38">
        <v>95.8</v>
      </c>
      <c r="T1275" s="38">
        <v>85.76</v>
      </c>
      <c r="U1275" s="38">
        <v>81.290000000000006</v>
      </c>
      <c r="V1275" s="38">
        <v>78.45</v>
      </c>
      <c r="W1275" s="38">
        <v>78.599999999999994</v>
      </c>
      <c r="X1275" s="38">
        <v>78.900000000000006</v>
      </c>
      <c r="Y1275" s="38">
        <v>80.17</v>
      </c>
      <c r="Z1275" s="38">
        <v>83.76</v>
      </c>
      <c r="AA1275" s="38">
        <v>85.51</v>
      </c>
      <c r="AB1275" s="38">
        <v>87.72</v>
      </c>
      <c r="AC1275" s="38">
        <v>89.6</v>
      </c>
      <c r="AD1275" s="38">
        <v>88.06</v>
      </c>
      <c r="AE1275" s="38">
        <v>82.68</v>
      </c>
      <c r="AF1275" s="38">
        <v>72.64</v>
      </c>
      <c r="AG1275" s="38">
        <v>69.84</v>
      </c>
      <c r="AH1275" s="38">
        <v>68.53</v>
      </c>
      <c r="AI1275" s="38">
        <v>69.510000000000005</v>
      </c>
      <c r="AJ1275" s="38">
        <v>69.98</v>
      </c>
      <c r="AK1275" s="38">
        <v>71</v>
      </c>
      <c r="AL1275" s="38">
        <v>74.98</v>
      </c>
      <c r="AM1275" s="38">
        <v>78.760000000000005</v>
      </c>
      <c r="AN1275" s="38">
        <v>82.04</v>
      </c>
      <c r="AO1275" s="38">
        <v>83.72</v>
      </c>
      <c r="AP1275" s="38">
        <v>82.84</v>
      </c>
      <c r="AQ1275" s="38">
        <v>79.39</v>
      </c>
      <c r="AR1275" s="38">
        <v>71.45</v>
      </c>
      <c r="AS1275" s="38">
        <v>67.22</v>
      </c>
      <c r="AT1275" s="38">
        <v>65.92</v>
      </c>
      <c r="AU1275" s="38">
        <v>65.44</v>
      </c>
      <c r="AV1275" s="38">
        <v>64.28</v>
      </c>
      <c r="AW1275" s="38">
        <v>67.56</v>
      </c>
      <c r="AX1275" s="38">
        <v>70.75</v>
      </c>
      <c r="AY1275" s="38">
        <v>74.41</v>
      </c>
      <c r="BA1275" s="37">
        <v>72.19</v>
      </c>
      <c r="BB1275" s="38">
        <v>1.2869999999999999</v>
      </c>
    </row>
    <row r="1276" spans="1:54" x14ac:dyDescent="0.35">
      <c r="A1276" s="2">
        <f t="shared" si="19"/>
        <v>45608</v>
      </c>
      <c r="B1276" t="s">
        <v>1869</v>
      </c>
      <c r="C1276" s="32">
        <v>45608</v>
      </c>
      <c r="D1276" s="38">
        <v>112.43</v>
      </c>
      <c r="E1276" s="38">
        <v>112.75</v>
      </c>
      <c r="F1276" s="38">
        <v>112.91</v>
      </c>
      <c r="G1276" s="38">
        <v>110.3</v>
      </c>
      <c r="H1276" s="38">
        <v>107.19</v>
      </c>
      <c r="I1276" s="38">
        <v>104.49</v>
      </c>
      <c r="J1276" s="38">
        <v>103.09</v>
      </c>
      <c r="K1276" s="38">
        <v>102.95</v>
      </c>
      <c r="L1276" s="38">
        <v>103.06</v>
      </c>
      <c r="M1276" s="38">
        <v>101.6</v>
      </c>
      <c r="N1276" s="38">
        <v>100.21</v>
      </c>
      <c r="O1276" s="38">
        <v>102.4</v>
      </c>
      <c r="P1276" s="38">
        <v>104.44</v>
      </c>
      <c r="Q1276" s="38">
        <v>104.11</v>
      </c>
      <c r="R1276" s="38">
        <v>103.34</v>
      </c>
      <c r="S1276" s="38">
        <v>98.07</v>
      </c>
      <c r="T1276" s="38">
        <v>87.77</v>
      </c>
      <c r="U1276" s="38">
        <v>83.3</v>
      </c>
      <c r="V1276" s="38">
        <v>80.459999999999994</v>
      </c>
      <c r="W1276" s="38">
        <v>80.459999999999994</v>
      </c>
      <c r="X1276" s="38">
        <v>80.73</v>
      </c>
      <c r="Y1276" s="38">
        <v>81.98</v>
      </c>
      <c r="Z1276" s="38">
        <v>84.85</v>
      </c>
      <c r="AA1276" s="38">
        <v>86.6</v>
      </c>
      <c r="AB1276" s="38">
        <v>88.81</v>
      </c>
      <c r="AC1276" s="38">
        <v>90.69</v>
      </c>
      <c r="AD1276" s="38">
        <v>89.15</v>
      </c>
      <c r="AE1276" s="38">
        <v>83.77</v>
      </c>
      <c r="AF1276" s="38">
        <v>75.739999999999995</v>
      </c>
      <c r="AG1276" s="38">
        <v>72.94</v>
      </c>
      <c r="AH1276" s="38">
        <v>71.64</v>
      </c>
      <c r="AI1276" s="38">
        <v>72.63</v>
      </c>
      <c r="AJ1276" s="38">
        <v>73.099999999999994</v>
      </c>
      <c r="AK1276" s="38">
        <v>74.13</v>
      </c>
      <c r="AL1276" s="38">
        <v>77.31</v>
      </c>
      <c r="AM1276" s="38">
        <v>80.39</v>
      </c>
      <c r="AN1276" s="38">
        <v>83.37</v>
      </c>
      <c r="AO1276" s="38">
        <v>85.06</v>
      </c>
      <c r="AP1276" s="38">
        <v>84.18</v>
      </c>
      <c r="AQ1276" s="38">
        <v>80.73</v>
      </c>
      <c r="AR1276" s="38">
        <v>73.19</v>
      </c>
      <c r="AS1276" s="38">
        <v>68.959999999999994</v>
      </c>
      <c r="AT1276" s="38">
        <v>67.66</v>
      </c>
      <c r="AU1276" s="38">
        <v>67.17</v>
      </c>
      <c r="AV1276" s="38">
        <v>66.010000000000005</v>
      </c>
      <c r="AW1276" s="38">
        <v>69.290000000000006</v>
      </c>
      <c r="AX1276" s="38">
        <v>72.48</v>
      </c>
      <c r="AY1276" s="38">
        <v>76.14</v>
      </c>
      <c r="BA1276" s="37">
        <v>72.56</v>
      </c>
      <c r="BB1276" s="38">
        <v>1.2764</v>
      </c>
    </row>
    <row r="1277" spans="1:54" x14ac:dyDescent="0.35">
      <c r="A1277" s="2">
        <f t="shared" si="19"/>
        <v>45609</v>
      </c>
      <c r="B1277" t="s">
        <v>1870</v>
      </c>
      <c r="C1277" s="32">
        <v>45609</v>
      </c>
      <c r="D1277" s="38">
        <v>110.78</v>
      </c>
      <c r="E1277" s="38">
        <v>111.37</v>
      </c>
      <c r="F1277" s="38">
        <v>111.77</v>
      </c>
      <c r="G1277" s="38">
        <v>109.36</v>
      </c>
      <c r="H1277" s="38">
        <v>106</v>
      </c>
      <c r="I1277" s="38">
        <v>103.35</v>
      </c>
      <c r="J1277" s="38">
        <v>101.72</v>
      </c>
      <c r="K1277" s="38">
        <v>101.55</v>
      </c>
      <c r="L1277" s="38">
        <v>101.66</v>
      </c>
      <c r="M1277" s="38">
        <v>100.8</v>
      </c>
      <c r="N1277" s="38">
        <v>99.97</v>
      </c>
      <c r="O1277" s="38">
        <v>102.16</v>
      </c>
      <c r="P1277" s="38">
        <v>104.2</v>
      </c>
      <c r="Q1277" s="38">
        <v>103.87</v>
      </c>
      <c r="R1277" s="38">
        <v>103.1</v>
      </c>
      <c r="S1277" s="38">
        <v>97.83</v>
      </c>
      <c r="T1277" s="38">
        <v>86.83</v>
      </c>
      <c r="U1277" s="38">
        <v>82.36</v>
      </c>
      <c r="V1277" s="38">
        <v>79.52</v>
      </c>
      <c r="W1277" s="38">
        <v>79.52</v>
      </c>
      <c r="X1277" s="38">
        <v>79.89</v>
      </c>
      <c r="Y1277" s="38">
        <v>81.14</v>
      </c>
      <c r="Z1277" s="38">
        <v>84.41</v>
      </c>
      <c r="AA1277" s="38">
        <v>86.16</v>
      </c>
      <c r="AB1277" s="38">
        <v>88.37</v>
      </c>
      <c r="AC1277" s="38">
        <v>90.25</v>
      </c>
      <c r="AD1277" s="38">
        <v>88.71</v>
      </c>
      <c r="AE1277" s="38">
        <v>83.33</v>
      </c>
      <c r="AF1277" s="38">
        <v>73.8</v>
      </c>
      <c r="AG1277" s="38">
        <v>71</v>
      </c>
      <c r="AH1277" s="38">
        <v>69.7</v>
      </c>
      <c r="AI1277" s="38">
        <v>70.69</v>
      </c>
      <c r="AJ1277" s="38">
        <v>71.16</v>
      </c>
      <c r="AK1277" s="38">
        <v>72.19</v>
      </c>
      <c r="AL1277" s="38">
        <v>75.569999999999993</v>
      </c>
      <c r="AM1277" s="38">
        <v>78.650000000000006</v>
      </c>
      <c r="AN1277" s="38">
        <v>81.63</v>
      </c>
      <c r="AO1277" s="38">
        <v>83.32</v>
      </c>
      <c r="AP1277" s="38">
        <v>82.44</v>
      </c>
      <c r="AQ1277" s="38">
        <v>78.989999999999995</v>
      </c>
      <c r="AR1277" s="38">
        <v>72.45</v>
      </c>
      <c r="AS1277" s="38">
        <v>68.22</v>
      </c>
      <c r="AT1277" s="38">
        <v>66.92</v>
      </c>
      <c r="AU1277" s="38">
        <v>66.430000000000007</v>
      </c>
      <c r="AV1277" s="38">
        <v>65.27</v>
      </c>
      <c r="AW1277" s="38">
        <v>68.55</v>
      </c>
      <c r="AX1277" s="38">
        <v>72.739999999999995</v>
      </c>
      <c r="AY1277" s="38">
        <v>76.8</v>
      </c>
      <c r="BA1277" s="37">
        <v>72.86</v>
      </c>
      <c r="BB1277" s="38">
        <v>1.2724</v>
      </c>
    </row>
    <row r="1278" spans="1:54" x14ac:dyDescent="0.35">
      <c r="A1278" s="2">
        <f t="shared" si="19"/>
        <v>45610</v>
      </c>
      <c r="B1278" t="s">
        <v>1871</v>
      </c>
      <c r="C1278" s="32">
        <v>45610</v>
      </c>
      <c r="D1278" s="38">
        <v>116.69</v>
      </c>
      <c r="E1278" s="38">
        <v>117.43</v>
      </c>
      <c r="F1278" s="38">
        <v>117.74</v>
      </c>
      <c r="G1278" s="38">
        <v>115.13</v>
      </c>
      <c r="H1278" s="38">
        <v>111.43</v>
      </c>
      <c r="I1278" s="38">
        <v>108.58</v>
      </c>
      <c r="J1278" s="38">
        <v>106.95</v>
      </c>
      <c r="K1278" s="38">
        <v>106.25</v>
      </c>
      <c r="L1278" s="38">
        <v>106.21</v>
      </c>
      <c r="M1278" s="38">
        <v>105.16</v>
      </c>
      <c r="N1278" s="38">
        <v>102.99</v>
      </c>
      <c r="O1278" s="38">
        <v>105.2</v>
      </c>
      <c r="P1278" s="38">
        <v>107.24</v>
      </c>
      <c r="Q1278" s="38">
        <v>107.59</v>
      </c>
      <c r="R1278" s="38">
        <v>107.12</v>
      </c>
      <c r="S1278" s="38">
        <v>101.85</v>
      </c>
      <c r="T1278" s="38">
        <v>89.55</v>
      </c>
      <c r="U1278" s="38">
        <v>83.68</v>
      </c>
      <c r="V1278" s="38">
        <v>80.84</v>
      </c>
      <c r="W1278" s="38">
        <v>81.14</v>
      </c>
      <c r="X1278" s="38">
        <v>81.61</v>
      </c>
      <c r="Y1278" s="38">
        <v>82.86</v>
      </c>
      <c r="Z1278" s="38">
        <v>85.47</v>
      </c>
      <c r="AA1278" s="38">
        <v>87.22</v>
      </c>
      <c r="AB1278" s="38">
        <v>89.43</v>
      </c>
      <c r="AC1278" s="38">
        <v>91.31</v>
      </c>
      <c r="AD1278" s="38">
        <v>89.77</v>
      </c>
      <c r="AE1278" s="38">
        <v>84.39</v>
      </c>
      <c r="AF1278" s="38">
        <v>74.86</v>
      </c>
      <c r="AG1278" s="38">
        <v>72.06</v>
      </c>
      <c r="AH1278" s="38">
        <v>70.760000000000005</v>
      </c>
      <c r="AI1278" s="38">
        <v>71.75</v>
      </c>
      <c r="AJ1278" s="38">
        <v>72.22</v>
      </c>
      <c r="AK1278" s="38">
        <v>73.25</v>
      </c>
      <c r="AL1278" s="38">
        <v>76.430000000000007</v>
      </c>
      <c r="AM1278" s="38">
        <v>79.510000000000005</v>
      </c>
      <c r="AN1278" s="38">
        <v>82.49</v>
      </c>
      <c r="AO1278" s="38">
        <v>84.18</v>
      </c>
      <c r="AP1278" s="38">
        <v>83.3</v>
      </c>
      <c r="AQ1278" s="38">
        <v>79.849999999999994</v>
      </c>
      <c r="AR1278" s="38">
        <v>73.31</v>
      </c>
      <c r="AS1278" s="38">
        <v>69.08</v>
      </c>
      <c r="AT1278" s="38">
        <v>67.78</v>
      </c>
      <c r="AU1278" s="38">
        <v>67.290000000000006</v>
      </c>
      <c r="AV1278" s="38">
        <v>66.13</v>
      </c>
      <c r="AW1278" s="38">
        <v>69.41</v>
      </c>
      <c r="AX1278" s="38">
        <v>73.599999999999994</v>
      </c>
      <c r="AY1278" s="38">
        <v>77.66</v>
      </c>
      <c r="BA1278" s="37">
        <v>73.39</v>
      </c>
      <c r="BB1278" s="38">
        <v>1.2707999999999999</v>
      </c>
    </row>
    <row r="1279" spans="1:54" x14ac:dyDescent="0.35">
      <c r="A1279" s="2">
        <f t="shared" si="19"/>
        <v>45611</v>
      </c>
      <c r="B1279" t="s">
        <v>1872</v>
      </c>
      <c r="C1279" s="32">
        <v>45611</v>
      </c>
      <c r="D1279" s="38">
        <v>117.47</v>
      </c>
      <c r="E1279" s="38">
        <v>118.38</v>
      </c>
      <c r="F1279" s="38">
        <v>118.57</v>
      </c>
      <c r="G1279" s="38">
        <v>116.29</v>
      </c>
      <c r="H1279" s="38">
        <v>112.79</v>
      </c>
      <c r="I1279" s="38">
        <v>110.09</v>
      </c>
      <c r="J1279" s="38">
        <v>108.56</v>
      </c>
      <c r="K1279" s="38">
        <v>108.08</v>
      </c>
      <c r="L1279" s="38">
        <v>108.05</v>
      </c>
      <c r="M1279" s="38">
        <v>106.51</v>
      </c>
      <c r="N1279" s="38">
        <v>103.52</v>
      </c>
      <c r="O1279" s="38">
        <v>105.68</v>
      </c>
      <c r="P1279" s="38">
        <v>107.72</v>
      </c>
      <c r="Q1279" s="38">
        <v>108.07</v>
      </c>
      <c r="R1279" s="38">
        <v>107.6</v>
      </c>
      <c r="S1279" s="38">
        <v>102.33</v>
      </c>
      <c r="T1279" s="38">
        <v>88.63</v>
      </c>
      <c r="U1279" s="38">
        <v>82.76</v>
      </c>
      <c r="V1279" s="38">
        <v>79.92</v>
      </c>
      <c r="W1279" s="38">
        <v>80.12</v>
      </c>
      <c r="X1279" s="38">
        <v>80.59</v>
      </c>
      <c r="Y1279" s="38">
        <v>81.84</v>
      </c>
      <c r="Z1279" s="38">
        <v>84.75</v>
      </c>
      <c r="AA1279" s="38">
        <v>86.5</v>
      </c>
      <c r="AB1279" s="38">
        <v>88.71</v>
      </c>
      <c r="AC1279" s="38">
        <v>90.59</v>
      </c>
      <c r="AD1279" s="38">
        <v>89.05</v>
      </c>
      <c r="AE1279" s="38">
        <v>83.67</v>
      </c>
      <c r="AF1279" s="38">
        <v>73.14</v>
      </c>
      <c r="AG1279" s="38">
        <v>70.34</v>
      </c>
      <c r="AH1279" s="38">
        <v>69.040000000000006</v>
      </c>
      <c r="AI1279" s="38">
        <v>70.03</v>
      </c>
      <c r="AJ1279" s="38">
        <v>70.5</v>
      </c>
      <c r="AK1279" s="38">
        <v>71.53</v>
      </c>
      <c r="AL1279" s="38">
        <v>74.709999999999994</v>
      </c>
      <c r="AM1279" s="38">
        <v>77.790000000000006</v>
      </c>
      <c r="AN1279" s="38">
        <v>80.77</v>
      </c>
      <c r="AO1279" s="38">
        <v>82.46</v>
      </c>
      <c r="AP1279" s="38">
        <v>81.58</v>
      </c>
      <c r="AQ1279" s="38">
        <v>78.13</v>
      </c>
      <c r="AR1279" s="38">
        <v>70.59</v>
      </c>
      <c r="AS1279" s="38">
        <v>66.36</v>
      </c>
      <c r="AT1279" s="38">
        <v>65.06</v>
      </c>
      <c r="AU1279" s="38">
        <v>64.569999999999993</v>
      </c>
      <c r="AV1279" s="38">
        <v>63.41</v>
      </c>
      <c r="AW1279" s="38">
        <v>66.69</v>
      </c>
      <c r="AX1279" s="38">
        <v>70.88</v>
      </c>
      <c r="AY1279" s="38">
        <v>74.94</v>
      </c>
      <c r="BA1279" s="37">
        <v>73.45</v>
      </c>
      <c r="BB1279" s="38">
        <v>1.2628999999999999</v>
      </c>
    </row>
    <row r="1280" spans="1:54" x14ac:dyDescent="0.35">
      <c r="A1280" s="2">
        <f t="shared" si="19"/>
        <v>45614</v>
      </c>
      <c r="B1280" t="s">
        <v>1873</v>
      </c>
      <c r="C1280" s="32">
        <v>45614</v>
      </c>
      <c r="D1280" s="38">
        <v>118.68</v>
      </c>
      <c r="E1280" s="38">
        <v>119.6</v>
      </c>
      <c r="F1280" s="38">
        <v>119.77</v>
      </c>
      <c r="G1280" s="38">
        <v>117.35</v>
      </c>
      <c r="H1280" s="38">
        <v>114.12</v>
      </c>
      <c r="I1280" s="38">
        <v>111.42</v>
      </c>
      <c r="J1280" s="38">
        <v>109.68</v>
      </c>
      <c r="K1280" s="38">
        <v>108.98</v>
      </c>
      <c r="L1280" s="38">
        <v>108.98</v>
      </c>
      <c r="M1280" s="38">
        <v>108.23</v>
      </c>
      <c r="N1280" s="38">
        <v>104.68</v>
      </c>
      <c r="O1280" s="38">
        <v>106.56</v>
      </c>
      <c r="P1280" s="38">
        <v>108.72</v>
      </c>
      <c r="Q1280" s="38">
        <v>109.19</v>
      </c>
      <c r="R1280" s="38">
        <v>108.54</v>
      </c>
      <c r="S1280" s="38">
        <v>103.14</v>
      </c>
      <c r="T1280" s="38">
        <v>89.34</v>
      </c>
      <c r="U1280" s="38">
        <v>83.42</v>
      </c>
      <c r="V1280" s="38">
        <v>80.64</v>
      </c>
      <c r="W1280" s="38">
        <v>80.84</v>
      </c>
      <c r="X1280" s="38">
        <v>81.319999999999993</v>
      </c>
      <c r="Y1280" s="38">
        <v>82.57</v>
      </c>
      <c r="Z1280" s="38">
        <v>85.63</v>
      </c>
      <c r="AA1280" s="38">
        <v>87.38</v>
      </c>
      <c r="AB1280" s="38">
        <v>89.57</v>
      </c>
      <c r="AC1280" s="38">
        <v>91.44</v>
      </c>
      <c r="AD1280" s="38">
        <v>89.91</v>
      </c>
      <c r="AE1280" s="38">
        <v>84.53</v>
      </c>
      <c r="AF1280" s="38">
        <v>73.42</v>
      </c>
      <c r="AG1280" s="38">
        <v>70.62</v>
      </c>
      <c r="AH1280" s="38">
        <v>69.31</v>
      </c>
      <c r="AI1280" s="38">
        <v>69.900000000000006</v>
      </c>
      <c r="AJ1280" s="38">
        <v>70.36</v>
      </c>
      <c r="AK1280" s="38">
        <v>71.39</v>
      </c>
      <c r="AL1280" s="38">
        <v>74.28</v>
      </c>
      <c r="AM1280" s="38">
        <v>77.27</v>
      </c>
      <c r="AN1280" s="38">
        <v>80.36</v>
      </c>
      <c r="AO1280" s="38">
        <v>82.74</v>
      </c>
      <c r="AP1280" s="38">
        <v>81.86</v>
      </c>
      <c r="AQ1280" s="38">
        <v>78.41</v>
      </c>
      <c r="AR1280" s="38">
        <v>69.94</v>
      </c>
      <c r="AS1280" s="38">
        <v>65.709999999999994</v>
      </c>
      <c r="AT1280" s="38">
        <v>64.41</v>
      </c>
      <c r="AU1280" s="38">
        <v>63.92</v>
      </c>
      <c r="AV1280" s="38">
        <v>62.76</v>
      </c>
      <c r="AW1280" s="38">
        <v>66.05</v>
      </c>
      <c r="AX1280" s="38">
        <v>70.36</v>
      </c>
      <c r="AY1280" s="38">
        <v>74.42</v>
      </c>
      <c r="BA1280" s="37">
        <v>74.349999999999994</v>
      </c>
      <c r="BB1280" s="38">
        <v>1.264</v>
      </c>
    </row>
    <row r="1281" spans="1:54" x14ac:dyDescent="0.35">
      <c r="A1281" s="2">
        <f t="shared" si="19"/>
        <v>45615</v>
      </c>
      <c r="B1281" t="s">
        <v>1874</v>
      </c>
      <c r="C1281" s="32">
        <v>45615</v>
      </c>
      <c r="D1281" s="38">
        <v>114.74</v>
      </c>
      <c r="E1281" s="38">
        <v>116.3</v>
      </c>
      <c r="F1281" s="38">
        <v>116.58</v>
      </c>
      <c r="G1281" s="38">
        <v>114.29</v>
      </c>
      <c r="H1281" s="38">
        <v>111.06</v>
      </c>
      <c r="I1281" s="38">
        <v>108.48</v>
      </c>
      <c r="J1281" s="38">
        <v>106.92</v>
      </c>
      <c r="K1281" s="38">
        <v>106.36</v>
      </c>
      <c r="L1281" s="38">
        <v>106.46</v>
      </c>
      <c r="M1281" s="38">
        <v>106.06</v>
      </c>
      <c r="N1281" s="38">
        <v>102.68</v>
      </c>
      <c r="O1281" s="38">
        <v>104.87</v>
      </c>
      <c r="P1281" s="38">
        <v>106.98</v>
      </c>
      <c r="Q1281" s="38">
        <v>107.38</v>
      </c>
      <c r="R1281" s="38">
        <v>106.65</v>
      </c>
      <c r="S1281" s="38">
        <v>101.18</v>
      </c>
      <c r="T1281" s="38">
        <v>89.13</v>
      </c>
      <c r="U1281" s="38">
        <v>82.97</v>
      </c>
      <c r="V1281" s="38">
        <v>80.459999999999994</v>
      </c>
      <c r="W1281" s="38">
        <v>80.849999999999994</v>
      </c>
      <c r="X1281" s="38">
        <v>81.34</v>
      </c>
      <c r="Y1281" s="38">
        <v>82.56</v>
      </c>
      <c r="Z1281" s="38">
        <v>85.71</v>
      </c>
      <c r="AA1281" s="38">
        <v>87.45</v>
      </c>
      <c r="AB1281" s="38">
        <v>89.53</v>
      </c>
      <c r="AC1281" s="38">
        <v>91.68</v>
      </c>
      <c r="AD1281" s="38">
        <v>89.85</v>
      </c>
      <c r="AE1281" s="38">
        <v>84.32</v>
      </c>
      <c r="AF1281" s="38">
        <v>73.62</v>
      </c>
      <c r="AG1281" s="38">
        <v>71.12</v>
      </c>
      <c r="AH1281" s="38">
        <v>70.02</v>
      </c>
      <c r="AI1281" s="38">
        <v>70.62</v>
      </c>
      <c r="AJ1281" s="38">
        <v>71.08</v>
      </c>
      <c r="AK1281" s="38">
        <v>72.11</v>
      </c>
      <c r="AL1281" s="38">
        <v>75.27</v>
      </c>
      <c r="AM1281" s="38">
        <v>78.260000000000005</v>
      </c>
      <c r="AN1281" s="38">
        <v>81.47</v>
      </c>
      <c r="AO1281" s="38">
        <v>84.6</v>
      </c>
      <c r="AP1281" s="38">
        <v>83.74</v>
      </c>
      <c r="AQ1281" s="38">
        <v>80.290000000000006</v>
      </c>
      <c r="AR1281" s="38">
        <v>71.42</v>
      </c>
      <c r="AS1281" s="38">
        <v>67.16</v>
      </c>
      <c r="AT1281" s="38">
        <v>65.86</v>
      </c>
      <c r="AU1281" s="38">
        <v>65.37</v>
      </c>
      <c r="AV1281" s="38">
        <v>64.209999999999994</v>
      </c>
      <c r="AW1281" s="38">
        <v>67.5</v>
      </c>
      <c r="AX1281" s="38">
        <v>71.77</v>
      </c>
      <c r="AY1281" s="38">
        <v>75.83</v>
      </c>
      <c r="BA1281" s="37">
        <v>74.319999999999993</v>
      </c>
      <c r="BB1281" s="38">
        <v>1.2665</v>
      </c>
    </row>
    <row r="1282" spans="1:54" x14ac:dyDescent="0.35">
      <c r="A1282" s="2">
        <f t="shared" si="19"/>
        <v>45616</v>
      </c>
      <c r="B1282" t="s">
        <v>1875</v>
      </c>
      <c r="C1282" s="32">
        <v>45616</v>
      </c>
      <c r="D1282" s="38">
        <v>117.15</v>
      </c>
      <c r="E1282" s="38">
        <v>118.9</v>
      </c>
      <c r="F1282" s="38">
        <v>119.15</v>
      </c>
      <c r="G1282" s="38">
        <v>116.59</v>
      </c>
      <c r="H1282" s="38">
        <v>113.21</v>
      </c>
      <c r="I1282" s="38">
        <v>110.57</v>
      </c>
      <c r="J1282" s="38">
        <v>108.96</v>
      </c>
      <c r="K1282" s="38">
        <v>107.82</v>
      </c>
      <c r="L1282" s="38">
        <v>107.83</v>
      </c>
      <c r="M1282" s="38">
        <v>107.35</v>
      </c>
      <c r="N1282" s="38">
        <v>104.01</v>
      </c>
      <c r="O1282" s="38">
        <v>105.71</v>
      </c>
      <c r="P1282" s="38">
        <v>107.51</v>
      </c>
      <c r="Q1282" s="38">
        <v>107.5</v>
      </c>
      <c r="R1282" s="38">
        <v>106.51</v>
      </c>
      <c r="S1282" s="38">
        <v>100.65</v>
      </c>
      <c r="T1282" s="38">
        <v>88.92</v>
      </c>
      <c r="U1282" s="38">
        <v>82.78</v>
      </c>
      <c r="V1282" s="38">
        <v>80.28</v>
      </c>
      <c r="W1282" s="38">
        <v>80.61</v>
      </c>
      <c r="X1282" s="38">
        <v>81.099999999999994</v>
      </c>
      <c r="Y1282" s="38">
        <v>82.36</v>
      </c>
      <c r="Z1282" s="38">
        <v>85.5</v>
      </c>
      <c r="AA1282" s="38">
        <v>87.22</v>
      </c>
      <c r="AB1282" s="38">
        <v>89.3</v>
      </c>
      <c r="AC1282" s="38">
        <v>91.52</v>
      </c>
      <c r="AD1282" s="38">
        <v>89.7</v>
      </c>
      <c r="AE1282" s="38">
        <v>84.17</v>
      </c>
      <c r="AF1282" s="38">
        <v>73.099999999999994</v>
      </c>
      <c r="AG1282" s="38">
        <v>70.569999999999993</v>
      </c>
      <c r="AH1282" s="38">
        <v>69.459999999999994</v>
      </c>
      <c r="AI1282" s="38">
        <v>70.22</v>
      </c>
      <c r="AJ1282" s="38">
        <v>70.709999999999994</v>
      </c>
      <c r="AK1282" s="38">
        <v>71.47</v>
      </c>
      <c r="AL1282" s="38">
        <v>75.19</v>
      </c>
      <c r="AM1282" s="38">
        <v>77.5</v>
      </c>
      <c r="AN1282" s="38">
        <v>81.11</v>
      </c>
      <c r="AO1282" s="38">
        <v>84.25</v>
      </c>
      <c r="AP1282" s="38">
        <v>83.39</v>
      </c>
      <c r="AQ1282" s="38">
        <v>79.94</v>
      </c>
      <c r="AR1282" s="38">
        <v>71.28</v>
      </c>
      <c r="AS1282" s="38">
        <v>67.010000000000005</v>
      </c>
      <c r="AT1282" s="38">
        <v>65.709999999999994</v>
      </c>
      <c r="AU1282" s="38">
        <v>65.569999999999993</v>
      </c>
      <c r="AV1282" s="38">
        <v>64.400000000000006</v>
      </c>
      <c r="AW1282" s="38">
        <v>67.680000000000007</v>
      </c>
      <c r="AX1282" s="38">
        <v>71.69</v>
      </c>
      <c r="AY1282" s="38">
        <v>75.73</v>
      </c>
      <c r="BA1282" s="37">
        <v>74.33</v>
      </c>
      <c r="BB1282" s="38">
        <v>1.2653000000000001</v>
      </c>
    </row>
    <row r="1283" spans="1:54" x14ac:dyDescent="0.35">
      <c r="A1283" s="2">
        <f t="shared" si="19"/>
        <v>45617</v>
      </c>
      <c r="B1283" t="s">
        <v>1876</v>
      </c>
      <c r="C1283" s="32">
        <v>45617</v>
      </c>
      <c r="D1283" s="38">
        <v>120.9</v>
      </c>
      <c r="E1283" s="38">
        <v>122.72</v>
      </c>
      <c r="F1283" s="38">
        <v>123.07</v>
      </c>
      <c r="G1283" s="38">
        <v>120.72</v>
      </c>
      <c r="H1283" s="38">
        <v>117.38</v>
      </c>
      <c r="I1283" s="38">
        <v>114.48</v>
      </c>
      <c r="J1283" s="38">
        <v>112.74</v>
      </c>
      <c r="K1283" s="38">
        <v>111.5</v>
      </c>
      <c r="L1283" s="38">
        <v>111.42</v>
      </c>
      <c r="M1283" s="38">
        <v>111.19</v>
      </c>
      <c r="N1283" s="38">
        <v>108.83</v>
      </c>
      <c r="O1283" s="38">
        <v>109.77</v>
      </c>
      <c r="P1283" s="38">
        <v>111.21</v>
      </c>
      <c r="Q1283" s="38">
        <v>110.84</v>
      </c>
      <c r="R1283" s="38">
        <v>109.04</v>
      </c>
      <c r="S1283" s="38">
        <v>102.71</v>
      </c>
      <c r="T1283" s="38">
        <v>91.4</v>
      </c>
      <c r="U1283" s="38">
        <v>85.04</v>
      </c>
      <c r="V1283" s="38">
        <v>82.48</v>
      </c>
      <c r="W1283" s="38">
        <v>82.82</v>
      </c>
      <c r="X1283" s="38">
        <v>83.54</v>
      </c>
      <c r="Y1283" s="38">
        <v>84.15</v>
      </c>
      <c r="Z1283" s="38">
        <v>87.4</v>
      </c>
      <c r="AA1283" s="38">
        <v>89.13</v>
      </c>
      <c r="AB1283" s="38">
        <v>91.21</v>
      </c>
      <c r="AC1283" s="38">
        <v>93.33</v>
      </c>
      <c r="AD1283" s="38">
        <v>91.65</v>
      </c>
      <c r="AE1283" s="38">
        <v>86</v>
      </c>
      <c r="AF1283" s="38">
        <v>74.19</v>
      </c>
      <c r="AG1283" s="38">
        <v>71.66</v>
      </c>
      <c r="AH1283" s="38">
        <v>70.53</v>
      </c>
      <c r="AI1283" s="38">
        <v>71.23</v>
      </c>
      <c r="AJ1283" s="38">
        <v>71.709999999999994</v>
      </c>
      <c r="AK1283" s="38">
        <v>72.459999999999994</v>
      </c>
      <c r="AL1283" s="38">
        <v>76.03</v>
      </c>
      <c r="AM1283" s="38">
        <v>78.34</v>
      </c>
      <c r="AN1283" s="38">
        <v>81.95</v>
      </c>
      <c r="AO1283" s="38">
        <v>85.12</v>
      </c>
      <c r="AP1283" s="38">
        <v>84.27</v>
      </c>
      <c r="AQ1283" s="38">
        <v>80.81</v>
      </c>
      <c r="AR1283" s="38">
        <v>71.47</v>
      </c>
      <c r="AS1283" s="38">
        <v>67.2</v>
      </c>
      <c r="AT1283" s="38">
        <v>65.89</v>
      </c>
      <c r="AU1283" s="38">
        <v>65.75</v>
      </c>
      <c r="AV1283" s="38">
        <v>64.58</v>
      </c>
      <c r="AW1283" s="38">
        <v>67.86</v>
      </c>
      <c r="AX1283" s="38">
        <v>71.64</v>
      </c>
      <c r="AY1283" s="38">
        <v>75.66</v>
      </c>
      <c r="BA1283" s="37">
        <v>75.09</v>
      </c>
      <c r="BB1283" s="38">
        <v>1.2618</v>
      </c>
    </row>
    <row r="1284" spans="1:54" x14ac:dyDescent="0.35">
      <c r="A1284" s="2">
        <f t="shared" si="19"/>
        <v>45618</v>
      </c>
      <c r="B1284" t="s">
        <v>1877</v>
      </c>
      <c r="C1284" s="32">
        <v>45618</v>
      </c>
      <c r="D1284" s="38">
        <v>116.99</v>
      </c>
      <c r="E1284" s="38">
        <v>119.14</v>
      </c>
      <c r="F1284" s="38">
        <v>119.59</v>
      </c>
      <c r="G1284" s="38">
        <v>117.55</v>
      </c>
      <c r="H1284" s="38">
        <v>114.1</v>
      </c>
      <c r="I1284" s="38">
        <v>111.45</v>
      </c>
      <c r="J1284" s="38">
        <v>109.75</v>
      </c>
      <c r="K1284" s="38">
        <v>108.82</v>
      </c>
      <c r="L1284" s="38">
        <v>108.33</v>
      </c>
      <c r="M1284" s="38">
        <v>107.56</v>
      </c>
      <c r="N1284" s="38">
        <v>105.93</v>
      </c>
      <c r="O1284" s="38">
        <v>107.12</v>
      </c>
      <c r="P1284" s="38">
        <v>108.92</v>
      </c>
      <c r="Q1284" s="38">
        <v>108.69</v>
      </c>
      <c r="R1284" s="38">
        <v>106.9</v>
      </c>
      <c r="S1284" s="38">
        <v>100.68</v>
      </c>
      <c r="T1284" s="38">
        <v>90</v>
      </c>
      <c r="U1284" s="38">
        <v>84.37</v>
      </c>
      <c r="V1284" s="38">
        <v>81.87</v>
      </c>
      <c r="W1284" s="38">
        <v>81.98</v>
      </c>
      <c r="X1284" s="38">
        <v>82.6</v>
      </c>
      <c r="Y1284" s="38">
        <v>83.65</v>
      </c>
      <c r="Z1284" s="38">
        <v>86.92</v>
      </c>
      <c r="AA1284" s="38">
        <v>88.59</v>
      </c>
      <c r="AB1284" s="38">
        <v>90.66</v>
      </c>
      <c r="AC1284" s="38">
        <v>92.63</v>
      </c>
      <c r="AD1284" s="38">
        <v>90.94</v>
      </c>
      <c r="AE1284" s="38">
        <v>85.3</v>
      </c>
      <c r="AF1284" s="38">
        <v>73.75</v>
      </c>
      <c r="AG1284" s="38">
        <v>71.17</v>
      </c>
      <c r="AH1284" s="38">
        <v>70</v>
      </c>
      <c r="AI1284" s="38">
        <v>70.67</v>
      </c>
      <c r="AJ1284" s="38">
        <v>71.13</v>
      </c>
      <c r="AK1284" s="38">
        <v>71.849999999999994</v>
      </c>
      <c r="AL1284" s="38">
        <v>75.22</v>
      </c>
      <c r="AM1284" s="38">
        <v>77.53</v>
      </c>
      <c r="AN1284" s="38">
        <v>81.14</v>
      </c>
      <c r="AO1284" s="38">
        <v>84.24</v>
      </c>
      <c r="AP1284" s="38">
        <v>83.39</v>
      </c>
      <c r="AQ1284" s="38">
        <v>79.930000000000007</v>
      </c>
      <c r="AR1284" s="38">
        <v>70.62</v>
      </c>
      <c r="AS1284" s="38">
        <v>66.38</v>
      </c>
      <c r="AT1284" s="38">
        <v>65.08</v>
      </c>
      <c r="AU1284" s="38">
        <v>64.95</v>
      </c>
      <c r="AV1284" s="38">
        <v>63.79</v>
      </c>
      <c r="AW1284" s="38">
        <v>67.08</v>
      </c>
      <c r="AX1284" s="38">
        <v>70.930000000000007</v>
      </c>
      <c r="AY1284" s="38">
        <v>74.97</v>
      </c>
      <c r="BA1284" s="37">
        <v>76.099999999999994</v>
      </c>
      <c r="BB1284" s="38">
        <v>1.2526999999999999</v>
      </c>
    </row>
    <row r="1285" spans="1:54" x14ac:dyDescent="0.35">
      <c r="A1285" s="2">
        <f t="shared" si="19"/>
        <v>45621</v>
      </c>
      <c r="B1285" t="s">
        <v>1878</v>
      </c>
      <c r="C1285" s="32">
        <v>45621</v>
      </c>
      <c r="D1285" s="38">
        <v>119.51</v>
      </c>
      <c r="E1285" s="38">
        <v>121.94</v>
      </c>
      <c r="F1285" s="38">
        <v>122.28</v>
      </c>
      <c r="G1285" s="38">
        <v>119.88</v>
      </c>
      <c r="H1285" s="38">
        <v>116.24</v>
      </c>
      <c r="I1285" s="38">
        <v>113.48</v>
      </c>
      <c r="J1285" s="38">
        <v>111.82</v>
      </c>
      <c r="K1285" s="38">
        <v>110.73</v>
      </c>
      <c r="L1285" s="38">
        <v>110.2</v>
      </c>
      <c r="M1285" s="38">
        <v>109.47</v>
      </c>
      <c r="N1285" s="38">
        <v>107.49</v>
      </c>
      <c r="O1285" s="38">
        <v>108.68</v>
      </c>
      <c r="P1285" s="38">
        <v>110.48</v>
      </c>
      <c r="Q1285" s="38">
        <v>109.95</v>
      </c>
      <c r="R1285" s="38">
        <v>107.96</v>
      </c>
      <c r="S1285" s="38">
        <v>101.74</v>
      </c>
      <c r="T1285" s="38">
        <v>90.65</v>
      </c>
      <c r="U1285" s="38">
        <v>85.12</v>
      </c>
      <c r="V1285" s="38">
        <v>82.58</v>
      </c>
      <c r="W1285" s="38">
        <v>82.77</v>
      </c>
      <c r="X1285" s="38">
        <v>83.37</v>
      </c>
      <c r="Y1285" s="38">
        <v>84.4</v>
      </c>
      <c r="Z1285" s="38">
        <v>87.39</v>
      </c>
      <c r="AA1285" s="38">
        <v>89.03</v>
      </c>
      <c r="AB1285" s="38">
        <v>91.1</v>
      </c>
      <c r="AC1285" s="38">
        <v>92.82</v>
      </c>
      <c r="AD1285" s="38">
        <v>91.13</v>
      </c>
      <c r="AE1285" s="38">
        <v>85.49</v>
      </c>
      <c r="AF1285" s="38">
        <v>73.37</v>
      </c>
      <c r="AG1285" s="38">
        <v>70.78</v>
      </c>
      <c r="AH1285" s="38">
        <v>69.599999999999994</v>
      </c>
      <c r="AI1285" s="38">
        <v>70.400000000000006</v>
      </c>
      <c r="AJ1285" s="38">
        <v>70.73</v>
      </c>
      <c r="AK1285" s="38">
        <v>71.42</v>
      </c>
      <c r="AL1285" s="38">
        <v>74.569999999999993</v>
      </c>
      <c r="AM1285" s="38">
        <v>76.88</v>
      </c>
      <c r="AN1285" s="38">
        <v>80.48</v>
      </c>
      <c r="AO1285" s="38">
        <v>83.84</v>
      </c>
      <c r="AP1285" s="38">
        <v>83.01</v>
      </c>
      <c r="AQ1285" s="38">
        <v>79.55</v>
      </c>
      <c r="AR1285" s="38">
        <v>71.239999999999995</v>
      </c>
      <c r="AS1285" s="38">
        <v>67.06</v>
      </c>
      <c r="AT1285" s="38">
        <v>65.790000000000006</v>
      </c>
      <c r="AU1285" s="38">
        <v>65.69</v>
      </c>
      <c r="AV1285" s="38">
        <v>64.540000000000006</v>
      </c>
      <c r="AW1285" s="38">
        <v>67.849999999999994</v>
      </c>
      <c r="AX1285" s="38">
        <v>71.709999999999994</v>
      </c>
      <c r="AY1285" s="38">
        <v>75.77</v>
      </c>
      <c r="BA1285" s="37">
        <v>74.27</v>
      </c>
      <c r="BB1285" s="38">
        <v>1.2551000000000001</v>
      </c>
    </row>
    <row r="1286" spans="1:54" x14ac:dyDescent="0.35">
      <c r="A1286" s="2">
        <f t="shared" si="19"/>
        <v>45622</v>
      </c>
      <c r="B1286" t="s">
        <v>1879</v>
      </c>
      <c r="C1286" s="32">
        <v>45622</v>
      </c>
      <c r="D1286" s="38">
        <v>118.29</v>
      </c>
      <c r="E1286" s="38">
        <v>120.51</v>
      </c>
      <c r="F1286" s="38">
        <v>121.01</v>
      </c>
      <c r="G1286" s="38">
        <v>118.94</v>
      </c>
      <c r="H1286" s="38">
        <v>115.21</v>
      </c>
      <c r="I1286" s="38">
        <v>112.8</v>
      </c>
      <c r="J1286" s="38">
        <v>110.94</v>
      </c>
      <c r="K1286" s="38">
        <v>110.24</v>
      </c>
      <c r="L1286" s="38">
        <v>109.63</v>
      </c>
      <c r="M1286" s="38">
        <v>108.86</v>
      </c>
      <c r="N1286" s="38">
        <v>107.2</v>
      </c>
      <c r="O1286" s="38">
        <v>108.59</v>
      </c>
      <c r="P1286" s="38">
        <v>110.39</v>
      </c>
      <c r="Q1286" s="38">
        <v>109.83</v>
      </c>
      <c r="R1286" s="38">
        <v>107.82</v>
      </c>
      <c r="S1286" s="38">
        <v>101.58</v>
      </c>
      <c r="T1286" s="38">
        <v>90.28</v>
      </c>
      <c r="U1286" s="38">
        <v>84.73</v>
      </c>
      <c r="V1286" s="38">
        <v>82.18</v>
      </c>
      <c r="W1286" s="38">
        <v>82.36</v>
      </c>
      <c r="X1286" s="38">
        <v>82.95</v>
      </c>
      <c r="Y1286" s="38">
        <v>83.97</v>
      </c>
      <c r="Z1286" s="38">
        <v>87.21</v>
      </c>
      <c r="AA1286" s="38">
        <v>88.84</v>
      </c>
      <c r="AB1286" s="38">
        <v>90.9</v>
      </c>
      <c r="AC1286" s="38">
        <v>92.6</v>
      </c>
      <c r="AD1286" s="38">
        <v>90.89</v>
      </c>
      <c r="AE1286" s="38">
        <v>85.22</v>
      </c>
      <c r="AF1286" s="38">
        <v>73.14</v>
      </c>
      <c r="AG1286" s="38">
        <v>70.5</v>
      </c>
      <c r="AH1286" s="38">
        <v>69.27</v>
      </c>
      <c r="AI1286" s="38">
        <v>70.02</v>
      </c>
      <c r="AJ1286" s="38">
        <v>70.31</v>
      </c>
      <c r="AK1286" s="38">
        <v>70.959999999999994</v>
      </c>
      <c r="AL1286" s="38">
        <v>74.22</v>
      </c>
      <c r="AM1286" s="38">
        <v>76.53</v>
      </c>
      <c r="AN1286" s="38">
        <v>80.13</v>
      </c>
      <c r="AO1286" s="38">
        <v>83.49</v>
      </c>
      <c r="AP1286" s="38">
        <v>82.66</v>
      </c>
      <c r="AQ1286" s="38">
        <v>79.2</v>
      </c>
      <c r="AR1286" s="38">
        <v>71.69</v>
      </c>
      <c r="AS1286" s="38">
        <v>67.510000000000005</v>
      </c>
      <c r="AT1286" s="38">
        <v>66.239999999999995</v>
      </c>
      <c r="AU1286" s="38">
        <v>66.14</v>
      </c>
      <c r="AV1286" s="38">
        <v>64.989999999999995</v>
      </c>
      <c r="AW1286" s="38">
        <v>68.3</v>
      </c>
      <c r="AX1286" s="38">
        <v>72.16</v>
      </c>
      <c r="AY1286" s="38">
        <v>76.22</v>
      </c>
      <c r="BA1286" s="37">
        <v>74.56</v>
      </c>
      <c r="BB1286" s="38">
        <v>1.2563</v>
      </c>
    </row>
    <row r="1287" spans="1:54" x14ac:dyDescent="0.35">
      <c r="A1287" s="2">
        <f t="shared" si="19"/>
        <v>45623</v>
      </c>
      <c r="B1287" t="s">
        <v>1880</v>
      </c>
      <c r="C1287" s="32">
        <v>45623</v>
      </c>
      <c r="D1287" s="38">
        <v>116.99</v>
      </c>
      <c r="E1287" s="38">
        <v>119.24</v>
      </c>
      <c r="F1287" s="38">
        <v>119.67</v>
      </c>
      <c r="G1287" s="38">
        <v>117.25</v>
      </c>
      <c r="H1287" s="38">
        <v>113.87</v>
      </c>
      <c r="I1287" s="38">
        <v>111.42</v>
      </c>
      <c r="J1287" s="38">
        <v>109.77</v>
      </c>
      <c r="K1287" s="38">
        <v>108.77</v>
      </c>
      <c r="L1287" s="38">
        <v>108.16</v>
      </c>
      <c r="M1287" s="38">
        <v>107.39</v>
      </c>
      <c r="N1287" s="38">
        <v>106.48</v>
      </c>
      <c r="O1287" s="38">
        <v>107.88</v>
      </c>
      <c r="P1287" s="38">
        <v>109.68</v>
      </c>
      <c r="Q1287" s="38">
        <v>109.32</v>
      </c>
      <c r="R1287" s="38">
        <v>107.31</v>
      </c>
      <c r="S1287" s="38">
        <v>101.06</v>
      </c>
      <c r="T1287" s="38">
        <v>89.72</v>
      </c>
      <c r="U1287" s="38">
        <v>84.13</v>
      </c>
      <c r="V1287" s="38">
        <v>81.55</v>
      </c>
      <c r="W1287" s="38">
        <v>81.7</v>
      </c>
      <c r="X1287" s="38">
        <v>82.25</v>
      </c>
      <c r="Y1287" s="38">
        <v>83.23</v>
      </c>
      <c r="Z1287" s="38">
        <v>86.21</v>
      </c>
      <c r="AA1287" s="38">
        <v>87.84</v>
      </c>
      <c r="AB1287" s="38">
        <v>89.9</v>
      </c>
      <c r="AC1287" s="38">
        <v>91.6</v>
      </c>
      <c r="AD1287" s="38">
        <v>89.89</v>
      </c>
      <c r="AE1287" s="38">
        <v>84.22</v>
      </c>
      <c r="AF1287" s="38">
        <v>72.64</v>
      </c>
      <c r="AG1287" s="38">
        <v>70</v>
      </c>
      <c r="AH1287" s="38">
        <v>68.77</v>
      </c>
      <c r="AI1287" s="38">
        <v>69.52</v>
      </c>
      <c r="AJ1287" s="38">
        <v>69.81</v>
      </c>
      <c r="AK1287" s="38">
        <v>70.459999999999994</v>
      </c>
      <c r="AL1287" s="38">
        <v>73.69</v>
      </c>
      <c r="AM1287" s="38">
        <v>76</v>
      </c>
      <c r="AN1287" s="38">
        <v>79.599999999999994</v>
      </c>
      <c r="AO1287" s="38">
        <v>82.96</v>
      </c>
      <c r="AP1287" s="38">
        <v>82.13</v>
      </c>
      <c r="AQ1287" s="38">
        <v>78.67</v>
      </c>
      <c r="AR1287" s="38">
        <v>71.459999999999994</v>
      </c>
      <c r="AS1287" s="38">
        <v>67.28</v>
      </c>
      <c r="AT1287" s="38">
        <v>66.010000000000005</v>
      </c>
      <c r="AU1287" s="38">
        <v>65.91</v>
      </c>
      <c r="AV1287" s="38">
        <v>64.760000000000005</v>
      </c>
      <c r="AW1287" s="38">
        <v>68.069999999999993</v>
      </c>
      <c r="AX1287" s="38">
        <v>71.930000000000007</v>
      </c>
      <c r="AY1287" s="38">
        <v>75.989999999999995</v>
      </c>
      <c r="BA1287" s="37">
        <v>73.91</v>
      </c>
      <c r="BB1287" s="38">
        <v>1.2677</v>
      </c>
    </row>
    <row r="1288" spans="1:54" x14ac:dyDescent="0.35">
      <c r="A1288" s="2">
        <f t="shared" si="19"/>
        <v>45624</v>
      </c>
      <c r="B1288" t="s">
        <v>1881</v>
      </c>
      <c r="C1288" s="32">
        <v>45624</v>
      </c>
      <c r="D1288" s="38">
        <v>115.44</v>
      </c>
      <c r="E1288" s="38">
        <v>117.55</v>
      </c>
      <c r="F1288" s="38">
        <v>117.94</v>
      </c>
      <c r="G1288" s="38">
        <v>115.88</v>
      </c>
      <c r="H1288" s="38">
        <v>112.66</v>
      </c>
      <c r="I1288" s="38">
        <v>110.15</v>
      </c>
      <c r="J1288" s="38">
        <v>109.16</v>
      </c>
      <c r="K1288" s="38">
        <v>107.77</v>
      </c>
      <c r="L1288" s="38">
        <v>107.32</v>
      </c>
      <c r="M1288" s="38">
        <v>106.87</v>
      </c>
      <c r="N1288" s="38">
        <v>105.9</v>
      </c>
      <c r="O1288" s="38">
        <v>107.45</v>
      </c>
      <c r="P1288" s="38">
        <v>109.25</v>
      </c>
      <c r="Q1288" s="38">
        <v>108.95</v>
      </c>
      <c r="R1288" s="38">
        <v>107.03</v>
      </c>
      <c r="S1288" s="38">
        <v>100.87</v>
      </c>
      <c r="T1288" s="38">
        <v>89.83</v>
      </c>
      <c r="U1288" s="38">
        <v>84.24</v>
      </c>
      <c r="V1288" s="38">
        <v>81.66</v>
      </c>
      <c r="W1288" s="38">
        <v>81.81</v>
      </c>
      <c r="X1288" s="38">
        <v>82.36</v>
      </c>
      <c r="Y1288" s="38">
        <v>83.34</v>
      </c>
      <c r="Z1288" s="38">
        <v>86.12</v>
      </c>
      <c r="AA1288" s="38">
        <v>87.75</v>
      </c>
      <c r="AB1288" s="38">
        <v>89.81</v>
      </c>
      <c r="AC1288" s="38">
        <v>91.51</v>
      </c>
      <c r="AD1288" s="38">
        <v>89.8</v>
      </c>
      <c r="AE1288" s="38">
        <v>84.13</v>
      </c>
      <c r="AF1288" s="38">
        <v>72.650000000000006</v>
      </c>
      <c r="AG1288" s="38">
        <v>70.010000000000005</v>
      </c>
      <c r="AH1288" s="38">
        <v>68.78</v>
      </c>
      <c r="AI1288" s="38">
        <v>69.53</v>
      </c>
      <c r="AJ1288" s="38">
        <v>69.819999999999993</v>
      </c>
      <c r="AK1288" s="38">
        <v>70.47</v>
      </c>
      <c r="AL1288" s="38">
        <v>73.3</v>
      </c>
      <c r="AM1288" s="38">
        <v>75.61</v>
      </c>
      <c r="AN1288" s="38">
        <v>79.209999999999994</v>
      </c>
      <c r="AO1288" s="38">
        <v>82.57</v>
      </c>
      <c r="AP1288" s="38">
        <v>81.739999999999995</v>
      </c>
      <c r="AQ1288" s="38">
        <v>78.28</v>
      </c>
      <c r="AR1288" s="38">
        <v>71.27</v>
      </c>
      <c r="AS1288" s="38">
        <v>67.09</v>
      </c>
      <c r="AT1288" s="38">
        <v>65.819999999999993</v>
      </c>
      <c r="AU1288" s="38">
        <v>65.72</v>
      </c>
      <c r="AV1288" s="38">
        <v>64.569999999999993</v>
      </c>
      <c r="AW1288" s="38">
        <v>67.88</v>
      </c>
      <c r="AX1288" s="38">
        <v>71.739999999999995</v>
      </c>
      <c r="AY1288" s="38">
        <v>75.8</v>
      </c>
      <c r="BA1288" s="37">
        <v>73.92</v>
      </c>
      <c r="BB1288" s="38">
        <v>1.2682</v>
      </c>
    </row>
    <row r="1289" spans="1:54" x14ac:dyDescent="0.35">
      <c r="A1289" s="2">
        <f t="shared" si="19"/>
        <v>45625</v>
      </c>
      <c r="B1289" t="s">
        <v>1882</v>
      </c>
      <c r="C1289" s="32">
        <v>45625</v>
      </c>
      <c r="D1289" s="38">
        <v>119.56</v>
      </c>
      <c r="E1289" s="38">
        <v>120.04</v>
      </c>
      <c r="F1289" s="38">
        <v>117.94</v>
      </c>
      <c r="G1289" s="38">
        <v>114.84</v>
      </c>
      <c r="H1289" s="38">
        <v>112.35</v>
      </c>
      <c r="I1289" s="38">
        <v>111.05</v>
      </c>
      <c r="J1289" s="38">
        <v>109.76</v>
      </c>
      <c r="K1289" s="38">
        <v>109.3</v>
      </c>
      <c r="L1289" s="38">
        <v>108.85</v>
      </c>
      <c r="M1289" s="38">
        <v>107.98</v>
      </c>
      <c r="N1289" s="38">
        <v>109.53</v>
      </c>
      <c r="O1289" s="38">
        <v>111.33</v>
      </c>
      <c r="P1289" s="38">
        <v>110.89</v>
      </c>
      <c r="Q1289" s="38">
        <v>108.97</v>
      </c>
      <c r="R1289" s="38">
        <v>102.81</v>
      </c>
      <c r="S1289" s="38">
        <v>91.07</v>
      </c>
      <c r="T1289" s="38">
        <v>85.48</v>
      </c>
      <c r="U1289" s="38">
        <v>82.9</v>
      </c>
      <c r="V1289" s="38">
        <v>83.05</v>
      </c>
      <c r="W1289" s="38">
        <v>83.6</v>
      </c>
      <c r="X1289" s="38">
        <v>84.58</v>
      </c>
      <c r="Y1289" s="38">
        <v>87.06</v>
      </c>
      <c r="Z1289" s="38">
        <v>88.69</v>
      </c>
      <c r="AA1289" s="38">
        <v>90.55</v>
      </c>
      <c r="AB1289" s="38">
        <v>92.25</v>
      </c>
      <c r="AC1289" s="38">
        <v>90.54</v>
      </c>
      <c r="AD1289" s="38">
        <v>84.87</v>
      </c>
      <c r="AE1289" s="38">
        <v>73.19</v>
      </c>
      <c r="AF1289" s="38">
        <v>70.55</v>
      </c>
      <c r="AG1289" s="38">
        <v>69.319999999999993</v>
      </c>
      <c r="AH1289" s="38">
        <v>70.069999999999993</v>
      </c>
      <c r="AI1289" s="38">
        <v>70.36</v>
      </c>
      <c r="AJ1289" s="38">
        <v>71.010000000000005</v>
      </c>
      <c r="AK1289" s="38">
        <v>74.709999999999994</v>
      </c>
      <c r="AL1289" s="38">
        <v>77.02</v>
      </c>
      <c r="AM1289" s="38">
        <v>79.819999999999993</v>
      </c>
      <c r="AN1289" s="38">
        <v>82.62</v>
      </c>
      <c r="AO1289" s="38">
        <v>81.790000000000006</v>
      </c>
      <c r="AP1289" s="38">
        <v>78.33</v>
      </c>
      <c r="AQ1289" s="38">
        <v>71.319999999999993</v>
      </c>
      <c r="AR1289" s="38">
        <v>67.14</v>
      </c>
      <c r="AS1289" s="38">
        <v>65.87</v>
      </c>
      <c r="AT1289" s="38">
        <v>65.77</v>
      </c>
      <c r="AU1289" s="38">
        <v>64.62</v>
      </c>
      <c r="AV1289" s="38">
        <v>67.930000000000007</v>
      </c>
      <c r="AW1289" s="38">
        <v>71.790000000000006</v>
      </c>
      <c r="AX1289" s="38">
        <v>75.849999999999994</v>
      </c>
      <c r="AY1289" s="38">
        <v>79.23</v>
      </c>
      <c r="BA1289" s="37">
        <v>74.16</v>
      </c>
      <c r="BB1289" s="38">
        <v>1.2707999999999999</v>
      </c>
    </row>
    <row r="1290" spans="1:54" x14ac:dyDescent="0.35">
      <c r="A1290" s="2">
        <f t="shared" si="19"/>
        <v>45628</v>
      </c>
      <c r="B1290" t="s">
        <v>1883</v>
      </c>
      <c r="C1290" s="32">
        <v>45628</v>
      </c>
      <c r="D1290" s="38">
        <v>121.62</v>
      </c>
      <c r="E1290" s="38">
        <v>121.98</v>
      </c>
      <c r="F1290" s="38">
        <v>119.67</v>
      </c>
      <c r="G1290" s="38">
        <v>116.56</v>
      </c>
      <c r="H1290" s="38">
        <v>113.84</v>
      </c>
      <c r="I1290" s="38">
        <v>112.53</v>
      </c>
      <c r="J1290" s="38">
        <v>111.13</v>
      </c>
      <c r="K1290" s="38">
        <v>110.61</v>
      </c>
      <c r="L1290" s="38">
        <v>110.43</v>
      </c>
      <c r="M1290" s="38">
        <v>109.02</v>
      </c>
      <c r="N1290" s="38">
        <v>110.53</v>
      </c>
      <c r="O1290" s="38">
        <v>112.23</v>
      </c>
      <c r="P1290" s="38">
        <v>111.93</v>
      </c>
      <c r="Q1290" s="38">
        <v>109.83</v>
      </c>
      <c r="R1290" s="38">
        <v>103.62</v>
      </c>
      <c r="S1290" s="38">
        <v>91.9</v>
      </c>
      <c r="T1290" s="38">
        <v>86.26</v>
      </c>
      <c r="U1290" s="38">
        <v>83.68</v>
      </c>
      <c r="V1290" s="38">
        <v>83.82</v>
      </c>
      <c r="W1290" s="38">
        <v>84.37</v>
      </c>
      <c r="X1290" s="38">
        <v>85.36</v>
      </c>
      <c r="Y1290" s="38">
        <v>88.01</v>
      </c>
      <c r="Z1290" s="38">
        <v>89.51</v>
      </c>
      <c r="AA1290" s="38">
        <v>91.12</v>
      </c>
      <c r="AB1290" s="38">
        <v>92.67</v>
      </c>
      <c r="AC1290" s="38">
        <v>91.22</v>
      </c>
      <c r="AD1290" s="38">
        <v>85.06</v>
      </c>
      <c r="AE1290" s="38">
        <v>73.790000000000006</v>
      </c>
      <c r="AF1290" s="38">
        <v>70.930000000000007</v>
      </c>
      <c r="AG1290" s="38">
        <v>69.7</v>
      </c>
      <c r="AH1290" s="38">
        <v>70.45</v>
      </c>
      <c r="AI1290" s="38">
        <v>70.739999999999995</v>
      </c>
      <c r="AJ1290" s="38">
        <v>71.39</v>
      </c>
      <c r="AK1290" s="38">
        <v>75.09</v>
      </c>
      <c r="AL1290" s="38">
        <v>77.400000000000006</v>
      </c>
      <c r="AM1290" s="38">
        <v>80.2</v>
      </c>
      <c r="AN1290" s="38">
        <v>82.81</v>
      </c>
      <c r="AO1290" s="38">
        <v>81.98</v>
      </c>
      <c r="AP1290" s="38">
        <v>78.52</v>
      </c>
      <c r="AQ1290" s="38">
        <v>71.52</v>
      </c>
      <c r="AR1290" s="38">
        <v>67.34</v>
      </c>
      <c r="AS1290" s="38">
        <v>66.069999999999993</v>
      </c>
      <c r="AT1290" s="38">
        <v>65.97</v>
      </c>
      <c r="AU1290" s="38">
        <v>64.819999999999993</v>
      </c>
      <c r="AV1290" s="38">
        <v>68.13</v>
      </c>
      <c r="AW1290" s="38">
        <v>72.34</v>
      </c>
      <c r="AX1290" s="38">
        <v>76.400000000000006</v>
      </c>
      <c r="AY1290" s="38">
        <v>78.900000000000006</v>
      </c>
      <c r="BA1290" s="37">
        <v>72.81</v>
      </c>
      <c r="BB1290" s="38">
        <v>1.2628999999999999</v>
      </c>
    </row>
    <row r="1291" spans="1:54" x14ac:dyDescent="0.35">
      <c r="A1291" s="2">
        <f t="shared" si="19"/>
        <v>45629</v>
      </c>
      <c r="B1291" t="s">
        <v>1884</v>
      </c>
      <c r="C1291" s="32">
        <v>45629</v>
      </c>
      <c r="D1291" s="38">
        <v>121.57</v>
      </c>
      <c r="E1291" s="38">
        <v>121.94</v>
      </c>
      <c r="F1291" s="38">
        <v>119.59</v>
      </c>
      <c r="G1291" s="38">
        <v>116.06</v>
      </c>
      <c r="H1291" s="38">
        <v>113.36</v>
      </c>
      <c r="I1291" s="38">
        <v>111.86</v>
      </c>
      <c r="J1291" s="38">
        <v>110.41</v>
      </c>
      <c r="K1291" s="38">
        <v>110.13</v>
      </c>
      <c r="L1291" s="38">
        <v>109.97</v>
      </c>
      <c r="M1291" s="38">
        <v>108.26</v>
      </c>
      <c r="N1291" s="38">
        <v>109.58</v>
      </c>
      <c r="O1291" s="38">
        <v>110.78</v>
      </c>
      <c r="P1291" s="38">
        <v>110.72</v>
      </c>
      <c r="Q1291" s="38">
        <v>108.64</v>
      </c>
      <c r="R1291" s="38">
        <v>102.66</v>
      </c>
      <c r="S1291" s="38">
        <v>90.93</v>
      </c>
      <c r="T1291" s="38">
        <v>85.45</v>
      </c>
      <c r="U1291" s="38">
        <v>82.8</v>
      </c>
      <c r="V1291" s="38">
        <v>83</v>
      </c>
      <c r="W1291" s="38">
        <v>83.59</v>
      </c>
      <c r="X1291" s="38">
        <v>84.65</v>
      </c>
      <c r="Y1291" s="38">
        <v>87.67</v>
      </c>
      <c r="Z1291" s="38">
        <v>89.16</v>
      </c>
      <c r="AA1291" s="38">
        <v>90.77</v>
      </c>
      <c r="AB1291" s="38">
        <v>92.35</v>
      </c>
      <c r="AC1291" s="38">
        <v>90.9</v>
      </c>
      <c r="AD1291" s="38">
        <v>84.74</v>
      </c>
      <c r="AE1291" s="38">
        <v>73.69</v>
      </c>
      <c r="AF1291" s="38">
        <v>70.83</v>
      </c>
      <c r="AG1291" s="38">
        <v>69.59</v>
      </c>
      <c r="AH1291" s="38">
        <v>70.34</v>
      </c>
      <c r="AI1291" s="38">
        <v>70.63</v>
      </c>
      <c r="AJ1291" s="38">
        <v>71.06</v>
      </c>
      <c r="AK1291" s="38">
        <v>74.760000000000005</v>
      </c>
      <c r="AL1291" s="38">
        <v>77.069999999999993</v>
      </c>
      <c r="AM1291" s="38">
        <v>79.86</v>
      </c>
      <c r="AN1291" s="38">
        <v>82.53</v>
      </c>
      <c r="AO1291" s="38">
        <v>81.680000000000007</v>
      </c>
      <c r="AP1291" s="38">
        <v>78.22</v>
      </c>
      <c r="AQ1291" s="38">
        <v>71.22</v>
      </c>
      <c r="AR1291" s="38">
        <v>67.040000000000006</v>
      </c>
      <c r="AS1291" s="38">
        <v>65.77</v>
      </c>
      <c r="AT1291" s="38">
        <v>65.67</v>
      </c>
      <c r="AU1291" s="38">
        <v>64.52</v>
      </c>
      <c r="AV1291" s="38">
        <v>67.83</v>
      </c>
      <c r="AW1291" s="38">
        <v>72</v>
      </c>
      <c r="AX1291" s="38">
        <v>76.06</v>
      </c>
      <c r="AY1291" s="38">
        <v>78.489999999999995</v>
      </c>
      <c r="BA1291" s="37">
        <v>74.8</v>
      </c>
      <c r="BB1291" s="38">
        <v>1.2662</v>
      </c>
    </row>
    <row r="1292" spans="1:54" x14ac:dyDescent="0.35">
      <c r="A1292" s="2">
        <f t="shared" si="19"/>
        <v>45630</v>
      </c>
      <c r="B1292" t="s">
        <v>1885</v>
      </c>
      <c r="C1292" s="32">
        <v>45630</v>
      </c>
      <c r="D1292" s="38">
        <v>117.24</v>
      </c>
      <c r="E1292" s="38">
        <v>117.72</v>
      </c>
      <c r="F1292" s="38">
        <v>115.74</v>
      </c>
      <c r="G1292" s="38">
        <v>112.44</v>
      </c>
      <c r="H1292" s="38">
        <v>109.89</v>
      </c>
      <c r="I1292" s="38">
        <v>108.48</v>
      </c>
      <c r="J1292" s="38">
        <v>107.46</v>
      </c>
      <c r="K1292" s="38">
        <v>106.96</v>
      </c>
      <c r="L1292" s="38">
        <v>106.83</v>
      </c>
      <c r="M1292" s="38">
        <v>105.91</v>
      </c>
      <c r="N1292" s="38">
        <v>107.87</v>
      </c>
      <c r="O1292" s="38">
        <v>108.93</v>
      </c>
      <c r="P1292" s="38">
        <v>108.99</v>
      </c>
      <c r="Q1292" s="38">
        <v>106.98</v>
      </c>
      <c r="R1292" s="38">
        <v>101.06</v>
      </c>
      <c r="S1292" s="38">
        <v>89.97</v>
      </c>
      <c r="T1292" s="38">
        <v>84.52</v>
      </c>
      <c r="U1292" s="38">
        <v>81.87</v>
      </c>
      <c r="V1292" s="38">
        <v>81.86</v>
      </c>
      <c r="W1292" s="38">
        <v>82.45</v>
      </c>
      <c r="X1292" s="38">
        <v>83.57</v>
      </c>
      <c r="Y1292" s="38">
        <v>86.68</v>
      </c>
      <c r="Z1292" s="38">
        <v>88.55</v>
      </c>
      <c r="AA1292" s="38">
        <v>90.16</v>
      </c>
      <c r="AB1292" s="38">
        <v>91.41</v>
      </c>
      <c r="AC1292" s="38">
        <v>89.96</v>
      </c>
      <c r="AD1292" s="38">
        <v>83.8</v>
      </c>
      <c r="AE1292" s="38">
        <v>73.22</v>
      </c>
      <c r="AF1292" s="38">
        <v>70.099999999999994</v>
      </c>
      <c r="AG1292" s="38">
        <v>68.849999999999994</v>
      </c>
      <c r="AH1292" s="38">
        <v>69.62</v>
      </c>
      <c r="AI1292" s="38">
        <v>69.91</v>
      </c>
      <c r="AJ1292" s="38">
        <v>70.34</v>
      </c>
      <c r="AK1292" s="38">
        <v>74.25</v>
      </c>
      <c r="AL1292" s="38">
        <v>76.56</v>
      </c>
      <c r="AM1292" s="38">
        <v>79.34</v>
      </c>
      <c r="AN1292" s="38">
        <v>82.01</v>
      </c>
      <c r="AO1292" s="38">
        <v>81.16</v>
      </c>
      <c r="AP1292" s="38">
        <v>77.7</v>
      </c>
      <c r="AQ1292" s="38">
        <v>70.78</v>
      </c>
      <c r="AR1292" s="38">
        <v>66.599999999999994</v>
      </c>
      <c r="AS1292" s="38">
        <v>65.33</v>
      </c>
      <c r="AT1292" s="38">
        <v>65.23</v>
      </c>
      <c r="AU1292" s="38">
        <v>64.08</v>
      </c>
      <c r="AV1292" s="38">
        <v>67.39</v>
      </c>
      <c r="AW1292" s="38">
        <v>71.569999999999993</v>
      </c>
      <c r="AX1292" s="38">
        <v>75.63</v>
      </c>
      <c r="AY1292" s="38">
        <v>78.05</v>
      </c>
      <c r="BA1292" s="37">
        <v>74.680000000000007</v>
      </c>
      <c r="BB1292" s="38">
        <v>1.2707999999999999</v>
      </c>
    </row>
    <row r="1293" spans="1:54" x14ac:dyDescent="0.35">
      <c r="A1293" s="2">
        <f t="shared" ref="A1293:A1356" si="20">+A1288+7</f>
        <v>45631</v>
      </c>
      <c r="B1293" t="s">
        <v>1886</v>
      </c>
      <c r="C1293" s="32">
        <v>45631</v>
      </c>
      <c r="D1293" s="38">
        <v>116</v>
      </c>
      <c r="E1293" s="38">
        <v>116.59</v>
      </c>
      <c r="F1293" s="38">
        <v>114.69</v>
      </c>
      <c r="G1293" s="38">
        <v>111.4</v>
      </c>
      <c r="H1293" s="38">
        <v>109.15</v>
      </c>
      <c r="I1293" s="38">
        <v>107.48</v>
      </c>
      <c r="J1293" s="38">
        <v>106.38</v>
      </c>
      <c r="K1293" s="38">
        <v>106.3</v>
      </c>
      <c r="L1293" s="38">
        <v>106.25</v>
      </c>
      <c r="M1293" s="38">
        <v>104.95</v>
      </c>
      <c r="N1293" s="38">
        <v>106.54</v>
      </c>
      <c r="O1293" s="38">
        <v>107.67</v>
      </c>
      <c r="P1293" s="38">
        <v>107.72</v>
      </c>
      <c r="Q1293" s="38">
        <v>105.7</v>
      </c>
      <c r="R1293" s="38">
        <v>100</v>
      </c>
      <c r="S1293" s="38">
        <v>89.59</v>
      </c>
      <c r="T1293" s="38">
        <v>84.28</v>
      </c>
      <c r="U1293" s="38">
        <v>81.63</v>
      </c>
      <c r="V1293" s="38">
        <v>81.569999999999993</v>
      </c>
      <c r="W1293" s="38">
        <v>82.16</v>
      </c>
      <c r="X1293" s="38">
        <v>83.34</v>
      </c>
      <c r="Y1293" s="38">
        <v>86.52</v>
      </c>
      <c r="Z1293" s="38">
        <v>88.7</v>
      </c>
      <c r="AA1293" s="38">
        <v>90.31</v>
      </c>
      <c r="AB1293" s="38">
        <v>91.57</v>
      </c>
      <c r="AC1293" s="38">
        <v>90</v>
      </c>
      <c r="AD1293" s="38">
        <v>83.76</v>
      </c>
      <c r="AE1293" s="38">
        <v>73.510000000000005</v>
      </c>
      <c r="AF1293" s="38">
        <v>70.39</v>
      </c>
      <c r="AG1293" s="38">
        <v>69.14</v>
      </c>
      <c r="AH1293" s="38">
        <v>69.91</v>
      </c>
      <c r="AI1293" s="38">
        <v>70.2</v>
      </c>
      <c r="AJ1293" s="38">
        <v>70.63</v>
      </c>
      <c r="AK1293" s="38">
        <v>74.55</v>
      </c>
      <c r="AL1293" s="38">
        <v>76.86</v>
      </c>
      <c r="AM1293" s="38">
        <v>79.64</v>
      </c>
      <c r="AN1293" s="38">
        <v>82.12</v>
      </c>
      <c r="AO1293" s="38">
        <v>81.27</v>
      </c>
      <c r="AP1293" s="38">
        <v>77.81</v>
      </c>
      <c r="AQ1293" s="38">
        <v>71.09</v>
      </c>
      <c r="AR1293" s="38">
        <v>66.91</v>
      </c>
      <c r="AS1293" s="38">
        <v>65.64</v>
      </c>
      <c r="AT1293" s="38">
        <v>65.52</v>
      </c>
      <c r="AU1293" s="38">
        <v>64.37</v>
      </c>
      <c r="AV1293" s="38">
        <v>67.680000000000007</v>
      </c>
      <c r="AW1293" s="38">
        <v>71.64</v>
      </c>
      <c r="AX1293" s="38">
        <v>75.7</v>
      </c>
      <c r="AY1293" s="38">
        <v>78.11</v>
      </c>
      <c r="BA1293" s="37">
        <v>73.78</v>
      </c>
      <c r="BB1293" s="38">
        <v>1.2757000000000001</v>
      </c>
    </row>
    <row r="1294" spans="1:54" x14ac:dyDescent="0.35">
      <c r="A1294" s="2">
        <f t="shared" si="20"/>
        <v>45632</v>
      </c>
      <c r="B1294" t="s">
        <v>1887</v>
      </c>
      <c r="C1294" s="32">
        <v>45632</v>
      </c>
      <c r="D1294" s="38">
        <v>115.87</v>
      </c>
      <c r="E1294" s="38">
        <v>116.49</v>
      </c>
      <c r="F1294" s="38">
        <v>114.77</v>
      </c>
      <c r="G1294" s="38">
        <v>111.53</v>
      </c>
      <c r="H1294" s="38">
        <v>109.13</v>
      </c>
      <c r="I1294" s="38">
        <v>107.69</v>
      </c>
      <c r="J1294" s="38">
        <v>106.39</v>
      </c>
      <c r="K1294" s="38">
        <v>106.36</v>
      </c>
      <c r="L1294" s="38">
        <v>106.32</v>
      </c>
      <c r="M1294" s="38">
        <v>105.04</v>
      </c>
      <c r="N1294" s="38">
        <v>106.32</v>
      </c>
      <c r="O1294" s="38">
        <v>107.34</v>
      </c>
      <c r="P1294" s="38">
        <v>107.4</v>
      </c>
      <c r="Q1294" s="38">
        <v>105.49</v>
      </c>
      <c r="R1294" s="38">
        <v>99.91</v>
      </c>
      <c r="S1294" s="38">
        <v>89.49</v>
      </c>
      <c r="T1294" s="38">
        <v>84.25</v>
      </c>
      <c r="U1294" s="38">
        <v>81.599999999999994</v>
      </c>
      <c r="V1294" s="38">
        <v>81.56</v>
      </c>
      <c r="W1294" s="38">
        <v>82.17</v>
      </c>
      <c r="X1294" s="38">
        <v>83.35</v>
      </c>
      <c r="Y1294" s="38">
        <v>86.39</v>
      </c>
      <c r="Z1294" s="38">
        <v>88.38</v>
      </c>
      <c r="AA1294" s="38">
        <v>90.01</v>
      </c>
      <c r="AB1294" s="38">
        <v>91.52</v>
      </c>
      <c r="AC1294" s="38">
        <v>89.95</v>
      </c>
      <c r="AD1294" s="38">
        <v>83.72</v>
      </c>
      <c r="AE1294" s="38">
        <v>73.540000000000006</v>
      </c>
      <c r="AF1294" s="38">
        <v>70.3</v>
      </c>
      <c r="AG1294" s="38">
        <v>69.05</v>
      </c>
      <c r="AH1294" s="38">
        <v>69.8</v>
      </c>
      <c r="AI1294" s="38">
        <v>70.09</v>
      </c>
      <c r="AJ1294" s="38">
        <v>70.53</v>
      </c>
      <c r="AK1294" s="38">
        <v>74.34</v>
      </c>
      <c r="AL1294" s="38">
        <v>76.650000000000006</v>
      </c>
      <c r="AM1294" s="38">
        <v>79.430000000000007</v>
      </c>
      <c r="AN1294" s="38">
        <v>82.14</v>
      </c>
      <c r="AO1294" s="38">
        <v>81.290000000000006</v>
      </c>
      <c r="AP1294" s="38">
        <v>77.78</v>
      </c>
      <c r="AQ1294" s="38">
        <v>70.64</v>
      </c>
      <c r="AR1294" s="38">
        <v>66.400000000000006</v>
      </c>
      <c r="AS1294" s="38">
        <v>65.13</v>
      </c>
      <c r="AT1294" s="38">
        <v>65.010000000000005</v>
      </c>
      <c r="AU1294" s="38">
        <v>63.86</v>
      </c>
      <c r="AV1294" s="38">
        <v>67.17</v>
      </c>
      <c r="AW1294" s="38">
        <v>70.36</v>
      </c>
      <c r="AX1294" s="38">
        <v>74.42</v>
      </c>
      <c r="AY1294" s="38">
        <v>76.83</v>
      </c>
      <c r="BA1294" s="37">
        <v>73.78</v>
      </c>
      <c r="BB1294" s="38">
        <v>1.2743</v>
      </c>
    </row>
    <row r="1295" spans="1:54" x14ac:dyDescent="0.35">
      <c r="A1295" s="2">
        <f t="shared" si="20"/>
        <v>45635</v>
      </c>
      <c r="B1295" t="s">
        <v>1888</v>
      </c>
      <c r="C1295" s="32">
        <v>45635</v>
      </c>
      <c r="D1295" s="38">
        <v>111.46</v>
      </c>
      <c r="E1295" s="38">
        <v>112.23</v>
      </c>
      <c r="F1295" s="38">
        <v>110.51</v>
      </c>
      <c r="G1295" s="38">
        <v>107.57</v>
      </c>
      <c r="H1295" s="38">
        <v>105.51</v>
      </c>
      <c r="I1295" s="38">
        <v>104.16</v>
      </c>
      <c r="J1295" s="38">
        <v>102.89</v>
      </c>
      <c r="K1295" s="38">
        <v>102.98</v>
      </c>
      <c r="L1295" s="38">
        <v>103.14</v>
      </c>
      <c r="M1295" s="38">
        <v>102.44</v>
      </c>
      <c r="N1295" s="38">
        <v>103.92</v>
      </c>
      <c r="O1295" s="38">
        <v>105.16</v>
      </c>
      <c r="P1295" s="38">
        <v>105.65</v>
      </c>
      <c r="Q1295" s="38">
        <v>104.09</v>
      </c>
      <c r="R1295" s="38">
        <v>98.93</v>
      </c>
      <c r="S1295" s="38">
        <v>88.81</v>
      </c>
      <c r="T1295" s="38">
        <v>83.59</v>
      </c>
      <c r="U1295" s="38">
        <v>80.92</v>
      </c>
      <c r="V1295" s="38">
        <v>80.88</v>
      </c>
      <c r="W1295" s="38">
        <v>81.489999999999995</v>
      </c>
      <c r="X1295" s="38">
        <v>82.72</v>
      </c>
      <c r="Y1295" s="38">
        <v>85.84</v>
      </c>
      <c r="Z1295" s="38">
        <v>87.86</v>
      </c>
      <c r="AA1295" s="38">
        <v>89.43</v>
      </c>
      <c r="AB1295" s="38">
        <v>91.12</v>
      </c>
      <c r="AC1295" s="38">
        <v>89.51</v>
      </c>
      <c r="AD1295" s="38">
        <v>83.2</v>
      </c>
      <c r="AE1295" s="38">
        <v>73.22</v>
      </c>
      <c r="AF1295" s="38">
        <v>69.98</v>
      </c>
      <c r="AG1295" s="38">
        <v>68.73</v>
      </c>
      <c r="AH1295" s="38">
        <v>69.53</v>
      </c>
      <c r="AI1295" s="38">
        <v>69.83</v>
      </c>
      <c r="AJ1295" s="38">
        <v>70.27</v>
      </c>
      <c r="AK1295" s="38">
        <v>74.13</v>
      </c>
      <c r="AL1295" s="38">
        <v>76.430000000000007</v>
      </c>
      <c r="AM1295" s="38">
        <v>79.209999999999994</v>
      </c>
      <c r="AN1295" s="38">
        <v>81.709999999999994</v>
      </c>
      <c r="AO1295" s="38">
        <v>80.86</v>
      </c>
      <c r="AP1295" s="38">
        <v>77.349999999999994</v>
      </c>
      <c r="AQ1295" s="38">
        <v>70.37</v>
      </c>
      <c r="AR1295" s="38">
        <v>66.14</v>
      </c>
      <c r="AS1295" s="38">
        <v>64.87</v>
      </c>
      <c r="AT1295" s="38">
        <v>64.81</v>
      </c>
      <c r="AU1295" s="38">
        <v>63.66</v>
      </c>
      <c r="AV1295" s="38">
        <v>66.98</v>
      </c>
      <c r="AW1295" s="38">
        <v>70.2</v>
      </c>
      <c r="AX1295" s="38">
        <v>74.260000000000005</v>
      </c>
      <c r="AY1295" s="38">
        <v>76.67</v>
      </c>
      <c r="BA1295" s="37">
        <v>73.73</v>
      </c>
      <c r="BB1295" s="38">
        <v>1.2796000000000001</v>
      </c>
    </row>
    <row r="1296" spans="1:54" x14ac:dyDescent="0.35">
      <c r="A1296" s="2">
        <f t="shared" si="20"/>
        <v>45636</v>
      </c>
      <c r="B1296" t="s">
        <v>1889</v>
      </c>
      <c r="C1296" s="32">
        <v>45636</v>
      </c>
      <c r="D1296" s="38">
        <v>112.91</v>
      </c>
      <c r="E1296" s="38">
        <v>113.48</v>
      </c>
      <c r="F1296" s="38">
        <v>111.72</v>
      </c>
      <c r="G1296" s="38">
        <v>108.92</v>
      </c>
      <c r="H1296" s="38">
        <v>106.71</v>
      </c>
      <c r="I1296" s="38">
        <v>105.34</v>
      </c>
      <c r="J1296" s="38">
        <v>104.43</v>
      </c>
      <c r="K1296" s="38">
        <v>104.4</v>
      </c>
      <c r="L1296" s="38">
        <v>104.63</v>
      </c>
      <c r="M1296" s="38">
        <v>103.68</v>
      </c>
      <c r="N1296" s="38">
        <v>105.02</v>
      </c>
      <c r="O1296" s="38">
        <v>106.18</v>
      </c>
      <c r="P1296" s="38">
        <v>106.55</v>
      </c>
      <c r="Q1296" s="38">
        <v>105.19</v>
      </c>
      <c r="R1296" s="38">
        <v>100.09</v>
      </c>
      <c r="S1296" s="38">
        <v>89.81</v>
      </c>
      <c r="T1296" s="38">
        <v>84.59</v>
      </c>
      <c r="U1296" s="38">
        <v>81.93</v>
      </c>
      <c r="V1296" s="38">
        <v>81.86</v>
      </c>
      <c r="W1296" s="38">
        <v>82.4</v>
      </c>
      <c r="X1296" s="38">
        <v>83.72</v>
      </c>
      <c r="Y1296" s="38">
        <v>86.72</v>
      </c>
      <c r="Z1296" s="38">
        <v>88.79</v>
      </c>
      <c r="AA1296" s="38">
        <v>90.31</v>
      </c>
      <c r="AB1296" s="38">
        <v>91.74</v>
      </c>
      <c r="AC1296" s="38">
        <v>90.12</v>
      </c>
      <c r="AD1296" s="38">
        <v>83.81</v>
      </c>
      <c r="AE1296" s="38">
        <v>73.959999999999994</v>
      </c>
      <c r="AF1296" s="38">
        <v>70.72</v>
      </c>
      <c r="AG1296" s="38">
        <v>69.47</v>
      </c>
      <c r="AH1296" s="38">
        <v>70.290000000000006</v>
      </c>
      <c r="AI1296" s="38">
        <v>70.59</v>
      </c>
      <c r="AJ1296" s="38">
        <v>71.03</v>
      </c>
      <c r="AK1296" s="38">
        <v>74.88</v>
      </c>
      <c r="AL1296" s="38">
        <v>77.19</v>
      </c>
      <c r="AM1296" s="38">
        <v>79.97</v>
      </c>
      <c r="AN1296" s="38">
        <v>82.35</v>
      </c>
      <c r="AO1296" s="38">
        <v>81.5</v>
      </c>
      <c r="AP1296" s="38">
        <v>77.98</v>
      </c>
      <c r="AQ1296" s="38">
        <v>71</v>
      </c>
      <c r="AR1296" s="38">
        <v>66.78</v>
      </c>
      <c r="AS1296" s="38">
        <v>65.510000000000005</v>
      </c>
      <c r="AT1296" s="38">
        <v>65.45</v>
      </c>
      <c r="AU1296" s="38">
        <v>64.3</v>
      </c>
      <c r="AV1296" s="38">
        <v>67.62</v>
      </c>
      <c r="AW1296" s="38">
        <v>70.650000000000006</v>
      </c>
      <c r="AX1296" s="38">
        <v>74.709999999999994</v>
      </c>
      <c r="AY1296" s="38">
        <v>77.12</v>
      </c>
      <c r="BA1296" s="37">
        <v>73.64</v>
      </c>
      <c r="BB1296" s="38">
        <v>1.2738</v>
      </c>
    </row>
    <row r="1297" spans="1:54" x14ac:dyDescent="0.35">
      <c r="A1297" s="2">
        <f t="shared" si="20"/>
        <v>45637</v>
      </c>
      <c r="B1297" t="s">
        <v>1890</v>
      </c>
      <c r="C1297" s="32">
        <v>45637</v>
      </c>
      <c r="D1297" s="38">
        <v>110.22</v>
      </c>
      <c r="E1297" s="38">
        <v>110.95</v>
      </c>
      <c r="F1297" s="38">
        <v>109.35</v>
      </c>
      <c r="G1297" s="38">
        <v>106.96</v>
      </c>
      <c r="H1297" s="38">
        <v>105.12</v>
      </c>
      <c r="I1297" s="38">
        <v>104.16</v>
      </c>
      <c r="J1297" s="38">
        <v>103.23</v>
      </c>
      <c r="K1297" s="38">
        <v>103.08</v>
      </c>
      <c r="L1297" s="38">
        <v>103.33</v>
      </c>
      <c r="M1297" s="38">
        <v>102.51</v>
      </c>
      <c r="N1297" s="38">
        <v>103.94</v>
      </c>
      <c r="O1297" s="38">
        <v>105.23</v>
      </c>
      <c r="P1297" s="38">
        <v>105.66</v>
      </c>
      <c r="Q1297" s="38">
        <v>104.56</v>
      </c>
      <c r="R1297" s="38">
        <v>99.78</v>
      </c>
      <c r="S1297" s="38">
        <v>89.74</v>
      </c>
      <c r="T1297" s="38">
        <v>84.6</v>
      </c>
      <c r="U1297" s="38">
        <v>81.88</v>
      </c>
      <c r="V1297" s="38">
        <v>81.739999999999995</v>
      </c>
      <c r="W1297" s="38">
        <v>82.25</v>
      </c>
      <c r="X1297" s="38">
        <v>83.61</v>
      </c>
      <c r="Y1297" s="38">
        <v>86.34</v>
      </c>
      <c r="Z1297" s="38">
        <v>88.53</v>
      </c>
      <c r="AA1297" s="38">
        <v>90.02</v>
      </c>
      <c r="AB1297" s="38">
        <v>91.46</v>
      </c>
      <c r="AC1297" s="38">
        <v>89.84</v>
      </c>
      <c r="AD1297" s="38">
        <v>83.53</v>
      </c>
      <c r="AE1297" s="38">
        <v>73.88</v>
      </c>
      <c r="AF1297" s="38">
        <v>70.63</v>
      </c>
      <c r="AG1297" s="38">
        <v>69.38</v>
      </c>
      <c r="AH1297" s="38">
        <v>70.31</v>
      </c>
      <c r="AI1297" s="38">
        <v>70.61</v>
      </c>
      <c r="AJ1297" s="38">
        <v>71.05</v>
      </c>
      <c r="AK1297" s="38">
        <v>74.97</v>
      </c>
      <c r="AL1297" s="38">
        <v>77.28</v>
      </c>
      <c r="AM1297" s="38">
        <v>80.06</v>
      </c>
      <c r="AN1297" s="38">
        <v>82.36</v>
      </c>
      <c r="AO1297" s="38">
        <v>81.5</v>
      </c>
      <c r="AP1297" s="38">
        <v>77.989999999999995</v>
      </c>
      <c r="AQ1297" s="38">
        <v>70.62</v>
      </c>
      <c r="AR1297" s="38">
        <v>66.39</v>
      </c>
      <c r="AS1297" s="38">
        <v>65.12</v>
      </c>
      <c r="AT1297" s="38">
        <v>65.23</v>
      </c>
      <c r="AU1297" s="38">
        <v>64.08</v>
      </c>
      <c r="AV1297" s="38">
        <v>67.400000000000006</v>
      </c>
      <c r="AW1297" s="38">
        <v>70.39</v>
      </c>
      <c r="AX1297" s="38">
        <v>74.45</v>
      </c>
      <c r="AY1297" s="38">
        <v>76.86</v>
      </c>
      <c r="BA1297" s="37">
        <v>74.38</v>
      </c>
      <c r="BB1297" s="38">
        <v>1.2744</v>
      </c>
    </row>
    <row r="1298" spans="1:54" x14ac:dyDescent="0.35">
      <c r="A1298" s="2">
        <f t="shared" si="20"/>
        <v>45638</v>
      </c>
      <c r="B1298" t="s">
        <v>1891</v>
      </c>
      <c r="C1298" s="32">
        <v>45638</v>
      </c>
      <c r="D1298" s="38">
        <v>106.18</v>
      </c>
      <c r="E1298" s="38">
        <v>106.97</v>
      </c>
      <c r="F1298" s="38">
        <v>105.66</v>
      </c>
      <c r="G1298" s="38">
        <v>103.53</v>
      </c>
      <c r="H1298" s="38">
        <v>101.89</v>
      </c>
      <c r="I1298" s="38">
        <v>100.7</v>
      </c>
      <c r="J1298" s="38">
        <v>99.96</v>
      </c>
      <c r="K1298" s="38">
        <v>99.8</v>
      </c>
      <c r="L1298" s="38">
        <v>100.15</v>
      </c>
      <c r="M1298" s="38">
        <v>99.28</v>
      </c>
      <c r="N1298" s="38">
        <v>100.91</v>
      </c>
      <c r="O1298" s="38">
        <v>102.33</v>
      </c>
      <c r="P1298" s="38">
        <v>102.85</v>
      </c>
      <c r="Q1298" s="38">
        <v>101.85</v>
      </c>
      <c r="R1298" s="38">
        <v>97.7</v>
      </c>
      <c r="S1298" s="38">
        <v>87.96</v>
      </c>
      <c r="T1298" s="38">
        <v>83.47</v>
      </c>
      <c r="U1298" s="38">
        <v>80.760000000000005</v>
      </c>
      <c r="V1298" s="38">
        <v>80.540000000000006</v>
      </c>
      <c r="W1298" s="38">
        <v>81.05</v>
      </c>
      <c r="X1298" s="38">
        <v>82.4</v>
      </c>
      <c r="Y1298" s="38">
        <v>85.27</v>
      </c>
      <c r="Z1298" s="38">
        <v>87.46</v>
      </c>
      <c r="AA1298" s="38">
        <v>88.95</v>
      </c>
      <c r="AB1298" s="38">
        <v>90.6</v>
      </c>
      <c r="AC1298" s="38">
        <v>88.99</v>
      </c>
      <c r="AD1298" s="38">
        <v>82.68</v>
      </c>
      <c r="AE1298" s="38">
        <v>73.569999999999993</v>
      </c>
      <c r="AF1298" s="38">
        <v>70.34</v>
      </c>
      <c r="AG1298" s="38">
        <v>69.09</v>
      </c>
      <c r="AH1298" s="38">
        <v>70.069999999999993</v>
      </c>
      <c r="AI1298" s="38">
        <v>70.38</v>
      </c>
      <c r="AJ1298" s="38">
        <v>70.81</v>
      </c>
      <c r="AK1298" s="38">
        <v>74.64</v>
      </c>
      <c r="AL1298" s="38">
        <v>76.959999999999994</v>
      </c>
      <c r="AM1298" s="38">
        <v>79.739999999999995</v>
      </c>
      <c r="AN1298" s="38">
        <v>81.93</v>
      </c>
      <c r="AO1298" s="38">
        <v>81.069999999999993</v>
      </c>
      <c r="AP1298" s="38">
        <v>77.56</v>
      </c>
      <c r="AQ1298" s="38">
        <v>70.16</v>
      </c>
      <c r="AR1298" s="38">
        <v>65.930000000000007</v>
      </c>
      <c r="AS1298" s="38">
        <v>64.66</v>
      </c>
      <c r="AT1298" s="38">
        <v>64.75</v>
      </c>
      <c r="AU1298" s="38">
        <v>63.6</v>
      </c>
      <c r="AV1298" s="38">
        <v>66.92</v>
      </c>
      <c r="AW1298" s="38">
        <v>70.2</v>
      </c>
      <c r="AX1298" s="38">
        <v>74.260000000000005</v>
      </c>
      <c r="AY1298" s="38">
        <v>76.67</v>
      </c>
      <c r="BA1298" s="37">
        <v>73.52</v>
      </c>
      <c r="BB1298" s="38">
        <v>1.2689999999999999</v>
      </c>
    </row>
    <row r="1299" spans="1:54" x14ac:dyDescent="0.35">
      <c r="A1299" s="2">
        <f t="shared" si="20"/>
        <v>45639</v>
      </c>
      <c r="B1299" t="s">
        <v>1892</v>
      </c>
      <c r="C1299" s="32">
        <v>45639</v>
      </c>
      <c r="D1299" s="38">
        <v>103</v>
      </c>
      <c r="E1299" s="38">
        <v>103.76</v>
      </c>
      <c r="F1299" s="38">
        <v>102.52</v>
      </c>
      <c r="G1299" s="38">
        <v>101</v>
      </c>
      <c r="H1299" s="38">
        <v>99.38</v>
      </c>
      <c r="I1299" s="38">
        <v>98.32</v>
      </c>
      <c r="J1299" s="38">
        <v>97.5</v>
      </c>
      <c r="K1299" s="38">
        <v>97.44</v>
      </c>
      <c r="L1299" s="38">
        <v>98.08</v>
      </c>
      <c r="M1299" s="38">
        <v>97.49</v>
      </c>
      <c r="N1299" s="38">
        <v>99.3</v>
      </c>
      <c r="O1299" s="38">
        <v>100.8</v>
      </c>
      <c r="P1299" s="38">
        <v>101.37</v>
      </c>
      <c r="Q1299" s="38">
        <v>100.35</v>
      </c>
      <c r="R1299" s="38">
        <v>96.36</v>
      </c>
      <c r="S1299" s="38">
        <v>86.87</v>
      </c>
      <c r="T1299" s="38">
        <v>82.55</v>
      </c>
      <c r="U1299" s="38">
        <v>80.19</v>
      </c>
      <c r="V1299" s="38">
        <v>79.930000000000007</v>
      </c>
      <c r="W1299" s="38">
        <v>80.44</v>
      </c>
      <c r="X1299" s="38">
        <v>81.77</v>
      </c>
      <c r="Y1299" s="38">
        <v>84.8</v>
      </c>
      <c r="Z1299" s="38">
        <v>86.99</v>
      </c>
      <c r="AA1299" s="38">
        <v>88.48</v>
      </c>
      <c r="AB1299" s="38">
        <v>90.27</v>
      </c>
      <c r="AC1299" s="38">
        <v>88.67</v>
      </c>
      <c r="AD1299" s="38">
        <v>82.33</v>
      </c>
      <c r="AE1299" s="38">
        <v>73.86</v>
      </c>
      <c r="AF1299" s="38">
        <v>70.64</v>
      </c>
      <c r="AG1299" s="38">
        <v>69.39</v>
      </c>
      <c r="AH1299" s="38">
        <v>70.37</v>
      </c>
      <c r="AI1299" s="38">
        <v>70.680000000000007</v>
      </c>
      <c r="AJ1299" s="38">
        <v>71.11</v>
      </c>
      <c r="AK1299" s="38">
        <v>75.12</v>
      </c>
      <c r="AL1299" s="38">
        <v>77.44</v>
      </c>
      <c r="AM1299" s="38">
        <v>80.209999999999994</v>
      </c>
      <c r="AN1299" s="38">
        <v>82.18</v>
      </c>
      <c r="AO1299" s="38">
        <v>81.319999999999993</v>
      </c>
      <c r="AP1299" s="38">
        <v>77.819999999999993</v>
      </c>
      <c r="AQ1299" s="38">
        <v>71.02</v>
      </c>
      <c r="AR1299" s="38">
        <v>66.790000000000006</v>
      </c>
      <c r="AS1299" s="38">
        <v>65.52</v>
      </c>
      <c r="AT1299" s="38">
        <v>65.61</v>
      </c>
      <c r="AU1299" s="38">
        <v>64.459999999999994</v>
      </c>
      <c r="AV1299" s="38">
        <v>67.78</v>
      </c>
      <c r="AW1299" s="38">
        <v>70.88</v>
      </c>
      <c r="AX1299" s="38">
        <v>74.94</v>
      </c>
      <c r="AY1299" s="38">
        <v>77.349999999999994</v>
      </c>
      <c r="BA1299" s="37">
        <v>74.89</v>
      </c>
      <c r="BB1299" s="38">
        <v>1.2614000000000001</v>
      </c>
    </row>
    <row r="1300" spans="1:54" x14ac:dyDescent="0.35">
      <c r="A1300" s="2">
        <f t="shared" si="20"/>
        <v>45642</v>
      </c>
      <c r="B1300" t="s">
        <v>1893</v>
      </c>
      <c r="C1300" s="32">
        <v>45642</v>
      </c>
      <c r="D1300" s="38">
        <v>100.39</v>
      </c>
      <c r="E1300" s="38">
        <v>101.12</v>
      </c>
      <c r="F1300" s="38">
        <v>100.19</v>
      </c>
      <c r="G1300" s="38">
        <v>98.55</v>
      </c>
      <c r="H1300" s="38">
        <v>96.88</v>
      </c>
      <c r="I1300" s="38">
        <v>95.9</v>
      </c>
      <c r="J1300" s="38">
        <v>95.18</v>
      </c>
      <c r="K1300" s="38">
        <v>95.14</v>
      </c>
      <c r="L1300" s="38">
        <v>96.05</v>
      </c>
      <c r="M1300" s="38">
        <v>95.75</v>
      </c>
      <c r="N1300" s="38">
        <v>97.74</v>
      </c>
      <c r="O1300" s="38">
        <v>99.24</v>
      </c>
      <c r="P1300" s="38">
        <v>99.81</v>
      </c>
      <c r="Q1300" s="38">
        <v>98.79</v>
      </c>
      <c r="R1300" s="38">
        <v>94.8</v>
      </c>
      <c r="S1300" s="38">
        <v>85.8</v>
      </c>
      <c r="T1300" s="38">
        <v>81.47</v>
      </c>
      <c r="U1300" s="38">
        <v>79.11</v>
      </c>
      <c r="V1300" s="38">
        <v>78.849999999999994</v>
      </c>
      <c r="W1300" s="38">
        <v>79.36</v>
      </c>
      <c r="X1300" s="38">
        <v>80.69</v>
      </c>
      <c r="Y1300" s="38">
        <v>83.83</v>
      </c>
      <c r="Z1300" s="38">
        <v>86.02</v>
      </c>
      <c r="AA1300" s="38">
        <v>87.51</v>
      </c>
      <c r="AB1300" s="38">
        <v>89.3</v>
      </c>
      <c r="AC1300" s="38">
        <v>87.7</v>
      </c>
      <c r="AD1300" s="38">
        <v>81.400000000000006</v>
      </c>
      <c r="AE1300" s="38">
        <v>73.87</v>
      </c>
      <c r="AF1300" s="38">
        <v>70.650000000000006</v>
      </c>
      <c r="AG1300" s="38">
        <v>69.400000000000006</v>
      </c>
      <c r="AH1300" s="38">
        <v>70.38</v>
      </c>
      <c r="AI1300" s="38">
        <v>70.69</v>
      </c>
      <c r="AJ1300" s="38">
        <v>71.12</v>
      </c>
      <c r="AK1300" s="38">
        <v>75.13</v>
      </c>
      <c r="AL1300" s="38">
        <v>77.45</v>
      </c>
      <c r="AM1300" s="38">
        <v>80.22</v>
      </c>
      <c r="AN1300" s="38">
        <v>82.19</v>
      </c>
      <c r="AO1300" s="38">
        <v>81.33</v>
      </c>
      <c r="AP1300" s="38">
        <v>77.83</v>
      </c>
      <c r="AQ1300" s="38">
        <v>71.03</v>
      </c>
      <c r="AR1300" s="38">
        <v>66.8</v>
      </c>
      <c r="AS1300" s="38">
        <v>65.53</v>
      </c>
      <c r="AT1300" s="38">
        <v>65.62</v>
      </c>
      <c r="AU1300" s="38">
        <v>64.47</v>
      </c>
      <c r="AV1300" s="38">
        <v>67.790000000000006</v>
      </c>
      <c r="AW1300" s="38">
        <v>70.89</v>
      </c>
      <c r="AX1300" s="38">
        <v>74.95</v>
      </c>
      <c r="AY1300" s="38">
        <v>77.36</v>
      </c>
      <c r="BA1300" s="37">
        <v>74.3</v>
      </c>
      <c r="BB1300" s="38">
        <v>1.2690999999999999</v>
      </c>
    </row>
    <row r="1301" spans="1:54" x14ac:dyDescent="0.35">
      <c r="A1301" s="2">
        <f t="shared" si="20"/>
        <v>45643</v>
      </c>
      <c r="B1301" t="s">
        <v>1894</v>
      </c>
      <c r="C1301" s="32">
        <v>45643</v>
      </c>
      <c r="D1301" s="38">
        <v>104.29</v>
      </c>
      <c r="E1301" s="38">
        <v>105.13</v>
      </c>
      <c r="F1301" s="38">
        <v>104.14</v>
      </c>
      <c r="G1301" s="38">
        <v>102.55</v>
      </c>
      <c r="H1301" s="38">
        <v>101.32</v>
      </c>
      <c r="I1301" s="38">
        <v>100.15</v>
      </c>
      <c r="J1301" s="38">
        <v>99.25</v>
      </c>
      <c r="K1301" s="38">
        <v>99.13</v>
      </c>
      <c r="L1301" s="38">
        <v>100.04</v>
      </c>
      <c r="M1301" s="38">
        <v>99.16</v>
      </c>
      <c r="N1301" s="38">
        <v>100.95</v>
      </c>
      <c r="O1301" s="38">
        <v>102.35</v>
      </c>
      <c r="P1301" s="38">
        <v>102.92</v>
      </c>
      <c r="Q1301" s="38">
        <v>101.9</v>
      </c>
      <c r="R1301" s="38">
        <v>97.91</v>
      </c>
      <c r="S1301" s="38">
        <v>88.31</v>
      </c>
      <c r="T1301" s="38">
        <v>83.86</v>
      </c>
      <c r="U1301" s="38">
        <v>81.5</v>
      </c>
      <c r="V1301" s="38">
        <v>81.239999999999995</v>
      </c>
      <c r="W1301" s="38">
        <v>81.75</v>
      </c>
      <c r="X1301" s="38">
        <v>83.08</v>
      </c>
      <c r="Y1301" s="38">
        <v>85.78</v>
      </c>
      <c r="Z1301" s="38">
        <v>87.97</v>
      </c>
      <c r="AA1301" s="38">
        <v>89.46</v>
      </c>
      <c r="AB1301" s="38">
        <v>91.25</v>
      </c>
      <c r="AC1301" s="38">
        <v>89.65</v>
      </c>
      <c r="AD1301" s="38">
        <v>83.35</v>
      </c>
      <c r="AE1301" s="38">
        <v>75.25</v>
      </c>
      <c r="AF1301" s="38">
        <v>71.849999999999994</v>
      </c>
      <c r="AG1301" s="38">
        <v>70.599999999999994</v>
      </c>
      <c r="AH1301" s="38">
        <v>71.58</v>
      </c>
      <c r="AI1301" s="38">
        <v>71.89</v>
      </c>
      <c r="AJ1301" s="38">
        <v>72.319999999999993</v>
      </c>
      <c r="AK1301" s="38">
        <v>76.12</v>
      </c>
      <c r="AL1301" s="38">
        <v>78.44</v>
      </c>
      <c r="AM1301" s="38">
        <v>81.209999999999994</v>
      </c>
      <c r="AN1301" s="38">
        <v>83.18</v>
      </c>
      <c r="AO1301" s="38">
        <v>82.32</v>
      </c>
      <c r="AP1301" s="38">
        <v>78.819999999999993</v>
      </c>
      <c r="AQ1301" s="38">
        <v>71.92</v>
      </c>
      <c r="AR1301" s="38">
        <v>67.69</v>
      </c>
      <c r="AS1301" s="38">
        <v>66.42</v>
      </c>
      <c r="AT1301" s="38">
        <v>66.510000000000005</v>
      </c>
      <c r="AU1301" s="38">
        <v>65.36</v>
      </c>
      <c r="AV1301" s="38">
        <v>68.680000000000007</v>
      </c>
      <c r="AW1301" s="38">
        <v>71.78</v>
      </c>
      <c r="AX1301" s="38">
        <v>75.84</v>
      </c>
      <c r="AY1301" s="38">
        <v>78.25</v>
      </c>
      <c r="BA1301" s="37">
        <v>73.16</v>
      </c>
      <c r="BB1301" s="38">
        <v>1.2710999999999999</v>
      </c>
    </row>
    <row r="1302" spans="1:54" x14ac:dyDescent="0.35">
      <c r="A1302" s="2">
        <f t="shared" si="20"/>
        <v>45644</v>
      </c>
      <c r="B1302" t="s">
        <v>1895</v>
      </c>
      <c r="C1302" s="32">
        <v>45644</v>
      </c>
      <c r="D1302" s="38">
        <v>101.5</v>
      </c>
      <c r="E1302" s="38">
        <v>102.38</v>
      </c>
      <c r="F1302" s="38">
        <v>101.4</v>
      </c>
      <c r="G1302" s="38">
        <v>100.35</v>
      </c>
      <c r="H1302" s="38">
        <v>99.63</v>
      </c>
      <c r="I1302" s="38">
        <v>98.33</v>
      </c>
      <c r="J1302" s="38">
        <v>97.6</v>
      </c>
      <c r="K1302" s="38">
        <v>97.42</v>
      </c>
      <c r="L1302" s="38">
        <v>98.37</v>
      </c>
      <c r="M1302" s="38">
        <v>97.68</v>
      </c>
      <c r="N1302" s="38">
        <v>99.47</v>
      </c>
      <c r="O1302" s="38">
        <v>100.87</v>
      </c>
      <c r="P1302" s="38">
        <v>101.44</v>
      </c>
      <c r="Q1302" s="38">
        <v>100.42</v>
      </c>
      <c r="R1302" s="38">
        <v>96.43</v>
      </c>
      <c r="S1302" s="38">
        <v>87.76</v>
      </c>
      <c r="T1302" s="38">
        <v>83.31</v>
      </c>
      <c r="U1302" s="38">
        <v>80.95</v>
      </c>
      <c r="V1302" s="38">
        <v>80.69</v>
      </c>
      <c r="W1302" s="38">
        <v>81.2</v>
      </c>
      <c r="X1302" s="38">
        <v>82.53</v>
      </c>
      <c r="Y1302" s="38">
        <v>85.23</v>
      </c>
      <c r="Z1302" s="38">
        <v>87.42</v>
      </c>
      <c r="AA1302" s="38">
        <v>88.91</v>
      </c>
      <c r="AB1302" s="38">
        <v>90.7</v>
      </c>
      <c r="AC1302" s="38">
        <v>89.1</v>
      </c>
      <c r="AD1302" s="38">
        <v>82.8</v>
      </c>
      <c r="AE1302" s="38">
        <v>75.2</v>
      </c>
      <c r="AF1302" s="38">
        <v>71.8</v>
      </c>
      <c r="AG1302" s="38">
        <v>70.55</v>
      </c>
      <c r="AH1302" s="38">
        <v>71.53</v>
      </c>
      <c r="AI1302" s="38">
        <v>71.84</v>
      </c>
      <c r="AJ1302" s="38">
        <v>72.27</v>
      </c>
      <c r="AK1302" s="38">
        <v>76.040000000000006</v>
      </c>
      <c r="AL1302" s="38">
        <v>78.36</v>
      </c>
      <c r="AM1302" s="38">
        <v>81.13</v>
      </c>
      <c r="AN1302" s="38">
        <v>83.1</v>
      </c>
      <c r="AO1302" s="38">
        <v>82.24</v>
      </c>
      <c r="AP1302" s="38">
        <v>78.739999999999995</v>
      </c>
      <c r="AQ1302" s="38">
        <v>72.040000000000006</v>
      </c>
      <c r="AR1302" s="38">
        <v>67.81</v>
      </c>
      <c r="AS1302" s="38">
        <v>66.540000000000006</v>
      </c>
      <c r="AT1302" s="38">
        <v>66.63</v>
      </c>
      <c r="AU1302" s="38">
        <v>65.48</v>
      </c>
      <c r="AV1302" s="38">
        <v>68.8</v>
      </c>
      <c r="AW1302" s="38">
        <v>72.099999999999994</v>
      </c>
      <c r="AX1302" s="38">
        <v>75</v>
      </c>
      <c r="AY1302" s="38">
        <v>77.2</v>
      </c>
      <c r="BA1302" s="37">
        <v>74.569999999999993</v>
      </c>
      <c r="BB1302" s="38">
        <v>1.2693000000000001</v>
      </c>
    </row>
    <row r="1303" spans="1:54" x14ac:dyDescent="0.35">
      <c r="A1303" s="2">
        <f t="shared" si="20"/>
        <v>45645</v>
      </c>
      <c r="B1303" t="s">
        <v>1896</v>
      </c>
      <c r="C1303" s="32">
        <v>45645</v>
      </c>
      <c r="D1303" s="38">
        <v>107.33</v>
      </c>
      <c r="E1303" s="38">
        <v>107.89</v>
      </c>
      <c r="F1303" s="38">
        <v>106.62</v>
      </c>
      <c r="G1303" s="38">
        <v>105.32</v>
      </c>
      <c r="H1303" s="38">
        <v>104.6</v>
      </c>
      <c r="I1303" s="38">
        <v>103.3</v>
      </c>
      <c r="J1303" s="38">
        <v>102.3</v>
      </c>
      <c r="K1303" s="38">
        <v>102.08</v>
      </c>
      <c r="L1303" s="38">
        <v>103.02</v>
      </c>
      <c r="M1303" s="38">
        <v>101.81</v>
      </c>
      <c r="N1303" s="38">
        <v>103.61</v>
      </c>
      <c r="O1303" s="38">
        <v>104.92</v>
      </c>
      <c r="P1303" s="38">
        <v>105.29</v>
      </c>
      <c r="Q1303" s="38">
        <v>104.22</v>
      </c>
      <c r="R1303" s="38">
        <v>100.16</v>
      </c>
      <c r="S1303" s="38">
        <v>90.36</v>
      </c>
      <c r="T1303" s="38">
        <v>85.9</v>
      </c>
      <c r="U1303" s="38">
        <v>83.45</v>
      </c>
      <c r="V1303" s="38">
        <v>83.09</v>
      </c>
      <c r="W1303" s="38">
        <v>83.6</v>
      </c>
      <c r="X1303" s="38">
        <v>84.93</v>
      </c>
      <c r="Y1303" s="38">
        <v>87.31</v>
      </c>
      <c r="Z1303" s="38">
        <v>89.45</v>
      </c>
      <c r="AA1303" s="38">
        <v>90.94</v>
      </c>
      <c r="AB1303" s="38">
        <v>92.73</v>
      </c>
      <c r="AC1303" s="38">
        <v>91.13</v>
      </c>
      <c r="AD1303" s="38">
        <v>84.78</v>
      </c>
      <c r="AE1303" s="38">
        <v>76.38</v>
      </c>
      <c r="AF1303" s="38">
        <v>72.83</v>
      </c>
      <c r="AG1303" s="38">
        <v>71.48</v>
      </c>
      <c r="AH1303" s="38">
        <v>72.459999999999994</v>
      </c>
      <c r="AI1303" s="38">
        <v>72.77</v>
      </c>
      <c r="AJ1303" s="38">
        <v>73.2</v>
      </c>
      <c r="AK1303" s="38">
        <v>76.97</v>
      </c>
      <c r="AL1303" s="38">
        <v>79.290000000000006</v>
      </c>
      <c r="AM1303" s="38">
        <v>82.06</v>
      </c>
      <c r="AN1303" s="38">
        <v>84.03</v>
      </c>
      <c r="AO1303" s="38">
        <v>83.17</v>
      </c>
      <c r="AP1303" s="38">
        <v>79.67</v>
      </c>
      <c r="AQ1303" s="38">
        <v>72.47</v>
      </c>
      <c r="AR1303" s="38">
        <v>68.239999999999995</v>
      </c>
      <c r="AS1303" s="38">
        <v>66.97</v>
      </c>
      <c r="AT1303" s="38">
        <v>67.06</v>
      </c>
      <c r="AU1303" s="38">
        <v>65.91</v>
      </c>
      <c r="AV1303" s="38">
        <v>69.23</v>
      </c>
      <c r="AW1303" s="38">
        <v>72.38</v>
      </c>
      <c r="AX1303" s="38">
        <v>75.28</v>
      </c>
      <c r="AY1303" s="38">
        <v>77.48</v>
      </c>
      <c r="BA1303" s="37">
        <v>73.75</v>
      </c>
      <c r="BB1303" s="38">
        <v>1.2551000000000001</v>
      </c>
    </row>
    <row r="1304" spans="1:54" x14ac:dyDescent="0.35">
      <c r="A1304" s="2">
        <f t="shared" si="20"/>
        <v>45646</v>
      </c>
      <c r="B1304" t="s">
        <v>1897</v>
      </c>
      <c r="C1304" s="32">
        <v>45646</v>
      </c>
      <c r="D1304" s="38">
        <v>110.04</v>
      </c>
      <c r="E1304" s="38">
        <v>110.64</v>
      </c>
      <c r="F1304" s="38">
        <v>108.95</v>
      </c>
      <c r="G1304" s="38">
        <v>108.05</v>
      </c>
      <c r="H1304" s="38">
        <v>107.3</v>
      </c>
      <c r="I1304" s="38">
        <v>106.12</v>
      </c>
      <c r="J1304" s="38">
        <v>105.05</v>
      </c>
      <c r="K1304" s="38">
        <v>104.41</v>
      </c>
      <c r="L1304" s="38">
        <v>105.13</v>
      </c>
      <c r="M1304" s="38">
        <v>103.65</v>
      </c>
      <c r="N1304" s="38">
        <v>104.9</v>
      </c>
      <c r="O1304" s="38">
        <v>106.09</v>
      </c>
      <c r="P1304" s="38">
        <v>106.5</v>
      </c>
      <c r="Q1304" s="38">
        <v>105.41</v>
      </c>
      <c r="R1304" s="38">
        <v>101.33</v>
      </c>
      <c r="S1304" s="38">
        <v>91.33</v>
      </c>
      <c r="T1304" s="38">
        <v>86.87</v>
      </c>
      <c r="U1304" s="38">
        <v>84.42</v>
      </c>
      <c r="V1304" s="38">
        <v>84.06</v>
      </c>
      <c r="W1304" s="38">
        <v>84.57</v>
      </c>
      <c r="X1304" s="38">
        <v>85.9</v>
      </c>
      <c r="Y1304" s="38">
        <v>88</v>
      </c>
      <c r="Z1304" s="38">
        <v>90.14</v>
      </c>
      <c r="AA1304" s="38">
        <v>91.63</v>
      </c>
      <c r="AB1304" s="38">
        <v>93.42</v>
      </c>
      <c r="AC1304" s="38">
        <v>91.82</v>
      </c>
      <c r="AD1304" s="38">
        <v>85.47</v>
      </c>
      <c r="AE1304" s="38">
        <v>76.67</v>
      </c>
      <c r="AF1304" s="38">
        <v>73.12</v>
      </c>
      <c r="AG1304" s="38">
        <v>71.77</v>
      </c>
      <c r="AH1304" s="38">
        <v>72.75</v>
      </c>
      <c r="AI1304" s="38">
        <v>73.06</v>
      </c>
      <c r="AJ1304" s="38">
        <v>73.48</v>
      </c>
      <c r="AK1304" s="38">
        <v>77.08</v>
      </c>
      <c r="AL1304" s="38">
        <v>79.400000000000006</v>
      </c>
      <c r="AM1304" s="38">
        <v>82.17</v>
      </c>
      <c r="AN1304" s="38">
        <v>84.14</v>
      </c>
      <c r="AO1304" s="38">
        <v>83.28</v>
      </c>
      <c r="AP1304" s="38">
        <v>79.78</v>
      </c>
      <c r="AQ1304" s="38">
        <v>72.680000000000007</v>
      </c>
      <c r="AR1304" s="38">
        <v>68.45</v>
      </c>
      <c r="AS1304" s="38">
        <v>67.180000000000007</v>
      </c>
      <c r="AT1304" s="38">
        <v>67.27</v>
      </c>
      <c r="AU1304" s="38">
        <v>66.12</v>
      </c>
      <c r="AV1304" s="38">
        <v>69.44</v>
      </c>
      <c r="AW1304" s="38">
        <v>72.59</v>
      </c>
      <c r="AX1304" s="38">
        <v>74.89</v>
      </c>
      <c r="AY1304" s="38">
        <v>76.19</v>
      </c>
      <c r="BA1304" s="37">
        <v>73.19</v>
      </c>
      <c r="BB1304" s="38">
        <v>1.2541</v>
      </c>
    </row>
    <row r="1305" spans="1:54" x14ac:dyDescent="0.35">
      <c r="A1305" s="2">
        <f t="shared" si="20"/>
        <v>45649</v>
      </c>
      <c r="B1305" t="s">
        <v>1898</v>
      </c>
      <c r="C1305" s="32">
        <v>45649</v>
      </c>
      <c r="D1305" s="38">
        <v>114.11</v>
      </c>
      <c r="E1305" s="38">
        <v>114.41</v>
      </c>
      <c r="F1305" s="38">
        <v>112.57</v>
      </c>
      <c r="G1305" s="38">
        <v>111.75</v>
      </c>
      <c r="H1305" s="38">
        <v>110.89</v>
      </c>
      <c r="I1305" s="38">
        <v>109.65</v>
      </c>
      <c r="J1305" s="38">
        <v>108.69</v>
      </c>
      <c r="K1305" s="38">
        <v>108.07</v>
      </c>
      <c r="L1305" s="38">
        <v>108.74</v>
      </c>
      <c r="M1305" s="38">
        <v>106.99</v>
      </c>
      <c r="N1305" s="38">
        <v>107.07</v>
      </c>
      <c r="O1305" s="38">
        <v>108.25</v>
      </c>
      <c r="P1305" s="38">
        <v>108.67</v>
      </c>
      <c r="Q1305" s="38">
        <v>107.49</v>
      </c>
      <c r="R1305" s="38">
        <v>103.44</v>
      </c>
      <c r="S1305" s="38">
        <v>92.47</v>
      </c>
      <c r="T1305" s="38">
        <v>87.86</v>
      </c>
      <c r="U1305" s="38">
        <v>85.41</v>
      </c>
      <c r="V1305" s="38">
        <v>84.93</v>
      </c>
      <c r="W1305" s="38">
        <v>85.46</v>
      </c>
      <c r="X1305" s="38">
        <v>86.76</v>
      </c>
      <c r="Y1305" s="38">
        <v>88.65</v>
      </c>
      <c r="Z1305" s="38">
        <v>90.83</v>
      </c>
      <c r="AA1305" s="38">
        <v>92.25</v>
      </c>
      <c r="AB1305" s="38">
        <v>93.91</v>
      </c>
      <c r="AC1305" s="38">
        <v>92.21</v>
      </c>
      <c r="AD1305" s="38">
        <v>85.79</v>
      </c>
      <c r="AE1305" s="38">
        <v>76.84</v>
      </c>
      <c r="AF1305" s="38">
        <v>73.290000000000006</v>
      </c>
      <c r="AG1305" s="38">
        <v>71.94</v>
      </c>
      <c r="AH1305" s="38">
        <v>72.930000000000007</v>
      </c>
      <c r="AI1305" s="38">
        <v>73.239999999999995</v>
      </c>
      <c r="AJ1305" s="38">
        <v>73.67</v>
      </c>
      <c r="AK1305" s="38">
        <v>77.41</v>
      </c>
      <c r="AL1305" s="38">
        <v>79.430000000000007</v>
      </c>
      <c r="AM1305" s="38">
        <v>82.21</v>
      </c>
      <c r="AN1305" s="38">
        <v>84.08</v>
      </c>
      <c r="AO1305" s="38">
        <v>83.31</v>
      </c>
      <c r="AP1305" s="38">
        <v>79.81</v>
      </c>
      <c r="AQ1305" s="38">
        <v>72.64</v>
      </c>
      <c r="AR1305" s="38">
        <v>68.41</v>
      </c>
      <c r="AS1305" s="38">
        <v>67.150000000000006</v>
      </c>
      <c r="AT1305" s="38">
        <v>67.23</v>
      </c>
      <c r="AU1305" s="38">
        <v>66.08</v>
      </c>
      <c r="AV1305" s="38">
        <v>69.39</v>
      </c>
      <c r="AW1305" s="38">
        <v>72.61</v>
      </c>
      <c r="AX1305" s="38">
        <v>74.91</v>
      </c>
      <c r="AY1305" s="38">
        <v>76.209999999999994</v>
      </c>
      <c r="BA1305" s="37">
        <v>72.12</v>
      </c>
      <c r="BB1305" s="38">
        <v>1.2519</v>
      </c>
    </row>
    <row r="1306" spans="1:54" x14ac:dyDescent="0.35">
      <c r="A1306" s="2">
        <f t="shared" si="20"/>
        <v>45650</v>
      </c>
      <c r="B1306" t="s">
        <v>1899</v>
      </c>
      <c r="C1306" s="32">
        <v>45650</v>
      </c>
      <c r="D1306" s="38">
        <v>114.29</v>
      </c>
      <c r="E1306" s="38">
        <v>114.48</v>
      </c>
      <c r="F1306" s="38">
        <v>112.94</v>
      </c>
      <c r="G1306" s="38">
        <v>112.09</v>
      </c>
      <c r="H1306" s="38">
        <v>111.39</v>
      </c>
      <c r="I1306" s="38">
        <v>110.51</v>
      </c>
      <c r="J1306" s="38">
        <v>109.39</v>
      </c>
      <c r="K1306" s="38">
        <v>108.79</v>
      </c>
      <c r="L1306" s="38">
        <v>109.49</v>
      </c>
      <c r="M1306" s="38">
        <v>107.77</v>
      </c>
      <c r="N1306" s="38">
        <v>107.66</v>
      </c>
      <c r="O1306" s="38">
        <v>108.81</v>
      </c>
      <c r="P1306" s="38">
        <v>109.24</v>
      </c>
      <c r="Q1306" s="38">
        <v>107.94</v>
      </c>
      <c r="R1306" s="38">
        <v>103.89</v>
      </c>
      <c r="S1306" s="38">
        <v>92.88</v>
      </c>
      <c r="T1306" s="38">
        <v>88.27</v>
      </c>
      <c r="U1306" s="38">
        <v>85.82</v>
      </c>
      <c r="V1306" s="38">
        <v>85.27</v>
      </c>
      <c r="W1306" s="38">
        <v>85.74</v>
      </c>
      <c r="X1306" s="38">
        <v>87.04</v>
      </c>
      <c r="Y1306" s="38">
        <v>89.05</v>
      </c>
      <c r="Z1306" s="38">
        <v>91.23</v>
      </c>
      <c r="AA1306" s="38">
        <v>92.65</v>
      </c>
      <c r="AB1306" s="38">
        <v>94.28</v>
      </c>
      <c r="AC1306" s="38">
        <v>92.57</v>
      </c>
      <c r="AD1306" s="38">
        <v>86.15</v>
      </c>
      <c r="AE1306" s="38">
        <v>77.06</v>
      </c>
      <c r="AF1306" s="38">
        <v>73.510000000000005</v>
      </c>
      <c r="AG1306" s="38">
        <v>72.16</v>
      </c>
      <c r="AH1306" s="38">
        <v>73.150000000000006</v>
      </c>
      <c r="AI1306" s="38">
        <v>73.45</v>
      </c>
      <c r="AJ1306" s="38">
        <v>73.88</v>
      </c>
      <c r="AK1306" s="38">
        <v>77.63</v>
      </c>
      <c r="AL1306" s="38">
        <v>79.66</v>
      </c>
      <c r="AM1306" s="38">
        <v>82.44</v>
      </c>
      <c r="AN1306" s="38">
        <v>84.42</v>
      </c>
      <c r="AO1306" s="38">
        <v>83.65</v>
      </c>
      <c r="AP1306" s="38">
        <v>80.150000000000006</v>
      </c>
      <c r="AQ1306" s="38">
        <v>72.98</v>
      </c>
      <c r="AR1306" s="38">
        <v>68.75</v>
      </c>
      <c r="AS1306" s="38">
        <v>67.489999999999995</v>
      </c>
      <c r="AT1306" s="38">
        <v>67.58</v>
      </c>
      <c r="AU1306" s="38">
        <v>66.430000000000007</v>
      </c>
      <c r="AV1306" s="38">
        <v>69.739999999999995</v>
      </c>
      <c r="AW1306" s="38">
        <v>72.97</v>
      </c>
      <c r="AX1306" s="38">
        <v>75.27</v>
      </c>
      <c r="AY1306" s="38">
        <v>76.569999999999993</v>
      </c>
      <c r="BA1306" s="37">
        <v>73.5</v>
      </c>
      <c r="BB1306" s="38">
        <v>1.2539</v>
      </c>
    </row>
    <row r="1307" spans="1:54" x14ac:dyDescent="0.35">
      <c r="A1307" s="2">
        <f t="shared" si="20"/>
        <v>45651</v>
      </c>
      <c r="B1307" t="s">
        <v>1900</v>
      </c>
      <c r="C1307" s="32">
        <v>45651</v>
      </c>
      <c r="D1307" s="38" t="e">
        <v>#N/A</v>
      </c>
      <c r="E1307" s="38" t="e">
        <v>#N/A</v>
      </c>
      <c r="F1307" s="38" t="e">
        <v>#N/A</v>
      </c>
      <c r="G1307" s="38" t="e">
        <v>#N/A</v>
      </c>
      <c r="H1307" s="38" t="e">
        <v>#N/A</v>
      </c>
      <c r="I1307" s="38" t="e">
        <v>#N/A</v>
      </c>
      <c r="J1307" s="38" t="e">
        <v>#N/A</v>
      </c>
      <c r="K1307" s="38" t="e">
        <v>#N/A</v>
      </c>
      <c r="L1307" s="38" t="e">
        <v>#N/A</v>
      </c>
      <c r="M1307" s="38" t="e">
        <v>#N/A</v>
      </c>
      <c r="N1307" s="38" t="e">
        <v>#N/A</v>
      </c>
      <c r="O1307" s="38" t="e">
        <v>#N/A</v>
      </c>
      <c r="P1307" s="38" t="e">
        <v>#N/A</v>
      </c>
      <c r="Q1307" s="38" t="e">
        <v>#N/A</v>
      </c>
      <c r="R1307" s="38" t="e">
        <v>#N/A</v>
      </c>
      <c r="S1307" s="38" t="e">
        <v>#N/A</v>
      </c>
      <c r="T1307" s="38" t="e">
        <v>#N/A</v>
      </c>
      <c r="U1307" s="38" t="e">
        <v>#N/A</v>
      </c>
      <c r="V1307" s="38" t="e">
        <v>#N/A</v>
      </c>
      <c r="W1307" s="38" t="e">
        <v>#N/A</v>
      </c>
      <c r="X1307" s="38" t="e">
        <v>#N/A</v>
      </c>
      <c r="Y1307" s="38" t="e">
        <v>#N/A</v>
      </c>
      <c r="Z1307" s="38" t="e">
        <v>#N/A</v>
      </c>
      <c r="AA1307" s="38" t="e">
        <v>#N/A</v>
      </c>
      <c r="AB1307" s="38" t="e">
        <v>#N/A</v>
      </c>
      <c r="AC1307" s="38" t="e">
        <v>#N/A</v>
      </c>
      <c r="AD1307" s="38" t="e">
        <v>#N/A</v>
      </c>
      <c r="AE1307" s="38" t="e">
        <v>#N/A</v>
      </c>
      <c r="AF1307" s="38" t="e">
        <v>#N/A</v>
      </c>
      <c r="AG1307" s="38" t="e">
        <v>#N/A</v>
      </c>
      <c r="AH1307" s="38" t="e">
        <v>#N/A</v>
      </c>
      <c r="AI1307" s="38" t="e">
        <v>#N/A</v>
      </c>
      <c r="AJ1307" s="38" t="e">
        <v>#N/A</v>
      </c>
      <c r="AK1307" s="38" t="e">
        <v>#N/A</v>
      </c>
      <c r="AL1307" s="38" t="e">
        <v>#N/A</v>
      </c>
      <c r="AM1307" s="38" t="e">
        <v>#N/A</v>
      </c>
      <c r="AN1307" s="38" t="e">
        <v>#N/A</v>
      </c>
      <c r="AO1307" s="38" t="e">
        <v>#N/A</v>
      </c>
      <c r="AP1307" s="38" t="e">
        <v>#N/A</v>
      </c>
      <c r="AQ1307" s="38" t="e">
        <v>#N/A</v>
      </c>
      <c r="AR1307" s="38" t="e">
        <v>#N/A</v>
      </c>
      <c r="AS1307" s="38" t="e">
        <v>#N/A</v>
      </c>
      <c r="AT1307" s="38" t="e">
        <v>#N/A</v>
      </c>
      <c r="AU1307" s="38" t="e">
        <v>#N/A</v>
      </c>
      <c r="AV1307" s="38" t="e">
        <v>#N/A</v>
      </c>
      <c r="AW1307" s="38" t="e">
        <v>#N/A</v>
      </c>
      <c r="AX1307" s="38" t="e">
        <v>#N/A</v>
      </c>
      <c r="AY1307" s="38" t="e">
        <v>#N/A</v>
      </c>
      <c r="BA1307" s="37" t="e">
        <v>#N/A</v>
      </c>
      <c r="BB1307" s="38" t="e">
        <v>#N/A</v>
      </c>
    </row>
    <row r="1308" spans="1:54" x14ac:dyDescent="0.35">
      <c r="A1308" s="2">
        <f t="shared" si="20"/>
        <v>45652</v>
      </c>
      <c r="B1308" t="s">
        <v>1901</v>
      </c>
      <c r="C1308" s="32">
        <v>45652</v>
      </c>
      <c r="D1308" s="38">
        <v>114.29</v>
      </c>
      <c r="E1308" s="38">
        <v>114.48</v>
      </c>
      <c r="F1308" s="38">
        <v>112.94</v>
      </c>
      <c r="G1308" s="38">
        <v>112.09</v>
      </c>
      <c r="H1308" s="38">
        <v>111.39</v>
      </c>
      <c r="I1308" s="38">
        <v>110.51</v>
      </c>
      <c r="J1308" s="38">
        <v>109.39</v>
      </c>
      <c r="K1308" s="38">
        <v>108.79</v>
      </c>
      <c r="L1308" s="38">
        <v>109.49</v>
      </c>
      <c r="M1308" s="38">
        <v>107.77</v>
      </c>
      <c r="N1308" s="38">
        <v>107.66</v>
      </c>
      <c r="O1308" s="38">
        <v>108.81</v>
      </c>
      <c r="P1308" s="38">
        <v>109.24</v>
      </c>
      <c r="Q1308" s="38">
        <v>107.94</v>
      </c>
      <c r="R1308" s="38">
        <v>103.89</v>
      </c>
      <c r="S1308" s="38">
        <v>92.88</v>
      </c>
      <c r="T1308" s="38">
        <v>88.27</v>
      </c>
      <c r="U1308" s="38">
        <v>85.82</v>
      </c>
      <c r="V1308" s="38">
        <v>85.27</v>
      </c>
      <c r="W1308" s="38">
        <v>85.74</v>
      </c>
      <c r="X1308" s="38">
        <v>87.04</v>
      </c>
      <c r="Y1308" s="38">
        <v>89.05</v>
      </c>
      <c r="Z1308" s="38">
        <v>91.23</v>
      </c>
      <c r="AA1308" s="38">
        <v>92.65</v>
      </c>
      <c r="AB1308" s="38">
        <v>94.28</v>
      </c>
      <c r="AC1308" s="38">
        <v>92.57</v>
      </c>
      <c r="AD1308" s="38">
        <v>86.15</v>
      </c>
      <c r="AE1308" s="38">
        <v>77.06</v>
      </c>
      <c r="AF1308" s="38">
        <v>73.510000000000005</v>
      </c>
      <c r="AG1308" s="38">
        <v>72.16</v>
      </c>
      <c r="AH1308" s="38">
        <v>73.150000000000006</v>
      </c>
      <c r="AI1308" s="38">
        <v>73.45</v>
      </c>
      <c r="AJ1308" s="38">
        <v>73.88</v>
      </c>
      <c r="AK1308" s="38">
        <v>77.63</v>
      </c>
      <c r="AL1308" s="38">
        <v>79.66</v>
      </c>
      <c r="AM1308" s="38">
        <v>82.44</v>
      </c>
      <c r="AN1308" s="38">
        <v>84.42</v>
      </c>
      <c r="AO1308" s="38">
        <v>83.65</v>
      </c>
      <c r="AP1308" s="38">
        <v>80.150000000000006</v>
      </c>
      <c r="AQ1308" s="38">
        <v>72.98</v>
      </c>
      <c r="AR1308" s="38">
        <v>68.75</v>
      </c>
      <c r="AS1308" s="38">
        <v>67.489999999999995</v>
      </c>
      <c r="AT1308" s="38">
        <v>67.58</v>
      </c>
      <c r="AU1308" s="38">
        <v>66.430000000000007</v>
      </c>
      <c r="AV1308" s="38">
        <v>69.739999999999995</v>
      </c>
      <c r="AW1308" s="38">
        <v>72.97</v>
      </c>
      <c r="AX1308" s="38">
        <v>75.27</v>
      </c>
      <c r="AY1308" s="38">
        <v>76.569999999999993</v>
      </c>
      <c r="BA1308" s="37" t="e">
        <v>#N/A</v>
      </c>
      <c r="BB1308" s="38" t="e">
        <v>#N/A</v>
      </c>
    </row>
    <row r="1309" spans="1:54" x14ac:dyDescent="0.35">
      <c r="A1309" s="2">
        <f t="shared" si="20"/>
        <v>45653</v>
      </c>
      <c r="B1309" t="s">
        <v>1902</v>
      </c>
      <c r="C1309" s="32">
        <v>45653</v>
      </c>
      <c r="D1309" s="38">
        <v>119.75</v>
      </c>
      <c r="E1309" s="38">
        <v>119.9</v>
      </c>
      <c r="F1309" s="38">
        <v>118</v>
      </c>
      <c r="G1309" s="38">
        <v>116.71</v>
      </c>
      <c r="H1309" s="38">
        <v>116.04</v>
      </c>
      <c r="I1309" s="38">
        <v>114.78</v>
      </c>
      <c r="J1309" s="38">
        <v>113.24</v>
      </c>
      <c r="K1309" s="38">
        <v>112.67</v>
      </c>
      <c r="L1309" s="38">
        <v>113.41</v>
      </c>
      <c r="M1309" s="38">
        <v>111.16</v>
      </c>
      <c r="N1309" s="38">
        <v>111.54</v>
      </c>
      <c r="O1309" s="38">
        <v>112.66</v>
      </c>
      <c r="P1309" s="38">
        <v>113.07</v>
      </c>
      <c r="Q1309" s="38">
        <v>111.93</v>
      </c>
      <c r="R1309" s="38">
        <v>107.8</v>
      </c>
      <c r="S1309" s="38">
        <v>95.45</v>
      </c>
      <c r="T1309" s="38">
        <v>90.63</v>
      </c>
      <c r="U1309" s="38">
        <v>88.18</v>
      </c>
      <c r="V1309" s="38">
        <v>87.66</v>
      </c>
      <c r="W1309" s="38">
        <v>88.36</v>
      </c>
      <c r="X1309" s="38">
        <v>89.52</v>
      </c>
      <c r="Y1309" s="38">
        <v>91.41</v>
      </c>
      <c r="Z1309" s="38">
        <v>93.49</v>
      </c>
      <c r="AA1309" s="38">
        <v>94.91</v>
      </c>
      <c r="AB1309" s="38">
        <v>96.54</v>
      </c>
      <c r="AC1309" s="38">
        <v>94.83</v>
      </c>
      <c r="AD1309" s="38">
        <v>88.41</v>
      </c>
      <c r="AE1309" s="38">
        <v>79.56</v>
      </c>
      <c r="AF1309" s="38">
        <v>76.03</v>
      </c>
      <c r="AG1309" s="38">
        <v>74.69</v>
      </c>
      <c r="AH1309" s="38">
        <v>75.48</v>
      </c>
      <c r="AI1309" s="38">
        <v>75.77</v>
      </c>
      <c r="AJ1309" s="38">
        <v>76.260000000000005</v>
      </c>
      <c r="AK1309" s="38">
        <v>80.05</v>
      </c>
      <c r="AL1309" s="38">
        <v>82.09</v>
      </c>
      <c r="AM1309" s="38">
        <v>84.88</v>
      </c>
      <c r="AN1309" s="38">
        <v>86.84</v>
      </c>
      <c r="AO1309" s="38">
        <v>86.07</v>
      </c>
      <c r="AP1309" s="38">
        <v>82.57</v>
      </c>
      <c r="AQ1309" s="38">
        <v>75.33</v>
      </c>
      <c r="AR1309" s="38">
        <v>71.099999999999994</v>
      </c>
      <c r="AS1309" s="38">
        <v>69.84</v>
      </c>
      <c r="AT1309" s="38">
        <v>69.930000000000007</v>
      </c>
      <c r="AU1309" s="38">
        <v>68.78</v>
      </c>
      <c r="AV1309" s="38">
        <v>72.09</v>
      </c>
      <c r="AW1309" s="38">
        <v>75.319999999999993</v>
      </c>
      <c r="AX1309" s="38">
        <v>77.62</v>
      </c>
      <c r="AY1309" s="38">
        <v>78.92</v>
      </c>
      <c r="BA1309" s="37">
        <v>73.77</v>
      </c>
      <c r="BB1309" s="38">
        <v>1.2577</v>
      </c>
    </row>
    <row r="1310" spans="1:54" x14ac:dyDescent="0.35">
      <c r="A1310" s="2">
        <f t="shared" si="20"/>
        <v>45656</v>
      </c>
      <c r="B1310" t="s">
        <v>1903</v>
      </c>
      <c r="C1310" s="32">
        <v>45656</v>
      </c>
      <c r="D1310" s="38">
        <v>119.65</v>
      </c>
      <c r="E1310" s="38">
        <v>119.82</v>
      </c>
      <c r="F1310" s="38">
        <v>117.97</v>
      </c>
      <c r="G1310" s="38">
        <v>116.63</v>
      </c>
      <c r="H1310" s="38">
        <v>115.93</v>
      </c>
      <c r="I1310" s="38">
        <v>115.13</v>
      </c>
      <c r="J1310" s="38">
        <v>113.27</v>
      </c>
      <c r="K1310" s="38">
        <v>112.67</v>
      </c>
      <c r="L1310" s="38">
        <v>113.37</v>
      </c>
      <c r="M1310" s="38">
        <v>111.12</v>
      </c>
      <c r="N1310" s="38">
        <v>111.2</v>
      </c>
      <c r="O1310" s="38">
        <v>112.29</v>
      </c>
      <c r="P1310" s="38">
        <v>113.04</v>
      </c>
      <c r="Q1310" s="38">
        <v>111.89</v>
      </c>
      <c r="R1310" s="38">
        <v>107.98</v>
      </c>
      <c r="S1310" s="38">
        <v>95.78</v>
      </c>
      <c r="T1310" s="38">
        <v>90.79</v>
      </c>
      <c r="U1310" s="38">
        <v>88.23</v>
      </c>
      <c r="V1310" s="38">
        <v>87.64</v>
      </c>
      <c r="W1310" s="38">
        <v>88.3</v>
      </c>
      <c r="X1310" s="38">
        <v>89.45</v>
      </c>
      <c r="Y1310" s="38">
        <v>91.36</v>
      </c>
      <c r="Z1310" s="38">
        <v>93.44</v>
      </c>
      <c r="AA1310" s="38">
        <v>94.87</v>
      </c>
      <c r="AB1310" s="38">
        <v>96.6</v>
      </c>
      <c r="AC1310" s="38">
        <v>94.89</v>
      </c>
      <c r="AD1310" s="38">
        <v>88.48</v>
      </c>
      <c r="AE1310" s="38">
        <v>78.930000000000007</v>
      </c>
      <c r="AF1310" s="38">
        <v>75.39</v>
      </c>
      <c r="AG1310" s="38">
        <v>74.05</v>
      </c>
      <c r="AH1310" s="38">
        <v>74.84</v>
      </c>
      <c r="AI1310" s="38">
        <v>75.12</v>
      </c>
      <c r="AJ1310" s="38">
        <v>75.599999999999994</v>
      </c>
      <c r="AK1310" s="38">
        <v>78.709999999999994</v>
      </c>
      <c r="AL1310" s="38">
        <v>80.400000000000006</v>
      </c>
      <c r="AM1310" s="38">
        <v>82.98</v>
      </c>
      <c r="AN1310" s="38">
        <v>84.94</v>
      </c>
      <c r="AO1310" s="38">
        <v>84.17</v>
      </c>
      <c r="AP1310" s="38">
        <v>80.67</v>
      </c>
      <c r="AQ1310" s="38">
        <v>73.92</v>
      </c>
      <c r="AR1310" s="38">
        <v>69.69</v>
      </c>
      <c r="AS1310" s="38">
        <v>68.42</v>
      </c>
      <c r="AT1310" s="38">
        <v>68.510000000000005</v>
      </c>
      <c r="AU1310" s="38">
        <v>67.36</v>
      </c>
      <c r="AV1310" s="38">
        <v>70.67</v>
      </c>
      <c r="AW1310" s="38">
        <v>73.900000000000006</v>
      </c>
      <c r="AX1310" s="38">
        <v>76.2</v>
      </c>
      <c r="AY1310" s="38">
        <v>77.5</v>
      </c>
      <c r="BA1310" s="37">
        <v>74.239999999999995</v>
      </c>
      <c r="BB1310" s="38">
        <v>1.2511000000000001</v>
      </c>
    </row>
    <row r="1311" spans="1:54" x14ac:dyDescent="0.35">
      <c r="A1311" s="2">
        <f t="shared" si="20"/>
        <v>45657</v>
      </c>
      <c r="B1311" t="s">
        <v>1904</v>
      </c>
      <c r="C1311" s="32">
        <v>45657</v>
      </c>
      <c r="D1311" s="38">
        <v>121.96</v>
      </c>
      <c r="E1311" s="38">
        <v>120.17</v>
      </c>
      <c r="F1311" s="38">
        <v>119.02</v>
      </c>
      <c r="G1311" s="38">
        <v>118.39</v>
      </c>
      <c r="H1311" s="38">
        <v>117.54</v>
      </c>
      <c r="I1311" s="38">
        <v>115.84</v>
      </c>
      <c r="J1311" s="38">
        <v>115.24</v>
      </c>
      <c r="K1311" s="38">
        <v>115.94</v>
      </c>
      <c r="L1311" s="38">
        <v>113.59</v>
      </c>
      <c r="M1311" s="38">
        <v>113.67</v>
      </c>
      <c r="N1311" s="38">
        <v>114.76</v>
      </c>
      <c r="O1311" s="38">
        <v>115.51</v>
      </c>
      <c r="P1311" s="38">
        <v>114.36</v>
      </c>
      <c r="Q1311" s="38">
        <v>110.45</v>
      </c>
      <c r="R1311" s="38">
        <v>98</v>
      </c>
      <c r="S1311" s="38">
        <v>93.01</v>
      </c>
      <c r="T1311" s="38">
        <v>90.45</v>
      </c>
      <c r="U1311" s="38">
        <v>89.86</v>
      </c>
      <c r="V1311" s="38">
        <v>90.52</v>
      </c>
      <c r="W1311" s="38">
        <v>91.67</v>
      </c>
      <c r="X1311" s="38">
        <v>93.33</v>
      </c>
      <c r="Y1311" s="38">
        <v>94.91</v>
      </c>
      <c r="Z1311" s="38">
        <v>96.34</v>
      </c>
      <c r="AA1311" s="38">
        <v>98.07</v>
      </c>
      <c r="AB1311" s="38">
        <v>96.36</v>
      </c>
      <c r="AC1311" s="38">
        <v>89.95</v>
      </c>
      <c r="AD1311" s="38">
        <v>80</v>
      </c>
      <c r="AE1311" s="38">
        <v>76.459999999999994</v>
      </c>
      <c r="AF1311" s="38">
        <v>75.12</v>
      </c>
      <c r="AG1311" s="38">
        <v>75.91</v>
      </c>
      <c r="AH1311" s="38">
        <v>76.19</v>
      </c>
      <c r="AI1311" s="38">
        <v>76.67</v>
      </c>
      <c r="AJ1311" s="38">
        <v>79.38</v>
      </c>
      <c r="AK1311" s="38">
        <v>81.069999999999993</v>
      </c>
      <c r="AL1311" s="38">
        <v>83.65</v>
      </c>
      <c r="AM1311" s="38">
        <v>85.61</v>
      </c>
      <c r="AN1311" s="38">
        <v>84.84</v>
      </c>
      <c r="AO1311" s="38">
        <v>81.34</v>
      </c>
      <c r="AP1311" s="38">
        <v>74.59</v>
      </c>
      <c r="AQ1311" s="38">
        <v>70.36</v>
      </c>
      <c r="AR1311" s="38">
        <v>69.09</v>
      </c>
      <c r="AS1311" s="38">
        <v>69.180000000000007</v>
      </c>
      <c r="AT1311" s="38">
        <v>68.03</v>
      </c>
      <c r="AU1311" s="38">
        <v>71.34</v>
      </c>
      <c r="AV1311" s="38">
        <v>74.569999999999993</v>
      </c>
      <c r="AW1311" s="38">
        <v>76.87</v>
      </c>
      <c r="AX1311" s="38">
        <v>78.17</v>
      </c>
      <c r="AY1311" s="38">
        <v>77.650000000000006</v>
      </c>
      <c r="BA1311" s="37">
        <v>74.58</v>
      </c>
      <c r="BB1311" s="38">
        <v>1.2528999999999999</v>
      </c>
    </row>
    <row r="1312" spans="1:54" x14ac:dyDescent="0.35">
      <c r="A1312" s="2">
        <f t="shared" si="20"/>
        <v>45658</v>
      </c>
      <c r="B1312" t="s">
        <v>1905</v>
      </c>
      <c r="C1312" s="32">
        <v>45658</v>
      </c>
      <c r="D1312" s="38" t="e">
        <v>#N/A</v>
      </c>
      <c r="E1312" s="38" t="e">
        <v>#N/A</v>
      </c>
      <c r="F1312" s="38" t="e">
        <v>#N/A</v>
      </c>
      <c r="G1312" s="38" t="e">
        <v>#N/A</v>
      </c>
      <c r="H1312" s="38" t="e">
        <v>#N/A</v>
      </c>
      <c r="I1312" s="38" t="e">
        <v>#N/A</v>
      </c>
      <c r="J1312" s="38" t="e">
        <v>#N/A</v>
      </c>
      <c r="K1312" s="38" t="e">
        <v>#N/A</v>
      </c>
      <c r="L1312" s="38" t="e">
        <v>#N/A</v>
      </c>
      <c r="M1312" s="38" t="e">
        <v>#N/A</v>
      </c>
      <c r="N1312" s="38" t="e">
        <v>#N/A</v>
      </c>
      <c r="O1312" s="38" t="e">
        <v>#N/A</v>
      </c>
      <c r="P1312" s="38" t="e">
        <v>#N/A</v>
      </c>
      <c r="Q1312" s="38" t="e">
        <v>#N/A</v>
      </c>
      <c r="R1312" s="38" t="e">
        <v>#N/A</v>
      </c>
      <c r="S1312" s="38" t="e">
        <v>#N/A</v>
      </c>
      <c r="T1312" s="38" t="e">
        <v>#N/A</v>
      </c>
      <c r="U1312" s="38" t="e">
        <v>#N/A</v>
      </c>
      <c r="V1312" s="38" t="e">
        <v>#N/A</v>
      </c>
      <c r="W1312" s="38" t="e">
        <v>#N/A</v>
      </c>
      <c r="X1312" s="38" t="e">
        <v>#N/A</v>
      </c>
      <c r="Y1312" s="38" t="e">
        <v>#N/A</v>
      </c>
      <c r="Z1312" s="38" t="e">
        <v>#N/A</v>
      </c>
      <c r="AA1312" s="38" t="e">
        <v>#N/A</v>
      </c>
      <c r="AB1312" s="38" t="e">
        <v>#N/A</v>
      </c>
      <c r="AC1312" s="38" t="e">
        <v>#N/A</v>
      </c>
      <c r="AD1312" s="38" t="e">
        <v>#N/A</v>
      </c>
      <c r="AE1312" s="38" t="e">
        <v>#N/A</v>
      </c>
      <c r="AF1312" s="38" t="e">
        <v>#N/A</v>
      </c>
      <c r="AG1312" s="38" t="e">
        <v>#N/A</v>
      </c>
      <c r="AH1312" s="38" t="e">
        <v>#N/A</v>
      </c>
      <c r="AI1312" s="38" t="e">
        <v>#N/A</v>
      </c>
      <c r="AJ1312" s="38" t="e">
        <v>#N/A</v>
      </c>
      <c r="AK1312" s="38" t="e">
        <v>#N/A</v>
      </c>
      <c r="AL1312" s="38" t="e">
        <v>#N/A</v>
      </c>
      <c r="AM1312" s="38" t="e">
        <v>#N/A</v>
      </c>
      <c r="AN1312" s="38" t="e">
        <v>#N/A</v>
      </c>
      <c r="AO1312" s="38" t="e">
        <v>#N/A</v>
      </c>
      <c r="AP1312" s="38" t="e">
        <v>#N/A</v>
      </c>
      <c r="AQ1312" s="38" t="e">
        <v>#N/A</v>
      </c>
      <c r="AR1312" s="38" t="e">
        <v>#N/A</v>
      </c>
      <c r="AS1312" s="38" t="e">
        <v>#N/A</v>
      </c>
      <c r="AT1312" s="38" t="e">
        <v>#N/A</v>
      </c>
      <c r="AU1312" s="38" t="e">
        <v>#N/A</v>
      </c>
      <c r="AV1312" s="38" t="e">
        <v>#N/A</v>
      </c>
      <c r="AW1312" s="38" t="e">
        <v>#N/A</v>
      </c>
      <c r="AX1312" s="38" t="e">
        <v>#N/A</v>
      </c>
      <c r="AY1312" s="38" t="e">
        <v>#N/A</v>
      </c>
      <c r="BA1312" s="37" t="e">
        <v>#N/A</v>
      </c>
      <c r="BB1312" s="38" t="e">
        <v>#N/A</v>
      </c>
    </row>
    <row r="1313" spans="1:54" x14ac:dyDescent="0.35">
      <c r="A1313" s="2">
        <f t="shared" si="20"/>
        <v>45659</v>
      </c>
      <c r="B1313" t="s">
        <v>1906</v>
      </c>
      <c r="C1313" s="32">
        <v>45659</v>
      </c>
      <c r="D1313" s="38">
        <v>125.18</v>
      </c>
      <c r="E1313" s="38">
        <v>123.26</v>
      </c>
      <c r="F1313" s="38">
        <v>122.06</v>
      </c>
      <c r="G1313" s="38">
        <v>121.19</v>
      </c>
      <c r="H1313" s="38">
        <v>120</v>
      </c>
      <c r="I1313" s="38">
        <v>118.37</v>
      </c>
      <c r="J1313" s="38">
        <v>117.83</v>
      </c>
      <c r="K1313" s="38">
        <v>118.58</v>
      </c>
      <c r="L1313" s="38">
        <v>116.55</v>
      </c>
      <c r="M1313" s="38">
        <v>116.65</v>
      </c>
      <c r="N1313" s="38">
        <v>117.75</v>
      </c>
      <c r="O1313" s="38">
        <v>118.1</v>
      </c>
      <c r="P1313" s="38">
        <v>116.95</v>
      </c>
      <c r="Q1313" s="38">
        <v>113.04</v>
      </c>
      <c r="R1313" s="38">
        <v>99.81</v>
      </c>
      <c r="S1313" s="38">
        <v>94.8</v>
      </c>
      <c r="T1313" s="38">
        <v>92.22</v>
      </c>
      <c r="U1313" s="38">
        <v>91.62</v>
      </c>
      <c r="V1313" s="38">
        <v>92.27</v>
      </c>
      <c r="W1313" s="38">
        <v>93.4</v>
      </c>
      <c r="X1313" s="38">
        <v>95.06</v>
      </c>
      <c r="Y1313" s="38">
        <v>96.63</v>
      </c>
      <c r="Z1313" s="38">
        <v>98.05</v>
      </c>
      <c r="AA1313" s="38">
        <v>99.77</v>
      </c>
      <c r="AB1313" s="38">
        <v>98.06</v>
      </c>
      <c r="AC1313" s="38">
        <v>91.55</v>
      </c>
      <c r="AD1313" s="38">
        <v>80.319999999999993</v>
      </c>
      <c r="AE1313" s="38">
        <v>76.58</v>
      </c>
      <c r="AF1313" s="38">
        <v>75.239999999999995</v>
      </c>
      <c r="AG1313" s="38">
        <v>76.03</v>
      </c>
      <c r="AH1313" s="38">
        <v>76.31</v>
      </c>
      <c r="AI1313" s="38">
        <v>76.790000000000006</v>
      </c>
      <c r="AJ1313" s="38">
        <v>79.5</v>
      </c>
      <c r="AK1313" s="38">
        <v>81.19</v>
      </c>
      <c r="AL1313" s="38">
        <v>83.77</v>
      </c>
      <c r="AM1313" s="38">
        <v>85.73</v>
      </c>
      <c r="AN1313" s="38">
        <v>84.96</v>
      </c>
      <c r="AO1313" s="38">
        <v>81.459999999999994</v>
      </c>
      <c r="AP1313" s="38">
        <v>74.69</v>
      </c>
      <c r="AQ1313" s="38">
        <v>70.459999999999994</v>
      </c>
      <c r="AR1313" s="38">
        <v>69.19</v>
      </c>
      <c r="AS1313" s="38">
        <v>69.28</v>
      </c>
      <c r="AT1313" s="38">
        <v>68.13</v>
      </c>
      <c r="AU1313" s="38">
        <v>71.44</v>
      </c>
      <c r="AV1313" s="38">
        <v>74.67</v>
      </c>
      <c r="AW1313" s="38">
        <v>76.97</v>
      </c>
      <c r="AX1313" s="38">
        <v>78.27</v>
      </c>
      <c r="AY1313" s="38">
        <v>77.75</v>
      </c>
      <c r="BA1313" s="37">
        <v>76.14</v>
      </c>
      <c r="BB1313" s="38">
        <v>1.2375</v>
      </c>
    </row>
    <row r="1314" spans="1:54" x14ac:dyDescent="0.35">
      <c r="A1314" s="2">
        <f t="shared" si="20"/>
        <v>45660</v>
      </c>
      <c r="B1314" t="s">
        <v>1907</v>
      </c>
      <c r="C1314" s="32">
        <v>45660</v>
      </c>
      <c r="D1314" s="38">
        <v>123.82</v>
      </c>
      <c r="E1314" s="38">
        <v>121.82</v>
      </c>
      <c r="F1314" s="38">
        <v>120.56</v>
      </c>
      <c r="G1314" s="38">
        <v>119.57</v>
      </c>
      <c r="H1314" s="38">
        <v>118.48</v>
      </c>
      <c r="I1314" s="38">
        <v>116.78</v>
      </c>
      <c r="J1314" s="38">
        <v>116.43</v>
      </c>
      <c r="K1314" s="38">
        <v>117.33</v>
      </c>
      <c r="L1314" s="38">
        <v>115.85</v>
      </c>
      <c r="M1314" s="38">
        <v>116.15</v>
      </c>
      <c r="N1314" s="38">
        <v>117.34</v>
      </c>
      <c r="O1314" s="38">
        <v>117.75</v>
      </c>
      <c r="P1314" s="38">
        <v>116.6</v>
      </c>
      <c r="Q1314" s="38">
        <v>112.69</v>
      </c>
      <c r="R1314" s="38">
        <v>100.04</v>
      </c>
      <c r="S1314" s="38">
        <v>95.02</v>
      </c>
      <c r="T1314" s="38">
        <v>92.44</v>
      </c>
      <c r="U1314" s="38">
        <v>91.84</v>
      </c>
      <c r="V1314" s="38">
        <v>92.49</v>
      </c>
      <c r="W1314" s="38">
        <v>93.62</v>
      </c>
      <c r="X1314" s="38">
        <v>95.21</v>
      </c>
      <c r="Y1314" s="38">
        <v>96.78</v>
      </c>
      <c r="Z1314" s="38">
        <v>98.2</v>
      </c>
      <c r="AA1314" s="38">
        <v>99.92</v>
      </c>
      <c r="AB1314" s="38">
        <v>98.21</v>
      </c>
      <c r="AC1314" s="38">
        <v>91.7</v>
      </c>
      <c r="AD1314" s="38">
        <v>80.319999999999993</v>
      </c>
      <c r="AE1314" s="38">
        <v>76.58</v>
      </c>
      <c r="AF1314" s="38">
        <v>75.239999999999995</v>
      </c>
      <c r="AG1314" s="38">
        <v>76.03</v>
      </c>
      <c r="AH1314" s="38">
        <v>76.31</v>
      </c>
      <c r="AI1314" s="38">
        <v>76.790000000000006</v>
      </c>
      <c r="AJ1314" s="38">
        <v>79.5</v>
      </c>
      <c r="AK1314" s="38">
        <v>81.19</v>
      </c>
      <c r="AL1314" s="38">
        <v>83.77</v>
      </c>
      <c r="AM1314" s="38">
        <v>85.73</v>
      </c>
      <c r="AN1314" s="38">
        <v>84.96</v>
      </c>
      <c r="AO1314" s="38">
        <v>81.459999999999994</v>
      </c>
      <c r="AP1314" s="38">
        <v>74.459999999999994</v>
      </c>
      <c r="AQ1314" s="38">
        <v>70.23</v>
      </c>
      <c r="AR1314" s="38">
        <v>68.959999999999994</v>
      </c>
      <c r="AS1314" s="38">
        <v>69.05</v>
      </c>
      <c r="AT1314" s="38">
        <v>67.900000000000006</v>
      </c>
      <c r="AU1314" s="38">
        <v>71.209999999999994</v>
      </c>
      <c r="AV1314" s="38">
        <v>74.44</v>
      </c>
      <c r="AW1314" s="38">
        <v>76.739999999999995</v>
      </c>
      <c r="AX1314" s="38">
        <v>78.040000000000006</v>
      </c>
      <c r="AY1314" s="38">
        <v>77.64</v>
      </c>
      <c r="BA1314" s="37">
        <v>76.72</v>
      </c>
      <c r="BB1314" s="38">
        <v>1.2403999999999999</v>
      </c>
    </row>
    <row r="1315" spans="1:54" x14ac:dyDescent="0.35">
      <c r="A1315" s="2">
        <f t="shared" si="20"/>
        <v>45663</v>
      </c>
      <c r="B1315" t="s">
        <v>1908</v>
      </c>
      <c r="C1315" s="32">
        <v>45663</v>
      </c>
      <c r="D1315" s="38">
        <v>117.91</v>
      </c>
      <c r="E1315" s="38">
        <v>116.52</v>
      </c>
      <c r="F1315" s="38">
        <v>115.67</v>
      </c>
      <c r="G1315" s="38">
        <v>115.01</v>
      </c>
      <c r="H1315" s="38">
        <v>114.32</v>
      </c>
      <c r="I1315" s="38">
        <v>112.76</v>
      </c>
      <c r="J1315" s="38">
        <v>112.75</v>
      </c>
      <c r="K1315" s="38">
        <v>113.79</v>
      </c>
      <c r="L1315" s="38">
        <v>112.37</v>
      </c>
      <c r="M1315" s="38">
        <v>113.42</v>
      </c>
      <c r="N1315" s="38">
        <v>113.85</v>
      </c>
      <c r="O1315" s="38">
        <v>114.21</v>
      </c>
      <c r="P1315" s="38">
        <v>113.26</v>
      </c>
      <c r="Q1315" s="38">
        <v>109.56</v>
      </c>
      <c r="R1315" s="38">
        <v>98.47</v>
      </c>
      <c r="S1315" s="38">
        <v>93.52</v>
      </c>
      <c r="T1315" s="38">
        <v>90.94</v>
      </c>
      <c r="U1315" s="38">
        <v>90.41</v>
      </c>
      <c r="V1315" s="38">
        <v>91.06</v>
      </c>
      <c r="W1315" s="38">
        <v>92.35</v>
      </c>
      <c r="X1315" s="38">
        <v>94.06</v>
      </c>
      <c r="Y1315" s="38">
        <v>95.75</v>
      </c>
      <c r="Z1315" s="38">
        <v>97.15</v>
      </c>
      <c r="AA1315" s="38">
        <v>98.74</v>
      </c>
      <c r="AB1315" s="38">
        <v>97.03</v>
      </c>
      <c r="AC1315" s="38">
        <v>90.51</v>
      </c>
      <c r="AD1315" s="38">
        <v>79.819999999999993</v>
      </c>
      <c r="AE1315" s="38">
        <v>76.08</v>
      </c>
      <c r="AF1315" s="38">
        <v>74.739999999999995</v>
      </c>
      <c r="AG1315" s="38">
        <v>75.64</v>
      </c>
      <c r="AH1315" s="38">
        <v>75.92</v>
      </c>
      <c r="AI1315" s="38">
        <v>76.400000000000006</v>
      </c>
      <c r="AJ1315" s="38">
        <v>79.12</v>
      </c>
      <c r="AK1315" s="38">
        <v>80.739999999999995</v>
      </c>
      <c r="AL1315" s="38">
        <v>83.32</v>
      </c>
      <c r="AM1315" s="38">
        <v>85.34</v>
      </c>
      <c r="AN1315" s="38">
        <v>85.07</v>
      </c>
      <c r="AO1315" s="38">
        <v>80.87</v>
      </c>
      <c r="AP1315" s="38">
        <v>74.48</v>
      </c>
      <c r="AQ1315" s="38">
        <v>70.14</v>
      </c>
      <c r="AR1315" s="38">
        <v>68.84</v>
      </c>
      <c r="AS1315" s="38">
        <v>68.92</v>
      </c>
      <c r="AT1315" s="38">
        <v>67.760000000000005</v>
      </c>
      <c r="AU1315" s="38">
        <v>71.05</v>
      </c>
      <c r="AV1315" s="38">
        <v>74.27</v>
      </c>
      <c r="AW1315" s="38">
        <v>76.55</v>
      </c>
      <c r="AX1315" s="38">
        <v>77.83</v>
      </c>
      <c r="AY1315" s="38">
        <v>77.650000000000006</v>
      </c>
      <c r="BA1315" s="37">
        <v>77.27</v>
      </c>
      <c r="BB1315" s="38">
        <v>1.2507999999999999</v>
      </c>
    </row>
    <row r="1316" spans="1:54" x14ac:dyDescent="0.35">
      <c r="A1316" s="2">
        <f t="shared" si="20"/>
        <v>45664</v>
      </c>
      <c r="B1316" t="s">
        <v>1909</v>
      </c>
      <c r="C1316" s="32">
        <v>45664</v>
      </c>
      <c r="D1316" s="38">
        <v>118.16</v>
      </c>
      <c r="E1316" s="38">
        <v>116.8</v>
      </c>
      <c r="F1316" s="38">
        <v>116.19</v>
      </c>
      <c r="G1316" s="38">
        <v>115.69</v>
      </c>
      <c r="H1316" s="38">
        <v>115.03</v>
      </c>
      <c r="I1316" s="38">
        <v>113.66</v>
      </c>
      <c r="J1316" s="38">
        <v>113.59</v>
      </c>
      <c r="K1316" s="38">
        <v>114.72</v>
      </c>
      <c r="L1316" s="38">
        <v>113.22</v>
      </c>
      <c r="M1316" s="38">
        <v>114.26</v>
      </c>
      <c r="N1316" s="38">
        <v>114.76</v>
      </c>
      <c r="O1316" s="38">
        <v>115.22</v>
      </c>
      <c r="P1316" s="38">
        <v>114.31</v>
      </c>
      <c r="Q1316" s="38">
        <v>110.56</v>
      </c>
      <c r="R1316" s="38">
        <v>99.22</v>
      </c>
      <c r="S1316" s="38">
        <v>94.26</v>
      </c>
      <c r="T1316" s="38">
        <v>91.78</v>
      </c>
      <c r="U1316" s="38">
        <v>91.3</v>
      </c>
      <c r="V1316" s="38">
        <v>91.94</v>
      </c>
      <c r="W1316" s="38">
        <v>93.22</v>
      </c>
      <c r="X1316" s="38">
        <v>94.74</v>
      </c>
      <c r="Y1316" s="38">
        <v>96.42</v>
      </c>
      <c r="Z1316" s="38">
        <v>97.83</v>
      </c>
      <c r="AA1316" s="38">
        <v>99.03</v>
      </c>
      <c r="AB1316" s="38">
        <v>97.32</v>
      </c>
      <c r="AC1316" s="38">
        <v>90.8</v>
      </c>
      <c r="AD1316" s="38">
        <v>80.239999999999995</v>
      </c>
      <c r="AE1316" s="38">
        <v>76.5</v>
      </c>
      <c r="AF1316" s="38">
        <v>75.16</v>
      </c>
      <c r="AG1316" s="38">
        <v>76.290000000000006</v>
      </c>
      <c r="AH1316" s="38">
        <v>76.569999999999993</v>
      </c>
      <c r="AI1316" s="38">
        <v>77.05</v>
      </c>
      <c r="AJ1316" s="38">
        <v>79.91</v>
      </c>
      <c r="AK1316" s="38">
        <v>81.53</v>
      </c>
      <c r="AL1316" s="38">
        <v>84.11</v>
      </c>
      <c r="AM1316" s="38">
        <v>85.92</v>
      </c>
      <c r="AN1316" s="38">
        <v>85.65</v>
      </c>
      <c r="AO1316" s="38">
        <v>81.02</v>
      </c>
      <c r="AP1316" s="38">
        <v>74.760000000000005</v>
      </c>
      <c r="AQ1316" s="38">
        <v>70.23</v>
      </c>
      <c r="AR1316" s="38">
        <v>68.59</v>
      </c>
      <c r="AS1316" s="38">
        <v>69.33</v>
      </c>
      <c r="AT1316" s="38">
        <v>67.849999999999994</v>
      </c>
      <c r="AU1316" s="38">
        <v>71.14</v>
      </c>
      <c r="AV1316" s="38">
        <v>74.430000000000007</v>
      </c>
      <c r="AW1316" s="38">
        <v>76.709999999999994</v>
      </c>
      <c r="AX1316" s="38">
        <v>77.989999999999995</v>
      </c>
      <c r="AY1316" s="38">
        <v>78.06</v>
      </c>
      <c r="BA1316" s="37">
        <v>77.84</v>
      </c>
      <c r="BB1316" s="38">
        <v>1.2498</v>
      </c>
    </row>
    <row r="1317" spans="1:54" x14ac:dyDescent="0.35">
      <c r="A1317" s="2">
        <f t="shared" si="20"/>
        <v>45665</v>
      </c>
      <c r="B1317" t="s">
        <v>1910</v>
      </c>
      <c r="C1317" s="32">
        <v>45665</v>
      </c>
      <c r="D1317" s="38">
        <v>114.03</v>
      </c>
      <c r="E1317" s="38">
        <v>112.54</v>
      </c>
      <c r="F1317" s="38">
        <v>112</v>
      </c>
      <c r="G1317" s="38">
        <v>111.38</v>
      </c>
      <c r="H1317" s="38">
        <v>110.6</v>
      </c>
      <c r="I1317" s="38">
        <v>109.45</v>
      </c>
      <c r="J1317" s="38">
        <v>109.71</v>
      </c>
      <c r="K1317" s="38">
        <v>111.22</v>
      </c>
      <c r="L1317" s="38">
        <v>109.75</v>
      </c>
      <c r="M1317" s="38">
        <v>111.08</v>
      </c>
      <c r="N1317" s="38">
        <v>111.76</v>
      </c>
      <c r="O1317" s="38">
        <v>112.41</v>
      </c>
      <c r="P1317" s="38">
        <v>111.61</v>
      </c>
      <c r="Q1317" s="38">
        <v>107.99</v>
      </c>
      <c r="R1317" s="38">
        <v>97.54</v>
      </c>
      <c r="S1317" s="38">
        <v>92.76</v>
      </c>
      <c r="T1317" s="38">
        <v>90.28</v>
      </c>
      <c r="U1317" s="38">
        <v>89.65</v>
      </c>
      <c r="V1317" s="38">
        <v>90.31</v>
      </c>
      <c r="W1317" s="38">
        <v>91.59</v>
      </c>
      <c r="X1317" s="38">
        <v>93.42</v>
      </c>
      <c r="Y1317" s="38">
        <v>95.12</v>
      </c>
      <c r="Z1317" s="38">
        <v>96.51</v>
      </c>
      <c r="AA1317" s="38">
        <v>98.43</v>
      </c>
      <c r="AB1317" s="38">
        <v>96.71</v>
      </c>
      <c r="AC1317" s="38">
        <v>89.4</v>
      </c>
      <c r="AD1317" s="38">
        <v>79.959999999999994</v>
      </c>
      <c r="AE1317" s="38">
        <v>76.22</v>
      </c>
      <c r="AF1317" s="38">
        <v>74.88</v>
      </c>
      <c r="AG1317" s="38">
        <v>76.010000000000005</v>
      </c>
      <c r="AH1317" s="38">
        <v>76.290000000000006</v>
      </c>
      <c r="AI1317" s="38">
        <v>76.760000000000005</v>
      </c>
      <c r="AJ1317" s="38">
        <v>79.72</v>
      </c>
      <c r="AK1317" s="38">
        <v>81.36</v>
      </c>
      <c r="AL1317" s="38">
        <v>83.92</v>
      </c>
      <c r="AM1317" s="38">
        <v>85.37</v>
      </c>
      <c r="AN1317" s="38">
        <v>85.03</v>
      </c>
      <c r="AO1317" s="38">
        <v>80.33</v>
      </c>
      <c r="AP1317" s="38">
        <v>74.739999999999995</v>
      </c>
      <c r="AQ1317" s="38">
        <v>70.040000000000006</v>
      </c>
      <c r="AR1317" s="38">
        <v>68.22</v>
      </c>
      <c r="AS1317" s="38">
        <v>68.05</v>
      </c>
      <c r="AT1317" s="38">
        <v>68.05</v>
      </c>
      <c r="AU1317" s="38">
        <v>71.19</v>
      </c>
      <c r="AV1317" s="38">
        <v>74.16</v>
      </c>
      <c r="AW1317" s="38">
        <v>76.260000000000005</v>
      </c>
      <c r="AX1317" s="38">
        <v>77.3</v>
      </c>
      <c r="AY1317" s="38">
        <v>77.47</v>
      </c>
      <c r="BA1317" s="37">
        <v>77.37</v>
      </c>
      <c r="BB1317" s="38">
        <v>1.2342</v>
      </c>
    </row>
    <row r="1318" spans="1:54" x14ac:dyDescent="0.35">
      <c r="A1318" s="2">
        <f t="shared" si="20"/>
        <v>45666</v>
      </c>
      <c r="B1318" t="s">
        <v>1911</v>
      </c>
      <c r="C1318" s="32">
        <v>45666</v>
      </c>
      <c r="D1318" s="38">
        <v>112.93</v>
      </c>
      <c r="E1318" s="38">
        <v>111.51</v>
      </c>
      <c r="F1318" s="38">
        <v>111</v>
      </c>
      <c r="G1318" s="38">
        <v>110.75</v>
      </c>
      <c r="H1318" s="38">
        <v>110.18</v>
      </c>
      <c r="I1318" s="38">
        <v>108.78</v>
      </c>
      <c r="J1318" s="38">
        <v>109.09</v>
      </c>
      <c r="K1318" s="38">
        <v>110.57</v>
      </c>
      <c r="L1318" s="38">
        <v>109.07</v>
      </c>
      <c r="M1318" s="38">
        <v>110.7</v>
      </c>
      <c r="N1318" s="38">
        <v>111.83</v>
      </c>
      <c r="O1318" s="38">
        <v>112.29</v>
      </c>
      <c r="P1318" s="38">
        <v>111.52</v>
      </c>
      <c r="Q1318" s="38">
        <v>107.93</v>
      </c>
      <c r="R1318" s="38">
        <v>97.29</v>
      </c>
      <c r="S1318" s="38">
        <v>92.48</v>
      </c>
      <c r="T1318" s="38">
        <v>90.32</v>
      </c>
      <c r="U1318" s="38">
        <v>89.52</v>
      </c>
      <c r="V1318" s="38">
        <v>90.17</v>
      </c>
      <c r="W1318" s="38">
        <v>91.44</v>
      </c>
      <c r="X1318" s="38">
        <v>93.15</v>
      </c>
      <c r="Y1318" s="38">
        <v>94.91</v>
      </c>
      <c r="Z1318" s="38">
        <v>96.29</v>
      </c>
      <c r="AA1318" s="38">
        <v>98.04</v>
      </c>
      <c r="AB1318" s="38">
        <v>96.32</v>
      </c>
      <c r="AC1318" s="38">
        <v>88.99</v>
      </c>
      <c r="AD1318" s="38">
        <v>79.52</v>
      </c>
      <c r="AE1318" s="38">
        <v>75.75</v>
      </c>
      <c r="AF1318" s="38">
        <v>74.52</v>
      </c>
      <c r="AG1318" s="38">
        <v>76.09</v>
      </c>
      <c r="AH1318" s="38">
        <v>76.36</v>
      </c>
      <c r="AI1318" s="38">
        <v>76.819999999999993</v>
      </c>
      <c r="AJ1318" s="38">
        <v>79.41</v>
      </c>
      <c r="AK1318" s="38">
        <v>81.040000000000006</v>
      </c>
      <c r="AL1318" s="38">
        <v>83.58</v>
      </c>
      <c r="AM1318" s="38">
        <v>84.98</v>
      </c>
      <c r="AN1318" s="38">
        <v>84.6</v>
      </c>
      <c r="AO1318" s="38">
        <v>79.900000000000006</v>
      </c>
      <c r="AP1318" s="38">
        <v>74.37</v>
      </c>
      <c r="AQ1318" s="38">
        <v>69.67</v>
      </c>
      <c r="AR1318" s="38">
        <v>67.849999999999994</v>
      </c>
      <c r="AS1318" s="38">
        <v>67.67</v>
      </c>
      <c r="AT1318" s="38">
        <v>67.67</v>
      </c>
      <c r="AU1318" s="38">
        <v>70.81</v>
      </c>
      <c r="AV1318" s="38">
        <v>73.77</v>
      </c>
      <c r="AW1318" s="38">
        <v>75.88</v>
      </c>
      <c r="AX1318" s="38">
        <v>76.92</v>
      </c>
      <c r="AY1318" s="38">
        <v>77.38</v>
      </c>
      <c r="BA1318" s="37">
        <v>78.44</v>
      </c>
      <c r="BB1318" s="38">
        <v>1.2302999999999999</v>
      </c>
    </row>
    <row r="1319" spans="1:54" x14ac:dyDescent="0.35">
      <c r="A1319" s="2">
        <f t="shared" si="20"/>
        <v>45667</v>
      </c>
      <c r="B1319" t="s">
        <v>1912</v>
      </c>
      <c r="C1319" s="32">
        <v>45667</v>
      </c>
      <c r="D1319" s="38">
        <v>113.07</v>
      </c>
      <c r="E1319" s="38">
        <v>111.79</v>
      </c>
      <c r="F1319" s="38">
        <v>111.44</v>
      </c>
      <c r="G1319" s="38">
        <v>111.34</v>
      </c>
      <c r="H1319" s="38">
        <v>111.03</v>
      </c>
      <c r="I1319" s="38">
        <v>109.52</v>
      </c>
      <c r="J1319" s="38">
        <v>109.92</v>
      </c>
      <c r="K1319" s="38">
        <v>111.28</v>
      </c>
      <c r="L1319" s="38">
        <v>109.56</v>
      </c>
      <c r="M1319" s="38">
        <v>111.22</v>
      </c>
      <c r="N1319" s="38">
        <v>112.56</v>
      </c>
      <c r="O1319" s="38">
        <v>113.05</v>
      </c>
      <c r="P1319" s="38">
        <v>112.52</v>
      </c>
      <c r="Q1319" s="38">
        <v>109</v>
      </c>
      <c r="R1319" s="38">
        <v>98.32</v>
      </c>
      <c r="S1319" s="38">
        <v>93.5</v>
      </c>
      <c r="T1319" s="38">
        <v>91.33</v>
      </c>
      <c r="U1319" s="38">
        <v>90.61</v>
      </c>
      <c r="V1319" s="38">
        <v>91.24</v>
      </c>
      <c r="W1319" s="38">
        <v>92.51</v>
      </c>
      <c r="X1319" s="38">
        <v>94.13</v>
      </c>
      <c r="Y1319" s="38">
        <v>95.9</v>
      </c>
      <c r="Z1319" s="38">
        <v>97.15</v>
      </c>
      <c r="AA1319" s="38">
        <v>98.63</v>
      </c>
      <c r="AB1319" s="38">
        <v>96.89</v>
      </c>
      <c r="AC1319" s="38">
        <v>89.58</v>
      </c>
      <c r="AD1319" s="38">
        <v>80.23</v>
      </c>
      <c r="AE1319" s="38">
        <v>76.44</v>
      </c>
      <c r="AF1319" s="38">
        <v>75.2</v>
      </c>
      <c r="AG1319" s="38">
        <v>76.77</v>
      </c>
      <c r="AH1319" s="38">
        <v>77.03</v>
      </c>
      <c r="AI1319" s="38">
        <v>77.489999999999995</v>
      </c>
      <c r="AJ1319" s="38">
        <v>79.83</v>
      </c>
      <c r="AK1319" s="38">
        <v>81.45</v>
      </c>
      <c r="AL1319" s="38">
        <v>83.99</v>
      </c>
      <c r="AM1319" s="38">
        <v>85.5</v>
      </c>
      <c r="AN1319" s="38">
        <v>85.12</v>
      </c>
      <c r="AO1319" s="38">
        <v>80.41</v>
      </c>
      <c r="AP1319" s="38">
        <v>74.89</v>
      </c>
      <c r="AQ1319" s="38">
        <v>70.19</v>
      </c>
      <c r="AR1319" s="38">
        <v>68.37</v>
      </c>
      <c r="AS1319" s="38">
        <v>68.22</v>
      </c>
      <c r="AT1319" s="38">
        <v>68.22</v>
      </c>
      <c r="AU1319" s="38">
        <v>71.27</v>
      </c>
      <c r="AV1319" s="38">
        <v>74.23</v>
      </c>
      <c r="AW1319" s="38">
        <v>76.33</v>
      </c>
      <c r="AX1319" s="38">
        <v>77.37</v>
      </c>
      <c r="AY1319" s="38">
        <v>77.83</v>
      </c>
      <c r="BA1319" s="37">
        <v>79.760000000000005</v>
      </c>
      <c r="BB1319" s="38">
        <v>1.2230000000000001</v>
      </c>
    </row>
    <row r="1320" spans="1:54" x14ac:dyDescent="0.35">
      <c r="A1320" s="2">
        <f t="shared" si="20"/>
        <v>45670</v>
      </c>
      <c r="B1320" t="s">
        <v>1913</v>
      </c>
      <c r="C1320" s="32">
        <v>45670</v>
      </c>
      <c r="D1320" s="38">
        <v>121.5</v>
      </c>
      <c r="E1320" s="38">
        <v>119.7</v>
      </c>
      <c r="F1320" s="38">
        <v>119.48</v>
      </c>
      <c r="G1320" s="38">
        <v>119.2</v>
      </c>
      <c r="H1320" s="38">
        <v>118.97</v>
      </c>
      <c r="I1320" s="38">
        <v>117.3</v>
      </c>
      <c r="J1320" s="38">
        <v>117.7</v>
      </c>
      <c r="K1320" s="38">
        <v>119.06</v>
      </c>
      <c r="L1320" s="38">
        <v>116.86</v>
      </c>
      <c r="M1320" s="38">
        <v>117.82</v>
      </c>
      <c r="N1320" s="38">
        <v>118.76</v>
      </c>
      <c r="O1320" s="38">
        <v>119.03</v>
      </c>
      <c r="P1320" s="38">
        <v>118.3</v>
      </c>
      <c r="Q1320" s="38">
        <v>114.78</v>
      </c>
      <c r="R1320" s="38">
        <v>102.63</v>
      </c>
      <c r="S1320" s="38">
        <v>97.81</v>
      </c>
      <c r="T1320" s="38">
        <v>95.64</v>
      </c>
      <c r="U1320" s="38">
        <v>95.22</v>
      </c>
      <c r="V1320" s="38">
        <v>95.85</v>
      </c>
      <c r="W1320" s="38">
        <v>97.12</v>
      </c>
      <c r="X1320" s="38">
        <v>98.34</v>
      </c>
      <c r="Y1320" s="38">
        <v>99.51</v>
      </c>
      <c r="Z1320" s="38">
        <v>100.76</v>
      </c>
      <c r="AA1320" s="38">
        <v>102.24</v>
      </c>
      <c r="AB1320" s="38">
        <v>100.5</v>
      </c>
      <c r="AC1320" s="38">
        <v>93.19</v>
      </c>
      <c r="AD1320" s="38">
        <v>81.790000000000006</v>
      </c>
      <c r="AE1320" s="38">
        <v>78</v>
      </c>
      <c r="AF1320" s="38">
        <v>76.760000000000005</v>
      </c>
      <c r="AG1320" s="38">
        <v>78.33</v>
      </c>
      <c r="AH1320" s="38">
        <v>78.59</v>
      </c>
      <c r="AI1320" s="38">
        <v>79.05</v>
      </c>
      <c r="AJ1320" s="38">
        <v>81.489999999999995</v>
      </c>
      <c r="AK1320" s="38">
        <v>83.11</v>
      </c>
      <c r="AL1320" s="38">
        <v>85.65</v>
      </c>
      <c r="AM1320" s="38">
        <v>87.16</v>
      </c>
      <c r="AN1320" s="38">
        <v>86.78</v>
      </c>
      <c r="AO1320" s="38">
        <v>82.07</v>
      </c>
      <c r="AP1320" s="38">
        <v>76.150000000000006</v>
      </c>
      <c r="AQ1320" s="38">
        <v>71.45</v>
      </c>
      <c r="AR1320" s="38">
        <v>69.63</v>
      </c>
      <c r="AS1320" s="38">
        <v>69.48</v>
      </c>
      <c r="AT1320" s="38">
        <v>69.48</v>
      </c>
      <c r="AU1320" s="38">
        <v>72.53</v>
      </c>
      <c r="AV1320" s="38">
        <v>75.489999999999995</v>
      </c>
      <c r="AW1320" s="38">
        <v>77.59</v>
      </c>
      <c r="AX1320" s="38">
        <v>78.63</v>
      </c>
      <c r="AY1320" s="38">
        <v>79.09</v>
      </c>
      <c r="BA1320" s="37">
        <v>82.69</v>
      </c>
      <c r="BB1320" s="38">
        <v>1.2152000000000001</v>
      </c>
    </row>
    <row r="1321" spans="1:54" x14ac:dyDescent="0.35">
      <c r="A1321" s="2">
        <f t="shared" si="20"/>
        <v>45671</v>
      </c>
      <c r="B1321" t="s">
        <v>1914</v>
      </c>
      <c r="C1321" s="32">
        <v>45671</v>
      </c>
      <c r="D1321" s="38">
        <v>118.62</v>
      </c>
      <c r="E1321" s="38">
        <v>117.01</v>
      </c>
      <c r="F1321" s="38">
        <v>116.69</v>
      </c>
      <c r="G1321" s="38">
        <v>116.44</v>
      </c>
      <c r="H1321" s="38">
        <v>115.98</v>
      </c>
      <c r="I1321" s="38">
        <v>114.51</v>
      </c>
      <c r="J1321" s="38">
        <v>114.95</v>
      </c>
      <c r="K1321" s="38">
        <v>116.35</v>
      </c>
      <c r="L1321" s="38">
        <v>114.31</v>
      </c>
      <c r="M1321" s="38">
        <v>115.48</v>
      </c>
      <c r="N1321" s="38">
        <v>116.65</v>
      </c>
      <c r="O1321" s="38">
        <v>116.97</v>
      </c>
      <c r="P1321" s="38">
        <v>116.24</v>
      </c>
      <c r="Q1321" s="38">
        <v>112.72</v>
      </c>
      <c r="R1321" s="38">
        <v>100.97</v>
      </c>
      <c r="S1321" s="38">
        <v>96.24</v>
      </c>
      <c r="T1321" s="38">
        <v>94.11</v>
      </c>
      <c r="U1321" s="38">
        <v>93.69</v>
      </c>
      <c r="V1321" s="38">
        <v>94.32</v>
      </c>
      <c r="W1321" s="38">
        <v>95.59</v>
      </c>
      <c r="X1321" s="38">
        <v>96.61</v>
      </c>
      <c r="Y1321" s="38">
        <v>97.71</v>
      </c>
      <c r="Z1321" s="38">
        <v>98.81</v>
      </c>
      <c r="AA1321" s="38">
        <v>100.29</v>
      </c>
      <c r="AB1321" s="38">
        <v>98.55</v>
      </c>
      <c r="AC1321" s="38">
        <v>91.23</v>
      </c>
      <c r="AD1321" s="38">
        <v>81.06</v>
      </c>
      <c r="AE1321" s="38">
        <v>77.41</v>
      </c>
      <c r="AF1321" s="38">
        <v>76.27</v>
      </c>
      <c r="AG1321" s="38">
        <v>77.84</v>
      </c>
      <c r="AH1321" s="38">
        <v>78.099999999999994</v>
      </c>
      <c r="AI1321" s="38">
        <v>78.56</v>
      </c>
      <c r="AJ1321" s="38">
        <v>80.55</v>
      </c>
      <c r="AK1321" s="38">
        <v>82.17</v>
      </c>
      <c r="AL1321" s="38">
        <v>84.71</v>
      </c>
      <c r="AM1321" s="38">
        <v>86.22</v>
      </c>
      <c r="AN1321" s="38">
        <v>85.84</v>
      </c>
      <c r="AO1321" s="38">
        <v>81.13</v>
      </c>
      <c r="AP1321" s="38">
        <v>75.709999999999994</v>
      </c>
      <c r="AQ1321" s="38">
        <v>71.010000000000005</v>
      </c>
      <c r="AR1321" s="38">
        <v>69.19</v>
      </c>
      <c r="AS1321" s="38">
        <v>69.040000000000006</v>
      </c>
      <c r="AT1321" s="38">
        <v>69.040000000000006</v>
      </c>
      <c r="AU1321" s="38">
        <v>72.09</v>
      </c>
      <c r="AV1321" s="38">
        <v>75.05</v>
      </c>
      <c r="AW1321" s="38">
        <v>77.150000000000006</v>
      </c>
      <c r="AX1321" s="38">
        <v>78.19</v>
      </c>
      <c r="AY1321" s="38">
        <v>78.650000000000006</v>
      </c>
      <c r="BA1321" s="37">
        <v>82.39</v>
      </c>
      <c r="BB1321" s="38">
        <v>1.2201</v>
      </c>
    </row>
    <row r="1322" spans="1:54" x14ac:dyDescent="0.35">
      <c r="A1322" s="2">
        <f t="shared" si="20"/>
        <v>45672</v>
      </c>
      <c r="B1322" t="s">
        <v>1915</v>
      </c>
      <c r="C1322" s="32">
        <v>45672</v>
      </c>
      <c r="D1322" s="38">
        <v>118.45</v>
      </c>
      <c r="E1322" s="38">
        <v>116.93</v>
      </c>
      <c r="F1322" s="38">
        <v>116.39</v>
      </c>
      <c r="G1322" s="38">
        <v>116.05</v>
      </c>
      <c r="H1322" s="38">
        <v>115.64</v>
      </c>
      <c r="I1322" s="38">
        <v>114.26</v>
      </c>
      <c r="J1322" s="38">
        <v>114.74</v>
      </c>
      <c r="K1322" s="38">
        <v>116.12</v>
      </c>
      <c r="L1322" s="38">
        <v>113.92</v>
      </c>
      <c r="M1322" s="38">
        <v>115.08</v>
      </c>
      <c r="N1322" s="38">
        <v>116.25</v>
      </c>
      <c r="O1322" s="38">
        <v>116.75</v>
      </c>
      <c r="P1322" s="38">
        <v>116.02</v>
      </c>
      <c r="Q1322" s="38">
        <v>112.26</v>
      </c>
      <c r="R1322" s="38">
        <v>100.51</v>
      </c>
      <c r="S1322" s="38">
        <v>95.43</v>
      </c>
      <c r="T1322" s="38">
        <v>93.3</v>
      </c>
      <c r="U1322" s="38">
        <v>92.88</v>
      </c>
      <c r="V1322" s="38">
        <v>93.51</v>
      </c>
      <c r="W1322" s="38">
        <v>94.78</v>
      </c>
      <c r="X1322" s="38">
        <v>95.69</v>
      </c>
      <c r="Y1322" s="38">
        <v>96.8</v>
      </c>
      <c r="Z1322" s="38">
        <v>97.91</v>
      </c>
      <c r="AA1322" s="38">
        <v>99.41</v>
      </c>
      <c r="AB1322" s="38">
        <v>97.7</v>
      </c>
      <c r="AC1322" s="38">
        <v>90.43</v>
      </c>
      <c r="AD1322" s="38">
        <v>80.36</v>
      </c>
      <c r="AE1322" s="38">
        <v>76.75</v>
      </c>
      <c r="AF1322" s="38">
        <v>75.62</v>
      </c>
      <c r="AG1322" s="38">
        <v>77.19</v>
      </c>
      <c r="AH1322" s="38">
        <v>77.45</v>
      </c>
      <c r="AI1322" s="38">
        <v>77.91</v>
      </c>
      <c r="AJ1322" s="38">
        <v>80.709999999999994</v>
      </c>
      <c r="AK1322" s="38">
        <v>82.33</v>
      </c>
      <c r="AL1322" s="38">
        <v>84.87</v>
      </c>
      <c r="AM1322" s="38">
        <v>86.38</v>
      </c>
      <c r="AN1322" s="38">
        <v>86</v>
      </c>
      <c r="AO1322" s="38">
        <v>81.290000000000006</v>
      </c>
      <c r="AP1322" s="38">
        <v>73.69</v>
      </c>
      <c r="AQ1322" s="38">
        <v>68.930000000000007</v>
      </c>
      <c r="AR1322" s="38">
        <v>67.11</v>
      </c>
      <c r="AS1322" s="38">
        <v>66.959999999999994</v>
      </c>
      <c r="AT1322" s="38">
        <v>66.959999999999994</v>
      </c>
      <c r="AU1322" s="38">
        <v>70.02</v>
      </c>
      <c r="AV1322" s="38">
        <v>75.02</v>
      </c>
      <c r="AW1322" s="38">
        <v>77.12</v>
      </c>
      <c r="AX1322" s="38">
        <v>78.16</v>
      </c>
      <c r="AY1322" s="38">
        <v>78.62</v>
      </c>
      <c r="BA1322" s="37">
        <v>83.48</v>
      </c>
      <c r="BB1322" s="38">
        <v>1.2258</v>
      </c>
    </row>
    <row r="1323" spans="1:54" x14ac:dyDescent="0.35">
      <c r="A1323" s="2">
        <f t="shared" si="20"/>
        <v>45673</v>
      </c>
      <c r="B1323" t="s">
        <v>1916</v>
      </c>
      <c r="C1323" s="32">
        <v>45673</v>
      </c>
      <c r="D1323" s="38">
        <v>116.39</v>
      </c>
      <c r="E1323" s="38">
        <v>115.25</v>
      </c>
      <c r="F1323" s="38">
        <v>114.8</v>
      </c>
      <c r="G1323" s="38">
        <v>114.45</v>
      </c>
      <c r="H1323" s="38">
        <v>114.2</v>
      </c>
      <c r="I1323" s="38">
        <v>112.9</v>
      </c>
      <c r="J1323" s="38">
        <v>113.46</v>
      </c>
      <c r="K1323" s="38">
        <v>115</v>
      </c>
      <c r="L1323" s="38">
        <v>113.01</v>
      </c>
      <c r="M1323" s="38">
        <v>114.4</v>
      </c>
      <c r="N1323" s="38">
        <v>115.76</v>
      </c>
      <c r="O1323" s="38">
        <v>116.38</v>
      </c>
      <c r="P1323" s="38">
        <v>115.65</v>
      </c>
      <c r="Q1323" s="38">
        <v>111.89</v>
      </c>
      <c r="R1323" s="38">
        <v>100.11</v>
      </c>
      <c r="S1323" s="38">
        <v>95.03</v>
      </c>
      <c r="T1323" s="38">
        <v>92.9</v>
      </c>
      <c r="U1323" s="38">
        <v>92.48</v>
      </c>
      <c r="V1323" s="38">
        <v>93.11</v>
      </c>
      <c r="W1323" s="38">
        <v>94.38</v>
      </c>
      <c r="X1323" s="38">
        <v>95.29</v>
      </c>
      <c r="Y1323" s="38">
        <v>96.4</v>
      </c>
      <c r="Z1323" s="38">
        <v>97.51</v>
      </c>
      <c r="AA1323" s="38">
        <v>99.01</v>
      </c>
      <c r="AB1323" s="38">
        <v>97.3</v>
      </c>
      <c r="AC1323" s="38">
        <v>90.03</v>
      </c>
      <c r="AD1323" s="38">
        <v>79.959999999999994</v>
      </c>
      <c r="AE1323" s="38">
        <v>76.349999999999994</v>
      </c>
      <c r="AF1323" s="38">
        <v>75.22</v>
      </c>
      <c r="AG1323" s="38">
        <v>76.790000000000006</v>
      </c>
      <c r="AH1323" s="38">
        <v>77.05</v>
      </c>
      <c r="AI1323" s="38">
        <v>77.510000000000005</v>
      </c>
      <c r="AJ1323" s="38">
        <v>79.88</v>
      </c>
      <c r="AK1323" s="38">
        <v>81.5</v>
      </c>
      <c r="AL1323" s="38">
        <v>84.04</v>
      </c>
      <c r="AM1323" s="38">
        <v>85.55</v>
      </c>
      <c r="AN1323" s="38">
        <v>85.17</v>
      </c>
      <c r="AO1323" s="38">
        <v>80.459999999999994</v>
      </c>
      <c r="AP1323" s="38">
        <v>73.17</v>
      </c>
      <c r="AQ1323" s="38">
        <v>68.41</v>
      </c>
      <c r="AR1323" s="38">
        <v>66.59</v>
      </c>
      <c r="AS1323" s="38">
        <v>66.44</v>
      </c>
      <c r="AT1323" s="38">
        <v>66.44</v>
      </c>
      <c r="AU1323" s="38">
        <v>69.5</v>
      </c>
      <c r="AV1323" s="38">
        <v>74.59</v>
      </c>
      <c r="AW1323" s="38">
        <v>76.69</v>
      </c>
      <c r="AX1323" s="38">
        <v>77.73</v>
      </c>
      <c r="AY1323" s="38">
        <v>78.19</v>
      </c>
      <c r="BA1323" s="37">
        <v>82.39</v>
      </c>
      <c r="BB1323" s="38">
        <v>1.2235</v>
      </c>
    </row>
    <row r="1324" spans="1:54" x14ac:dyDescent="0.35">
      <c r="A1324" s="2">
        <f t="shared" si="20"/>
        <v>45674</v>
      </c>
      <c r="B1324" t="s">
        <v>1917</v>
      </c>
      <c r="C1324" s="32">
        <v>45674</v>
      </c>
      <c r="D1324" s="38">
        <v>118.31</v>
      </c>
      <c r="E1324" s="38">
        <v>117.13</v>
      </c>
      <c r="F1324" s="38">
        <v>116.59</v>
      </c>
      <c r="G1324" s="38">
        <v>116.3</v>
      </c>
      <c r="H1324" s="38">
        <v>115.99</v>
      </c>
      <c r="I1324" s="38">
        <v>114.74</v>
      </c>
      <c r="J1324" s="38">
        <v>115.44</v>
      </c>
      <c r="K1324" s="38">
        <v>116.81</v>
      </c>
      <c r="L1324" s="38">
        <v>115.21</v>
      </c>
      <c r="M1324" s="38">
        <v>116.61</v>
      </c>
      <c r="N1324" s="38">
        <v>117.96</v>
      </c>
      <c r="O1324" s="38">
        <v>118.54</v>
      </c>
      <c r="P1324" s="38">
        <v>117.81</v>
      </c>
      <c r="Q1324" s="38">
        <v>114.05</v>
      </c>
      <c r="R1324" s="38">
        <v>101.55</v>
      </c>
      <c r="S1324" s="38">
        <v>96.52</v>
      </c>
      <c r="T1324" s="38">
        <v>94.64</v>
      </c>
      <c r="U1324" s="38">
        <v>94.43</v>
      </c>
      <c r="V1324" s="38">
        <v>95.05</v>
      </c>
      <c r="W1324" s="38">
        <v>96.32</v>
      </c>
      <c r="X1324" s="38">
        <v>97.23</v>
      </c>
      <c r="Y1324" s="38">
        <v>98.34</v>
      </c>
      <c r="Z1324" s="38">
        <v>99.45</v>
      </c>
      <c r="AA1324" s="38">
        <v>100.95</v>
      </c>
      <c r="AB1324" s="38">
        <v>99.24</v>
      </c>
      <c r="AC1324" s="38">
        <v>91.97</v>
      </c>
      <c r="AD1324" s="38">
        <v>81.27</v>
      </c>
      <c r="AE1324" s="38">
        <v>77.66</v>
      </c>
      <c r="AF1324" s="38">
        <v>76.53</v>
      </c>
      <c r="AG1324" s="38">
        <v>78.099999999999994</v>
      </c>
      <c r="AH1324" s="38">
        <v>78.36</v>
      </c>
      <c r="AI1324" s="38">
        <v>78.819999999999993</v>
      </c>
      <c r="AJ1324" s="38">
        <v>81.22</v>
      </c>
      <c r="AK1324" s="38">
        <v>82.84</v>
      </c>
      <c r="AL1324" s="38">
        <v>85.38</v>
      </c>
      <c r="AM1324" s="38">
        <v>86.89</v>
      </c>
      <c r="AN1324" s="38">
        <v>86.51</v>
      </c>
      <c r="AO1324" s="38">
        <v>81.8</v>
      </c>
      <c r="AP1324" s="38">
        <v>74.11</v>
      </c>
      <c r="AQ1324" s="38">
        <v>69.349999999999994</v>
      </c>
      <c r="AR1324" s="38">
        <v>67.53</v>
      </c>
      <c r="AS1324" s="38">
        <v>67.38</v>
      </c>
      <c r="AT1324" s="38">
        <v>67.38</v>
      </c>
      <c r="AU1324" s="38">
        <v>70.44</v>
      </c>
      <c r="AV1324" s="38">
        <v>75.319999999999993</v>
      </c>
      <c r="AW1324" s="38">
        <v>77.42</v>
      </c>
      <c r="AX1324" s="38">
        <v>78.459999999999994</v>
      </c>
      <c r="AY1324" s="38">
        <v>78.92</v>
      </c>
      <c r="BA1324" s="37">
        <v>83.02</v>
      </c>
      <c r="BB1324" s="38">
        <v>1.2198</v>
      </c>
    </row>
    <row r="1325" spans="1:54" x14ac:dyDescent="0.35">
      <c r="A1325" s="2">
        <f t="shared" si="20"/>
        <v>45677</v>
      </c>
      <c r="B1325" t="s">
        <v>1918</v>
      </c>
      <c r="C1325" s="32">
        <v>45677</v>
      </c>
      <c r="D1325" s="38">
        <v>121.35</v>
      </c>
      <c r="E1325" s="38">
        <v>119.75</v>
      </c>
      <c r="F1325" s="38">
        <v>118.85</v>
      </c>
      <c r="G1325" s="38">
        <v>118.35</v>
      </c>
      <c r="H1325" s="38">
        <v>118</v>
      </c>
      <c r="I1325" s="38">
        <v>116.68</v>
      </c>
      <c r="J1325" s="38">
        <v>117.38</v>
      </c>
      <c r="K1325" s="38">
        <v>118.79</v>
      </c>
      <c r="L1325" s="38">
        <v>116.31</v>
      </c>
      <c r="M1325" s="38">
        <v>117.46</v>
      </c>
      <c r="N1325" s="38">
        <v>118.81</v>
      </c>
      <c r="O1325" s="38">
        <v>119.21</v>
      </c>
      <c r="P1325" s="38">
        <v>118.48</v>
      </c>
      <c r="Q1325" s="38">
        <v>114.72</v>
      </c>
      <c r="R1325" s="38">
        <v>101.88</v>
      </c>
      <c r="S1325" s="38">
        <v>96.85</v>
      </c>
      <c r="T1325" s="38">
        <v>94.97</v>
      </c>
      <c r="U1325" s="38">
        <v>94.76</v>
      </c>
      <c r="V1325" s="38">
        <v>95.39</v>
      </c>
      <c r="W1325" s="38">
        <v>96.66</v>
      </c>
      <c r="X1325" s="38">
        <v>97.42</v>
      </c>
      <c r="Y1325" s="38">
        <v>98.53</v>
      </c>
      <c r="Z1325" s="38">
        <v>99.64</v>
      </c>
      <c r="AA1325" s="38">
        <v>101.15</v>
      </c>
      <c r="AB1325" s="38">
        <v>99.44</v>
      </c>
      <c r="AC1325" s="38">
        <v>92.18</v>
      </c>
      <c r="AD1325" s="38">
        <v>81.489999999999995</v>
      </c>
      <c r="AE1325" s="38">
        <v>77.900000000000006</v>
      </c>
      <c r="AF1325" s="38">
        <v>76.790000000000006</v>
      </c>
      <c r="AG1325" s="38">
        <v>78.38</v>
      </c>
      <c r="AH1325" s="38">
        <v>78.66</v>
      </c>
      <c r="AI1325" s="38">
        <v>79.14</v>
      </c>
      <c r="AJ1325" s="38">
        <v>81.56</v>
      </c>
      <c r="AK1325" s="38">
        <v>83.19</v>
      </c>
      <c r="AL1325" s="38">
        <v>85.73</v>
      </c>
      <c r="AM1325" s="38">
        <v>87.24</v>
      </c>
      <c r="AN1325" s="38">
        <v>86.86</v>
      </c>
      <c r="AO1325" s="38">
        <v>82.15</v>
      </c>
      <c r="AP1325" s="38">
        <v>74.349999999999994</v>
      </c>
      <c r="AQ1325" s="38">
        <v>69.59</v>
      </c>
      <c r="AR1325" s="38">
        <v>67.77</v>
      </c>
      <c r="AS1325" s="38">
        <v>67.62</v>
      </c>
      <c r="AT1325" s="38">
        <v>67.62</v>
      </c>
      <c r="AU1325" s="38">
        <v>70.680000000000007</v>
      </c>
      <c r="AV1325" s="38">
        <v>75.56</v>
      </c>
      <c r="AW1325" s="38">
        <v>77.66</v>
      </c>
      <c r="AX1325" s="38">
        <v>78.7</v>
      </c>
      <c r="AY1325" s="38">
        <v>79.16</v>
      </c>
      <c r="BA1325" s="37">
        <v>81.680000000000007</v>
      </c>
      <c r="BB1325" s="38">
        <v>1.2293000000000001</v>
      </c>
    </row>
    <row r="1326" spans="1:54" x14ac:dyDescent="0.35">
      <c r="A1326" s="2">
        <f t="shared" si="20"/>
        <v>45678</v>
      </c>
      <c r="B1326" t="s">
        <v>1919</v>
      </c>
      <c r="C1326" s="32">
        <v>45678</v>
      </c>
      <c r="D1326" s="38">
        <v>126.61</v>
      </c>
      <c r="E1326" s="38">
        <v>125.1</v>
      </c>
      <c r="F1326" s="38">
        <v>124.1</v>
      </c>
      <c r="G1326" s="38">
        <v>123.45</v>
      </c>
      <c r="H1326" s="38">
        <v>122.88</v>
      </c>
      <c r="I1326" s="38">
        <v>121.45</v>
      </c>
      <c r="J1326" s="38">
        <v>121.75</v>
      </c>
      <c r="K1326" s="38">
        <v>123.13</v>
      </c>
      <c r="L1326" s="38">
        <v>119.78</v>
      </c>
      <c r="M1326" s="38">
        <v>119.8</v>
      </c>
      <c r="N1326" s="38">
        <v>120.15</v>
      </c>
      <c r="O1326" s="38">
        <v>119.35</v>
      </c>
      <c r="P1326" s="38">
        <v>118.62</v>
      </c>
      <c r="Q1326" s="38">
        <v>114.86</v>
      </c>
      <c r="R1326" s="38">
        <v>102.25</v>
      </c>
      <c r="S1326" s="38">
        <v>97.22</v>
      </c>
      <c r="T1326" s="38">
        <v>95.34</v>
      </c>
      <c r="U1326" s="38">
        <v>95.13</v>
      </c>
      <c r="V1326" s="38">
        <v>95.76</v>
      </c>
      <c r="W1326" s="38">
        <v>97.03</v>
      </c>
      <c r="X1326" s="38">
        <v>97.79</v>
      </c>
      <c r="Y1326" s="38">
        <v>98.9</v>
      </c>
      <c r="Z1326" s="38">
        <v>100.01</v>
      </c>
      <c r="AA1326" s="38">
        <v>101.52</v>
      </c>
      <c r="AB1326" s="38">
        <v>99.81</v>
      </c>
      <c r="AC1326" s="38">
        <v>92.55</v>
      </c>
      <c r="AD1326" s="38">
        <v>81.650000000000006</v>
      </c>
      <c r="AE1326" s="38">
        <v>78.06</v>
      </c>
      <c r="AF1326" s="38">
        <v>76.95</v>
      </c>
      <c r="AG1326" s="38">
        <v>78.540000000000006</v>
      </c>
      <c r="AH1326" s="38">
        <v>78.819999999999993</v>
      </c>
      <c r="AI1326" s="38">
        <v>79.3</v>
      </c>
      <c r="AJ1326" s="38">
        <v>81.72</v>
      </c>
      <c r="AK1326" s="38">
        <v>83.35</v>
      </c>
      <c r="AL1326" s="38">
        <v>85.89</v>
      </c>
      <c r="AM1326" s="38">
        <v>87.4</v>
      </c>
      <c r="AN1326" s="38">
        <v>87.02</v>
      </c>
      <c r="AO1326" s="38">
        <v>82.31</v>
      </c>
      <c r="AP1326" s="38">
        <v>74.510000000000005</v>
      </c>
      <c r="AQ1326" s="38">
        <v>69.75</v>
      </c>
      <c r="AR1326" s="38">
        <v>67.930000000000007</v>
      </c>
      <c r="AS1326" s="38">
        <v>67.78</v>
      </c>
      <c r="AT1326" s="38">
        <v>67.78</v>
      </c>
      <c r="AU1326" s="38">
        <v>70.84</v>
      </c>
      <c r="AV1326" s="38">
        <v>75.72</v>
      </c>
      <c r="AW1326" s="38">
        <v>77.819999999999993</v>
      </c>
      <c r="AX1326" s="38">
        <v>78.86</v>
      </c>
      <c r="AY1326" s="38">
        <v>79.319999999999993</v>
      </c>
      <c r="BA1326" s="37">
        <v>80.569999999999993</v>
      </c>
      <c r="BB1326" s="38">
        <v>1.2299</v>
      </c>
    </row>
    <row r="1327" spans="1:54" x14ac:dyDescent="0.35">
      <c r="A1327" s="2">
        <f t="shared" si="20"/>
        <v>45679</v>
      </c>
      <c r="B1327" t="s">
        <v>1920</v>
      </c>
      <c r="C1327" s="32">
        <v>45679</v>
      </c>
      <c r="D1327" s="38">
        <v>122.87</v>
      </c>
      <c r="E1327" s="38">
        <v>121.79</v>
      </c>
      <c r="F1327" s="38">
        <v>120.85</v>
      </c>
      <c r="G1327" s="38">
        <v>120.4</v>
      </c>
      <c r="H1327" s="38">
        <v>119.99</v>
      </c>
      <c r="I1327" s="38">
        <v>118.35</v>
      </c>
      <c r="J1327" s="38">
        <v>118.66</v>
      </c>
      <c r="K1327" s="38">
        <v>119.96</v>
      </c>
      <c r="L1327" s="38">
        <v>116.01</v>
      </c>
      <c r="M1327" s="38">
        <v>116.03</v>
      </c>
      <c r="N1327" s="38">
        <v>116.38</v>
      </c>
      <c r="O1327" s="38">
        <v>115.58</v>
      </c>
      <c r="P1327" s="38">
        <v>114.85</v>
      </c>
      <c r="Q1327" s="38">
        <v>111.09</v>
      </c>
      <c r="R1327" s="38">
        <v>100.04</v>
      </c>
      <c r="S1327" s="38">
        <v>95.01</v>
      </c>
      <c r="T1327" s="38">
        <v>93.13</v>
      </c>
      <c r="U1327" s="38">
        <v>92.92</v>
      </c>
      <c r="V1327" s="38">
        <v>93.55</v>
      </c>
      <c r="W1327" s="38">
        <v>94.82</v>
      </c>
      <c r="X1327" s="38">
        <v>95.32</v>
      </c>
      <c r="Y1327" s="38">
        <v>96.68</v>
      </c>
      <c r="Z1327" s="38">
        <v>97.96</v>
      </c>
      <c r="AA1327" s="38">
        <v>99.47</v>
      </c>
      <c r="AB1327" s="38">
        <v>97.76</v>
      </c>
      <c r="AC1327" s="38">
        <v>90.5</v>
      </c>
      <c r="AD1327" s="38">
        <v>79.7</v>
      </c>
      <c r="AE1327" s="38">
        <v>76.11</v>
      </c>
      <c r="AF1327" s="38">
        <v>75</v>
      </c>
      <c r="AG1327" s="38">
        <v>76.59</v>
      </c>
      <c r="AH1327" s="38">
        <v>76.87</v>
      </c>
      <c r="AI1327" s="38">
        <v>77.349999999999994</v>
      </c>
      <c r="AJ1327" s="38">
        <v>79.95</v>
      </c>
      <c r="AK1327" s="38">
        <v>81.58</v>
      </c>
      <c r="AL1327" s="38">
        <v>84.12</v>
      </c>
      <c r="AM1327" s="38">
        <v>85.63</v>
      </c>
      <c r="AN1327" s="38">
        <v>85.25</v>
      </c>
      <c r="AO1327" s="38">
        <v>80.540000000000006</v>
      </c>
      <c r="AP1327" s="38">
        <v>72.739999999999995</v>
      </c>
      <c r="AQ1327" s="38">
        <v>67.98</v>
      </c>
      <c r="AR1327" s="38">
        <v>66.16</v>
      </c>
      <c r="AS1327" s="38">
        <v>66.010000000000005</v>
      </c>
      <c r="AT1327" s="38">
        <v>66.010000000000005</v>
      </c>
      <c r="AU1327" s="38">
        <v>69.069999999999993</v>
      </c>
      <c r="AV1327" s="38">
        <v>73.95</v>
      </c>
      <c r="AW1327" s="38">
        <v>76.05</v>
      </c>
      <c r="AX1327" s="38">
        <v>77.09</v>
      </c>
      <c r="AY1327" s="38">
        <v>77.55</v>
      </c>
      <c r="BA1327" s="37">
        <v>80</v>
      </c>
      <c r="BB1327" s="38">
        <v>1.2318</v>
      </c>
    </row>
    <row r="1328" spans="1:54" x14ac:dyDescent="0.35">
      <c r="A1328" s="2">
        <f t="shared" si="20"/>
        <v>45680</v>
      </c>
      <c r="B1328" t="s">
        <v>1921</v>
      </c>
      <c r="C1328" s="32">
        <v>45680</v>
      </c>
      <c r="D1328" s="38">
        <v>123.5</v>
      </c>
      <c r="E1328" s="38">
        <v>122.24</v>
      </c>
      <c r="F1328" s="38">
        <v>121.52</v>
      </c>
      <c r="G1328" s="38">
        <v>121.4</v>
      </c>
      <c r="H1328" s="38">
        <v>120.97</v>
      </c>
      <c r="I1328" s="38">
        <v>119.9</v>
      </c>
      <c r="J1328" s="38">
        <v>120.22</v>
      </c>
      <c r="K1328" s="38">
        <v>121.41</v>
      </c>
      <c r="L1328" s="38">
        <v>116.91</v>
      </c>
      <c r="M1328" s="38">
        <v>116.27</v>
      </c>
      <c r="N1328" s="38">
        <v>115.99</v>
      </c>
      <c r="O1328" s="38">
        <v>115.07</v>
      </c>
      <c r="P1328" s="38">
        <v>114.72</v>
      </c>
      <c r="Q1328" s="38">
        <v>111.06</v>
      </c>
      <c r="R1328" s="38">
        <v>100.4</v>
      </c>
      <c r="S1328" s="38">
        <v>95.37</v>
      </c>
      <c r="T1328" s="38">
        <v>93.49</v>
      </c>
      <c r="U1328" s="38">
        <v>93.28</v>
      </c>
      <c r="V1328" s="38">
        <v>93.91</v>
      </c>
      <c r="W1328" s="38">
        <v>95.18</v>
      </c>
      <c r="X1328" s="38">
        <v>95.58</v>
      </c>
      <c r="Y1328" s="38">
        <v>96.94</v>
      </c>
      <c r="Z1328" s="38">
        <v>98.21</v>
      </c>
      <c r="AA1328" s="38">
        <v>99.72</v>
      </c>
      <c r="AB1328" s="38">
        <v>98.01</v>
      </c>
      <c r="AC1328" s="38">
        <v>90.75</v>
      </c>
      <c r="AD1328" s="38">
        <v>79.95</v>
      </c>
      <c r="AE1328" s="38">
        <v>76.36</v>
      </c>
      <c r="AF1328" s="38">
        <v>75.25</v>
      </c>
      <c r="AG1328" s="38">
        <v>76.84</v>
      </c>
      <c r="AH1328" s="38">
        <v>77.12</v>
      </c>
      <c r="AI1328" s="38">
        <v>77.61</v>
      </c>
      <c r="AJ1328" s="38">
        <v>80.209999999999994</v>
      </c>
      <c r="AK1328" s="38">
        <v>81.84</v>
      </c>
      <c r="AL1328" s="38">
        <v>84.38</v>
      </c>
      <c r="AM1328" s="38">
        <v>85.89</v>
      </c>
      <c r="AN1328" s="38">
        <v>85.51</v>
      </c>
      <c r="AO1328" s="38">
        <v>80.8</v>
      </c>
      <c r="AP1328" s="38">
        <v>73</v>
      </c>
      <c r="AQ1328" s="38">
        <v>68.239999999999995</v>
      </c>
      <c r="AR1328" s="38">
        <v>66.42</v>
      </c>
      <c r="AS1328" s="38">
        <v>66.27</v>
      </c>
      <c r="AT1328" s="38">
        <v>66.27</v>
      </c>
      <c r="AU1328" s="38">
        <v>69.33</v>
      </c>
      <c r="AV1328" s="38">
        <v>74.209999999999994</v>
      </c>
      <c r="AW1328" s="38">
        <v>76.31</v>
      </c>
      <c r="AX1328" s="38">
        <v>77.349999999999994</v>
      </c>
      <c r="AY1328" s="38">
        <v>77.81</v>
      </c>
      <c r="BA1328" s="37">
        <v>78.62</v>
      </c>
      <c r="BB1328" s="38">
        <v>1.2323999999999999</v>
      </c>
    </row>
    <row r="1329" spans="1:54" x14ac:dyDescent="0.35">
      <c r="A1329" s="2">
        <f t="shared" si="20"/>
        <v>45681</v>
      </c>
      <c r="B1329" t="s">
        <v>1922</v>
      </c>
      <c r="C1329" s="32">
        <v>45681</v>
      </c>
      <c r="D1329" s="38">
        <v>124.73</v>
      </c>
      <c r="E1329" s="38">
        <v>123.12</v>
      </c>
      <c r="F1329" s="38">
        <v>122.44</v>
      </c>
      <c r="G1329" s="38">
        <v>122.11</v>
      </c>
      <c r="H1329" s="38">
        <v>121.78</v>
      </c>
      <c r="I1329" s="38">
        <v>120.81</v>
      </c>
      <c r="J1329" s="38">
        <v>121.09</v>
      </c>
      <c r="K1329" s="38">
        <v>122.39</v>
      </c>
      <c r="L1329" s="38">
        <v>117.39</v>
      </c>
      <c r="M1329" s="38">
        <v>116.76</v>
      </c>
      <c r="N1329" s="38">
        <v>116.76</v>
      </c>
      <c r="O1329" s="38">
        <v>115.95</v>
      </c>
      <c r="P1329" s="38">
        <v>115.25</v>
      </c>
      <c r="Q1329" s="38">
        <v>111.59</v>
      </c>
      <c r="R1329" s="38">
        <v>100.4</v>
      </c>
      <c r="S1329" s="38">
        <v>95.37</v>
      </c>
      <c r="T1329" s="38">
        <v>93.49</v>
      </c>
      <c r="U1329" s="38">
        <v>93.28</v>
      </c>
      <c r="V1329" s="38">
        <v>93.91</v>
      </c>
      <c r="W1329" s="38">
        <v>95.14</v>
      </c>
      <c r="X1329" s="38">
        <v>95.54</v>
      </c>
      <c r="Y1329" s="38">
        <v>96.74</v>
      </c>
      <c r="Z1329" s="38">
        <v>98.01</v>
      </c>
      <c r="AA1329" s="38">
        <v>99.52</v>
      </c>
      <c r="AB1329" s="38">
        <v>97.81</v>
      </c>
      <c r="AC1329" s="38">
        <v>90.55</v>
      </c>
      <c r="AD1329" s="38">
        <v>79.75</v>
      </c>
      <c r="AE1329" s="38">
        <v>76.16</v>
      </c>
      <c r="AF1329" s="38">
        <v>75.05</v>
      </c>
      <c r="AG1329" s="38">
        <v>76.64</v>
      </c>
      <c r="AH1329" s="38">
        <v>76.92</v>
      </c>
      <c r="AI1329" s="38">
        <v>77.41</v>
      </c>
      <c r="AJ1329" s="38">
        <v>80.010000000000005</v>
      </c>
      <c r="AK1329" s="38">
        <v>81.64</v>
      </c>
      <c r="AL1329" s="38">
        <v>84.18</v>
      </c>
      <c r="AM1329" s="38">
        <v>85.69</v>
      </c>
      <c r="AN1329" s="38">
        <v>85.31</v>
      </c>
      <c r="AO1329" s="38">
        <v>80.599999999999994</v>
      </c>
      <c r="AP1329" s="38">
        <v>72.8</v>
      </c>
      <c r="AQ1329" s="38">
        <v>68.040000000000006</v>
      </c>
      <c r="AR1329" s="38">
        <v>66.22</v>
      </c>
      <c r="AS1329" s="38">
        <v>66.069999999999993</v>
      </c>
      <c r="AT1329" s="38">
        <v>66.069999999999993</v>
      </c>
      <c r="AU1329" s="38">
        <v>69.13</v>
      </c>
      <c r="AV1329" s="38">
        <v>74.010000000000005</v>
      </c>
      <c r="AW1329" s="38">
        <v>76.11</v>
      </c>
      <c r="AX1329" s="38">
        <v>77.150000000000006</v>
      </c>
      <c r="AY1329" s="38">
        <v>77.61</v>
      </c>
      <c r="BA1329" s="37">
        <v>78.709999999999994</v>
      </c>
      <c r="BB1329" s="38">
        <v>1.2484</v>
      </c>
    </row>
    <row r="1330" spans="1:54" x14ac:dyDescent="0.35">
      <c r="A1330" s="2">
        <f t="shared" si="20"/>
        <v>45684</v>
      </c>
      <c r="B1330" t="s">
        <v>1923</v>
      </c>
      <c r="C1330" s="32">
        <v>45684</v>
      </c>
      <c r="D1330" s="38">
        <v>120.15</v>
      </c>
      <c r="E1330" s="38">
        <v>118.58</v>
      </c>
      <c r="F1330" s="38">
        <v>118.24</v>
      </c>
      <c r="G1330" s="38">
        <v>118.05</v>
      </c>
      <c r="H1330" s="38">
        <v>117.97</v>
      </c>
      <c r="I1330" s="38">
        <v>117.12</v>
      </c>
      <c r="J1330" s="38">
        <v>117.42</v>
      </c>
      <c r="K1330" s="38">
        <v>118.42</v>
      </c>
      <c r="L1330" s="38">
        <v>113.98</v>
      </c>
      <c r="M1330" s="38">
        <v>113.3</v>
      </c>
      <c r="N1330" s="38">
        <v>113.43</v>
      </c>
      <c r="O1330" s="38">
        <v>112.96</v>
      </c>
      <c r="P1330" s="38">
        <v>112.25</v>
      </c>
      <c r="Q1330" s="38">
        <v>108.63</v>
      </c>
      <c r="R1330" s="38">
        <v>98.34</v>
      </c>
      <c r="S1330" s="38">
        <v>93.58</v>
      </c>
      <c r="T1330" s="38">
        <v>91.7</v>
      </c>
      <c r="U1330" s="38">
        <v>91.6</v>
      </c>
      <c r="V1330" s="38">
        <v>92.24</v>
      </c>
      <c r="W1330" s="38">
        <v>93.46</v>
      </c>
      <c r="X1330" s="38">
        <v>93.97</v>
      </c>
      <c r="Y1330" s="38">
        <v>95.15</v>
      </c>
      <c r="Z1330" s="38">
        <v>96.43</v>
      </c>
      <c r="AA1330" s="38">
        <v>97.92</v>
      </c>
      <c r="AB1330" s="38">
        <v>96.22</v>
      </c>
      <c r="AC1330" s="38">
        <v>88.97</v>
      </c>
      <c r="AD1330" s="38">
        <v>78.67</v>
      </c>
      <c r="AE1330" s="38">
        <v>75.08</v>
      </c>
      <c r="AF1330" s="38">
        <v>73.97</v>
      </c>
      <c r="AG1330" s="38">
        <v>75.58</v>
      </c>
      <c r="AH1330" s="38">
        <v>75.86</v>
      </c>
      <c r="AI1330" s="38">
        <v>76.34</v>
      </c>
      <c r="AJ1330" s="38">
        <v>79.09</v>
      </c>
      <c r="AK1330" s="38">
        <v>80.72</v>
      </c>
      <c r="AL1330" s="38">
        <v>83.26</v>
      </c>
      <c r="AM1330" s="38">
        <v>84.77</v>
      </c>
      <c r="AN1330" s="38">
        <v>84.39</v>
      </c>
      <c r="AO1330" s="38">
        <v>79.69</v>
      </c>
      <c r="AP1330" s="38">
        <v>72.11</v>
      </c>
      <c r="AQ1330" s="38">
        <v>67.349999999999994</v>
      </c>
      <c r="AR1330" s="38">
        <v>65.53</v>
      </c>
      <c r="AS1330" s="38">
        <v>65.38</v>
      </c>
      <c r="AT1330" s="38">
        <v>65.38</v>
      </c>
      <c r="AU1330" s="38">
        <v>68.44</v>
      </c>
      <c r="AV1330" s="38">
        <v>73.16</v>
      </c>
      <c r="AW1330" s="38">
        <v>75.260000000000005</v>
      </c>
      <c r="AX1330" s="38">
        <v>76.3</v>
      </c>
      <c r="AY1330" s="38">
        <v>76.77</v>
      </c>
      <c r="BA1330" s="37">
        <v>77.3</v>
      </c>
      <c r="BB1330" s="38">
        <v>1.2473000000000001</v>
      </c>
    </row>
    <row r="1331" spans="1:54" x14ac:dyDescent="0.35">
      <c r="A1331" s="2">
        <f t="shared" si="20"/>
        <v>45685</v>
      </c>
      <c r="B1331" t="s">
        <v>1924</v>
      </c>
      <c r="C1331" s="32">
        <v>45685</v>
      </c>
      <c r="D1331" s="38">
        <v>121.2</v>
      </c>
      <c r="E1331" s="38">
        <v>118.7</v>
      </c>
      <c r="F1331" s="38">
        <v>118.25</v>
      </c>
      <c r="G1331" s="38">
        <v>117.9</v>
      </c>
      <c r="H1331" s="38">
        <v>117.92</v>
      </c>
      <c r="I1331" s="38">
        <v>116.79</v>
      </c>
      <c r="J1331" s="38">
        <v>117.23</v>
      </c>
      <c r="K1331" s="38">
        <v>118.58</v>
      </c>
      <c r="L1331" s="38">
        <v>114.13</v>
      </c>
      <c r="M1331" s="38">
        <v>113.59</v>
      </c>
      <c r="N1331" s="38">
        <v>113.85</v>
      </c>
      <c r="O1331" s="38">
        <v>113.11</v>
      </c>
      <c r="P1331" s="38">
        <v>112.29</v>
      </c>
      <c r="Q1331" s="38">
        <v>108.63</v>
      </c>
      <c r="R1331" s="38">
        <v>98.32</v>
      </c>
      <c r="S1331" s="38">
        <v>93.6</v>
      </c>
      <c r="T1331" s="38">
        <v>91.7</v>
      </c>
      <c r="U1331" s="38">
        <v>91.67</v>
      </c>
      <c r="V1331" s="38">
        <v>92.14</v>
      </c>
      <c r="W1331" s="38">
        <v>93.34</v>
      </c>
      <c r="X1331" s="38">
        <v>94.12</v>
      </c>
      <c r="Y1331" s="38">
        <v>95.28</v>
      </c>
      <c r="Z1331" s="38">
        <v>96.57</v>
      </c>
      <c r="AA1331" s="38">
        <v>98.01</v>
      </c>
      <c r="AB1331" s="38">
        <v>96.32</v>
      </c>
      <c r="AC1331" s="38">
        <v>89.05</v>
      </c>
      <c r="AD1331" s="38">
        <v>79.05</v>
      </c>
      <c r="AE1331" s="38">
        <v>75.459999999999994</v>
      </c>
      <c r="AF1331" s="38">
        <v>74.349999999999994</v>
      </c>
      <c r="AG1331" s="38">
        <v>75.89</v>
      </c>
      <c r="AH1331" s="38">
        <v>76.17</v>
      </c>
      <c r="AI1331" s="38">
        <v>76.650000000000006</v>
      </c>
      <c r="AJ1331" s="38">
        <v>79.12</v>
      </c>
      <c r="AK1331" s="38">
        <v>80.72</v>
      </c>
      <c r="AL1331" s="38">
        <v>83.26</v>
      </c>
      <c r="AM1331" s="38">
        <v>84.63</v>
      </c>
      <c r="AN1331" s="38">
        <v>84.25</v>
      </c>
      <c r="AO1331" s="38">
        <v>79.540000000000006</v>
      </c>
      <c r="AP1331" s="38">
        <v>71.69</v>
      </c>
      <c r="AQ1331" s="38">
        <v>66.930000000000007</v>
      </c>
      <c r="AR1331" s="38">
        <v>65.11</v>
      </c>
      <c r="AS1331" s="38">
        <v>64.95</v>
      </c>
      <c r="AT1331" s="38">
        <v>64.95</v>
      </c>
      <c r="AU1331" s="38">
        <v>68.010000000000005</v>
      </c>
      <c r="AV1331" s="38">
        <v>72.73</v>
      </c>
      <c r="AW1331" s="38">
        <v>74.83</v>
      </c>
      <c r="AX1331" s="38">
        <v>75.87</v>
      </c>
      <c r="AY1331" s="38">
        <v>76.08</v>
      </c>
      <c r="BA1331" s="37">
        <v>78.010000000000005</v>
      </c>
      <c r="BB1331" s="38">
        <v>1.2432000000000001</v>
      </c>
    </row>
    <row r="1332" spans="1:54" x14ac:dyDescent="0.35">
      <c r="A1332" s="2">
        <f t="shared" si="20"/>
        <v>45686</v>
      </c>
      <c r="B1332" t="s">
        <v>1925</v>
      </c>
      <c r="C1332" s="32">
        <v>45686</v>
      </c>
      <c r="D1332" s="38">
        <v>128.56</v>
      </c>
      <c r="E1332" s="38">
        <v>125.79</v>
      </c>
      <c r="F1332" s="38">
        <v>124.73</v>
      </c>
      <c r="G1332" s="38">
        <v>124.31</v>
      </c>
      <c r="H1332" s="38">
        <v>124.41</v>
      </c>
      <c r="I1332" s="38">
        <v>123.12</v>
      </c>
      <c r="J1332" s="38">
        <v>123.43</v>
      </c>
      <c r="K1332" s="38">
        <v>124.81</v>
      </c>
      <c r="L1332" s="38">
        <v>119.42</v>
      </c>
      <c r="M1332" s="38">
        <v>117.42</v>
      </c>
      <c r="N1332" s="38">
        <v>118.42</v>
      </c>
      <c r="O1332" s="38">
        <v>116.96</v>
      </c>
      <c r="P1332" s="38">
        <v>115.78</v>
      </c>
      <c r="Q1332" s="38">
        <v>111.97</v>
      </c>
      <c r="R1332" s="38">
        <v>101.26</v>
      </c>
      <c r="S1332" s="38">
        <v>96.41</v>
      </c>
      <c r="T1332" s="38">
        <v>94.41</v>
      </c>
      <c r="U1332" s="38">
        <v>94.48</v>
      </c>
      <c r="V1332" s="38">
        <v>94.9</v>
      </c>
      <c r="W1332" s="38">
        <v>95.71</v>
      </c>
      <c r="X1332" s="38">
        <v>96.35</v>
      </c>
      <c r="Y1332" s="38">
        <v>97.37</v>
      </c>
      <c r="Z1332" s="38">
        <v>98.4</v>
      </c>
      <c r="AA1332" s="38">
        <v>99.75</v>
      </c>
      <c r="AB1332" s="38">
        <v>98.05</v>
      </c>
      <c r="AC1332" s="38">
        <v>90.74</v>
      </c>
      <c r="AD1332" s="38">
        <v>79.7</v>
      </c>
      <c r="AE1332" s="38">
        <v>75.83</v>
      </c>
      <c r="AF1332" s="38">
        <v>74.73</v>
      </c>
      <c r="AG1332" s="38">
        <v>76.319999999999993</v>
      </c>
      <c r="AH1332" s="38">
        <v>76.61</v>
      </c>
      <c r="AI1332" s="38">
        <v>77.09</v>
      </c>
      <c r="AJ1332" s="38">
        <v>79.709999999999994</v>
      </c>
      <c r="AK1332" s="38">
        <v>81.31</v>
      </c>
      <c r="AL1332" s="38">
        <v>83.84</v>
      </c>
      <c r="AM1332" s="38">
        <v>85.32</v>
      </c>
      <c r="AN1332" s="38">
        <v>85.12</v>
      </c>
      <c r="AO1332" s="38">
        <v>80.599999999999994</v>
      </c>
      <c r="AP1332" s="38">
        <v>72.790000000000006</v>
      </c>
      <c r="AQ1332" s="38">
        <v>68.05</v>
      </c>
      <c r="AR1332" s="38">
        <v>66.23</v>
      </c>
      <c r="AS1332" s="38">
        <v>66.069999999999993</v>
      </c>
      <c r="AT1332" s="38">
        <v>66.069999999999993</v>
      </c>
      <c r="AU1332" s="38">
        <v>69.13</v>
      </c>
      <c r="AV1332" s="38">
        <v>73.89</v>
      </c>
      <c r="AW1332" s="38">
        <v>76</v>
      </c>
      <c r="AX1332" s="38">
        <v>77.040000000000006</v>
      </c>
      <c r="AY1332" s="38">
        <v>77.37</v>
      </c>
      <c r="BA1332" s="37">
        <v>77.02</v>
      </c>
      <c r="BB1332" s="38">
        <v>1.2434000000000001</v>
      </c>
    </row>
    <row r="1333" spans="1:54" x14ac:dyDescent="0.35">
      <c r="A1333" s="2">
        <f t="shared" si="20"/>
        <v>45687</v>
      </c>
      <c r="B1333" t="s">
        <v>1926</v>
      </c>
      <c r="C1333" s="32">
        <v>45687</v>
      </c>
      <c r="D1333" s="38">
        <v>129.41999999999999</v>
      </c>
      <c r="E1333" s="38">
        <v>126.34</v>
      </c>
      <c r="F1333" s="38">
        <v>124.82</v>
      </c>
      <c r="G1333" s="38">
        <v>124.32</v>
      </c>
      <c r="H1333" s="38">
        <v>124.48</v>
      </c>
      <c r="I1333" s="38">
        <v>123.08</v>
      </c>
      <c r="J1333" s="38">
        <v>123.37</v>
      </c>
      <c r="K1333" s="38">
        <v>124.77</v>
      </c>
      <c r="L1333" s="38">
        <v>118.9</v>
      </c>
      <c r="M1333" s="38">
        <v>115</v>
      </c>
      <c r="N1333" s="38">
        <v>116.95</v>
      </c>
      <c r="O1333" s="38">
        <v>115.18</v>
      </c>
      <c r="P1333" s="38">
        <v>114.25</v>
      </c>
      <c r="Q1333" s="38">
        <v>110.48</v>
      </c>
      <c r="R1333" s="38">
        <v>99.47</v>
      </c>
      <c r="S1333" s="38">
        <v>94.92</v>
      </c>
      <c r="T1333" s="38">
        <v>93.57</v>
      </c>
      <c r="U1333" s="38">
        <v>93.29</v>
      </c>
      <c r="V1333" s="38">
        <v>93.74</v>
      </c>
      <c r="W1333" s="38">
        <v>94.65</v>
      </c>
      <c r="X1333" s="38">
        <v>95.41</v>
      </c>
      <c r="Y1333" s="38">
        <v>96.34</v>
      </c>
      <c r="Z1333" s="38">
        <v>97.45</v>
      </c>
      <c r="AA1333" s="38">
        <v>98.53</v>
      </c>
      <c r="AB1333" s="38">
        <v>96.75</v>
      </c>
      <c r="AC1333" s="38">
        <v>89.85</v>
      </c>
      <c r="AD1333" s="38">
        <v>79.56</v>
      </c>
      <c r="AE1333" s="38">
        <v>75.680000000000007</v>
      </c>
      <c r="AF1333" s="38">
        <v>74.56</v>
      </c>
      <c r="AG1333" s="38">
        <v>76.180000000000007</v>
      </c>
      <c r="AH1333" s="38">
        <v>76.47</v>
      </c>
      <c r="AI1333" s="38">
        <v>76.95</v>
      </c>
      <c r="AJ1333" s="38">
        <v>79.42</v>
      </c>
      <c r="AK1333" s="38">
        <v>81.010000000000005</v>
      </c>
      <c r="AL1333" s="38">
        <v>83.13</v>
      </c>
      <c r="AM1333" s="38">
        <v>84.69</v>
      </c>
      <c r="AN1333" s="38">
        <v>84.49</v>
      </c>
      <c r="AO1333" s="38">
        <v>79.959999999999994</v>
      </c>
      <c r="AP1333" s="38">
        <v>72.67</v>
      </c>
      <c r="AQ1333" s="38">
        <v>67.930000000000007</v>
      </c>
      <c r="AR1333" s="38">
        <v>66.11</v>
      </c>
      <c r="AS1333" s="38">
        <v>65.95</v>
      </c>
      <c r="AT1333" s="38">
        <v>65.95</v>
      </c>
      <c r="AU1333" s="38">
        <v>69.010000000000005</v>
      </c>
      <c r="AV1333" s="38">
        <v>73.56</v>
      </c>
      <c r="AW1333" s="38">
        <v>75.67</v>
      </c>
      <c r="AX1333" s="38">
        <v>76.709999999999994</v>
      </c>
      <c r="AY1333" s="38">
        <v>77.290000000000006</v>
      </c>
      <c r="BA1333" s="37">
        <v>77.42</v>
      </c>
      <c r="BB1333" s="38">
        <v>1.2466999999999999</v>
      </c>
    </row>
    <row r="1334" spans="1:54" x14ac:dyDescent="0.35">
      <c r="A1334" s="2">
        <f t="shared" si="20"/>
        <v>45688</v>
      </c>
      <c r="B1334" t="s">
        <v>1927</v>
      </c>
      <c r="C1334" s="32">
        <v>45688</v>
      </c>
      <c r="D1334" s="38">
        <v>130.54</v>
      </c>
      <c r="E1334" s="38">
        <v>128.91</v>
      </c>
      <c r="F1334" s="38">
        <v>128.29</v>
      </c>
      <c r="G1334" s="38">
        <v>128.28</v>
      </c>
      <c r="H1334" s="38">
        <v>126.79</v>
      </c>
      <c r="I1334" s="38">
        <v>127.14</v>
      </c>
      <c r="J1334" s="38">
        <v>128.54</v>
      </c>
      <c r="K1334" s="38">
        <v>123.62</v>
      </c>
      <c r="L1334" s="38">
        <v>120</v>
      </c>
      <c r="M1334" s="38">
        <v>121.95</v>
      </c>
      <c r="N1334" s="38">
        <v>119.54</v>
      </c>
      <c r="O1334" s="38">
        <v>118.33</v>
      </c>
      <c r="P1334" s="38">
        <v>114.45</v>
      </c>
      <c r="Q1334" s="38">
        <v>103.28</v>
      </c>
      <c r="R1334" s="38">
        <v>98.38</v>
      </c>
      <c r="S1334" s="38">
        <v>97.04</v>
      </c>
      <c r="T1334" s="38">
        <v>96.67</v>
      </c>
      <c r="U1334" s="38">
        <v>97.12</v>
      </c>
      <c r="V1334" s="38">
        <v>98.04</v>
      </c>
      <c r="W1334" s="38">
        <v>98.5</v>
      </c>
      <c r="X1334" s="38">
        <v>98.06</v>
      </c>
      <c r="Y1334" s="38">
        <v>98.67</v>
      </c>
      <c r="Z1334" s="38">
        <v>99.61</v>
      </c>
      <c r="AA1334" s="38">
        <v>97.52</v>
      </c>
      <c r="AB1334" s="38">
        <v>90.6</v>
      </c>
      <c r="AC1334" s="38">
        <v>79.8</v>
      </c>
      <c r="AD1334" s="38">
        <v>75.91</v>
      </c>
      <c r="AE1334" s="38">
        <v>74.790000000000006</v>
      </c>
      <c r="AF1334" s="38">
        <v>75.790000000000006</v>
      </c>
      <c r="AG1334" s="38">
        <v>76.09</v>
      </c>
      <c r="AH1334" s="38">
        <v>76.56</v>
      </c>
      <c r="AI1334" s="38">
        <v>78.94</v>
      </c>
      <c r="AJ1334" s="38">
        <v>81.540000000000006</v>
      </c>
      <c r="AK1334" s="38">
        <v>83.67</v>
      </c>
      <c r="AL1334" s="38">
        <v>84.95</v>
      </c>
      <c r="AM1334" s="38">
        <v>84.74</v>
      </c>
      <c r="AN1334" s="38">
        <v>80.22</v>
      </c>
      <c r="AO1334" s="38">
        <v>72.98</v>
      </c>
      <c r="AP1334" s="38">
        <v>68.23</v>
      </c>
      <c r="AQ1334" s="38">
        <v>66.41</v>
      </c>
      <c r="AR1334" s="38">
        <v>66.27</v>
      </c>
      <c r="AS1334" s="38">
        <v>66.27</v>
      </c>
      <c r="AT1334" s="38">
        <v>69.319999999999993</v>
      </c>
      <c r="AU1334" s="38">
        <v>73.92</v>
      </c>
      <c r="AV1334" s="38">
        <v>76.02</v>
      </c>
      <c r="AW1334" s="38">
        <v>77.06</v>
      </c>
      <c r="AX1334" s="38">
        <v>77.39</v>
      </c>
      <c r="AY1334" s="38">
        <v>76.16</v>
      </c>
      <c r="BA1334" s="37">
        <v>77.11</v>
      </c>
      <c r="BB1334" s="38">
        <v>1.2425999999999999</v>
      </c>
    </row>
    <row r="1335" spans="1:54" x14ac:dyDescent="0.35">
      <c r="A1335" s="2">
        <f t="shared" si="20"/>
        <v>45691</v>
      </c>
      <c r="B1335" t="s">
        <v>1928</v>
      </c>
      <c r="C1335" s="32">
        <v>45691</v>
      </c>
      <c r="D1335" s="38">
        <v>130.85</v>
      </c>
      <c r="E1335" s="38">
        <v>129.18</v>
      </c>
      <c r="F1335" s="38">
        <v>128.43</v>
      </c>
      <c r="G1335" s="38">
        <v>128.15</v>
      </c>
      <c r="H1335" s="38">
        <v>126.62</v>
      </c>
      <c r="I1335" s="38">
        <v>127.03</v>
      </c>
      <c r="J1335" s="38">
        <v>128.38</v>
      </c>
      <c r="K1335" s="38">
        <v>123.39</v>
      </c>
      <c r="L1335" s="38">
        <v>120.05</v>
      </c>
      <c r="M1335" s="38">
        <v>121.94</v>
      </c>
      <c r="N1335" s="38">
        <v>119.26</v>
      </c>
      <c r="O1335" s="38">
        <v>118.05</v>
      </c>
      <c r="P1335" s="38">
        <v>114.17</v>
      </c>
      <c r="Q1335" s="38">
        <v>103.39</v>
      </c>
      <c r="R1335" s="38">
        <v>98.49</v>
      </c>
      <c r="S1335" s="38">
        <v>97.15</v>
      </c>
      <c r="T1335" s="38">
        <v>96.66</v>
      </c>
      <c r="U1335" s="38">
        <v>97.11</v>
      </c>
      <c r="V1335" s="38">
        <v>98.03</v>
      </c>
      <c r="W1335" s="38">
        <v>98.49</v>
      </c>
      <c r="X1335" s="38">
        <v>98.05</v>
      </c>
      <c r="Y1335" s="38">
        <v>98.66</v>
      </c>
      <c r="Z1335" s="38">
        <v>99.66</v>
      </c>
      <c r="AA1335" s="38">
        <v>97.77</v>
      </c>
      <c r="AB1335" s="38">
        <v>90.85</v>
      </c>
      <c r="AC1335" s="38">
        <v>80.400000000000006</v>
      </c>
      <c r="AD1335" s="38">
        <v>76.510000000000005</v>
      </c>
      <c r="AE1335" s="38">
        <v>75.39</v>
      </c>
      <c r="AF1335" s="38">
        <v>76.39</v>
      </c>
      <c r="AG1335" s="38">
        <v>76.69</v>
      </c>
      <c r="AH1335" s="38">
        <v>77.16</v>
      </c>
      <c r="AI1335" s="38">
        <v>78.459999999999994</v>
      </c>
      <c r="AJ1335" s="38">
        <v>81.06</v>
      </c>
      <c r="AK1335" s="38">
        <v>83.19</v>
      </c>
      <c r="AL1335" s="38">
        <v>84.47</v>
      </c>
      <c r="AM1335" s="38">
        <v>84.26</v>
      </c>
      <c r="AN1335" s="38">
        <v>79.739999999999995</v>
      </c>
      <c r="AO1335" s="38">
        <v>72.739999999999995</v>
      </c>
      <c r="AP1335" s="38">
        <v>67.989999999999995</v>
      </c>
      <c r="AQ1335" s="38">
        <v>66.17</v>
      </c>
      <c r="AR1335" s="38">
        <v>66.03</v>
      </c>
      <c r="AS1335" s="38">
        <v>66.03</v>
      </c>
      <c r="AT1335" s="38">
        <v>69.08</v>
      </c>
      <c r="AU1335" s="38">
        <v>73.680000000000007</v>
      </c>
      <c r="AV1335" s="38">
        <v>75.78</v>
      </c>
      <c r="AW1335" s="38">
        <v>76.819999999999993</v>
      </c>
      <c r="AX1335" s="38">
        <v>77.150000000000006</v>
      </c>
      <c r="AY1335" s="38">
        <v>75.92</v>
      </c>
      <c r="BA1335" s="37">
        <v>76.489999999999995</v>
      </c>
      <c r="BB1335" s="38">
        <v>1.2412000000000001</v>
      </c>
    </row>
    <row r="1336" spans="1:54" x14ac:dyDescent="0.35">
      <c r="A1336" s="2">
        <f t="shared" si="20"/>
        <v>45692</v>
      </c>
      <c r="B1336" t="s">
        <v>1929</v>
      </c>
      <c r="C1336" s="32">
        <v>45692</v>
      </c>
      <c r="D1336" s="38">
        <v>126.65</v>
      </c>
      <c r="E1336" s="38">
        <v>125.13</v>
      </c>
      <c r="F1336" s="38">
        <v>124.44</v>
      </c>
      <c r="G1336" s="38">
        <v>124.34</v>
      </c>
      <c r="H1336" s="38">
        <v>122.94</v>
      </c>
      <c r="I1336" s="38">
        <v>123.4</v>
      </c>
      <c r="J1336" s="38">
        <v>124.78</v>
      </c>
      <c r="K1336" s="38">
        <v>120.76</v>
      </c>
      <c r="L1336" s="38">
        <v>118.59</v>
      </c>
      <c r="M1336" s="38">
        <v>120.81</v>
      </c>
      <c r="N1336" s="38">
        <v>119.07</v>
      </c>
      <c r="O1336" s="38">
        <v>118.04</v>
      </c>
      <c r="P1336" s="38">
        <v>113.99</v>
      </c>
      <c r="Q1336" s="38">
        <v>103.03</v>
      </c>
      <c r="R1336" s="38">
        <v>98.04</v>
      </c>
      <c r="S1336" s="38">
        <v>96.73</v>
      </c>
      <c r="T1336" s="38">
        <v>96.24</v>
      </c>
      <c r="U1336" s="38">
        <v>96.65</v>
      </c>
      <c r="V1336" s="38">
        <v>97.55</v>
      </c>
      <c r="W1336" s="38">
        <v>97.99</v>
      </c>
      <c r="X1336" s="38">
        <v>97.53</v>
      </c>
      <c r="Y1336" s="38">
        <v>98.15</v>
      </c>
      <c r="Z1336" s="38">
        <v>99.26</v>
      </c>
      <c r="AA1336" s="38">
        <v>97.44</v>
      </c>
      <c r="AB1336" s="38">
        <v>90.74</v>
      </c>
      <c r="AC1336" s="38">
        <v>80.209999999999994</v>
      </c>
      <c r="AD1336" s="38">
        <v>76.23</v>
      </c>
      <c r="AE1336" s="38">
        <v>75.14</v>
      </c>
      <c r="AF1336" s="38">
        <v>76.239999999999995</v>
      </c>
      <c r="AG1336" s="38">
        <v>76.58</v>
      </c>
      <c r="AH1336" s="38">
        <v>77.08</v>
      </c>
      <c r="AI1336" s="38">
        <v>78.58</v>
      </c>
      <c r="AJ1336" s="38">
        <v>81.180000000000007</v>
      </c>
      <c r="AK1336" s="38">
        <v>83.32</v>
      </c>
      <c r="AL1336" s="38">
        <v>84.65</v>
      </c>
      <c r="AM1336" s="38">
        <v>84.44</v>
      </c>
      <c r="AN1336" s="38">
        <v>79.930000000000007</v>
      </c>
      <c r="AO1336" s="38">
        <v>72.31</v>
      </c>
      <c r="AP1336" s="38">
        <v>67.55</v>
      </c>
      <c r="AQ1336" s="38">
        <v>65.73</v>
      </c>
      <c r="AR1336" s="38">
        <v>65.64</v>
      </c>
      <c r="AS1336" s="38">
        <v>65.64</v>
      </c>
      <c r="AT1336" s="38">
        <v>68.67</v>
      </c>
      <c r="AU1336" s="38">
        <v>73.400000000000006</v>
      </c>
      <c r="AV1336" s="38">
        <v>75.5</v>
      </c>
      <c r="AW1336" s="38">
        <v>76.53</v>
      </c>
      <c r="AX1336" s="38">
        <v>76.86</v>
      </c>
      <c r="AY1336" s="38">
        <v>75.62</v>
      </c>
      <c r="BA1336" s="37">
        <v>76.58</v>
      </c>
      <c r="BB1336" s="38">
        <v>1.2477</v>
      </c>
    </row>
    <row r="1337" spans="1:54" x14ac:dyDescent="0.35">
      <c r="A1337" s="2">
        <f t="shared" si="20"/>
        <v>45693</v>
      </c>
      <c r="B1337" t="s">
        <v>1930</v>
      </c>
      <c r="C1337" s="32">
        <v>45693</v>
      </c>
      <c r="D1337" s="38">
        <v>130.47</v>
      </c>
      <c r="E1337" s="38">
        <v>128.38999999999999</v>
      </c>
      <c r="F1337" s="38">
        <v>127.5</v>
      </c>
      <c r="G1337" s="38">
        <v>127.16</v>
      </c>
      <c r="H1337" s="38">
        <v>125.67</v>
      </c>
      <c r="I1337" s="38">
        <v>126.13</v>
      </c>
      <c r="J1337" s="38">
        <v>127.51</v>
      </c>
      <c r="K1337" s="38">
        <v>123.7</v>
      </c>
      <c r="L1337" s="38">
        <v>122.9</v>
      </c>
      <c r="M1337" s="38">
        <v>125.12</v>
      </c>
      <c r="N1337" s="38">
        <v>122.92</v>
      </c>
      <c r="O1337" s="38">
        <v>121.88</v>
      </c>
      <c r="P1337" s="38">
        <v>117.7</v>
      </c>
      <c r="Q1337" s="38">
        <v>105.59</v>
      </c>
      <c r="R1337" s="38">
        <v>100.05</v>
      </c>
      <c r="S1337" s="38">
        <v>98.26</v>
      </c>
      <c r="T1337" s="38">
        <v>97.68</v>
      </c>
      <c r="U1337" s="38">
        <v>98.09</v>
      </c>
      <c r="V1337" s="38">
        <v>99.04</v>
      </c>
      <c r="W1337" s="38">
        <v>99.99</v>
      </c>
      <c r="X1337" s="38">
        <v>99.61</v>
      </c>
      <c r="Y1337" s="38">
        <v>100.23</v>
      </c>
      <c r="Z1337" s="38">
        <v>101.34</v>
      </c>
      <c r="AA1337" s="38">
        <v>99.52</v>
      </c>
      <c r="AB1337" s="38">
        <v>92.82</v>
      </c>
      <c r="AC1337" s="38">
        <v>82.29</v>
      </c>
      <c r="AD1337" s="38">
        <v>78.31</v>
      </c>
      <c r="AE1337" s="38">
        <v>77.22</v>
      </c>
      <c r="AF1337" s="38">
        <v>78.319999999999993</v>
      </c>
      <c r="AG1337" s="38">
        <v>78.66</v>
      </c>
      <c r="AH1337" s="38">
        <v>79.16</v>
      </c>
      <c r="AI1337" s="38">
        <v>80.66</v>
      </c>
      <c r="AJ1337" s="38">
        <v>83.26</v>
      </c>
      <c r="AK1337" s="38">
        <v>85.4</v>
      </c>
      <c r="AL1337" s="38">
        <v>86.73</v>
      </c>
      <c r="AM1337" s="38">
        <v>86.52</v>
      </c>
      <c r="AN1337" s="38">
        <v>82.01</v>
      </c>
      <c r="AO1337" s="38">
        <v>73.680000000000007</v>
      </c>
      <c r="AP1337" s="38">
        <v>68.92</v>
      </c>
      <c r="AQ1337" s="38">
        <v>67.099999999999994</v>
      </c>
      <c r="AR1337" s="38">
        <v>67.010000000000005</v>
      </c>
      <c r="AS1337" s="38">
        <v>67.010000000000005</v>
      </c>
      <c r="AT1337" s="38">
        <v>70.040000000000006</v>
      </c>
      <c r="AU1337" s="38">
        <v>74.260000000000005</v>
      </c>
      <c r="AV1337" s="38">
        <v>76.36</v>
      </c>
      <c r="AW1337" s="38">
        <v>77.39</v>
      </c>
      <c r="AX1337" s="38">
        <v>77.72</v>
      </c>
      <c r="AY1337" s="38">
        <v>76.48</v>
      </c>
      <c r="BA1337" s="37">
        <v>74.709999999999994</v>
      </c>
      <c r="BB1337" s="38">
        <v>1.2518</v>
      </c>
    </row>
    <row r="1338" spans="1:54" x14ac:dyDescent="0.35">
      <c r="A1338" s="2">
        <f t="shared" si="20"/>
        <v>45694</v>
      </c>
      <c r="B1338" t="s">
        <v>1931</v>
      </c>
      <c r="C1338" s="32">
        <v>45694</v>
      </c>
      <c r="D1338" s="38">
        <v>133.19</v>
      </c>
      <c r="E1338" s="38">
        <v>131.36000000000001</v>
      </c>
      <c r="F1338" s="38">
        <v>130.54</v>
      </c>
      <c r="G1338" s="38">
        <v>130.38</v>
      </c>
      <c r="H1338" s="38">
        <v>128.62</v>
      </c>
      <c r="I1338" s="38">
        <v>129.16</v>
      </c>
      <c r="J1338" s="38">
        <v>130.61000000000001</v>
      </c>
      <c r="K1338" s="38">
        <v>126.61</v>
      </c>
      <c r="L1338" s="38">
        <v>125.81</v>
      </c>
      <c r="M1338" s="38">
        <v>127.31</v>
      </c>
      <c r="N1338" s="38">
        <v>125.32</v>
      </c>
      <c r="O1338" s="38">
        <v>123.86</v>
      </c>
      <c r="P1338" s="38">
        <v>119.68</v>
      </c>
      <c r="Q1338" s="38">
        <v>107.58</v>
      </c>
      <c r="R1338" s="38">
        <v>102.04</v>
      </c>
      <c r="S1338" s="38">
        <v>100.26</v>
      </c>
      <c r="T1338" s="38">
        <v>99.68</v>
      </c>
      <c r="U1338" s="38">
        <v>100.09</v>
      </c>
      <c r="V1338" s="38">
        <v>101.05</v>
      </c>
      <c r="W1338" s="38">
        <v>102.23</v>
      </c>
      <c r="X1338" s="38">
        <v>102.02</v>
      </c>
      <c r="Y1338" s="38">
        <v>102.64</v>
      </c>
      <c r="Z1338" s="38">
        <v>103.75</v>
      </c>
      <c r="AA1338" s="38">
        <v>101.94</v>
      </c>
      <c r="AB1338" s="38">
        <v>95.24</v>
      </c>
      <c r="AC1338" s="38">
        <v>83.99</v>
      </c>
      <c r="AD1338" s="38">
        <v>79.58</v>
      </c>
      <c r="AE1338" s="38">
        <v>78.239999999999995</v>
      </c>
      <c r="AF1338" s="38">
        <v>79.05</v>
      </c>
      <c r="AG1338" s="38">
        <v>79.39</v>
      </c>
      <c r="AH1338" s="38">
        <v>80.06</v>
      </c>
      <c r="AI1338" s="38">
        <v>81.349999999999994</v>
      </c>
      <c r="AJ1338" s="38">
        <v>83.64</v>
      </c>
      <c r="AK1338" s="38">
        <v>85.6</v>
      </c>
      <c r="AL1338" s="38">
        <v>86.93</v>
      </c>
      <c r="AM1338" s="38">
        <v>86.72</v>
      </c>
      <c r="AN1338" s="38">
        <v>82.21</v>
      </c>
      <c r="AO1338" s="38">
        <v>73.87</v>
      </c>
      <c r="AP1338" s="38">
        <v>69.11</v>
      </c>
      <c r="AQ1338" s="38">
        <v>67.290000000000006</v>
      </c>
      <c r="AR1338" s="38">
        <v>67.2</v>
      </c>
      <c r="AS1338" s="38">
        <v>67.2</v>
      </c>
      <c r="AT1338" s="38">
        <v>70.23</v>
      </c>
      <c r="AU1338" s="38">
        <v>74.45</v>
      </c>
      <c r="AV1338" s="38">
        <v>76.55</v>
      </c>
      <c r="AW1338" s="38">
        <v>77.58</v>
      </c>
      <c r="AX1338" s="38">
        <v>77.91</v>
      </c>
      <c r="AY1338" s="38">
        <v>76.67</v>
      </c>
      <c r="BA1338" s="37">
        <v>74.540000000000006</v>
      </c>
      <c r="BB1338" s="38">
        <v>1.2414000000000001</v>
      </c>
    </row>
    <row r="1339" spans="1:54" x14ac:dyDescent="0.35">
      <c r="A1339" s="2">
        <f t="shared" si="20"/>
        <v>45695</v>
      </c>
      <c r="B1339" t="s">
        <v>2054</v>
      </c>
      <c r="C1339" s="32">
        <v>45695</v>
      </c>
      <c r="D1339" s="38">
        <v>135.75</v>
      </c>
      <c r="E1339" s="38">
        <v>134.36000000000001</v>
      </c>
      <c r="F1339" s="38">
        <v>133.41</v>
      </c>
      <c r="G1339" s="38">
        <v>133.19</v>
      </c>
      <c r="H1339" s="38">
        <v>131.44</v>
      </c>
      <c r="I1339" s="38">
        <v>132.08000000000001</v>
      </c>
      <c r="J1339" s="38">
        <v>133.25</v>
      </c>
      <c r="K1339" s="38">
        <v>129.08000000000001</v>
      </c>
      <c r="L1339" s="38">
        <v>128.33000000000001</v>
      </c>
      <c r="M1339" s="38">
        <v>129.34</v>
      </c>
      <c r="N1339" s="38">
        <v>127.81</v>
      </c>
      <c r="O1339" s="38">
        <v>126.44</v>
      </c>
      <c r="P1339" s="38">
        <v>122.5</v>
      </c>
      <c r="Q1339" s="38">
        <v>109.69</v>
      </c>
      <c r="R1339" s="38">
        <v>103.88</v>
      </c>
      <c r="S1339" s="38">
        <v>102.09</v>
      </c>
      <c r="T1339" s="38">
        <v>101.64</v>
      </c>
      <c r="U1339" s="38">
        <v>102.04</v>
      </c>
      <c r="V1339" s="38">
        <v>102.84</v>
      </c>
      <c r="W1339" s="38">
        <v>103.64</v>
      </c>
      <c r="X1339" s="38">
        <v>103.78</v>
      </c>
      <c r="Y1339" s="38">
        <v>104.4</v>
      </c>
      <c r="Z1339" s="38">
        <v>105.51</v>
      </c>
      <c r="AA1339" s="38">
        <v>103.49</v>
      </c>
      <c r="AB1339" s="38">
        <v>96.24</v>
      </c>
      <c r="AC1339" s="38">
        <v>84.34</v>
      </c>
      <c r="AD1339" s="38">
        <v>80.09</v>
      </c>
      <c r="AE1339" s="38">
        <v>78.75</v>
      </c>
      <c r="AF1339" s="38">
        <v>79.56</v>
      </c>
      <c r="AG1339" s="38">
        <v>79.900000000000006</v>
      </c>
      <c r="AH1339" s="38">
        <v>80.39</v>
      </c>
      <c r="AI1339" s="38">
        <v>82.19</v>
      </c>
      <c r="AJ1339" s="38">
        <v>84.64</v>
      </c>
      <c r="AK1339" s="38">
        <v>86.6</v>
      </c>
      <c r="AL1339" s="38">
        <v>87.93</v>
      </c>
      <c r="AM1339" s="38">
        <v>87.72</v>
      </c>
      <c r="AN1339" s="38">
        <v>83.21</v>
      </c>
      <c r="AO1339" s="38">
        <v>75.06</v>
      </c>
      <c r="AP1339" s="38">
        <v>70.3</v>
      </c>
      <c r="AQ1339" s="38">
        <v>68.48</v>
      </c>
      <c r="AR1339" s="38">
        <v>68.39</v>
      </c>
      <c r="AS1339" s="38">
        <v>68.39</v>
      </c>
      <c r="AT1339" s="38">
        <v>71.42</v>
      </c>
      <c r="AU1339" s="38">
        <v>75.64</v>
      </c>
      <c r="AV1339" s="38">
        <v>77.739999999999995</v>
      </c>
      <c r="AW1339" s="38">
        <v>78.77</v>
      </c>
      <c r="AX1339" s="38">
        <v>79.099999999999994</v>
      </c>
      <c r="AY1339" s="38">
        <v>77.86</v>
      </c>
      <c r="BA1339" s="37">
        <v>74.680000000000007</v>
      </c>
      <c r="BB1339" s="38">
        <v>1.2423999999999999</v>
      </c>
    </row>
    <row r="1340" spans="1:54" x14ac:dyDescent="0.35">
      <c r="A1340" s="2">
        <f t="shared" si="20"/>
        <v>45698</v>
      </c>
      <c r="B1340" t="s">
        <v>2055</v>
      </c>
      <c r="C1340" s="32">
        <v>45698</v>
      </c>
      <c r="D1340" s="38">
        <v>141.25</v>
      </c>
      <c r="E1340" s="38">
        <v>139.65</v>
      </c>
      <c r="F1340" s="38">
        <v>138.33000000000001</v>
      </c>
      <c r="G1340" s="38">
        <v>137.80000000000001</v>
      </c>
      <c r="H1340" s="38">
        <v>136</v>
      </c>
      <c r="I1340" s="38">
        <v>136.4</v>
      </c>
      <c r="J1340" s="38">
        <v>137.72999999999999</v>
      </c>
      <c r="K1340" s="38">
        <v>133.30000000000001</v>
      </c>
      <c r="L1340" s="38">
        <v>132.05000000000001</v>
      </c>
      <c r="M1340" s="38">
        <v>133</v>
      </c>
      <c r="N1340" s="38">
        <v>131.25</v>
      </c>
      <c r="O1340" s="38">
        <v>129.80000000000001</v>
      </c>
      <c r="P1340" s="38">
        <v>125.61</v>
      </c>
      <c r="Q1340" s="38">
        <v>112.32</v>
      </c>
      <c r="R1340" s="38">
        <v>106.22</v>
      </c>
      <c r="S1340" s="38">
        <v>104.44</v>
      </c>
      <c r="T1340" s="38">
        <v>103.99</v>
      </c>
      <c r="U1340" s="38">
        <v>104.4</v>
      </c>
      <c r="V1340" s="38">
        <v>104.77</v>
      </c>
      <c r="W1340" s="38">
        <v>105.04</v>
      </c>
      <c r="X1340" s="38">
        <v>105.19</v>
      </c>
      <c r="Y1340" s="38">
        <v>105.8</v>
      </c>
      <c r="Z1340" s="38">
        <v>106.91</v>
      </c>
      <c r="AA1340" s="38">
        <v>104.89</v>
      </c>
      <c r="AB1340" s="38">
        <v>97.64</v>
      </c>
      <c r="AC1340" s="38">
        <v>85.74</v>
      </c>
      <c r="AD1340" s="38">
        <v>81.489999999999995</v>
      </c>
      <c r="AE1340" s="38">
        <v>80.150000000000006</v>
      </c>
      <c r="AF1340" s="38">
        <v>80.959999999999994</v>
      </c>
      <c r="AG1340" s="38">
        <v>81.3</v>
      </c>
      <c r="AH1340" s="38">
        <v>81.790000000000006</v>
      </c>
      <c r="AI1340" s="38">
        <v>83.59</v>
      </c>
      <c r="AJ1340" s="38">
        <v>86.04</v>
      </c>
      <c r="AK1340" s="38">
        <v>88</v>
      </c>
      <c r="AL1340" s="38">
        <v>89.33</v>
      </c>
      <c r="AM1340" s="38">
        <v>89.12</v>
      </c>
      <c r="AN1340" s="38">
        <v>84.61</v>
      </c>
      <c r="AO1340" s="38">
        <v>76.459999999999994</v>
      </c>
      <c r="AP1340" s="38">
        <v>71.7</v>
      </c>
      <c r="AQ1340" s="38">
        <v>69.88</v>
      </c>
      <c r="AR1340" s="38">
        <v>69.790000000000006</v>
      </c>
      <c r="AS1340" s="38">
        <v>69.790000000000006</v>
      </c>
      <c r="AT1340" s="38">
        <v>72.819999999999993</v>
      </c>
      <c r="AU1340" s="38">
        <v>77.040000000000006</v>
      </c>
      <c r="AV1340" s="38">
        <v>79.14</v>
      </c>
      <c r="AW1340" s="38">
        <v>80.17</v>
      </c>
      <c r="AX1340" s="38">
        <v>80.5</v>
      </c>
      <c r="AY1340" s="38">
        <v>79.260000000000005</v>
      </c>
      <c r="BA1340" s="37">
        <v>76.23</v>
      </c>
      <c r="BB1340" s="38">
        <v>1.2390000000000001</v>
      </c>
    </row>
    <row r="1341" spans="1:54" x14ac:dyDescent="0.35">
      <c r="A1341" s="2">
        <f t="shared" si="20"/>
        <v>45699</v>
      </c>
      <c r="B1341" t="s">
        <v>2056</v>
      </c>
      <c r="C1341" s="32">
        <v>45699</v>
      </c>
      <c r="D1341" s="38">
        <v>140.57</v>
      </c>
      <c r="E1341" s="38">
        <v>139.51</v>
      </c>
      <c r="F1341" s="38">
        <v>138.51</v>
      </c>
      <c r="G1341" s="38">
        <v>138.38999999999999</v>
      </c>
      <c r="H1341" s="38">
        <v>136.1</v>
      </c>
      <c r="I1341" s="38">
        <v>136.88999999999999</v>
      </c>
      <c r="J1341" s="38">
        <v>138.29</v>
      </c>
      <c r="K1341" s="38">
        <v>134.32</v>
      </c>
      <c r="L1341" s="38">
        <v>132.72999999999999</v>
      </c>
      <c r="M1341" s="38">
        <v>133.97999999999999</v>
      </c>
      <c r="N1341" s="38">
        <v>132.66999999999999</v>
      </c>
      <c r="O1341" s="38">
        <v>131.22</v>
      </c>
      <c r="P1341" s="38">
        <v>127.03</v>
      </c>
      <c r="Q1341" s="38">
        <v>112.71</v>
      </c>
      <c r="R1341" s="38">
        <v>105.97</v>
      </c>
      <c r="S1341" s="38">
        <v>104.19</v>
      </c>
      <c r="T1341" s="38">
        <v>104.01</v>
      </c>
      <c r="U1341" s="38">
        <v>104.42</v>
      </c>
      <c r="V1341" s="38">
        <v>104.79</v>
      </c>
      <c r="W1341" s="38">
        <v>105.09</v>
      </c>
      <c r="X1341" s="38">
        <v>105.17</v>
      </c>
      <c r="Y1341" s="38">
        <v>105.71</v>
      </c>
      <c r="Z1341" s="38">
        <v>107.04</v>
      </c>
      <c r="AA1341" s="38">
        <v>105.41</v>
      </c>
      <c r="AB1341" s="38">
        <v>98.09</v>
      </c>
      <c r="AC1341" s="38">
        <v>85.09</v>
      </c>
      <c r="AD1341" s="38">
        <v>80.67</v>
      </c>
      <c r="AE1341" s="38">
        <v>79.33</v>
      </c>
      <c r="AF1341" s="38">
        <v>80.14</v>
      </c>
      <c r="AG1341" s="38">
        <v>80.48</v>
      </c>
      <c r="AH1341" s="38">
        <v>80.97</v>
      </c>
      <c r="AI1341" s="38">
        <v>83.82</v>
      </c>
      <c r="AJ1341" s="38">
        <v>86.27</v>
      </c>
      <c r="AK1341" s="38">
        <v>88.23</v>
      </c>
      <c r="AL1341" s="38">
        <v>89.56</v>
      </c>
      <c r="AM1341" s="38">
        <v>89.35</v>
      </c>
      <c r="AN1341" s="38">
        <v>84.08</v>
      </c>
      <c r="AO1341" s="38">
        <v>74.400000000000006</v>
      </c>
      <c r="AP1341" s="38">
        <v>69.260000000000005</v>
      </c>
      <c r="AQ1341" s="38">
        <v>67.44</v>
      </c>
      <c r="AR1341" s="38">
        <v>67.349999999999994</v>
      </c>
      <c r="AS1341" s="38">
        <v>67.349999999999994</v>
      </c>
      <c r="AT1341" s="38">
        <v>70.38</v>
      </c>
      <c r="AU1341" s="38">
        <v>74.599999999999994</v>
      </c>
      <c r="AV1341" s="38">
        <v>76.7</v>
      </c>
      <c r="AW1341" s="38">
        <v>77.73</v>
      </c>
      <c r="AX1341" s="38">
        <v>78.06</v>
      </c>
      <c r="AY1341" s="38">
        <v>76.819999999999993</v>
      </c>
      <c r="BA1341" s="37">
        <v>77.650000000000006</v>
      </c>
      <c r="BB1341" s="38">
        <v>1.2405999999999999</v>
      </c>
    </row>
    <row r="1342" spans="1:54" x14ac:dyDescent="0.35">
      <c r="A1342" s="2">
        <f t="shared" si="20"/>
        <v>45700</v>
      </c>
      <c r="B1342" t="s">
        <v>2057</v>
      </c>
      <c r="C1342" s="32">
        <v>45700</v>
      </c>
      <c r="D1342" s="38">
        <v>134.99</v>
      </c>
      <c r="E1342" s="38">
        <v>134.47999999999999</v>
      </c>
      <c r="F1342" s="38">
        <v>133.75</v>
      </c>
      <c r="G1342" s="38">
        <v>133.84</v>
      </c>
      <c r="H1342" s="38">
        <v>132.22</v>
      </c>
      <c r="I1342" s="38">
        <v>132.82</v>
      </c>
      <c r="J1342" s="38">
        <v>134.33000000000001</v>
      </c>
      <c r="K1342" s="38">
        <v>133.44</v>
      </c>
      <c r="L1342" s="38">
        <v>133.52000000000001</v>
      </c>
      <c r="M1342" s="38">
        <v>135</v>
      </c>
      <c r="N1342" s="38">
        <v>134.38999999999999</v>
      </c>
      <c r="O1342" s="38">
        <v>132.94</v>
      </c>
      <c r="P1342" s="38">
        <v>128.75</v>
      </c>
      <c r="Q1342" s="38">
        <v>111.7</v>
      </c>
      <c r="R1342" s="38">
        <v>103.89</v>
      </c>
      <c r="S1342" s="38">
        <v>102.5</v>
      </c>
      <c r="T1342" s="38">
        <v>102.41</v>
      </c>
      <c r="U1342" s="38">
        <v>102.86</v>
      </c>
      <c r="V1342" s="38">
        <v>103.19</v>
      </c>
      <c r="W1342" s="38">
        <v>103.35</v>
      </c>
      <c r="X1342" s="38">
        <v>103.46</v>
      </c>
      <c r="Y1342" s="38">
        <v>104.57</v>
      </c>
      <c r="Z1342" s="38">
        <v>108.25</v>
      </c>
      <c r="AA1342" s="38">
        <v>107.89</v>
      </c>
      <c r="AB1342" s="38">
        <v>100.4</v>
      </c>
      <c r="AC1342" s="38">
        <v>86.3</v>
      </c>
      <c r="AD1342" s="38">
        <v>80.31</v>
      </c>
      <c r="AE1342" s="38">
        <v>78.97</v>
      </c>
      <c r="AF1342" s="38">
        <v>79.78</v>
      </c>
      <c r="AG1342" s="38">
        <v>80.12</v>
      </c>
      <c r="AH1342" s="38">
        <v>80.61</v>
      </c>
      <c r="AI1342" s="38">
        <v>83.46</v>
      </c>
      <c r="AJ1342" s="38">
        <v>85.91</v>
      </c>
      <c r="AK1342" s="38">
        <v>87.87</v>
      </c>
      <c r="AL1342" s="38">
        <v>89.2</v>
      </c>
      <c r="AM1342" s="38">
        <v>88.99</v>
      </c>
      <c r="AN1342" s="38">
        <v>83.72</v>
      </c>
      <c r="AO1342" s="38">
        <v>74.040000000000006</v>
      </c>
      <c r="AP1342" s="38">
        <v>68.900000000000006</v>
      </c>
      <c r="AQ1342" s="38">
        <v>67.08</v>
      </c>
      <c r="AR1342" s="38">
        <v>66.989999999999995</v>
      </c>
      <c r="AS1342" s="38">
        <v>66.989999999999995</v>
      </c>
      <c r="AT1342" s="38">
        <v>70.02</v>
      </c>
      <c r="AU1342" s="38">
        <v>74.239999999999995</v>
      </c>
      <c r="AV1342" s="38">
        <v>76.34</v>
      </c>
      <c r="AW1342" s="38">
        <v>77.37</v>
      </c>
      <c r="AX1342" s="38">
        <v>77.7</v>
      </c>
      <c r="AY1342" s="38">
        <v>76.459999999999994</v>
      </c>
      <c r="BA1342" s="37">
        <v>75.38</v>
      </c>
      <c r="BB1342" s="38">
        <v>1.2434000000000001</v>
      </c>
    </row>
    <row r="1343" spans="1:54" x14ac:dyDescent="0.35">
      <c r="A1343" s="2">
        <f t="shared" si="20"/>
        <v>45701</v>
      </c>
      <c r="B1343" t="s">
        <v>2058</v>
      </c>
      <c r="C1343" s="32">
        <v>45701</v>
      </c>
      <c r="D1343" s="38">
        <v>124.25</v>
      </c>
      <c r="E1343" s="38">
        <v>123.89</v>
      </c>
      <c r="F1343" s="38">
        <v>123.11</v>
      </c>
      <c r="G1343" s="38">
        <v>123.08</v>
      </c>
      <c r="H1343" s="38">
        <v>121.34</v>
      </c>
      <c r="I1343" s="38">
        <v>121.89</v>
      </c>
      <c r="J1343" s="38">
        <v>123.79</v>
      </c>
      <c r="K1343" s="38">
        <v>122.11</v>
      </c>
      <c r="L1343" s="38">
        <v>124.91</v>
      </c>
      <c r="M1343" s="38">
        <v>127.31</v>
      </c>
      <c r="N1343" s="38">
        <v>126.61</v>
      </c>
      <c r="O1343" s="38">
        <v>125.16</v>
      </c>
      <c r="P1343" s="38">
        <v>120.22</v>
      </c>
      <c r="Q1343" s="38">
        <v>102.22</v>
      </c>
      <c r="R1343" s="38">
        <v>93.91</v>
      </c>
      <c r="S1343" s="38">
        <v>92.7</v>
      </c>
      <c r="T1343" s="38">
        <v>92.85</v>
      </c>
      <c r="U1343" s="38">
        <v>93.3</v>
      </c>
      <c r="V1343" s="38">
        <v>93.63</v>
      </c>
      <c r="W1343" s="38">
        <v>95.32</v>
      </c>
      <c r="X1343" s="38">
        <v>96.47</v>
      </c>
      <c r="Y1343" s="38">
        <v>97.59</v>
      </c>
      <c r="Z1343" s="38">
        <v>101.28</v>
      </c>
      <c r="AA1343" s="38">
        <v>100.92</v>
      </c>
      <c r="AB1343" s="38">
        <v>93.44</v>
      </c>
      <c r="AC1343" s="38">
        <v>80.72</v>
      </c>
      <c r="AD1343" s="38">
        <v>74.73</v>
      </c>
      <c r="AE1343" s="38">
        <v>73.400000000000006</v>
      </c>
      <c r="AF1343" s="38">
        <v>74.209999999999994</v>
      </c>
      <c r="AG1343" s="38">
        <v>74.55</v>
      </c>
      <c r="AH1343" s="38">
        <v>75.05</v>
      </c>
      <c r="AI1343" s="38">
        <v>77.900000000000006</v>
      </c>
      <c r="AJ1343" s="38">
        <v>80.36</v>
      </c>
      <c r="AK1343" s="38">
        <v>82.32</v>
      </c>
      <c r="AL1343" s="38">
        <v>83.65</v>
      </c>
      <c r="AM1343" s="38">
        <v>83.44</v>
      </c>
      <c r="AN1343" s="38">
        <v>78.180000000000007</v>
      </c>
      <c r="AO1343" s="38">
        <v>68.790000000000006</v>
      </c>
      <c r="AP1343" s="38">
        <v>63.65</v>
      </c>
      <c r="AQ1343" s="38">
        <v>61.83</v>
      </c>
      <c r="AR1343" s="38">
        <v>61.75</v>
      </c>
      <c r="AS1343" s="38">
        <v>61.75</v>
      </c>
      <c r="AT1343" s="38">
        <v>64.78</v>
      </c>
      <c r="AU1343" s="38">
        <v>69</v>
      </c>
      <c r="AV1343" s="38">
        <v>71.11</v>
      </c>
      <c r="AW1343" s="38">
        <v>72.14</v>
      </c>
      <c r="AX1343" s="38">
        <v>72.47</v>
      </c>
      <c r="AY1343" s="38">
        <v>71.23</v>
      </c>
      <c r="BA1343" s="37">
        <v>75.61</v>
      </c>
      <c r="BB1343" s="38">
        <v>1.2523</v>
      </c>
    </row>
    <row r="1344" spans="1:54" x14ac:dyDescent="0.35">
      <c r="A1344" s="2">
        <f t="shared" si="20"/>
        <v>45702</v>
      </c>
      <c r="B1344" t="s">
        <v>2206</v>
      </c>
      <c r="C1344" s="32">
        <v>45702</v>
      </c>
      <c r="D1344" s="38">
        <v>122.26</v>
      </c>
      <c r="E1344" s="38">
        <v>122.24</v>
      </c>
      <c r="F1344" s="38">
        <v>121.68</v>
      </c>
      <c r="G1344" s="38">
        <v>121.78</v>
      </c>
      <c r="H1344" s="38">
        <v>120.06</v>
      </c>
      <c r="I1344" s="38">
        <v>120.73</v>
      </c>
      <c r="J1344" s="38">
        <v>122.54</v>
      </c>
      <c r="K1344" s="38">
        <v>119.8</v>
      </c>
      <c r="L1344" s="38">
        <v>122.57</v>
      </c>
      <c r="M1344" s="38">
        <v>125.03</v>
      </c>
      <c r="N1344" s="38">
        <v>124.36</v>
      </c>
      <c r="O1344" s="38">
        <v>122.95</v>
      </c>
      <c r="P1344" s="38">
        <v>118.46</v>
      </c>
      <c r="Q1344" s="38">
        <v>99.68</v>
      </c>
      <c r="R1344" s="38">
        <v>91.8</v>
      </c>
      <c r="S1344" s="38">
        <v>90.6</v>
      </c>
      <c r="T1344" s="38">
        <v>90.76</v>
      </c>
      <c r="U1344" s="38">
        <v>91.21</v>
      </c>
      <c r="V1344" s="38">
        <v>91.54</v>
      </c>
      <c r="W1344" s="38">
        <v>93.14</v>
      </c>
      <c r="X1344" s="38">
        <v>94.3</v>
      </c>
      <c r="Y1344" s="38">
        <v>95.43</v>
      </c>
      <c r="Z1344" s="38">
        <v>99.13</v>
      </c>
      <c r="AA1344" s="38">
        <v>98.78</v>
      </c>
      <c r="AB1344" s="38">
        <v>91.31</v>
      </c>
      <c r="AC1344" s="38">
        <v>78.599999999999994</v>
      </c>
      <c r="AD1344" s="38">
        <v>73.12</v>
      </c>
      <c r="AE1344" s="38">
        <v>71.8</v>
      </c>
      <c r="AF1344" s="38">
        <v>72.63</v>
      </c>
      <c r="AG1344" s="38">
        <v>72.98</v>
      </c>
      <c r="AH1344" s="38">
        <v>73.52</v>
      </c>
      <c r="AI1344" s="38">
        <v>76.94</v>
      </c>
      <c r="AJ1344" s="38">
        <v>79.41</v>
      </c>
      <c r="AK1344" s="38">
        <v>81.37</v>
      </c>
      <c r="AL1344" s="38">
        <v>82.7</v>
      </c>
      <c r="AM1344" s="38">
        <v>82.49</v>
      </c>
      <c r="AN1344" s="38">
        <v>77.23</v>
      </c>
      <c r="AO1344" s="38">
        <v>67.84</v>
      </c>
      <c r="AP1344" s="38">
        <v>62.7</v>
      </c>
      <c r="AQ1344" s="38">
        <v>60.88</v>
      </c>
      <c r="AR1344" s="38">
        <v>60.8</v>
      </c>
      <c r="AS1344" s="38">
        <v>60.8</v>
      </c>
      <c r="AT1344" s="38">
        <v>63.83</v>
      </c>
      <c r="AU1344" s="38">
        <v>68.05</v>
      </c>
      <c r="AV1344" s="38">
        <v>70.16</v>
      </c>
      <c r="AW1344" s="38">
        <v>71.19</v>
      </c>
      <c r="AX1344" s="38">
        <v>71.52</v>
      </c>
      <c r="AY1344" s="38">
        <v>70.28</v>
      </c>
      <c r="BA1344" s="37">
        <v>75.19</v>
      </c>
      <c r="BB1344" s="38">
        <v>1.2618</v>
      </c>
    </row>
    <row r="1345" spans="1:54" x14ac:dyDescent="0.35">
      <c r="A1345" s="2">
        <f t="shared" si="20"/>
        <v>45705</v>
      </c>
      <c r="B1345" t="s">
        <v>2207</v>
      </c>
      <c r="C1345" s="32">
        <v>45703</v>
      </c>
      <c r="D1345" s="38">
        <v>115.72</v>
      </c>
      <c r="E1345" s="38">
        <v>115.55</v>
      </c>
      <c r="F1345" s="38">
        <v>115.09</v>
      </c>
      <c r="G1345" s="38">
        <v>115.23</v>
      </c>
      <c r="H1345" s="38">
        <v>113.46</v>
      </c>
      <c r="I1345" s="38">
        <v>114.06</v>
      </c>
      <c r="J1345" s="38">
        <v>116.25</v>
      </c>
      <c r="K1345" s="38">
        <v>113.88</v>
      </c>
      <c r="L1345" s="38">
        <v>116.87</v>
      </c>
      <c r="M1345" s="38">
        <v>118.49</v>
      </c>
      <c r="N1345" s="38">
        <v>117.09</v>
      </c>
      <c r="O1345" s="38">
        <v>115.84</v>
      </c>
      <c r="P1345" s="38">
        <v>111.74</v>
      </c>
      <c r="Q1345" s="38">
        <v>94.02</v>
      </c>
      <c r="R1345" s="38">
        <v>86.88</v>
      </c>
      <c r="S1345" s="38">
        <v>85.28</v>
      </c>
      <c r="T1345" s="38">
        <v>85.38</v>
      </c>
      <c r="U1345" s="38">
        <v>85.86</v>
      </c>
      <c r="V1345" s="38">
        <v>86.16</v>
      </c>
      <c r="W1345" s="38">
        <v>88.07</v>
      </c>
      <c r="X1345" s="38">
        <v>89.74</v>
      </c>
      <c r="Y1345" s="38">
        <v>90.86</v>
      </c>
      <c r="Z1345" s="38">
        <v>94.51</v>
      </c>
      <c r="AA1345" s="38">
        <v>94.33</v>
      </c>
      <c r="AB1345" s="38">
        <v>86.95</v>
      </c>
      <c r="AC1345" s="38">
        <v>76.650000000000006</v>
      </c>
      <c r="AD1345" s="38">
        <v>71.599999999999994</v>
      </c>
      <c r="AE1345" s="38">
        <v>70.290000000000006</v>
      </c>
      <c r="AF1345" s="38">
        <v>71.209999999999994</v>
      </c>
      <c r="AG1345" s="38">
        <v>71.569999999999993</v>
      </c>
      <c r="AH1345" s="38">
        <v>72.12</v>
      </c>
      <c r="AI1345" s="38">
        <v>75.73</v>
      </c>
      <c r="AJ1345" s="38">
        <v>78.2</v>
      </c>
      <c r="AK1345" s="38">
        <v>80.430000000000007</v>
      </c>
      <c r="AL1345" s="38">
        <v>81.81</v>
      </c>
      <c r="AM1345" s="38">
        <v>81.69</v>
      </c>
      <c r="AN1345" s="38">
        <v>76.64</v>
      </c>
      <c r="AO1345" s="38">
        <v>68.94</v>
      </c>
      <c r="AP1345" s="38">
        <v>63.75</v>
      </c>
      <c r="AQ1345" s="38">
        <v>61.89</v>
      </c>
      <c r="AR1345" s="38">
        <v>61.78</v>
      </c>
      <c r="AS1345" s="38">
        <v>61.76</v>
      </c>
      <c r="AT1345" s="38">
        <v>64.459999999999994</v>
      </c>
      <c r="AU1345" s="38">
        <v>68.569999999999993</v>
      </c>
      <c r="AV1345" s="38">
        <v>70.680000000000007</v>
      </c>
      <c r="AW1345" s="38">
        <v>71.709999999999994</v>
      </c>
      <c r="AX1345" s="38">
        <v>71.989999999999995</v>
      </c>
      <c r="AY1345" s="38">
        <v>70.75</v>
      </c>
      <c r="BA1345" s="37">
        <v>75.81</v>
      </c>
      <c r="BB1345" s="38">
        <v>1.2606999999999999</v>
      </c>
    </row>
    <row r="1346" spans="1:54" x14ac:dyDescent="0.35">
      <c r="A1346" s="2">
        <f t="shared" si="20"/>
        <v>45706</v>
      </c>
      <c r="B1346" t="s">
        <v>2208</v>
      </c>
      <c r="C1346" s="32">
        <v>45704</v>
      </c>
      <c r="D1346" s="38">
        <v>117.9</v>
      </c>
      <c r="E1346" s="38">
        <v>118</v>
      </c>
      <c r="F1346" s="38">
        <v>117.65</v>
      </c>
      <c r="G1346" s="38">
        <v>118.01</v>
      </c>
      <c r="H1346" s="38">
        <v>116.36</v>
      </c>
      <c r="I1346" s="38">
        <v>116.93</v>
      </c>
      <c r="J1346" s="38">
        <v>118.73</v>
      </c>
      <c r="K1346" s="38">
        <v>116.04</v>
      </c>
      <c r="L1346" s="38">
        <v>118.72</v>
      </c>
      <c r="M1346" s="38">
        <v>120.34</v>
      </c>
      <c r="N1346" s="38">
        <v>118.95</v>
      </c>
      <c r="O1346" s="38">
        <v>117.7</v>
      </c>
      <c r="P1346" s="38">
        <v>113.6</v>
      </c>
      <c r="Q1346" s="38">
        <v>96.73</v>
      </c>
      <c r="R1346" s="38">
        <v>89.59</v>
      </c>
      <c r="S1346" s="38">
        <v>87.99</v>
      </c>
      <c r="T1346" s="38">
        <v>88.03</v>
      </c>
      <c r="U1346" s="38">
        <v>88.51</v>
      </c>
      <c r="V1346" s="38">
        <v>88.81</v>
      </c>
      <c r="W1346" s="38">
        <v>90.87</v>
      </c>
      <c r="X1346" s="38">
        <v>92.54</v>
      </c>
      <c r="Y1346" s="38">
        <v>93.66</v>
      </c>
      <c r="Z1346" s="38">
        <v>97.31</v>
      </c>
      <c r="AA1346" s="38">
        <v>97.13</v>
      </c>
      <c r="AB1346" s="38">
        <v>89.75</v>
      </c>
      <c r="AC1346" s="38">
        <v>79.53</v>
      </c>
      <c r="AD1346" s="38">
        <v>74.58</v>
      </c>
      <c r="AE1346" s="38">
        <v>73.209999999999994</v>
      </c>
      <c r="AF1346" s="38">
        <v>74.069999999999993</v>
      </c>
      <c r="AG1346" s="38">
        <v>74.349999999999994</v>
      </c>
      <c r="AH1346" s="38">
        <v>74.8</v>
      </c>
      <c r="AI1346" s="38">
        <v>78.66</v>
      </c>
      <c r="AJ1346" s="38">
        <v>81.13</v>
      </c>
      <c r="AK1346" s="38">
        <v>83.36</v>
      </c>
      <c r="AL1346" s="38">
        <v>84.74</v>
      </c>
      <c r="AM1346" s="38">
        <v>84.62</v>
      </c>
      <c r="AN1346" s="38">
        <v>79.569999999999993</v>
      </c>
      <c r="AO1346" s="38">
        <v>71.14</v>
      </c>
      <c r="AP1346" s="38">
        <v>65.95</v>
      </c>
      <c r="AQ1346" s="38">
        <v>64.09</v>
      </c>
      <c r="AR1346" s="38">
        <v>63.98</v>
      </c>
      <c r="AS1346" s="38">
        <v>63.96</v>
      </c>
      <c r="AT1346" s="38">
        <v>66.66</v>
      </c>
      <c r="AU1346" s="38">
        <v>70.63</v>
      </c>
      <c r="AV1346" s="38">
        <v>72.739999999999995</v>
      </c>
      <c r="AW1346" s="38">
        <v>73.77</v>
      </c>
      <c r="AX1346" s="38">
        <v>74.05</v>
      </c>
      <c r="AY1346" s="38">
        <v>72.81</v>
      </c>
      <c r="BA1346" s="37">
        <v>76.459999999999994</v>
      </c>
      <c r="BB1346" s="38">
        <v>1.2615000000000001</v>
      </c>
    </row>
    <row r="1347" spans="1:54" x14ac:dyDescent="0.35">
      <c r="A1347" s="2">
        <f t="shared" si="20"/>
        <v>45707</v>
      </c>
      <c r="B1347" t="s">
        <v>2209</v>
      </c>
      <c r="C1347" s="32">
        <v>45705</v>
      </c>
      <c r="D1347" s="38">
        <v>114.98</v>
      </c>
      <c r="E1347" s="38">
        <v>115.32</v>
      </c>
      <c r="F1347" s="38">
        <v>115.19</v>
      </c>
      <c r="G1347" s="38">
        <v>115.61</v>
      </c>
      <c r="H1347" s="38">
        <v>114.05</v>
      </c>
      <c r="I1347" s="38">
        <v>114.4</v>
      </c>
      <c r="J1347" s="38">
        <v>116.29</v>
      </c>
      <c r="K1347" s="38">
        <v>114.14</v>
      </c>
      <c r="L1347" s="38">
        <v>117.09</v>
      </c>
      <c r="M1347" s="38">
        <v>118.3</v>
      </c>
      <c r="N1347" s="38">
        <v>116.86</v>
      </c>
      <c r="O1347" s="38">
        <v>115.59</v>
      </c>
      <c r="P1347" s="38">
        <v>111.58</v>
      </c>
      <c r="Q1347" s="38">
        <v>95.7</v>
      </c>
      <c r="R1347" s="38">
        <v>88.75</v>
      </c>
      <c r="S1347" s="38">
        <v>87.15</v>
      </c>
      <c r="T1347" s="38">
        <v>87.06</v>
      </c>
      <c r="U1347" s="38">
        <v>87.46</v>
      </c>
      <c r="V1347" s="38">
        <v>87.64</v>
      </c>
      <c r="W1347" s="38">
        <v>89.55</v>
      </c>
      <c r="X1347" s="38">
        <v>91.46</v>
      </c>
      <c r="Y1347" s="38">
        <v>92.58</v>
      </c>
      <c r="Z1347" s="38">
        <v>96.33</v>
      </c>
      <c r="AA1347" s="38">
        <v>96.15</v>
      </c>
      <c r="AB1347" s="38">
        <v>88.77</v>
      </c>
      <c r="AC1347" s="38">
        <v>78.64</v>
      </c>
      <c r="AD1347" s="38">
        <v>73.69</v>
      </c>
      <c r="AE1347" s="38">
        <v>72.319999999999993</v>
      </c>
      <c r="AF1347" s="38">
        <v>73.11</v>
      </c>
      <c r="AG1347" s="38">
        <v>73.39</v>
      </c>
      <c r="AH1347" s="38">
        <v>73.94</v>
      </c>
      <c r="AI1347" s="38">
        <v>78</v>
      </c>
      <c r="AJ1347" s="38">
        <v>80.45</v>
      </c>
      <c r="AK1347" s="38">
        <v>82.67</v>
      </c>
      <c r="AL1347" s="38">
        <v>84.02</v>
      </c>
      <c r="AM1347" s="38">
        <v>83.89</v>
      </c>
      <c r="AN1347" s="38">
        <v>78.81</v>
      </c>
      <c r="AO1347" s="38">
        <v>71.12</v>
      </c>
      <c r="AP1347" s="38">
        <v>65.91</v>
      </c>
      <c r="AQ1347" s="38">
        <v>64.040000000000006</v>
      </c>
      <c r="AR1347" s="38">
        <v>63.91</v>
      </c>
      <c r="AS1347" s="38">
        <v>63.88</v>
      </c>
      <c r="AT1347" s="38">
        <v>66.56</v>
      </c>
      <c r="AU1347" s="38">
        <v>70.42</v>
      </c>
      <c r="AV1347" s="38">
        <v>72.53</v>
      </c>
      <c r="AW1347" s="38">
        <v>73.56</v>
      </c>
      <c r="AX1347" s="38">
        <v>73.540000000000006</v>
      </c>
      <c r="AY1347" s="38">
        <v>72.31</v>
      </c>
      <c r="BA1347" s="37">
        <v>76.34</v>
      </c>
      <c r="BB1347" s="38">
        <v>1.2589999999999999</v>
      </c>
    </row>
    <row r="1348" spans="1:54" x14ac:dyDescent="0.35">
      <c r="A1348" s="2">
        <f t="shared" si="20"/>
        <v>45708</v>
      </c>
      <c r="B1348" t="s">
        <v>2210</v>
      </c>
      <c r="C1348" s="32">
        <v>45706</v>
      </c>
      <c r="D1348" s="38">
        <v>113.55</v>
      </c>
      <c r="E1348" s="38">
        <v>113.65</v>
      </c>
      <c r="F1348" s="38">
        <v>113.54</v>
      </c>
      <c r="G1348" s="38">
        <v>113.9</v>
      </c>
      <c r="H1348" s="38">
        <v>112.66</v>
      </c>
      <c r="I1348" s="38">
        <v>113.2</v>
      </c>
      <c r="J1348" s="38">
        <v>114.9</v>
      </c>
      <c r="K1348" s="38">
        <v>112.76</v>
      </c>
      <c r="L1348" s="38">
        <v>115.71</v>
      </c>
      <c r="M1348" s="38">
        <v>116.99</v>
      </c>
      <c r="N1348" s="38">
        <v>115.62</v>
      </c>
      <c r="O1348" s="38">
        <v>114.31</v>
      </c>
      <c r="P1348" s="38">
        <v>110.53</v>
      </c>
      <c r="Q1348" s="38">
        <v>95.64</v>
      </c>
      <c r="R1348" s="38">
        <v>89.23</v>
      </c>
      <c r="S1348" s="38">
        <v>87.58</v>
      </c>
      <c r="T1348" s="38">
        <v>87.07</v>
      </c>
      <c r="U1348" s="38">
        <v>87.47</v>
      </c>
      <c r="V1348" s="38">
        <v>87.65</v>
      </c>
      <c r="W1348" s="38">
        <v>89.81</v>
      </c>
      <c r="X1348" s="38">
        <v>91.72</v>
      </c>
      <c r="Y1348" s="38">
        <v>92.84</v>
      </c>
      <c r="Z1348" s="38">
        <v>96.59</v>
      </c>
      <c r="AA1348" s="38">
        <v>96.41</v>
      </c>
      <c r="AB1348" s="38">
        <v>89.03</v>
      </c>
      <c r="AC1348" s="38">
        <v>79.17</v>
      </c>
      <c r="AD1348" s="38">
        <v>74.22</v>
      </c>
      <c r="AE1348" s="38">
        <v>72.849999999999994</v>
      </c>
      <c r="AF1348" s="38">
        <v>73.64</v>
      </c>
      <c r="AG1348" s="38">
        <v>73.92</v>
      </c>
      <c r="AH1348" s="38">
        <v>74.47</v>
      </c>
      <c r="AI1348" s="38">
        <v>78.64</v>
      </c>
      <c r="AJ1348" s="38">
        <v>81.09</v>
      </c>
      <c r="AK1348" s="38">
        <v>83.31</v>
      </c>
      <c r="AL1348" s="38">
        <v>84.66</v>
      </c>
      <c r="AM1348" s="38">
        <v>84.53</v>
      </c>
      <c r="AN1348" s="38">
        <v>79.45</v>
      </c>
      <c r="AO1348" s="38">
        <v>71.760000000000005</v>
      </c>
      <c r="AP1348" s="38">
        <v>66.55</v>
      </c>
      <c r="AQ1348" s="38">
        <v>64.680000000000007</v>
      </c>
      <c r="AR1348" s="38">
        <v>64.55</v>
      </c>
      <c r="AS1348" s="38">
        <v>64.52</v>
      </c>
      <c r="AT1348" s="38">
        <v>67.2</v>
      </c>
      <c r="AU1348" s="38">
        <v>71.06</v>
      </c>
      <c r="AV1348" s="38">
        <v>73.17</v>
      </c>
      <c r="AW1348" s="38">
        <v>74.2</v>
      </c>
      <c r="AX1348" s="38">
        <v>74.180000000000007</v>
      </c>
      <c r="AY1348" s="38">
        <v>72.95</v>
      </c>
      <c r="BA1348" s="37">
        <v>76.95</v>
      </c>
      <c r="BB1348" s="38">
        <v>1.2641</v>
      </c>
    </row>
    <row r="1349" spans="1:54" x14ac:dyDescent="0.35">
      <c r="A1349" s="2">
        <f t="shared" si="20"/>
        <v>45709</v>
      </c>
      <c r="B1349" t="s">
        <v>2211</v>
      </c>
      <c r="C1349" s="32">
        <v>45707</v>
      </c>
      <c r="D1349" s="38">
        <v>112.33</v>
      </c>
      <c r="E1349" s="38">
        <v>112.54</v>
      </c>
      <c r="F1349" s="38">
        <v>112.6</v>
      </c>
      <c r="G1349" s="38">
        <v>113.11</v>
      </c>
      <c r="H1349" s="38">
        <v>111.83</v>
      </c>
      <c r="I1349" s="38">
        <v>112.33</v>
      </c>
      <c r="J1349" s="38">
        <v>114.11</v>
      </c>
      <c r="K1349" s="38">
        <v>112.64</v>
      </c>
      <c r="L1349" s="38">
        <v>115.81</v>
      </c>
      <c r="M1349" s="38">
        <v>117.13</v>
      </c>
      <c r="N1349" s="38">
        <v>116.53</v>
      </c>
      <c r="O1349" s="38">
        <v>114.7</v>
      </c>
      <c r="P1349" s="38">
        <v>110.87</v>
      </c>
      <c r="Q1349" s="38">
        <v>95.75</v>
      </c>
      <c r="R1349" s="38">
        <v>89.27</v>
      </c>
      <c r="S1349" s="38">
        <v>87.6</v>
      </c>
      <c r="T1349" s="38">
        <v>86.86</v>
      </c>
      <c r="U1349" s="38">
        <v>87.26</v>
      </c>
      <c r="V1349" s="38">
        <v>87.46</v>
      </c>
      <c r="W1349" s="38">
        <v>89.77</v>
      </c>
      <c r="X1349" s="38">
        <v>91.72</v>
      </c>
      <c r="Y1349" s="38">
        <v>92.95</v>
      </c>
      <c r="Z1349" s="38">
        <v>96.58</v>
      </c>
      <c r="AA1349" s="38">
        <v>96.58</v>
      </c>
      <c r="AB1349" s="38">
        <v>89.2</v>
      </c>
      <c r="AC1349" s="38">
        <v>79.23</v>
      </c>
      <c r="AD1349" s="38">
        <v>74.28</v>
      </c>
      <c r="AE1349" s="38">
        <v>72.91</v>
      </c>
      <c r="AF1349" s="38">
        <v>73.69</v>
      </c>
      <c r="AG1349" s="38">
        <v>73.97</v>
      </c>
      <c r="AH1349" s="38">
        <v>74.52</v>
      </c>
      <c r="AI1349" s="38">
        <v>78.83</v>
      </c>
      <c r="AJ1349" s="38">
        <v>81.28</v>
      </c>
      <c r="AK1349" s="38">
        <v>83.5</v>
      </c>
      <c r="AL1349" s="38">
        <v>84.87</v>
      </c>
      <c r="AM1349" s="38">
        <v>84.75</v>
      </c>
      <c r="AN1349" s="38">
        <v>79.67</v>
      </c>
      <c r="AO1349" s="38">
        <v>71.650000000000006</v>
      </c>
      <c r="AP1349" s="38">
        <v>66.44</v>
      </c>
      <c r="AQ1349" s="38">
        <v>64.569999999999993</v>
      </c>
      <c r="AR1349" s="38">
        <v>64.44</v>
      </c>
      <c r="AS1349" s="38">
        <v>64.400000000000006</v>
      </c>
      <c r="AT1349" s="38">
        <v>67.08</v>
      </c>
      <c r="AU1349" s="38">
        <v>71.28</v>
      </c>
      <c r="AV1349" s="38">
        <v>73.38</v>
      </c>
      <c r="AW1349" s="38">
        <v>74.41</v>
      </c>
      <c r="AX1349" s="38">
        <v>74.52</v>
      </c>
      <c r="AY1349" s="38">
        <v>73.290000000000006</v>
      </c>
      <c r="BA1349" s="37">
        <v>74.88</v>
      </c>
      <c r="BB1349" s="38">
        <v>1.2638</v>
      </c>
    </row>
    <row r="1350" spans="1:54" x14ac:dyDescent="0.35">
      <c r="A1350" s="2">
        <f t="shared" si="20"/>
        <v>45712</v>
      </c>
      <c r="B1350" t="s">
        <v>2240</v>
      </c>
      <c r="C1350" s="32">
        <v>45708</v>
      </c>
      <c r="D1350" s="38">
        <v>112.83</v>
      </c>
      <c r="E1350" s="38">
        <v>112.74</v>
      </c>
      <c r="F1350" s="38">
        <v>112.76</v>
      </c>
      <c r="G1350" s="38">
        <v>113.15</v>
      </c>
      <c r="H1350" s="38">
        <v>112.07</v>
      </c>
      <c r="I1350" s="38">
        <v>112.67</v>
      </c>
      <c r="J1350" s="38">
        <v>114.25</v>
      </c>
      <c r="K1350" s="38">
        <v>112.19</v>
      </c>
      <c r="L1350" s="38">
        <v>115.35</v>
      </c>
      <c r="M1350" s="38">
        <v>116.67</v>
      </c>
      <c r="N1350" s="38">
        <v>116.07</v>
      </c>
      <c r="O1350" s="38">
        <v>114.24</v>
      </c>
      <c r="P1350" s="38">
        <v>110.41</v>
      </c>
      <c r="Q1350" s="38">
        <v>95.55</v>
      </c>
      <c r="R1350" s="38">
        <v>89.07</v>
      </c>
      <c r="S1350" s="38">
        <v>86.91</v>
      </c>
      <c r="T1350" s="38">
        <v>86.17</v>
      </c>
      <c r="U1350" s="38">
        <v>86.57</v>
      </c>
      <c r="V1350" s="38">
        <v>86.88</v>
      </c>
      <c r="W1350" s="38">
        <v>89.19</v>
      </c>
      <c r="X1350" s="38">
        <v>91.14</v>
      </c>
      <c r="Y1350" s="38">
        <v>92.37</v>
      </c>
      <c r="Z1350" s="38">
        <v>95.74</v>
      </c>
      <c r="AA1350" s="38">
        <v>95.74</v>
      </c>
      <c r="AB1350" s="38">
        <v>88.36</v>
      </c>
      <c r="AC1350" s="38">
        <v>78.39</v>
      </c>
      <c r="AD1350" s="38">
        <v>73.540000000000006</v>
      </c>
      <c r="AE1350" s="38">
        <v>72.17</v>
      </c>
      <c r="AF1350" s="38">
        <v>72.95</v>
      </c>
      <c r="AG1350" s="38">
        <v>73.23</v>
      </c>
      <c r="AH1350" s="38">
        <v>74.069999999999993</v>
      </c>
      <c r="AI1350" s="38">
        <v>78.400000000000006</v>
      </c>
      <c r="AJ1350" s="38">
        <v>80.849999999999994</v>
      </c>
      <c r="AK1350" s="38">
        <v>83.07</v>
      </c>
      <c r="AL1350" s="38">
        <v>84.44</v>
      </c>
      <c r="AM1350" s="38">
        <v>84.32</v>
      </c>
      <c r="AN1350" s="38">
        <v>80.17</v>
      </c>
      <c r="AO1350" s="38">
        <v>72.92</v>
      </c>
      <c r="AP1350" s="38">
        <v>68.52</v>
      </c>
      <c r="AQ1350" s="38">
        <v>66.650000000000006</v>
      </c>
      <c r="AR1350" s="38">
        <v>66.52</v>
      </c>
      <c r="AS1350" s="38">
        <v>66.48</v>
      </c>
      <c r="AT1350" s="38">
        <v>68.849999999999994</v>
      </c>
      <c r="AU1350" s="38">
        <v>72.760000000000005</v>
      </c>
      <c r="AV1350" s="38">
        <v>74.44</v>
      </c>
      <c r="AW1350" s="38">
        <v>75.47</v>
      </c>
      <c r="AX1350" s="38">
        <v>75.58</v>
      </c>
      <c r="AY1350" s="38">
        <v>74.349999999999994</v>
      </c>
      <c r="BA1350" s="37">
        <v>74.89</v>
      </c>
      <c r="BB1350" s="38">
        <v>1.2621</v>
      </c>
    </row>
    <row r="1351" spans="1:54" x14ac:dyDescent="0.35">
      <c r="A1351" s="2">
        <f t="shared" si="20"/>
        <v>45713</v>
      </c>
      <c r="B1351" t="s">
        <v>2241</v>
      </c>
      <c r="C1351" s="32">
        <v>45709</v>
      </c>
      <c r="D1351" s="38">
        <v>105.98</v>
      </c>
      <c r="E1351" s="38">
        <v>105.86</v>
      </c>
      <c r="F1351" s="38">
        <v>105.95</v>
      </c>
      <c r="G1351" s="38">
        <v>106.33</v>
      </c>
      <c r="H1351" s="38">
        <v>105.15</v>
      </c>
      <c r="I1351" s="38">
        <v>105.85</v>
      </c>
      <c r="J1351" s="38">
        <v>107.69</v>
      </c>
      <c r="K1351" s="38">
        <v>106.49</v>
      </c>
      <c r="L1351" s="38">
        <v>109.94</v>
      </c>
      <c r="M1351" s="38">
        <v>111.49</v>
      </c>
      <c r="N1351" s="38">
        <v>110.9</v>
      </c>
      <c r="O1351" s="38">
        <v>109.03</v>
      </c>
      <c r="P1351" s="38">
        <v>105.03</v>
      </c>
      <c r="Q1351" s="38">
        <v>90.56</v>
      </c>
      <c r="R1351" s="38">
        <v>84.47</v>
      </c>
      <c r="S1351" s="38">
        <v>82.16</v>
      </c>
      <c r="T1351" s="38">
        <v>81.42</v>
      </c>
      <c r="U1351" s="38">
        <v>81.819999999999993</v>
      </c>
      <c r="V1351" s="38">
        <v>82.12</v>
      </c>
      <c r="W1351" s="38">
        <v>84.92</v>
      </c>
      <c r="X1351" s="38">
        <v>87.46</v>
      </c>
      <c r="Y1351" s="38">
        <v>88.69</v>
      </c>
      <c r="Z1351" s="38">
        <v>92.06</v>
      </c>
      <c r="AA1351" s="38">
        <v>92.06</v>
      </c>
      <c r="AB1351" s="38">
        <v>84.68</v>
      </c>
      <c r="AC1351" s="38">
        <v>75.06</v>
      </c>
      <c r="AD1351" s="38">
        <v>70.56</v>
      </c>
      <c r="AE1351" s="38">
        <v>69.19</v>
      </c>
      <c r="AF1351" s="38">
        <v>69.97</v>
      </c>
      <c r="AG1351" s="38">
        <v>70.25</v>
      </c>
      <c r="AH1351" s="38">
        <v>71.09</v>
      </c>
      <c r="AI1351" s="38">
        <v>75.42</v>
      </c>
      <c r="AJ1351" s="38">
        <v>77.87</v>
      </c>
      <c r="AK1351" s="38">
        <v>80.09</v>
      </c>
      <c r="AL1351" s="38">
        <v>81.459999999999994</v>
      </c>
      <c r="AM1351" s="38">
        <v>81.34</v>
      </c>
      <c r="AN1351" s="38">
        <v>77.19</v>
      </c>
      <c r="AO1351" s="38">
        <v>71.849999999999994</v>
      </c>
      <c r="AP1351" s="38">
        <v>67.87</v>
      </c>
      <c r="AQ1351" s="38">
        <v>66</v>
      </c>
      <c r="AR1351" s="38">
        <v>65.87</v>
      </c>
      <c r="AS1351" s="38">
        <v>65.83</v>
      </c>
      <c r="AT1351" s="38">
        <v>68.209999999999994</v>
      </c>
      <c r="AU1351" s="38">
        <v>72.25</v>
      </c>
      <c r="AV1351" s="38">
        <v>73.930000000000007</v>
      </c>
      <c r="AW1351" s="38">
        <v>74.959999999999994</v>
      </c>
      <c r="AX1351" s="38">
        <v>75.069999999999993</v>
      </c>
      <c r="AY1351" s="38">
        <v>73.84</v>
      </c>
      <c r="BA1351" s="37">
        <v>73.11</v>
      </c>
      <c r="BB1351" s="38">
        <v>1.2655000000000001</v>
      </c>
    </row>
    <row r="1352" spans="1:54" x14ac:dyDescent="0.35">
      <c r="A1352" s="2">
        <f t="shared" si="20"/>
        <v>45714</v>
      </c>
      <c r="B1352" t="s">
        <v>2249</v>
      </c>
      <c r="C1352" s="32">
        <v>45710</v>
      </c>
      <c r="D1352" s="38">
        <v>98.78</v>
      </c>
      <c r="E1352" s="38">
        <v>98.81</v>
      </c>
      <c r="F1352" s="38">
        <v>98.93</v>
      </c>
      <c r="G1352" s="38">
        <v>99.35</v>
      </c>
      <c r="H1352" s="38">
        <v>98.26</v>
      </c>
      <c r="I1352" s="38">
        <v>98.78</v>
      </c>
      <c r="J1352" s="38">
        <v>100.77</v>
      </c>
      <c r="K1352" s="38">
        <v>100.67</v>
      </c>
      <c r="L1352" s="38">
        <v>104.98</v>
      </c>
      <c r="M1352" s="38">
        <v>106.43</v>
      </c>
      <c r="N1352" s="38">
        <v>106.31</v>
      </c>
      <c r="O1352" s="38">
        <v>105.49</v>
      </c>
      <c r="P1352" s="38">
        <v>101.54</v>
      </c>
      <c r="Q1352" s="38">
        <v>87.36</v>
      </c>
      <c r="R1352" s="38">
        <v>81.64</v>
      </c>
      <c r="S1352" s="38">
        <v>79.33</v>
      </c>
      <c r="T1352" s="38">
        <v>79.17</v>
      </c>
      <c r="U1352" s="38">
        <v>79.61</v>
      </c>
      <c r="V1352" s="38">
        <v>79.91</v>
      </c>
      <c r="W1352" s="38">
        <v>83.87</v>
      </c>
      <c r="X1352" s="38">
        <v>86.41</v>
      </c>
      <c r="Y1352" s="38">
        <v>87.64</v>
      </c>
      <c r="Z1352" s="38">
        <v>91.01</v>
      </c>
      <c r="AA1352" s="38">
        <v>91.01</v>
      </c>
      <c r="AB1352" s="38">
        <v>83.63</v>
      </c>
      <c r="AC1352" s="38">
        <v>74.66</v>
      </c>
      <c r="AD1352" s="38">
        <v>70.38</v>
      </c>
      <c r="AE1352" s="38">
        <v>69.010000000000005</v>
      </c>
      <c r="AF1352" s="38">
        <v>69.790000000000006</v>
      </c>
      <c r="AG1352" s="38">
        <v>70.069999999999993</v>
      </c>
      <c r="AH1352" s="38">
        <v>70.91</v>
      </c>
      <c r="AI1352" s="38">
        <v>75.08</v>
      </c>
      <c r="AJ1352" s="38">
        <v>77.53</v>
      </c>
      <c r="AK1352" s="38">
        <v>79.75</v>
      </c>
      <c r="AL1352" s="38">
        <v>81.12</v>
      </c>
      <c r="AM1352" s="38">
        <v>81</v>
      </c>
      <c r="AN1352" s="38">
        <v>76.849999999999994</v>
      </c>
      <c r="AO1352" s="38">
        <v>71.510000000000005</v>
      </c>
      <c r="AP1352" s="38">
        <v>67.53</v>
      </c>
      <c r="AQ1352" s="38">
        <v>65.66</v>
      </c>
      <c r="AR1352" s="38">
        <v>65.53</v>
      </c>
      <c r="AS1352" s="38">
        <v>65.489999999999995</v>
      </c>
      <c r="AT1352" s="38">
        <v>67.87</v>
      </c>
      <c r="AU1352" s="38">
        <v>72</v>
      </c>
      <c r="AV1352" s="38">
        <v>73.680000000000007</v>
      </c>
      <c r="AW1352" s="38">
        <v>74.709999999999994</v>
      </c>
      <c r="AX1352" s="38">
        <v>74.819999999999993</v>
      </c>
      <c r="AY1352" s="38">
        <v>73.59</v>
      </c>
      <c r="BA1352" s="37">
        <v>73.489999999999995</v>
      </c>
      <c r="BB1352" s="38">
        <v>1.2695000000000001</v>
      </c>
    </row>
    <row r="1353" spans="1:54" x14ac:dyDescent="0.35">
      <c r="A1353" s="2">
        <f t="shared" si="20"/>
        <v>45715</v>
      </c>
      <c r="B1353" t="s">
        <v>2250</v>
      </c>
      <c r="C1353" s="32">
        <v>45711</v>
      </c>
      <c r="D1353" s="38">
        <v>106.79</v>
      </c>
      <c r="E1353" s="38">
        <v>107.12</v>
      </c>
      <c r="F1353" s="38">
        <v>107.3</v>
      </c>
      <c r="G1353" s="38">
        <v>107.6</v>
      </c>
      <c r="H1353" s="38">
        <v>106.56</v>
      </c>
      <c r="I1353" s="38">
        <v>107</v>
      </c>
      <c r="J1353" s="38">
        <v>108.96</v>
      </c>
      <c r="K1353" s="38">
        <v>108.02</v>
      </c>
      <c r="L1353" s="38">
        <v>111.58</v>
      </c>
      <c r="M1353" s="38">
        <v>113.03</v>
      </c>
      <c r="N1353" s="38">
        <v>112.07</v>
      </c>
      <c r="O1353" s="38">
        <v>111.25</v>
      </c>
      <c r="P1353" s="38">
        <v>106.94</v>
      </c>
      <c r="Q1353" s="38">
        <v>91.54</v>
      </c>
      <c r="R1353" s="38">
        <v>85.82</v>
      </c>
      <c r="S1353" s="38">
        <v>83.51</v>
      </c>
      <c r="T1353" s="38">
        <v>83.04</v>
      </c>
      <c r="U1353" s="38">
        <v>83.48</v>
      </c>
      <c r="V1353" s="38">
        <v>83.78</v>
      </c>
      <c r="W1353" s="38">
        <v>86.96</v>
      </c>
      <c r="X1353" s="38">
        <v>89.5</v>
      </c>
      <c r="Y1353" s="38">
        <v>90.73</v>
      </c>
      <c r="Z1353" s="38">
        <v>94.1</v>
      </c>
      <c r="AA1353" s="38">
        <v>94.1</v>
      </c>
      <c r="AB1353" s="38">
        <v>86.72</v>
      </c>
      <c r="AC1353" s="38">
        <v>77.52</v>
      </c>
      <c r="AD1353" s="38">
        <v>73.239999999999995</v>
      </c>
      <c r="AE1353" s="38">
        <v>71.87</v>
      </c>
      <c r="AF1353" s="38">
        <v>72.650000000000006</v>
      </c>
      <c r="AG1353" s="38">
        <v>72.930000000000007</v>
      </c>
      <c r="AH1353" s="38">
        <v>73.77</v>
      </c>
      <c r="AI1353" s="38">
        <v>76.5</v>
      </c>
      <c r="AJ1353" s="38">
        <v>78.95</v>
      </c>
      <c r="AK1353" s="38">
        <v>81.17</v>
      </c>
      <c r="AL1353" s="38">
        <v>82.54</v>
      </c>
      <c r="AM1353" s="38">
        <v>82.42</v>
      </c>
      <c r="AN1353" s="38">
        <v>78.27</v>
      </c>
      <c r="AO1353" s="38">
        <v>72.930000000000007</v>
      </c>
      <c r="AP1353" s="38">
        <v>68.95</v>
      </c>
      <c r="AQ1353" s="38">
        <v>67.08</v>
      </c>
      <c r="AR1353" s="38">
        <v>66.95</v>
      </c>
      <c r="AS1353" s="38">
        <v>66.91</v>
      </c>
      <c r="AT1353" s="38">
        <v>69.290000000000006</v>
      </c>
      <c r="AU1353" s="38">
        <v>73.42</v>
      </c>
      <c r="AV1353" s="38">
        <v>75.099999999999994</v>
      </c>
      <c r="AW1353" s="38">
        <v>76.13</v>
      </c>
      <c r="AX1353" s="38">
        <v>76.239999999999995</v>
      </c>
      <c r="AY1353" s="38">
        <v>75.010000000000005</v>
      </c>
      <c r="BA1353" s="37">
        <v>75.010000000000005</v>
      </c>
      <c r="BB1353" s="38">
        <v>1.2627999999999999</v>
      </c>
    </row>
    <row r="1354" spans="1:54" x14ac:dyDescent="0.35">
      <c r="A1354" s="2">
        <f t="shared" si="20"/>
        <v>45716</v>
      </c>
      <c r="B1354" t="s">
        <v>2251</v>
      </c>
      <c r="C1354" s="32">
        <v>45712</v>
      </c>
      <c r="D1354" s="38">
        <v>104.83</v>
      </c>
      <c r="E1354" s="38">
        <v>104.86</v>
      </c>
      <c r="F1354" s="38">
        <v>105.32</v>
      </c>
      <c r="G1354" s="38">
        <v>104.32</v>
      </c>
      <c r="H1354" s="38">
        <v>104.81</v>
      </c>
      <c r="I1354" s="38">
        <v>106.82</v>
      </c>
      <c r="J1354" s="38">
        <v>106.42</v>
      </c>
      <c r="K1354" s="38">
        <v>109.96</v>
      </c>
      <c r="L1354" s="38">
        <v>111.41</v>
      </c>
      <c r="M1354" s="38">
        <v>110.45</v>
      </c>
      <c r="N1354" s="38">
        <v>109.63</v>
      </c>
      <c r="O1354" s="38">
        <v>105.33</v>
      </c>
      <c r="P1354" s="38">
        <v>91.24</v>
      </c>
      <c r="Q1354" s="38">
        <v>85.31</v>
      </c>
      <c r="R1354" s="38">
        <v>83</v>
      </c>
      <c r="S1354" s="38">
        <v>82.57</v>
      </c>
      <c r="T1354" s="38">
        <v>83.01</v>
      </c>
      <c r="U1354" s="38">
        <v>83.31</v>
      </c>
      <c r="V1354" s="38">
        <v>86.98</v>
      </c>
      <c r="W1354" s="38">
        <v>89.38</v>
      </c>
      <c r="X1354" s="38">
        <v>90.61</v>
      </c>
      <c r="Y1354" s="38">
        <v>93.98</v>
      </c>
      <c r="Z1354" s="38">
        <v>93.98</v>
      </c>
      <c r="AA1354" s="38">
        <v>86.6</v>
      </c>
      <c r="AB1354" s="38">
        <v>76.98</v>
      </c>
      <c r="AC1354" s="38">
        <v>72.87</v>
      </c>
      <c r="AD1354" s="38">
        <v>71.5</v>
      </c>
      <c r="AE1354" s="38">
        <v>72.28</v>
      </c>
      <c r="AF1354" s="38">
        <v>72.56</v>
      </c>
      <c r="AG1354" s="38">
        <v>73.400000000000006</v>
      </c>
      <c r="AH1354" s="38">
        <v>76.739999999999995</v>
      </c>
      <c r="AI1354" s="38">
        <v>79.19</v>
      </c>
      <c r="AJ1354" s="38">
        <v>81.41</v>
      </c>
      <c r="AK1354" s="38">
        <v>82.78</v>
      </c>
      <c r="AL1354" s="38">
        <v>82.66</v>
      </c>
      <c r="AM1354" s="38">
        <v>78.510000000000005</v>
      </c>
      <c r="AN1354" s="38">
        <v>73.17</v>
      </c>
      <c r="AO1354" s="38">
        <v>69.19</v>
      </c>
      <c r="AP1354" s="38">
        <v>67.319999999999993</v>
      </c>
      <c r="AQ1354" s="38">
        <v>67.19</v>
      </c>
      <c r="AR1354" s="38">
        <v>67.150000000000006</v>
      </c>
      <c r="AS1354" s="38">
        <v>69.53</v>
      </c>
      <c r="AT1354" s="38">
        <v>73.66</v>
      </c>
      <c r="AU1354" s="38">
        <v>75.34</v>
      </c>
      <c r="AV1354" s="38">
        <v>76.37</v>
      </c>
      <c r="AW1354" s="38">
        <v>76.48</v>
      </c>
      <c r="AX1354" s="38">
        <v>75.25</v>
      </c>
      <c r="AY1354" s="38">
        <v>74.27</v>
      </c>
      <c r="BA1354" s="37">
        <v>74.760000000000005</v>
      </c>
      <c r="BB1354" s="38">
        <v>1.2592000000000001</v>
      </c>
    </row>
    <row r="1355" spans="1:54" x14ac:dyDescent="0.35">
      <c r="A1355" s="2">
        <f t="shared" si="20"/>
        <v>45719</v>
      </c>
      <c r="B1355" t="s">
        <v>2252</v>
      </c>
      <c r="C1355" s="32">
        <v>45713</v>
      </c>
      <c r="D1355" s="38">
        <v>107.16</v>
      </c>
      <c r="E1355" s="38">
        <v>106.95</v>
      </c>
      <c r="F1355" s="38">
        <v>107.4</v>
      </c>
      <c r="G1355" s="38">
        <v>106.51</v>
      </c>
      <c r="H1355" s="38">
        <v>106.97</v>
      </c>
      <c r="I1355" s="38">
        <v>108.92</v>
      </c>
      <c r="J1355" s="38">
        <v>107.86</v>
      </c>
      <c r="K1355" s="38">
        <v>111.68</v>
      </c>
      <c r="L1355" s="38">
        <v>113.13</v>
      </c>
      <c r="M1355" s="38">
        <v>112.19</v>
      </c>
      <c r="N1355" s="38">
        <v>111.35</v>
      </c>
      <c r="O1355" s="38">
        <v>106.92</v>
      </c>
      <c r="P1355" s="38">
        <v>92.07</v>
      </c>
      <c r="Q1355" s="38">
        <v>85.76</v>
      </c>
      <c r="R1355" s="38">
        <v>83.45</v>
      </c>
      <c r="S1355" s="38">
        <v>83.02</v>
      </c>
      <c r="T1355" s="38">
        <v>83.46</v>
      </c>
      <c r="U1355" s="38">
        <v>83.77</v>
      </c>
      <c r="V1355" s="38">
        <v>87.19</v>
      </c>
      <c r="W1355" s="38">
        <v>89.33</v>
      </c>
      <c r="X1355" s="38">
        <v>90.56</v>
      </c>
      <c r="Y1355" s="38">
        <v>93.93</v>
      </c>
      <c r="Z1355" s="38">
        <v>93.93</v>
      </c>
      <c r="AA1355" s="38">
        <v>86.55</v>
      </c>
      <c r="AB1355" s="38">
        <v>76.31</v>
      </c>
      <c r="AC1355" s="38">
        <v>72.2</v>
      </c>
      <c r="AD1355" s="38">
        <v>70.83</v>
      </c>
      <c r="AE1355" s="38">
        <v>71.61</v>
      </c>
      <c r="AF1355" s="38">
        <v>71.900000000000006</v>
      </c>
      <c r="AG1355" s="38">
        <v>72.739999999999995</v>
      </c>
      <c r="AH1355" s="38">
        <v>75.849999999999994</v>
      </c>
      <c r="AI1355" s="38">
        <v>78.3</v>
      </c>
      <c r="AJ1355" s="38">
        <v>80.52</v>
      </c>
      <c r="AK1355" s="38">
        <v>81.89</v>
      </c>
      <c r="AL1355" s="38">
        <v>81.77</v>
      </c>
      <c r="AM1355" s="38">
        <v>77.62</v>
      </c>
      <c r="AN1355" s="38">
        <v>72.28</v>
      </c>
      <c r="AO1355" s="38">
        <v>68.3</v>
      </c>
      <c r="AP1355" s="38">
        <v>66.430000000000007</v>
      </c>
      <c r="AQ1355" s="38">
        <v>66.3</v>
      </c>
      <c r="AR1355" s="38">
        <v>66.260000000000005</v>
      </c>
      <c r="AS1355" s="38">
        <v>68.64</v>
      </c>
      <c r="AT1355" s="38">
        <v>73.349999999999994</v>
      </c>
      <c r="AU1355" s="38">
        <v>75.03</v>
      </c>
      <c r="AV1355" s="38">
        <v>76.06</v>
      </c>
      <c r="AW1355" s="38">
        <v>76.17</v>
      </c>
      <c r="AX1355" s="38">
        <v>74.94</v>
      </c>
      <c r="AY1355" s="38">
        <v>73.959999999999994</v>
      </c>
      <c r="BA1355" s="37">
        <v>72.849999999999994</v>
      </c>
      <c r="BB1355" s="38">
        <v>1.2699</v>
      </c>
    </row>
    <row r="1356" spans="1:54" x14ac:dyDescent="0.35">
      <c r="A1356" s="2">
        <f t="shared" si="20"/>
        <v>45720</v>
      </c>
      <c r="B1356" t="s">
        <v>2267</v>
      </c>
      <c r="C1356" s="32">
        <v>45714</v>
      </c>
      <c r="D1356" s="38">
        <v>103.57</v>
      </c>
      <c r="E1356" s="38">
        <v>103.3</v>
      </c>
      <c r="F1356" s="38">
        <v>103.7</v>
      </c>
      <c r="G1356" s="38">
        <v>102.85</v>
      </c>
      <c r="H1356" s="38">
        <v>103.36</v>
      </c>
      <c r="I1356" s="38">
        <v>105.49</v>
      </c>
      <c r="J1356" s="38">
        <v>104.51</v>
      </c>
      <c r="K1356" s="38">
        <v>108.01</v>
      </c>
      <c r="L1356" s="38">
        <v>108.71</v>
      </c>
      <c r="M1356" s="38">
        <v>107.96</v>
      </c>
      <c r="N1356" s="38">
        <v>107.23</v>
      </c>
      <c r="O1356" s="38">
        <v>102.8</v>
      </c>
      <c r="P1356" s="38">
        <v>88.08</v>
      </c>
      <c r="Q1356" s="38">
        <v>81.78</v>
      </c>
      <c r="R1356" s="38">
        <v>79.47</v>
      </c>
      <c r="S1356" s="38">
        <v>79.040000000000006</v>
      </c>
      <c r="T1356" s="38">
        <v>79.48</v>
      </c>
      <c r="U1356" s="38">
        <v>79.790000000000006</v>
      </c>
      <c r="V1356" s="38">
        <v>83.43</v>
      </c>
      <c r="W1356" s="38">
        <v>85.57</v>
      </c>
      <c r="X1356" s="38">
        <v>86.8</v>
      </c>
      <c r="Y1356" s="38">
        <v>90.17</v>
      </c>
      <c r="Z1356" s="38">
        <v>90.17</v>
      </c>
      <c r="AA1356" s="38">
        <v>82.79</v>
      </c>
      <c r="AB1356" s="38">
        <v>73.31</v>
      </c>
      <c r="AC1356" s="38">
        <v>69.41</v>
      </c>
      <c r="AD1356" s="38">
        <v>68.040000000000006</v>
      </c>
      <c r="AE1356" s="38">
        <v>68.819999999999993</v>
      </c>
      <c r="AF1356" s="38">
        <v>69.11</v>
      </c>
      <c r="AG1356" s="38">
        <v>69.95</v>
      </c>
      <c r="AH1356" s="38">
        <v>73.489999999999995</v>
      </c>
      <c r="AI1356" s="38">
        <v>75.94</v>
      </c>
      <c r="AJ1356" s="38">
        <v>78.16</v>
      </c>
      <c r="AK1356" s="38">
        <v>79.53</v>
      </c>
      <c r="AL1356" s="38">
        <v>79.41</v>
      </c>
      <c r="AM1356" s="38">
        <v>75.260000000000005</v>
      </c>
      <c r="AN1356" s="38">
        <v>69.92</v>
      </c>
      <c r="AO1356" s="38">
        <v>65.94</v>
      </c>
      <c r="AP1356" s="38">
        <v>64.069999999999993</v>
      </c>
      <c r="AQ1356" s="38">
        <v>63.94</v>
      </c>
      <c r="AR1356" s="38">
        <v>63.9</v>
      </c>
      <c r="AS1356" s="38">
        <v>66.28</v>
      </c>
      <c r="AT1356" s="38">
        <v>70.989999999999995</v>
      </c>
      <c r="AU1356" s="38">
        <v>72.67</v>
      </c>
      <c r="AV1356" s="38">
        <v>73.7</v>
      </c>
      <c r="AW1356" s="38">
        <v>73.81</v>
      </c>
      <c r="AX1356" s="38">
        <v>72.58</v>
      </c>
      <c r="AY1356" s="38">
        <v>71.599999999999994</v>
      </c>
      <c r="BA1356" s="37">
        <v>72.31</v>
      </c>
      <c r="BB1356" s="38">
        <v>1.2716000000000001</v>
      </c>
    </row>
    <row r="1357" spans="1:54" x14ac:dyDescent="0.35">
      <c r="A1357" s="2">
        <f t="shared" ref="A1357:A1358" si="21">+A1352+7</f>
        <v>45721</v>
      </c>
      <c r="B1357" t="s">
        <v>2268</v>
      </c>
      <c r="C1357" s="32">
        <v>45715</v>
      </c>
      <c r="D1357" s="38">
        <v>100.1</v>
      </c>
      <c r="E1357" s="38">
        <v>99.55</v>
      </c>
      <c r="F1357" s="38">
        <v>99.97</v>
      </c>
      <c r="G1357" s="38">
        <v>99.2</v>
      </c>
      <c r="H1357" s="38">
        <v>99.7</v>
      </c>
      <c r="I1357" s="38">
        <v>101.9</v>
      </c>
      <c r="J1357" s="38">
        <v>100.88</v>
      </c>
      <c r="K1357" s="38">
        <v>104.12</v>
      </c>
      <c r="L1357" s="38">
        <v>104.58</v>
      </c>
      <c r="M1357" s="38">
        <v>103.83</v>
      </c>
      <c r="N1357" s="38">
        <v>103.1</v>
      </c>
      <c r="O1357" s="38">
        <v>98.66</v>
      </c>
      <c r="P1357" s="38">
        <v>85.9</v>
      </c>
      <c r="Q1357" s="38">
        <v>79.599999999999994</v>
      </c>
      <c r="R1357" s="38">
        <v>77.290000000000006</v>
      </c>
      <c r="S1357" s="38">
        <v>76.86</v>
      </c>
      <c r="T1357" s="38">
        <v>77.3</v>
      </c>
      <c r="U1357" s="38">
        <v>77.61</v>
      </c>
      <c r="V1357" s="38">
        <v>81.45</v>
      </c>
      <c r="W1357" s="38">
        <v>83.59</v>
      </c>
      <c r="X1357" s="38">
        <v>84.82</v>
      </c>
      <c r="Y1357" s="38">
        <v>88.19</v>
      </c>
      <c r="Z1357" s="38">
        <v>88.19</v>
      </c>
      <c r="AA1357" s="38">
        <v>80.81</v>
      </c>
      <c r="AB1357" s="38">
        <v>72.39</v>
      </c>
      <c r="AC1357" s="38">
        <v>68.59</v>
      </c>
      <c r="AD1357" s="38">
        <v>67.22</v>
      </c>
      <c r="AE1357" s="38">
        <v>68</v>
      </c>
      <c r="AF1357" s="38">
        <v>68.290000000000006</v>
      </c>
      <c r="AG1357" s="38">
        <v>69.13</v>
      </c>
      <c r="AH1357" s="38">
        <v>73.540000000000006</v>
      </c>
      <c r="AI1357" s="38">
        <v>75.989999999999995</v>
      </c>
      <c r="AJ1357" s="38">
        <v>78.209999999999994</v>
      </c>
      <c r="AK1357" s="38">
        <v>79.58</v>
      </c>
      <c r="AL1357" s="38">
        <v>79.459999999999994</v>
      </c>
      <c r="AM1357" s="38">
        <v>75.31</v>
      </c>
      <c r="AN1357" s="38">
        <v>70.14</v>
      </c>
      <c r="AO1357" s="38">
        <v>66.16</v>
      </c>
      <c r="AP1357" s="38">
        <v>64.290000000000006</v>
      </c>
      <c r="AQ1357" s="38">
        <v>64.16</v>
      </c>
      <c r="AR1357" s="38">
        <v>64.12</v>
      </c>
      <c r="AS1357" s="38">
        <v>66.5</v>
      </c>
      <c r="AT1357" s="38">
        <v>71.22</v>
      </c>
      <c r="AU1357" s="38">
        <v>72.900000000000006</v>
      </c>
      <c r="AV1357" s="38">
        <v>73.930000000000007</v>
      </c>
      <c r="AW1357" s="38">
        <v>74.040000000000006</v>
      </c>
      <c r="AX1357" s="38">
        <v>72.81</v>
      </c>
      <c r="AY1357" s="38">
        <v>71.83</v>
      </c>
      <c r="BA1357" s="37">
        <v>70.92</v>
      </c>
      <c r="BB1357" s="38">
        <v>1.2867999999999999</v>
      </c>
    </row>
    <row r="1358" spans="1:54" x14ac:dyDescent="0.35">
      <c r="A1358" s="2">
        <f t="shared" si="21"/>
        <v>45722</v>
      </c>
      <c r="B1358" t="s">
        <v>2269</v>
      </c>
      <c r="C1358" s="32">
        <v>45716</v>
      </c>
      <c r="D1358" s="38">
        <v>93.03</v>
      </c>
      <c r="E1358" s="38">
        <v>92.08</v>
      </c>
      <c r="F1358" s="38">
        <v>92.45</v>
      </c>
      <c r="G1358" s="38">
        <v>91.77</v>
      </c>
      <c r="H1358" s="38">
        <v>92.36</v>
      </c>
      <c r="I1358" s="38">
        <v>94.41</v>
      </c>
      <c r="J1358" s="38">
        <v>93.92</v>
      </c>
      <c r="K1358" s="38">
        <v>97.46</v>
      </c>
      <c r="L1358" s="38">
        <v>97.58</v>
      </c>
      <c r="M1358" s="38">
        <v>97.82</v>
      </c>
      <c r="N1358" s="38">
        <v>96.94</v>
      </c>
      <c r="O1358" s="38">
        <v>92.42</v>
      </c>
      <c r="P1358" s="38">
        <v>81.8</v>
      </c>
      <c r="Q1358" s="38">
        <v>76.599999999999994</v>
      </c>
      <c r="R1358" s="38">
        <v>74.55</v>
      </c>
      <c r="S1358" s="38">
        <v>74.12</v>
      </c>
      <c r="T1358" s="38">
        <v>74.56</v>
      </c>
      <c r="U1358" s="38">
        <v>74.87</v>
      </c>
      <c r="V1358" s="38">
        <v>79</v>
      </c>
      <c r="W1358" s="38">
        <v>81.14</v>
      </c>
      <c r="X1358" s="38">
        <v>82.37</v>
      </c>
      <c r="Y1358" s="38">
        <v>85.74</v>
      </c>
      <c r="Z1358" s="38">
        <v>85.73</v>
      </c>
      <c r="AA1358" s="38">
        <v>78.349999999999994</v>
      </c>
      <c r="AB1358" s="38">
        <v>70.790000000000006</v>
      </c>
      <c r="AC1358" s="38">
        <v>67.09</v>
      </c>
      <c r="AD1358" s="38">
        <v>65.72</v>
      </c>
      <c r="AE1358" s="38">
        <v>66.5</v>
      </c>
      <c r="AF1358" s="38">
        <v>66.790000000000006</v>
      </c>
      <c r="AG1358" s="38">
        <v>67.63</v>
      </c>
      <c r="AH1358" s="38">
        <v>71.63</v>
      </c>
      <c r="AI1358" s="38">
        <v>74.08</v>
      </c>
      <c r="AJ1358" s="38">
        <v>76.3</v>
      </c>
      <c r="AK1358" s="38">
        <v>77.67</v>
      </c>
      <c r="AL1358" s="38">
        <v>77.540000000000006</v>
      </c>
      <c r="AM1358" s="38">
        <v>73.39</v>
      </c>
      <c r="AN1358" s="38">
        <v>68.56</v>
      </c>
      <c r="AO1358" s="38">
        <v>64.58</v>
      </c>
      <c r="AP1358" s="38">
        <v>62.71</v>
      </c>
      <c r="AQ1358" s="38">
        <v>62.58</v>
      </c>
      <c r="AR1358" s="38">
        <v>62.54</v>
      </c>
      <c r="AS1358" s="38">
        <v>64.92</v>
      </c>
      <c r="AT1358" s="38">
        <v>70.72</v>
      </c>
      <c r="AU1358" s="38">
        <v>72.400000000000006</v>
      </c>
      <c r="AV1358" s="38">
        <v>73.430000000000007</v>
      </c>
      <c r="AW1358" s="38">
        <v>73.540000000000006</v>
      </c>
      <c r="AX1358" s="38">
        <v>72.31</v>
      </c>
      <c r="AY1358" s="38">
        <v>71.33</v>
      </c>
      <c r="BB1358" s="38">
        <v>1.2890999999999999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B3BF-B292-4A6B-A978-5D02F52E9FC2}">
  <dimension ref="A1:R320"/>
  <sheetViews>
    <sheetView zoomScale="85" zoomScaleNormal="85" workbookViewId="0">
      <pane xSplit="1" ySplit="6" topLeftCell="K288" activePane="bottomRight" state="frozen"/>
      <selection pane="topRight" activeCell="B1" sqref="B1"/>
      <selection pane="bottomLeft" activeCell="A7" sqref="A7"/>
      <selection pane="bottomRight" activeCell="M319" sqref="M319"/>
    </sheetView>
  </sheetViews>
  <sheetFormatPr defaultRowHeight="14.5" x14ac:dyDescent="0.35"/>
  <cols>
    <col min="2" max="7" width="18.7265625" customWidth="1"/>
    <col min="8" max="9" width="22.26953125" customWidth="1"/>
    <col min="10" max="10" width="20.36328125" customWidth="1"/>
    <col min="11" max="11" width="23.26953125" customWidth="1"/>
    <col min="12" max="12" width="22.54296875" customWidth="1"/>
    <col min="13" max="18" width="21.453125" customWidth="1"/>
  </cols>
  <sheetData>
    <row r="1" spans="1:18" x14ac:dyDescent="0.35">
      <c r="A1" s="4" t="s">
        <v>1629</v>
      </c>
      <c r="B1" s="16" t="s">
        <v>1324</v>
      </c>
      <c r="C1" s="16" t="s">
        <v>1617</v>
      </c>
      <c r="D1" s="16" t="s">
        <v>1325</v>
      </c>
      <c r="E1" s="16" t="s">
        <v>1618</v>
      </c>
      <c r="F1" s="16" t="s">
        <v>1623</v>
      </c>
      <c r="G1" s="16" t="s">
        <v>1642</v>
      </c>
      <c r="H1" t="s">
        <v>2008</v>
      </c>
      <c r="I1" t="s">
        <v>2009</v>
      </c>
      <c r="J1" t="s">
        <v>2034</v>
      </c>
      <c r="K1" s="16" t="s">
        <v>2039</v>
      </c>
      <c r="L1" s="16" t="s">
        <v>2043</v>
      </c>
      <c r="M1" s="16" t="s">
        <v>2221</v>
      </c>
      <c r="N1" s="16" t="s">
        <v>2222</v>
      </c>
      <c r="O1" s="16" t="s">
        <v>2223</v>
      </c>
      <c r="P1" s="16" t="s">
        <v>2224</v>
      </c>
      <c r="Q1" s="16" t="s">
        <v>2225</v>
      </c>
      <c r="R1" s="16" t="s">
        <v>2232</v>
      </c>
    </row>
    <row r="2" spans="1:18" s="6" customFormat="1" ht="81" customHeight="1" x14ac:dyDescent="0.35">
      <c r="A2" s="6" t="s">
        <v>8</v>
      </c>
      <c r="B2" s="6" t="s">
        <v>1329</v>
      </c>
      <c r="C2" s="6" t="s">
        <v>1619</v>
      </c>
      <c r="D2" s="6" t="s">
        <v>1331</v>
      </c>
      <c r="E2" s="6" t="s">
        <v>1620</v>
      </c>
      <c r="F2" s="6" t="s">
        <v>1624</v>
      </c>
      <c r="G2" s="6" t="s">
        <v>1643</v>
      </c>
      <c r="H2" s="6" t="s">
        <v>2015</v>
      </c>
      <c r="I2" s="6" t="s">
        <v>2017</v>
      </c>
      <c r="J2" s="6" t="s">
        <v>2035</v>
      </c>
      <c r="K2" s="6" t="s">
        <v>2041</v>
      </c>
      <c r="L2" s="6" t="s">
        <v>2046</v>
      </c>
      <c r="M2" s="6" t="s">
        <v>2227</v>
      </c>
      <c r="N2" s="6" t="s">
        <v>2228</v>
      </c>
      <c r="O2" s="6" t="s">
        <v>2229</v>
      </c>
      <c r="P2" s="6" t="s">
        <v>2230</v>
      </c>
      <c r="Q2" s="6" t="s">
        <v>2231</v>
      </c>
      <c r="R2" s="6" t="s">
        <v>2233</v>
      </c>
    </row>
    <row r="3" spans="1:18" x14ac:dyDescent="0.35">
      <c r="A3" t="s">
        <v>7</v>
      </c>
      <c r="B3" t="s">
        <v>1328</v>
      </c>
      <c r="C3" t="s">
        <v>1328</v>
      </c>
      <c r="D3" t="s">
        <v>1330</v>
      </c>
      <c r="E3" t="s">
        <v>1330</v>
      </c>
      <c r="F3" t="s">
        <v>1621</v>
      </c>
      <c r="G3" t="s">
        <v>1621</v>
      </c>
      <c r="H3" t="s">
        <v>2014</v>
      </c>
      <c r="I3" t="s">
        <v>2016</v>
      </c>
      <c r="J3" t="s">
        <v>1621</v>
      </c>
      <c r="K3" t="s">
        <v>2040</v>
      </c>
      <c r="L3" t="s">
        <v>2045</v>
      </c>
      <c r="M3" t="s">
        <v>2226</v>
      </c>
      <c r="N3" t="s">
        <v>2226</v>
      </c>
      <c r="O3" t="s">
        <v>2226</v>
      </c>
      <c r="P3" t="s">
        <v>2226</v>
      </c>
      <c r="Q3" t="s">
        <v>2226</v>
      </c>
      <c r="R3" t="s">
        <v>2226</v>
      </c>
    </row>
    <row r="4" spans="1:18" x14ac:dyDescent="0.35">
      <c r="A4" t="s">
        <v>6</v>
      </c>
      <c r="B4" t="s">
        <v>2010</v>
      </c>
      <c r="C4" t="s">
        <v>2010</v>
      </c>
      <c r="D4" t="s">
        <v>2010</v>
      </c>
      <c r="E4" t="s">
        <v>2010</v>
      </c>
      <c r="F4" t="s">
        <v>2013</v>
      </c>
      <c r="G4" t="s">
        <v>2013</v>
      </c>
      <c r="H4" t="s">
        <v>2013</v>
      </c>
      <c r="I4" t="s">
        <v>2254</v>
      </c>
      <c r="J4" t="s">
        <v>2013</v>
      </c>
      <c r="K4" t="s">
        <v>2013</v>
      </c>
      <c r="L4" t="s">
        <v>2254</v>
      </c>
      <c r="M4" t="s">
        <v>2013</v>
      </c>
      <c r="N4" t="s">
        <v>2013</v>
      </c>
      <c r="O4" t="s">
        <v>2013</v>
      </c>
      <c r="P4" t="s">
        <v>2013</v>
      </c>
      <c r="Q4" t="s">
        <v>2013</v>
      </c>
      <c r="R4" t="s">
        <v>2013</v>
      </c>
    </row>
    <row r="5" spans="1:18" x14ac:dyDescent="0.35">
      <c r="A5" t="s">
        <v>5</v>
      </c>
      <c r="B5" t="s">
        <v>1327</v>
      </c>
      <c r="C5" t="s">
        <v>1327</v>
      </c>
      <c r="D5" t="s">
        <v>1327</v>
      </c>
      <c r="E5" t="s">
        <v>1327</v>
      </c>
      <c r="F5" t="s">
        <v>1327</v>
      </c>
      <c r="G5" t="s">
        <v>1327</v>
      </c>
      <c r="H5" t="s">
        <v>2012</v>
      </c>
      <c r="I5" t="s">
        <v>47</v>
      </c>
      <c r="J5" t="s">
        <v>1327</v>
      </c>
      <c r="K5" t="s">
        <v>1327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</row>
    <row r="6" spans="1:18" x14ac:dyDescent="0.35">
      <c r="A6" t="s">
        <v>4</v>
      </c>
      <c r="B6" t="s">
        <v>2212</v>
      </c>
      <c r="C6" t="s">
        <v>2212</v>
      </c>
      <c r="D6" t="s">
        <v>2212</v>
      </c>
      <c r="E6" t="s">
        <v>2212</v>
      </c>
      <c r="F6" t="s">
        <v>2213</v>
      </c>
      <c r="G6" t="s">
        <v>2213</v>
      </c>
      <c r="H6" t="s">
        <v>2011</v>
      </c>
      <c r="I6" t="s">
        <v>2253</v>
      </c>
      <c r="J6" t="s">
        <v>2213</v>
      </c>
      <c r="K6" t="s">
        <v>2214</v>
      </c>
      <c r="L6" t="s">
        <v>2260</v>
      </c>
      <c r="M6" t="s">
        <v>2044</v>
      </c>
      <c r="N6" t="s">
        <v>2044</v>
      </c>
      <c r="O6" t="s">
        <v>2044</v>
      </c>
      <c r="P6" t="s">
        <v>2044</v>
      </c>
      <c r="Q6" t="s">
        <v>2044</v>
      </c>
      <c r="R6" t="s">
        <v>2044</v>
      </c>
    </row>
    <row r="7" spans="1:18" x14ac:dyDescent="0.35">
      <c r="A7" t="s">
        <v>1630</v>
      </c>
      <c r="B7" s="18" t="e">
        <v>#N/A</v>
      </c>
      <c r="C7" s="18" t="e">
        <v>#N/A</v>
      </c>
      <c r="D7" s="36" t="e">
        <v>#N/A</v>
      </c>
      <c r="E7" s="36" t="e">
        <v>#N/A</v>
      </c>
      <c r="F7" s="36">
        <v>56.67993941942138</v>
      </c>
      <c r="G7" s="36">
        <v>56.6</v>
      </c>
      <c r="H7" s="36">
        <v>61.2</v>
      </c>
      <c r="I7" s="38">
        <v>1.6509</v>
      </c>
      <c r="J7" s="36">
        <v>67.3</v>
      </c>
      <c r="K7" s="36">
        <v>69.5</v>
      </c>
      <c r="L7" s="22" t="e">
        <v>#N/A</v>
      </c>
      <c r="M7" s="18" t="e">
        <v>#N/A</v>
      </c>
      <c r="N7" s="18" t="e">
        <v>#N/A</v>
      </c>
      <c r="O7" s="18" t="e">
        <v>#N/A</v>
      </c>
      <c r="P7" s="18" t="e">
        <v>#N/A</v>
      </c>
      <c r="Q7" s="18" t="e">
        <v>#N/A</v>
      </c>
      <c r="R7" s="18" t="e">
        <v>#N/A</v>
      </c>
    </row>
    <row r="8" spans="1:18" x14ac:dyDescent="0.35">
      <c r="A8" t="s">
        <v>1631</v>
      </c>
      <c r="B8" s="18" t="e">
        <v>#N/A</v>
      </c>
      <c r="C8" s="18" t="e">
        <v>#N/A</v>
      </c>
      <c r="D8" s="36" t="e">
        <v>#N/A</v>
      </c>
      <c r="E8" s="36" t="e">
        <v>#N/A</v>
      </c>
      <c r="F8" s="36">
        <v>56.870492049616949</v>
      </c>
      <c r="G8" s="36">
        <v>56.7</v>
      </c>
      <c r="H8" s="36">
        <v>58.6</v>
      </c>
      <c r="I8" s="38">
        <v>1.6275999999999999</v>
      </c>
      <c r="J8" s="36">
        <v>67.400000000000006</v>
      </c>
      <c r="K8" s="36">
        <v>69.8</v>
      </c>
      <c r="L8" s="22" t="e">
        <v>#N/A</v>
      </c>
      <c r="M8" s="18" t="e">
        <v>#N/A</v>
      </c>
      <c r="N8" s="18" t="e">
        <v>#N/A</v>
      </c>
      <c r="O8" s="18" t="e">
        <v>#N/A</v>
      </c>
      <c r="P8" s="18" t="e">
        <v>#N/A</v>
      </c>
      <c r="Q8" s="18" t="e">
        <v>#N/A</v>
      </c>
      <c r="R8" s="18" t="e">
        <v>#N/A</v>
      </c>
    </row>
    <row r="9" spans="1:18" x14ac:dyDescent="0.35">
      <c r="A9" t="s">
        <v>1632</v>
      </c>
      <c r="B9" s="18" t="e">
        <v>#N/A</v>
      </c>
      <c r="C9" s="18" t="e">
        <v>#N/A</v>
      </c>
      <c r="D9" s="36" t="e">
        <v>#N/A</v>
      </c>
      <c r="E9" s="36" t="e">
        <v>#N/A</v>
      </c>
      <c r="F9" s="36">
        <v>56.97686731024433</v>
      </c>
      <c r="G9" s="36">
        <v>56.7</v>
      </c>
      <c r="H9" s="36">
        <v>57.2</v>
      </c>
      <c r="I9" s="38">
        <v>1.6220000000000001</v>
      </c>
      <c r="J9" s="36">
        <v>67</v>
      </c>
      <c r="K9" s="36">
        <v>70.099999999999994</v>
      </c>
      <c r="L9" s="22" t="e">
        <v>#N/A</v>
      </c>
      <c r="M9" s="18" t="e">
        <v>#N/A</v>
      </c>
      <c r="N9" s="18" t="e">
        <v>#N/A</v>
      </c>
      <c r="O9" s="18" t="e">
        <v>#N/A</v>
      </c>
      <c r="P9" s="18" t="e">
        <v>#N/A</v>
      </c>
      <c r="Q9" s="18" t="e">
        <v>#N/A</v>
      </c>
      <c r="R9" s="18" t="e">
        <v>#N/A</v>
      </c>
    </row>
    <row r="10" spans="1:18" x14ac:dyDescent="0.35">
      <c r="A10" t="s">
        <v>1633</v>
      </c>
      <c r="B10" s="18" t="e">
        <v>#N/A</v>
      </c>
      <c r="C10" s="18" t="e">
        <v>#N/A</v>
      </c>
      <c r="D10" s="36" t="e">
        <v>#N/A</v>
      </c>
      <c r="E10" s="36" t="e">
        <v>#N/A</v>
      </c>
      <c r="F10" s="36">
        <v>57.179409039293432</v>
      </c>
      <c r="G10" s="36">
        <v>57.3</v>
      </c>
      <c r="H10" s="36">
        <v>56</v>
      </c>
      <c r="I10" s="38">
        <v>1.6105</v>
      </c>
      <c r="J10" s="36">
        <v>66.599999999999994</v>
      </c>
      <c r="K10" s="36">
        <v>70</v>
      </c>
      <c r="L10" s="22" t="e">
        <v>#N/A</v>
      </c>
      <c r="M10" s="18" t="e">
        <v>#N/A</v>
      </c>
      <c r="N10" s="18" t="e">
        <v>#N/A</v>
      </c>
      <c r="O10" s="18" t="e">
        <v>#N/A</v>
      </c>
      <c r="P10" s="18" t="e">
        <v>#N/A</v>
      </c>
      <c r="Q10" s="18" t="e">
        <v>#N/A</v>
      </c>
      <c r="R10" s="18" t="e">
        <v>#N/A</v>
      </c>
    </row>
    <row r="11" spans="1:18" x14ac:dyDescent="0.35">
      <c r="A11" t="s">
        <v>1634</v>
      </c>
      <c r="B11" s="18" t="e">
        <v>#N/A</v>
      </c>
      <c r="C11" s="18" t="e">
        <v>#N/A</v>
      </c>
      <c r="D11" s="36" t="e">
        <v>#N/A</v>
      </c>
      <c r="E11" s="36" t="e">
        <v>#N/A</v>
      </c>
      <c r="F11" s="36">
        <v>57.302792737381381</v>
      </c>
      <c r="G11" s="36">
        <v>57.4</v>
      </c>
      <c r="H11" s="36">
        <v>55.6</v>
      </c>
      <c r="I11" s="38">
        <v>1.6153999999999999</v>
      </c>
      <c r="J11" s="36">
        <v>67</v>
      </c>
      <c r="K11" s="36">
        <v>70</v>
      </c>
      <c r="L11" s="22" t="e">
        <v>#N/A</v>
      </c>
      <c r="M11" s="18" t="e">
        <v>#N/A</v>
      </c>
      <c r="N11" s="18" t="e">
        <v>#N/A</v>
      </c>
      <c r="O11" s="18" t="e">
        <v>#N/A</v>
      </c>
      <c r="P11" s="18" t="e">
        <v>#N/A</v>
      </c>
      <c r="Q11" s="18" t="e">
        <v>#N/A</v>
      </c>
      <c r="R11" s="18" t="e">
        <v>#N/A</v>
      </c>
    </row>
    <row r="12" spans="1:18" x14ac:dyDescent="0.35">
      <c r="A12" t="s">
        <v>1635</v>
      </c>
      <c r="B12" s="18" t="e">
        <v>#N/A</v>
      </c>
      <c r="C12" s="18" t="e">
        <v>#N/A</v>
      </c>
      <c r="D12" s="36" t="e">
        <v>#N/A</v>
      </c>
      <c r="E12" s="36" t="e">
        <v>#N/A</v>
      </c>
      <c r="F12" s="36">
        <v>57.418937859631974</v>
      </c>
      <c r="G12" s="36">
        <v>57.5</v>
      </c>
      <c r="H12" s="36">
        <v>54.8</v>
      </c>
      <c r="I12" s="38">
        <v>1.595</v>
      </c>
      <c r="J12" s="36">
        <v>66.599999999999994</v>
      </c>
      <c r="K12" s="36">
        <v>69.900000000000006</v>
      </c>
      <c r="L12" s="22" t="e">
        <v>#N/A</v>
      </c>
      <c r="M12" s="18" t="e">
        <v>#N/A</v>
      </c>
      <c r="N12" s="18" t="e">
        <v>#N/A</v>
      </c>
      <c r="O12" s="18" t="e">
        <v>#N/A</v>
      </c>
      <c r="P12" s="18" t="e">
        <v>#N/A</v>
      </c>
      <c r="Q12" s="18" t="e">
        <v>#N/A</v>
      </c>
      <c r="R12" s="18" t="e">
        <v>#N/A</v>
      </c>
    </row>
    <row r="13" spans="1:18" x14ac:dyDescent="0.35">
      <c r="A13" t="s">
        <v>1636</v>
      </c>
      <c r="B13" s="18" t="e">
        <v>#N/A</v>
      </c>
      <c r="C13" s="18" t="e">
        <v>#N/A</v>
      </c>
      <c r="D13" s="36" t="e">
        <v>#N/A</v>
      </c>
      <c r="E13" s="36" t="e">
        <v>#N/A</v>
      </c>
      <c r="F13" s="36">
        <v>57.579925297313565</v>
      </c>
      <c r="G13" s="36">
        <v>57.7</v>
      </c>
      <c r="H13" s="36">
        <v>52.8</v>
      </c>
      <c r="I13" s="38">
        <v>1.5747</v>
      </c>
      <c r="J13" s="36">
        <v>66</v>
      </c>
      <c r="K13" s="36">
        <v>70.099999999999994</v>
      </c>
      <c r="L13" s="22" t="e">
        <v>#N/A</v>
      </c>
      <c r="M13" s="18" t="e">
        <v>#N/A</v>
      </c>
      <c r="N13" s="18" t="e">
        <v>#N/A</v>
      </c>
      <c r="O13" s="18" t="e">
        <v>#N/A</v>
      </c>
      <c r="P13" s="18" t="e">
        <v>#N/A</v>
      </c>
      <c r="Q13" s="18" t="e">
        <v>#N/A</v>
      </c>
      <c r="R13" s="18" t="e">
        <v>#N/A</v>
      </c>
    </row>
    <row r="14" spans="1:18" x14ac:dyDescent="0.35">
      <c r="A14" t="s">
        <v>1637</v>
      </c>
      <c r="B14" s="18" t="e">
        <v>#N/A</v>
      </c>
      <c r="C14" s="18" t="e">
        <v>#N/A</v>
      </c>
      <c r="D14" s="36" t="e">
        <v>#N/A</v>
      </c>
      <c r="E14" s="36" t="e">
        <v>#N/A</v>
      </c>
      <c r="F14" s="36">
        <v>57.708304105857131</v>
      </c>
      <c r="G14" s="36">
        <v>57.8</v>
      </c>
      <c r="H14" s="36">
        <v>54.6</v>
      </c>
      <c r="I14" s="38">
        <v>1.6073</v>
      </c>
      <c r="J14" s="36">
        <v>65.900000000000006</v>
      </c>
      <c r="K14" s="36">
        <v>70</v>
      </c>
      <c r="L14" s="22" t="e">
        <v>#N/A</v>
      </c>
      <c r="M14" s="18" t="e">
        <v>#N/A</v>
      </c>
      <c r="N14" s="18" t="e">
        <v>#N/A</v>
      </c>
      <c r="O14" s="18" t="e">
        <v>#N/A</v>
      </c>
      <c r="P14" s="18" t="e">
        <v>#N/A</v>
      </c>
      <c r="Q14" s="18" t="e">
        <v>#N/A</v>
      </c>
      <c r="R14" s="18" t="e">
        <v>#N/A</v>
      </c>
    </row>
    <row r="15" spans="1:18" x14ac:dyDescent="0.35">
      <c r="A15" t="s">
        <v>1638</v>
      </c>
      <c r="B15" s="18" t="e">
        <v>#N/A</v>
      </c>
      <c r="C15" s="18" t="e">
        <v>#N/A</v>
      </c>
      <c r="D15" s="36" t="e">
        <v>#N/A</v>
      </c>
      <c r="E15" s="36" t="e">
        <v>#N/A</v>
      </c>
      <c r="F15" s="36">
        <v>57.896084834145519</v>
      </c>
      <c r="G15" s="36">
        <v>58</v>
      </c>
      <c r="H15" s="36">
        <v>54.8</v>
      </c>
      <c r="I15" s="38">
        <v>1.6243000000000001</v>
      </c>
      <c r="J15" s="36">
        <v>65.8</v>
      </c>
      <c r="K15" s="36">
        <v>69.8</v>
      </c>
      <c r="L15" s="22" t="e">
        <v>#N/A</v>
      </c>
      <c r="M15" s="18" t="e">
        <v>#N/A</v>
      </c>
      <c r="N15" s="18" t="e">
        <v>#N/A</v>
      </c>
      <c r="O15" s="18" t="e">
        <v>#N/A</v>
      </c>
      <c r="P15" s="18" t="e">
        <v>#N/A</v>
      </c>
      <c r="Q15" s="18" t="e">
        <v>#N/A</v>
      </c>
      <c r="R15" s="18" t="e">
        <v>#N/A</v>
      </c>
    </row>
    <row r="16" spans="1:18" x14ac:dyDescent="0.35">
      <c r="A16" t="s">
        <v>1639</v>
      </c>
      <c r="B16" s="18" t="e">
        <v>#N/A</v>
      </c>
      <c r="C16" s="18" t="e">
        <v>#N/A</v>
      </c>
      <c r="D16" s="36" t="e">
        <v>#N/A</v>
      </c>
      <c r="E16" s="36" t="e">
        <v>#N/A</v>
      </c>
      <c r="F16" s="36">
        <v>58.088968569418817</v>
      </c>
      <c r="G16" s="36">
        <v>58.2</v>
      </c>
      <c r="H16" s="36">
        <v>53.5</v>
      </c>
      <c r="I16" s="38">
        <v>1.6572</v>
      </c>
      <c r="J16" s="36">
        <v>65.7</v>
      </c>
      <c r="K16" s="36">
        <v>69.599999999999994</v>
      </c>
      <c r="L16" s="22" t="e">
        <v>#N/A</v>
      </c>
      <c r="M16" s="18" t="e">
        <v>#N/A</v>
      </c>
      <c r="N16" s="18" t="e">
        <v>#N/A</v>
      </c>
      <c r="O16" s="18" t="e">
        <v>#N/A</v>
      </c>
      <c r="P16" s="18" t="e">
        <v>#N/A</v>
      </c>
      <c r="Q16" s="18" t="e">
        <v>#N/A</v>
      </c>
      <c r="R16" s="18" t="e">
        <v>#N/A</v>
      </c>
    </row>
    <row r="17" spans="1:18" x14ac:dyDescent="0.35">
      <c r="A17" t="s">
        <v>1640</v>
      </c>
      <c r="B17" s="18" t="e">
        <v>#N/A</v>
      </c>
      <c r="C17" s="18" t="e">
        <v>#N/A</v>
      </c>
      <c r="D17" s="36" t="e">
        <v>#N/A</v>
      </c>
      <c r="E17" s="36" t="e">
        <v>#N/A</v>
      </c>
      <c r="F17" s="36">
        <v>58.272428114199499</v>
      </c>
      <c r="G17" s="36">
        <v>58.2</v>
      </c>
      <c r="H17" s="36">
        <v>53.5</v>
      </c>
      <c r="I17" s="38">
        <v>1.6214</v>
      </c>
      <c r="J17" s="36">
        <v>65.900000000000006</v>
      </c>
      <c r="K17" s="36">
        <v>69.2</v>
      </c>
      <c r="L17" s="22" t="e">
        <v>#N/A</v>
      </c>
      <c r="M17" s="18" t="e">
        <v>#N/A</v>
      </c>
      <c r="N17" s="18" t="e">
        <v>#N/A</v>
      </c>
      <c r="O17" s="18" t="e">
        <v>#N/A</v>
      </c>
      <c r="P17" s="18" t="e">
        <v>#N/A</v>
      </c>
      <c r="Q17" s="18" t="e">
        <v>#N/A</v>
      </c>
      <c r="R17" s="18" t="e">
        <v>#N/A</v>
      </c>
    </row>
    <row r="18" spans="1:18" x14ac:dyDescent="0.35">
      <c r="A18" t="s">
        <v>1641</v>
      </c>
      <c r="B18" s="18" t="e">
        <v>#N/A</v>
      </c>
      <c r="C18" s="18" t="e">
        <v>#N/A</v>
      </c>
      <c r="D18" s="36" t="e">
        <v>#N/A</v>
      </c>
      <c r="E18" s="36" t="e">
        <v>#N/A</v>
      </c>
      <c r="F18" s="36">
        <v>58.401384853292129</v>
      </c>
      <c r="G18" s="36">
        <v>58.3</v>
      </c>
      <c r="H18" s="36">
        <v>52.1</v>
      </c>
      <c r="I18" s="38">
        <v>1.6132</v>
      </c>
      <c r="J18" s="36">
        <v>66</v>
      </c>
      <c r="K18" s="36">
        <v>69.099999999999994</v>
      </c>
      <c r="L18" s="22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  <c r="R18" s="18" t="e">
        <v>#N/A</v>
      </c>
    </row>
    <row r="19" spans="1:18" x14ac:dyDescent="0.35">
      <c r="A19" t="s">
        <v>1326</v>
      </c>
      <c r="B19" s="18">
        <v>290</v>
      </c>
      <c r="C19" s="18">
        <v>305</v>
      </c>
      <c r="D19" s="36" t="e">
        <v>#N/A</v>
      </c>
      <c r="E19" s="36" t="e">
        <v>#N/A</v>
      </c>
      <c r="F19" s="36">
        <v>58.589632218982857</v>
      </c>
      <c r="G19" s="36">
        <v>58.5</v>
      </c>
      <c r="H19" s="36">
        <v>52.8</v>
      </c>
      <c r="I19" s="38">
        <v>1.6402000000000001</v>
      </c>
      <c r="J19" s="36">
        <v>66</v>
      </c>
      <c r="K19" s="36">
        <v>69.3</v>
      </c>
      <c r="L19" s="22" t="e">
        <v>#N/A</v>
      </c>
      <c r="M19" s="18" t="e">
        <v>#N/A</v>
      </c>
      <c r="N19" s="18" t="e">
        <v>#N/A</v>
      </c>
      <c r="O19" s="18" t="e">
        <v>#N/A</v>
      </c>
      <c r="P19" s="18" t="e">
        <v>#N/A</v>
      </c>
      <c r="Q19" s="18" t="e">
        <v>#N/A</v>
      </c>
      <c r="R19" s="18" t="e">
        <v>#N/A</v>
      </c>
    </row>
    <row r="20" spans="1:18" x14ac:dyDescent="0.35">
      <c r="A20" t="s">
        <v>1332</v>
      </c>
      <c r="B20" s="18">
        <v>283</v>
      </c>
      <c r="C20" s="18">
        <v>300</v>
      </c>
      <c r="D20" s="36" t="e">
        <v>#N/A</v>
      </c>
      <c r="E20" s="36" t="e">
        <v>#N/A</v>
      </c>
      <c r="F20" s="36">
        <v>58.792067580532546</v>
      </c>
      <c r="G20" s="36">
        <v>58.6</v>
      </c>
      <c r="H20" s="36">
        <v>52.5</v>
      </c>
      <c r="I20" s="38">
        <v>1.5998000000000001</v>
      </c>
      <c r="J20" s="36">
        <v>65.900000000000006</v>
      </c>
      <c r="K20" s="36">
        <v>69.3</v>
      </c>
      <c r="L20" s="22" t="e">
        <v>#N/A</v>
      </c>
      <c r="M20" s="18" t="e">
        <v>#N/A</v>
      </c>
      <c r="N20" s="18" t="e">
        <v>#N/A</v>
      </c>
      <c r="O20" s="18" t="e">
        <v>#N/A</v>
      </c>
      <c r="P20" s="18" t="e">
        <v>#N/A</v>
      </c>
      <c r="Q20" s="18" t="e">
        <v>#N/A</v>
      </c>
      <c r="R20" s="18" t="e">
        <v>#N/A</v>
      </c>
    </row>
    <row r="21" spans="1:18" x14ac:dyDescent="0.35">
      <c r="A21" t="s">
        <v>1333</v>
      </c>
      <c r="B21" s="18">
        <v>297</v>
      </c>
      <c r="C21" s="18">
        <v>311</v>
      </c>
      <c r="D21" s="36" t="e">
        <v>#N/A</v>
      </c>
      <c r="E21" s="36" t="e">
        <v>#N/A</v>
      </c>
      <c r="F21" s="36">
        <v>59.003408000713669</v>
      </c>
      <c r="G21" s="36">
        <v>58.7</v>
      </c>
      <c r="H21" s="36">
        <v>53.1</v>
      </c>
      <c r="I21" s="38">
        <v>1.5802</v>
      </c>
      <c r="J21" s="36">
        <v>65.400000000000006</v>
      </c>
      <c r="K21" s="36">
        <v>69.400000000000006</v>
      </c>
      <c r="L21" s="22" t="e">
        <v>#N/A</v>
      </c>
      <c r="M21" s="18" t="e">
        <v>#N/A</v>
      </c>
      <c r="N21" s="18" t="e">
        <v>#N/A</v>
      </c>
      <c r="O21" s="18" t="e">
        <v>#N/A</v>
      </c>
      <c r="P21" s="18" t="e">
        <v>#N/A</v>
      </c>
      <c r="Q21" s="18" t="e">
        <v>#N/A</v>
      </c>
      <c r="R21" s="18" t="e">
        <v>#N/A</v>
      </c>
    </row>
    <row r="22" spans="1:18" x14ac:dyDescent="0.35">
      <c r="A22" t="s">
        <v>1334</v>
      </c>
      <c r="B22" s="18">
        <v>291</v>
      </c>
      <c r="C22" s="18">
        <v>309</v>
      </c>
      <c r="D22" s="36" t="e">
        <v>#N/A</v>
      </c>
      <c r="E22" s="36" t="e">
        <v>#N/A</v>
      </c>
      <c r="F22" s="36">
        <v>58.781236742067854</v>
      </c>
      <c r="G22" s="36">
        <v>58.9</v>
      </c>
      <c r="H22" s="36">
        <v>53.7</v>
      </c>
      <c r="I22" s="38">
        <v>1.5837000000000001</v>
      </c>
      <c r="J22" s="36">
        <v>65.2</v>
      </c>
      <c r="K22" s="36">
        <v>69.400000000000006</v>
      </c>
      <c r="L22" s="22" t="e">
        <v>#N/A</v>
      </c>
      <c r="M22" s="18" t="e">
        <v>#N/A</v>
      </c>
      <c r="N22" s="18" t="e">
        <v>#N/A</v>
      </c>
      <c r="O22" s="18" t="e">
        <v>#N/A</v>
      </c>
      <c r="P22" s="18" t="e">
        <v>#N/A</v>
      </c>
      <c r="Q22" s="18" t="e">
        <v>#N/A</v>
      </c>
      <c r="R22" s="18" t="e">
        <v>#N/A</v>
      </c>
    </row>
    <row r="23" spans="1:18" x14ac:dyDescent="0.35">
      <c r="A23" t="s">
        <v>1335</v>
      </c>
      <c r="B23" s="18">
        <v>296</v>
      </c>
      <c r="C23" s="18">
        <v>311</v>
      </c>
      <c r="D23" s="36" t="e">
        <v>#N/A</v>
      </c>
      <c r="E23" s="36" t="e">
        <v>#N/A</v>
      </c>
      <c r="F23" s="36">
        <v>59.000569049702854</v>
      </c>
      <c r="G23" s="36">
        <v>59.1</v>
      </c>
      <c r="H23" s="36">
        <v>54</v>
      </c>
      <c r="I23" s="38">
        <v>1.5075000000000001</v>
      </c>
      <c r="J23" s="36">
        <v>65.900000000000006</v>
      </c>
      <c r="K23" s="36">
        <v>69.599999999999994</v>
      </c>
      <c r="L23" s="22" t="e">
        <v>#N/A</v>
      </c>
      <c r="M23" s="18" t="e">
        <v>#N/A</v>
      </c>
      <c r="N23" s="18" t="e">
        <v>#N/A</v>
      </c>
      <c r="O23" s="18" t="e">
        <v>#N/A</v>
      </c>
      <c r="P23" s="18" t="e">
        <v>#N/A</v>
      </c>
      <c r="Q23" s="18" t="e">
        <v>#N/A</v>
      </c>
      <c r="R23" s="18" t="e">
        <v>#N/A</v>
      </c>
    </row>
    <row r="24" spans="1:18" x14ac:dyDescent="0.35">
      <c r="A24" t="s">
        <v>1336</v>
      </c>
      <c r="B24" s="18">
        <v>295</v>
      </c>
      <c r="C24" s="18">
        <v>311</v>
      </c>
      <c r="D24" s="36" t="e">
        <v>#N/A</v>
      </c>
      <c r="E24" s="36" t="e">
        <v>#N/A</v>
      </c>
      <c r="F24" s="36">
        <v>59.219396824525191</v>
      </c>
      <c r="G24" s="36">
        <v>59.3</v>
      </c>
      <c r="H24" s="36">
        <v>54.2</v>
      </c>
      <c r="I24" s="38">
        <v>1.5088999999999999</v>
      </c>
      <c r="J24" s="36">
        <v>66.099999999999994</v>
      </c>
      <c r="K24" s="36">
        <v>69.599999999999994</v>
      </c>
      <c r="L24" s="22" t="e">
        <v>#N/A</v>
      </c>
      <c r="M24" s="18" t="e">
        <v>#N/A</v>
      </c>
      <c r="N24" s="18" t="e">
        <v>#N/A</v>
      </c>
      <c r="O24" s="18" t="e">
        <v>#N/A</v>
      </c>
      <c r="P24" s="18" t="e">
        <v>#N/A</v>
      </c>
      <c r="Q24" s="18" t="e">
        <v>#N/A</v>
      </c>
      <c r="R24" s="18" t="e">
        <v>#N/A</v>
      </c>
    </row>
    <row r="25" spans="1:18" x14ac:dyDescent="0.35">
      <c r="A25" t="s">
        <v>1337</v>
      </c>
      <c r="B25" s="18">
        <v>298</v>
      </c>
      <c r="C25" s="18">
        <v>313</v>
      </c>
      <c r="D25" s="36" t="e">
        <v>#N/A</v>
      </c>
      <c r="E25" s="36" t="e">
        <v>#N/A</v>
      </c>
      <c r="F25" s="36">
        <v>59.343790165019378</v>
      </c>
      <c r="G25" s="36">
        <v>59.5</v>
      </c>
      <c r="H25" s="36">
        <v>54.4</v>
      </c>
      <c r="I25" s="38">
        <v>1.5087999999999999</v>
      </c>
      <c r="J25" s="36">
        <v>66.599999999999994</v>
      </c>
      <c r="K25" s="36">
        <v>69.599999999999994</v>
      </c>
      <c r="L25" s="22" t="e">
        <v>#N/A</v>
      </c>
      <c r="M25" s="18" t="e">
        <v>#N/A</v>
      </c>
      <c r="N25" s="18" t="e">
        <v>#N/A</v>
      </c>
      <c r="O25" s="18" t="e">
        <v>#N/A</v>
      </c>
      <c r="P25" s="18" t="e">
        <v>#N/A</v>
      </c>
      <c r="Q25" s="18" t="e">
        <v>#N/A</v>
      </c>
      <c r="R25" s="18" t="e">
        <v>#N/A</v>
      </c>
    </row>
    <row r="26" spans="1:18" x14ac:dyDescent="0.35">
      <c r="A26" t="s">
        <v>1338</v>
      </c>
      <c r="B26" s="18">
        <v>300</v>
      </c>
      <c r="C26" s="18">
        <v>315</v>
      </c>
      <c r="D26" s="36" t="e">
        <v>#N/A</v>
      </c>
      <c r="E26" s="36" t="e">
        <v>#N/A</v>
      </c>
      <c r="F26" s="36">
        <v>59.579375892080144</v>
      </c>
      <c r="G26" s="36">
        <v>59.7</v>
      </c>
      <c r="H26" s="36">
        <v>53.5</v>
      </c>
      <c r="I26" s="38">
        <v>1.4910000000000001</v>
      </c>
      <c r="J26" s="36">
        <v>66.099999999999994</v>
      </c>
      <c r="K26" s="36">
        <v>69.3</v>
      </c>
      <c r="L26" s="22" t="e">
        <v>#N/A</v>
      </c>
      <c r="M26" s="18" t="e">
        <v>#N/A</v>
      </c>
      <c r="N26" s="18" t="e">
        <v>#N/A</v>
      </c>
      <c r="O26" s="18" t="e">
        <v>#N/A</v>
      </c>
      <c r="P26" s="18" t="e">
        <v>#N/A</v>
      </c>
      <c r="Q26" s="18" t="e">
        <v>#N/A</v>
      </c>
      <c r="R26" s="18" t="e">
        <v>#N/A</v>
      </c>
    </row>
    <row r="27" spans="1:18" x14ac:dyDescent="0.35">
      <c r="A27" t="s">
        <v>1339</v>
      </c>
      <c r="B27" s="18">
        <v>302</v>
      </c>
      <c r="C27" s="18">
        <v>317</v>
      </c>
      <c r="D27" s="36" t="e">
        <v>#N/A</v>
      </c>
      <c r="E27" s="36" t="e">
        <v>#N/A</v>
      </c>
      <c r="F27" s="36">
        <v>59.89503509358552</v>
      </c>
      <c r="G27" s="36">
        <v>60</v>
      </c>
      <c r="H27" s="36">
        <v>52.9</v>
      </c>
      <c r="I27" s="38">
        <v>1.4355</v>
      </c>
      <c r="J27" s="36">
        <v>66.3</v>
      </c>
      <c r="K27" s="36">
        <v>69.400000000000006</v>
      </c>
      <c r="L27" s="22" t="e">
        <v>#N/A</v>
      </c>
      <c r="M27" s="18" t="e">
        <v>#N/A</v>
      </c>
      <c r="N27" s="18" t="e">
        <v>#N/A</v>
      </c>
      <c r="O27" s="18" t="e">
        <v>#N/A</v>
      </c>
      <c r="P27" s="18" t="e">
        <v>#N/A</v>
      </c>
      <c r="Q27" s="18" t="e">
        <v>#N/A</v>
      </c>
      <c r="R27" s="18" t="e">
        <v>#N/A</v>
      </c>
    </row>
    <row r="28" spans="1:18" x14ac:dyDescent="0.35">
      <c r="A28" t="s">
        <v>1340</v>
      </c>
      <c r="B28" s="18">
        <v>302</v>
      </c>
      <c r="C28" s="18">
        <v>318</v>
      </c>
      <c r="D28" s="36" t="e">
        <v>#N/A</v>
      </c>
      <c r="E28" s="36" t="e">
        <v>#N/A</v>
      </c>
      <c r="F28" s="36">
        <v>60.091083918537301</v>
      </c>
      <c r="G28" s="36">
        <v>60.2</v>
      </c>
      <c r="H28" s="36">
        <v>53.7</v>
      </c>
      <c r="I28" s="38">
        <v>1.4511000000000001</v>
      </c>
      <c r="J28" s="36">
        <v>66.3</v>
      </c>
      <c r="K28" s="36">
        <v>69.400000000000006</v>
      </c>
      <c r="L28" s="22" t="e">
        <v>#N/A</v>
      </c>
      <c r="M28" s="18" t="e">
        <v>#N/A</v>
      </c>
      <c r="N28" s="18" t="e">
        <v>#N/A</v>
      </c>
      <c r="O28" s="18" t="e">
        <v>#N/A</v>
      </c>
      <c r="P28" s="18" t="e">
        <v>#N/A</v>
      </c>
      <c r="Q28" s="18" t="e">
        <v>#N/A</v>
      </c>
      <c r="R28" s="18" t="e">
        <v>#N/A</v>
      </c>
    </row>
    <row r="29" spans="1:18" x14ac:dyDescent="0.35">
      <c r="A29" t="s">
        <v>1341</v>
      </c>
      <c r="B29" s="18">
        <v>304</v>
      </c>
      <c r="C29" s="18">
        <v>320</v>
      </c>
      <c r="D29" s="36" t="e">
        <v>#N/A</v>
      </c>
      <c r="E29" s="36" t="e">
        <v>#N/A</v>
      </c>
      <c r="F29" s="36">
        <v>60.304472891999929</v>
      </c>
      <c r="G29" s="36">
        <v>60.2</v>
      </c>
      <c r="H29" s="36">
        <v>54.2</v>
      </c>
      <c r="I29" s="38">
        <v>1.4256</v>
      </c>
      <c r="J29" s="36">
        <v>66.7</v>
      </c>
      <c r="K29" s="36">
        <v>69.5</v>
      </c>
      <c r="L29" s="22" t="e">
        <v>#N/A</v>
      </c>
      <c r="M29" s="18" t="e">
        <v>#N/A</v>
      </c>
      <c r="N29" s="18" t="e">
        <v>#N/A</v>
      </c>
      <c r="O29" s="18" t="e">
        <v>#N/A</v>
      </c>
      <c r="P29" s="18" t="e">
        <v>#N/A</v>
      </c>
      <c r="Q29" s="18" t="e">
        <v>#N/A</v>
      </c>
      <c r="R29" s="18" t="e">
        <v>#N/A</v>
      </c>
    </row>
    <row r="30" spans="1:18" x14ac:dyDescent="0.35">
      <c r="A30" t="s">
        <v>1342</v>
      </c>
      <c r="B30" s="18">
        <v>310</v>
      </c>
      <c r="C30" s="18">
        <v>323</v>
      </c>
      <c r="D30" s="36" t="e">
        <v>#N/A</v>
      </c>
      <c r="E30" s="36" t="e">
        <v>#N/A</v>
      </c>
      <c r="F30" s="36">
        <v>60.3808550269056</v>
      </c>
      <c r="G30" s="36">
        <v>60.3</v>
      </c>
      <c r="H30" s="36">
        <v>54.8</v>
      </c>
      <c r="I30" s="38">
        <v>1.4624999999999999</v>
      </c>
      <c r="J30" s="36">
        <v>66.8</v>
      </c>
      <c r="K30" s="36">
        <v>69.7</v>
      </c>
      <c r="L30" s="22" t="e">
        <v>#N/A</v>
      </c>
      <c r="M30" s="18" t="e">
        <v>#N/A</v>
      </c>
      <c r="N30" s="18" t="e">
        <v>#N/A</v>
      </c>
      <c r="O30" s="18" t="e">
        <v>#N/A</v>
      </c>
      <c r="P30" s="18" t="e">
        <v>#N/A</v>
      </c>
      <c r="Q30" s="18" t="e">
        <v>#N/A</v>
      </c>
      <c r="R30" s="18" t="e">
        <v>#N/A</v>
      </c>
    </row>
    <row r="31" spans="1:18" x14ac:dyDescent="0.35">
      <c r="A31" t="s">
        <v>1343</v>
      </c>
      <c r="B31" s="18">
        <v>308</v>
      </c>
      <c r="C31" s="18">
        <v>321</v>
      </c>
      <c r="D31" s="36" t="e">
        <v>#N/A</v>
      </c>
      <c r="E31" s="36" t="e">
        <v>#N/A</v>
      </c>
      <c r="F31" s="36">
        <v>60.606840188290391</v>
      </c>
      <c r="G31" s="36">
        <v>60.5</v>
      </c>
      <c r="H31" s="36">
        <v>54.1</v>
      </c>
      <c r="I31" s="38">
        <v>1.4769000000000001</v>
      </c>
      <c r="J31" s="36">
        <v>67</v>
      </c>
      <c r="K31" s="36">
        <v>69.8</v>
      </c>
      <c r="L31" s="22" t="e">
        <v>#N/A</v>
      </c>
      <c r="M31" s="18" t="e">
        <v>#N/A</v>
      </c>
      <c r="N31" s="18" t="e">
        <v>#N/A</v>
      </c>
      <c r="O31" s="18" t="e">
        <v>#N/A</v>
      </c>
      <c r="P31" s="18" t="e">
        <v>#N/A</v>
      </c>
      <c r="Q31" s="18" t="e">
        <v>#N/A</v>
      </c>
      <c r="R31" s="18" t="e">
        <v>#N/A</v>
      </c>
    </row>
    <row r="32" spans="1:18" x14ac:dyDescent="0.35">
      <c r="A32" t="s">
        <v>1344</v>
      </c>
      <c r="B32" s="18">
        <v>310</v>
      </c>
      <c r="C32" s="18">
        <v>325</v>
      </c>
      <c r="D32" s="36" t="e">
        <v>#N/A</v>
      </c>
      <c r="E32" s="36" t="e">
        <v>#N/A</v>
      </c>
      <c r="F32" s="36">
        <v>60.712550707515746</v>
      </c>
      <c r="G32" s="36">
        <v>60.5</v>
      </c>
      <c r="H32" s="36">
        <v>54.6</v>
      </c>
      <c r="I32" s="38">
        <v>1.4529000000000001</v>
      </c>
      <c r="J32" s="36">
        <v>67.099999999999994</v>
      </c>
      <c r="K32" s="36">
        <v>70</v>
      </c>
      <c r="L32" s="22" t="e">
        <v>#N/A</v>
      </c>
      <c r="M32" s="18" t="e">
        <v>#N/A</v>
      </c>
      <c r="N32" s="18" t="e">
        <v>#N/A</v>
      </c>
      <c r="O32" s="18" t="e">
        <v>#N/A</v>
      </c>
      <c r="P32" s="18" t="e">
        <v>#N/A</v>
      </c>
      <c r="Q32" s="18" t="e">
        <v>#N/A</v>
      </c>
      <c r="R32" s="18" t="e">
        <v>#N/A</v>
      </c>
    </row>
    <row r="33" spans="1:18" x14ac:dyDescent="0.35">
      <c r="A33" t="s">
        <v>1345</v>
      </c>
      <c r="B33" s="18">
        <v>311</v>
      </c>
      <c r="C33" s="18">
        <v>326</v>
      </c>
      <c r="D33" s="36">
        <v>6.9</v>
      </c>
      <c r="E33" s="36">
        <v>6.1</v>
      </c>
      <c r="F33" s="36">
        <v>60.917522381199859</v>
      </c>
      <c r="G33" s="36">
        <v>60.6</v>
      </c>
      <c r="H33" s="36">
        <v>55.5</v>
      </c>
      <c r="I33" s="38">
        <v>1.4454</v>
      </c>
      <c r="J33" s="36">
        <v>67.900000000000006</v>
      </c>
      <c r="K33" s="36">
        <v>70.5</v>
      </c>
      <c r="L33" s="22" t="e">
        <v>#N/A</v>
      </c>
      <c r="M33" s="18" t="e">
        <v>#N/A</v>
      </c>
      <c r="N33" s="18" t="e">
        <v>#N/A</v>
      </c>
      <c r="O33" s="18" t="e">
        <v>#N/A</v>
      </c>
      <c r="P33" s="18" t="e">
        <v>#N/A</v>
      </c>
      <c r="Q33" s="18" t="e">
        <v>#N/A</v>
      </c>
      <c r="R33" s="18" t="e">
        <v>#N/A</v>
      </c>
    </row>
    <row r="34" spans="1:18" x14ac:dyDescent="0.35">
      <c r="A34" t="s">
        <v>1346</v>
      </c>
      <c r="B34" s="18">
        <v>312</v>
      </c>
      <c r="C34" s="18">
        <v>326</v>
      </c>
      <c r="D34" s="36">
        <v>7.1</v>
      </c>
      <c r="E34" s="36">
        <v>6.2</v>
      </c>
      <c r="F34" s="36">
        <v>61.285092407285582</v>
      </c>
      <c r="G34" s="36">
        <v>61.4</v>
      </c>
      <c r="H34" s="36">
        <v>55</v>
      </c>
      <c r="I34" s="38">
        <v>1.4350000000000001</v>
      </c>
      <c r="J34" s="36">
        <v>68.099999999999994</v>
      </c>
      <c r="K34" s="36">
        <v>70.599999999999994</v>
      </c>
      <c r="L34" s="22" t="e">
        <v>#N/A</v>
      </c>
      <c r="M34" s="18" t="e">
        <v>#N/A</v>
      </c>
      <c r="N34" s="18" t="e">
        <v>#N/A</v>
      </c>
      <c r="O34" s="18" t="e">
        <v>#N/A</v>
      </c>
      <c r="P34" s="18" t="e">
        <v>#N/A</v>
      </c>
      <c r="Q34" s="18" t="e">
        <v>#N/A</v>
      </c>
      <c r="R34" s="18" t="e">
        <v>#N/A</v>
      </c>
    </row>
    <row r="35" spans="1:18" x14ac:dyDescent="0.35">
      <c r="A35" t="s">
        <v>1347</v>
      </c>
      <c r="B35" s="18">
        <v>311</v>
      </c>
      <c r="C35" s="18">
        <v>327</v>
      </c>
      <c r="D35" s="36">
        <v>5.7</v>
      </c>
      <c r="E35" s="36">
        <v>5.0999999999999996</v>
      </c>
      <c r="F35" s="36">
        <v>61.603585672714409</v>
      </c>
      <c r="G35" s="36">
        <v>61.7</v>
      </c>
      <c r="H35" s="36">
        <v>55.8</v>
      </c>
      <c r="I35" s="38">
        <v>1.4258999999999999</v>
      </c>
      <c r="J35" s="36">
        <v>70</v>
      </c>
      <c r="K35" s="36">
        <v>71</v>
      </c>
      <c r="L35" s="22" t="e">
        <v>#N/A</v>
      </c>
      <c r="M35" s="18" t="e">
        <v>#N/A</v>
      </c>
      <c r="N35" s="18" t="e">
        <v>#N/A</v>
      </c>
      <c r="O35" s="18" t="e">
        <v>#N/A</v>
      </c>
      <c r="P35" s="18" t="e">
        <v>#N/A</v>
      </c>
      <c r="Q35" s="18" t="e">
        <v>#N/A</v>
      </c>
      <c r="R35" s="18" t="e">
        <v>#N/A</v>
      </c>
    </row>
    <row r="36" spans="1:18" x14ac:dyDescent="0.35">
      <c r="A36" t="s">
        <v>1348</v>
      </c>
      <c r="B36" s="18">
        <v>313</v>
      </c>
      <c r="C36" s="18">
        <v>328</v>
      </c>
      <c r="D36" s="36">
        <v>6.2</v>
      </c>
      <c r="E36" s="36">
        <v>5.5</v>
      </c>
      <c r="F36" s="36">
        <v>61.711169257511465</v>
      </c>
      <c r="G36" s="36">
        <v>61.8</v>
      </c>
      <c r="H36" s="36">
        <v>55.2</v>
      </c>
      <c r="I36" s="38">
        <v>1.4014</v>
      </c>
      <c r="J36" s="36">
        <v>70.400000000000006</v>
      </c>
      <c r="K36" s="36">
        <v>70.8</v>
      </c>
      <c r="L36" s="22" t="e">
        <v>#N/A</v>
      </c>
      <c r="M36" s="18" t="e">
        <v>#N/A</v>
      </c>
      <c r="N36" s="18" t="e">
        <v>#N/A</v>
      </c>
      <c r="O36" s="18" t="e">
        <v>#N/A</v>
      </c>
      <c r="P36" s="18" t="e">
        <v>#N/A</v>
      </c>
      <c r="Q36" s="18" t="e">
        <v>#N/A</v>
      </c>
      <c r="R36" s="18" t="e">
        <v>#N/A</v>
      </c>
    </row>
    <row r="37" spans="1:18" x14ac:dyDescent="0.35">
      <c r="A37" t="s">
        <v>1349</v>
      </c>
      <c r="B37" s="18">
        <v>313</v>
      </c>
      <c r="C37" s="18">
        <v>328</v>
      </c>
      <c r="D37" s="36">
        <v>5.5</v>
      </c>
      <c r="E37" s="36">
        <v>5.2</v>
      </c>
      <c r="F37" s="36">
        <v>61.996587599643831</v>
      </c>
      <c r="G37" s="36">
        <v>62.2</v>
      </c>
      <c r="H37" s="36">
        <v>56.9</v>
      </c>
      <c r="I37" s="38">
        <v>1.4138999999999999</v>
      </c>
      <c r="J37" s="36">
        <v>69</v>
      </c>
      <c r="K37" s="36">
        <v>70.8</v>
      </c>
      <c r="L37" s="22" t="e">
        <v>#N/A</v>
      </c>
      <c r="M37" s="18" t="e">
        <v>#N/A</v>
      </c>
      <c r="N37" s="18" t="e">
        <v>#N/A</v>
      </c>
      <c r="O37" s="18" t="e">
        <v>#N/A</v>
      </c>
      <c r="P37" s="18" t="e">
        <v>#N/A</v>
      </c>
      <c r="Q37" s="18" t="e">
        <v>#N/A</v>
      </c>
      <c r="R37" s="18" t="e">
        <v>#N/A</v>
      </c>
    </row>
    <row r="38" spans="1:18" x14ac:dyDescent="0.35">
      <c r="A38" t="s">
        <v>1350</v>
      </c>
      <c r="B38" s="18">
        <v>315</v>
      </c>
      <c r="C38" s="18">
        <v>331</v>
      </c>
      <c r="D38" s="36">
        <v>5.4</v>
      </c>
      <c r="E38" s="36">
        <v>5.3</v>
      </c>
      <c r="F38" s="36">
        <v>62.332025631772325</v>
      </c>
      <c r="G38" s="36">
        <v>62.5</v>
      </c>
      <c r="H38" s="36">
        <v>57</v>
      </c>
      <c r="I38" s="38">
        <v>1.4365000000000001</v>
      </c>
      <c r="J38" s="36">
        <v>68.8</v>
      </c>
      <c r="K38" s="36">
        <v>70.8</v>
      </c>
      <c r="L38" s="22" t="e">
        <v>#N/A</v>
      </c>
      <c r="M38" s="18" t="e">
        <v>#N/A</v>
      </c>
      <c r="N38" s="18" t="e">
        <v>#N/A</v>
      </c>
      <c r="O38" s="18" t="e">
        <v>#N/A</v>
      </c>
      <c r="P38" s="18" t="e">
        <v>#N/A</v>
      </c>
      <c r="Q38" s="18" t="e">
        <v>#N/A</v>
      </c>
      <c r="R38" s="18" t="e">
        <v>#N/A</v>
      </c>
    </row>
    <row r="39" spans="1:18" x14ac:dyDescent="0.35">
      <c r="A39" t="s">
        <v>1351</v>
      </c>
      <c r="B39" s="18">
        <v>315</v>
      </c>
      <c r="C39" s="18">
        <v>331</v>
      </c>
      <c r="D39" s="36">
        <v>4.8</v>
      </c>
      <c r="E39" s="36">
        <v>4.8</v>
      </c>
      <c r="F39" s="36">
        <v>62.311140140415368</v>
      </c>
      <c r="G39" s="36">
        <v>62.4</v>
      </c>
      <c r="H39" s="36">
        <v>55.8</v>
      </c>
      <c r="I39" s="38">
        <v>1.4635</v>
      </c>
      <c r="J39" s="36">
        <v>68.7</v>
      </c>
      <c r="K39" s="36">
        <v>71</v>
      </c>
      <c r="L39" s="22" t="e">
        <v>#N/A</v>
      </c>
      <c r="M39" s="18" t="e">
        <v>#N/A</v>
      </c>
      <c r="N39" s="18" t="e">
        <v>#N/A</v>
      </c>
      <c r="O39" s="18" t="e">
        <v>#N/A</v>
      </c>
      <c r="P39" s="18" t="e">
        <v>#N/A</v>
      </c>
      <c r="Q39" s="18" t="e">
        <v>#N/A</v>
      </c>
      <c r="R39" s="18" t="e">
        <v>#N/A</v>
      </c>
    </row>
    <row r="40" spans="1:18" x14ac:dyDescent="0.35">
      <c r="A40" t="s">
        <v>1352</v>
      </c>
      <c r="B40" s="18">
        <v>317</v>
      </c>
      <c r="C40" s="18">
        <v>333</v>
      </c>
      <c r="D40" s="36">
        <v>4.7</v>
      </c>
      <c r="E40" s="36">
        <v>4.8</v>
      </c>
      <c r="F40" s="36">
        <v>62.409867314995417</v>
      </c>
      <c r="G40" s="36">
        <v>62.5</v>
      </c>
      <c r="H40" s="36">
        <v>54.5</v>
      </c>
      <c r="I40" s="38">
        <v>1.4517</v>
      </c>
      <c r="J40" s="36">
        <v>68.8</v>
      </c>
      <c r="K40" s="36">
        <v>71.099999999999994</v>
      </c>
      <c r="L40" s="22" t="e">
        <v>#N/A</v>
      </c>
      <c r="M40" s="18" t="e">
        <v>#N/A</v>
      </c>
      <c r="N40" s="18" t="e">
        <v>#N/A</v>
      </c>
      <c r="O40" s="18" t="e">
        <v>#N/A</v>
      </c>
      <c r="P40" s="18" t="e">
        <v>#N/A</v>
      </c>
      <c r="Q40" s="18" t="e">
        <v>#N/A</v>
      </c>
      <c r="R40" s="18" t="e">
        <v>#N/A</v>
      </c>
    </row>
    <row r="41" spans="1:18" x14ac:dyDescent="0.35">
      <c r="A41" t="s">
        <v>1353</v>
      </c>
      <c r="B41" s="18">
        <v>318</v>
      </c>
      <c r="C41" s="18">
        <v>334</v>
      </c>
      <c r="D41" s="36">
        <v>4.5999999999999996</v>
      </c>
      <c r="E41" s="36">
        <v>4.5999999999999996</v>
      </c>
      <c r="F41" s="36">
        <v>62.54070145052242</v>
      </c>
      <c r="G41" s="36">
        <v>62.4</v>
      </c>
      <c r="H41" s="36">
        <v>55.1</v>
      </c>
      <c r="I41" s="38">
        <v>1.4358</v>
      </c>
      <c r="J41" s="36">
        <v>68.7</v>
      </c>
      <c r="K41" s="36">
        <v>71.3</v>
      </c>
      <c r="L41" s="22" t="e">
        <v>#N/A</v>
      </c>
      <c r="M41" s="18" t="e">
        <v>#N/A</v>
      </c>
      <c r="N41" s="18" t="e">
        <v>#N/A</v>
      </c>
      <c r="O41" s="18" t="e">
        <v>#N/A</v>
      </c>
      <c r="P41" s="18" t="e">
        <v>#N/A</v>
      </c>
      <c r="Q41" s="18" t="e">
        <v>#N/A</v>
      </c>
      <c r="R41" s="18" t="e">
        <v>#N/A</v>
      </c>
    </row>
    <row r="42" spans="1:18" x14ac:dyDescent="0.35">
      <c r="A42" t="s">
        <v>1354</v>
      </c>
      <c r="B42" s="18">
        <v>320</v>
      </c>
      <c r="C42" s="18">
        <v>334</v>
      </c>
      <c r="D42" s="36">
        <v>4.3</v>
      </c>
      <c r="E42" s="36">
        <v>4.2</v>
      </c>
      <c r="F42" s="36">
        <v>62.748320821672287</v>
      </c>
      <c r="G42" s="36">
        <v>62.7</v>
      </c>
      <c r="H42" s="36">
        <v>54.6</v>
      </c>
      <c r="I42" s="38">
        <v>1.4409000000000001</v>
      </c>
      <c r="J42" s="36">
        <v>69.099999999999994</v>
      </c>
      <c r="K42" s="36">
        <v>71.5</v>
      </c>
      <c r="L42" s="22" t="e">
        <v>#N/A</v>
      </c>
      <c r="M42" s="18" t="e">
        <v>#N/A</v>
      </c>
      <c r="N42" s="18" t="e">
        <v>#N/A</v>
      </c>
      <c r="O42" s="18" t="e">
        <v>#N/A</v>
      </c>
      <c r="P42" s="18" t="e">
        <v>#N/A</v>
      </c>
      <c r="Q42" s="18" t="e">
        <v>#N/A</v>
      </c>
      <c r="R42" s="18" t="e">
        <v>#N/A</v>
      </c>
    </row>
    <row r="43" spans="1:18" x14ac:dyDescent="0.35">
      <c r="A43" t="s">
        <v>1355</v>
      </c>
      <c r="B43" s="18">
        <v>321</v>
      </c>
      <c r="C43" s="18">
        <v>333</v>
      </c>
      <c r="D43" s="36">
        <v>4</v>
      </c>
      <c r="E43" s="36">
        <v>3.8</v>
      </c>
      <c r="F43" s="36">
        <v>63.027930465098528</v>
      </c>
      <c r="G43" s="36">
        <v>62.9</v>
      </c>
      <c r="H43" s="36">
        <v>53.8</v>
      </c>
      <c r="I43" s="38">
        <v>1.4322999999999999</v>
      </c>
      <c r="J43" s="36">
        <v>69.7</v>
      </c>
      <c r="K43" s="36">
        <v>71.7</v>
      </c>
      <c r="L43" s="22" t="e">
        <v>#N/A</v>
      </c>
      <c r="M43" s="18" t="e">
        <v>#N/A</v>
      </c>
      <c r="N43" s="18" t="e">
        <v>#N/A</v>
      </c>
      <c r="O43" s="18" t="e">
        <v>#N/A</v>
      </c>
      <c r="P43" s="18" t="e">
        <v>#N/A</v>
      </c>
      <c r="Q43" s="18" t="e">
        <v>#N/A</v>
      </c>
      <c r="R43" s="18" t="e">
        <v>#N/A</v>
      </c>
    </row>
    <row r="44" spans="1:18" x14ac:dyDescent="0.35">
      <c r="A44" t="s">
        <v>1356</v>
      </c>
      <c r="B44" s="18">
        <v>319</v>
      </c>
      <c r="C44" s="18">
        <v>334</v>
      </c>
      <c r="D44" s="36">
        <v>3.4</v>
      </c>
      <c r="E44" s="36">
        <v>3.2</v>
      </c>
      <c r="F44" s="36">
        <v>63.232449239808076</v>
      </c>
      <c r="G44" s="36">
        <v>63</v>
      </c>
      <c r="H44" s="36">
        <v>52</v>
      </c>
      <c r="I44" s="38">
        <v>1.4231</v>
      </c>
      <c r="J44" s="36">
        <v>69.599999999999994</v>
      </c>
      <c r="K44" s="36">
        <v>71.7</v>
      </c>
      <c r="L44" s="22" t="e">
        <v>#N/A</v>
      </c>
      <c r="M44" s="18" t="e">
        <v>#N/A</v>
      </c>
      <c r="N44" s="18" t="e">
        <v>#N/A</v>
      </c>
      <c r="O44" s="18" t="e">
        <v>#N/A</v>
      </c>
      <c r="P44" s="18" t="e">
        <v>#N/A</v>
      </c>
      <c r="Q44" s="18" t="e">
        <v>#N/A</v>
      </c>
      <c r="R44" s="18" t="e">
        <v>#N/A</v>
      </c>
    </row>
    <row r="45" spans="1:18" x14ac:dyDescent="0.35">
      <c r="A45" t="s">
        <v>1357</v>
      </c>
      <c r="B45" s="18">
        <v>319</v>
      </c>
      <c r="C45" s="18">
        <v>334</v>
      </c>
      <c r="D45" s="36">
        <v>3.2</v>
      </c>
      <c r="E45" s="36">
        <v>3</v>
      </c>
      <c r="F45" s="36">
        <v>63.524175521556138</v>
      </c>
      <c r="G45" s="36">
        <v>63.2</v>
      </c>
      <c r="H45" s="36">
        <v>52.3</v>
      </c>
      <c r="I45" s="38">
        <v>1.4225000000000001</v>
      </c>
      <c r="J45" s="36">
        <v>69.8</v>
      </c>
      <c r="K45" s="36">
        <v>71.7</v>
      </c>
      <c r="L45" s="22" t="e">
        <v>#N/A</v>
      </c>
      <c r="M45" s="18" t="e">
        <v>#N/A</v>
      </c>
      <c r="N45" s="18" t="e">
        <v>#N/A</v>
      </c>
      <c r="O45" s="18" t="e">
        <v>#N/A</v>
      </c>
      <c r="P45" s="18" t="e">
        <v>#N/A</v>
      </c>
      <c r="Q45" s="18" t="e">
        <v>#N/A</v>
      </c>
      <c r="R45" s="18" t="e">
        <v>#N/A</v>
      </c>
    </row>
    <row r="46" spans="1:18" x14ac:dyDescent="0.35">
      <c r="A46" t="s">
        <v>1358</v>
      </c>
      <c r="B46" s="18">
        <v>322</v>
      </c>
      <c r="C46" s="18">
        <v>338</v>
      </c>
      <c r="D46" s="36">
        <v>3</v>
      </c>
      <c r="E46" s="36">
        <v>3</v>
      </c>
      <c r="F46" s="36">
        <v>63.796278050306668</v>
      </c>
      <c r="G46" s="36">
        <v>63.9</v>
      </c>
      <c r="H46" s="36">
        <v>51.4</v>
      </c>
      <c r="I46" s="38">
        <v>1.4434</v>
      </c>
      <c r="J46" s="36">
        <v>69.599999999999994</v>
      </c>
      <c r="K46" s="36">
        <v>71.7</v>
      </c>
      <c r="L46" s="22" t="e">
        <v>#N/A</v>
      </c>
      <c r="M46" s="18" t="e">
        <v>#N/A</v>
      </c>
      <c r="N46" s="18" t="e">
        <v>#N/A</v>
      </c>
      <c r="O46" s="18" t="e">
        <v>#N/A</v>
      </c>
      <c r="P46" s="18" t="e">
        <v>#N/A</v>
      </c>
      <c r="Q46" s="18" t="e">
        <v>#N/A</v>
      </c>
      <c r="R46" s="18" t="e">
        <v>#N/A</v>
      </c>
    </row>
    <row r="47" spans="1:18" x14ac:dyDescent="0.35">
      <c r="A47" t="s">
        <v>1359</v>
      </c>
      <c r="B47" s="18">
        <v>324</v>
      </c>
      <c r="C47" s="18">
        <v>339</v>
      </c>
      <c r="D47" s="36">
        <v>3.4</v>
      </c>
      <c r="E47" s="36">
        <v>3.3</v>
      </c>
      <c r="F47" s="36">
        <v>64.108210805178871</v>
      </c>
      <c r="G47" s="36">
        <v>64.2</v>
      </c>
      <c r="H47" s="36">
        <v>50.8</v>
      </c>
      <c r="I47" s="38">
        <v>1.4593</v>
      </c>
      <c r="J47" s="36">
        <v>69.400000000000006</v>
      </c>
      <c r="K47" s="36">
        <v>71.8</v>
      </c>
      <c r="L47" s="22" t="e">
        <v>#N/A</v>
      </c>
      <c r="M47" s="18" t="e">
        <v>#N/A</v>
      </c>
      <c r="N47" s="18" t="e">
        <v>#N/A</v>
      </c>
      <c r="O47" s="18" t="e">
        <v>#N/A</v>
      </c>
      <c r="P47" s="18" t="e">
        <v>#N/A</v>
      </c>
      <c r="Q47" s="18" t="e">
        <v>#N/A</v>
      </c>
      <c r="R47" s="18" t="e">
        <v>#N/A</v>
      </c>
    </row>
    <row r="48" spans="1:18" x14ac:dyDescent="0.35">
      <c r="A48" t="s">
        <v>1360</v>
      </c>
      <c r="B48" s="18">
        <v>326</v>
      </c>
      <c r="C48" s="18">
        <v>340</v>
      </c>
      <c r="D48" s="36">
        <v>3.7</v>
      </c>
      <c r="E48" s="36">
        <v>3.7</v>
      </c>
      <c r="F48" s="36">
        <v>64.408197046630676</v>
      </c>
      <c r="G48" s="36">
        <v>64.5</v>
      </c>
      <c r="H48" s="36">
        <v>51.6</v>
      </c>
      <c r="I48" s="38">
        <v>1.4863</v>
      </c>
      <c r="J48" s="36">
        <v>68.900000000000006</v>
      </c>
      <c r="K48" s="36">
        <v>71.8</v>
      </c>
      <c r="L48" s="22" t="e">
        <v>#N/A</v>
      </c>
      <c r="M48" s="18" t="e">
        <v>#N/A</v>
      </c>
      <c r="N48" s="18" t="e">
        <v>#N/A</v>
      </c>
      <c r="O48" s="18" t="e">
        <v>#N/A</v>
      </c>
      <c r="P48" s="18" t="e">
        <v>#N/A</v>
      </c>
      <c r="Q48" s="18" t="e">
        <v>#N/A</v>
      </c>
      <c r="R48" s="18" t="e">
        <v>#N/A</v>
      </c>
    </row>
    <row r="49" spans="1:18" x14ac:dyDescent="0.35">
      <c r="A49" t="s">
        <v>1361</v>
      </c>
      <c r="B49" s="18">
        <v>326</v>
      </c>
      <c r="C49" s="18">
        <v>341</v>
      </c>
      <c r="D49" s="36">
        <v>4.0999999999999996</v>
      </c>
      <c r="E49" s="36">
        <v>3.8</v>
      </c>
      <c r="F49" s="36">
        <v>64.542580275923626</v>
      </c>
      <c r="G49" s="36">
        <v>64.8</v>
      </c>
      <c r="H49" s="36">
        <v>52.3</v>
      </c>
      <c r="I49" s="38">
        <v>1.5546</v>
      </c>
      <c r="J49" s="36">
        <v>68.8</v>
      </c>
      <c r="K49" s="36">
        <v>71.8</v>
      </c>
      <c r="L49" s="22" t="e">
        <v>#N/A</v>
      </c>
      <c r="M49" s="18" t="e">
        <v>#N/A</v>
      </c>
      <c r="N49" s="18" t="e">
        <v>#N/A</v>
      </c>
      <c r="O49" s="18" t="e">
        <v>#N/A</v>
      </c>
      <c r="P49" s="18" t="e">
        <v>#N/A</v>
      </c>
      <c r="Q49" s="18" t="e">
        <v>#N/A</v>
      </c>
      <c r="R49" s="18" t="e">
        <v>#N/A</v>
      </c>
    </row>
    <row r="50" spans="1:18" x14ac:dyDescent="0.35">
      <c r="A50" t="s">
        <v>1362</v>
      </c>
      <c r="B50" s="18">
        <v>325</v>
      </c>
      <c r="C50" s="18">
        <v>341</v>
      </c>
      <c r="D50" s="36">
        <v>3.8</v>
      </c>
      <c r="E50" s="36">
        <v>3.6</v>
      </c>
      <c r="F50" s="36">
        <v>64.971647673845382</v>
      </c>
      <c r="G50" s="36">
        <v>65.2</v>
      </c>
      <c r="H50" s="36">
        <v>53.7</v>
      </c>
      <c r="I50" s="38">
        <v>1.5377000000000001</v>
      </c>
      <c r="J50" s="36">
        <v>68.7</v>
      </c>
      <c r="K50" s="36">
        <v>71.7</v>
      </c>
      <c r="L50" s="22" t="e">
        <v>#N/A</v>
      </c>
      <c r="M50" s="18" t="e">
        <v>#N/A</v>
      </c>
      <c r="N50" s="18" t="e">
        <v>#N/A</v>
      </c>
      <c r="O50" s="18" t="e">
        <v>#N/A</v>
      </c>
      <c r="P50" s="18" t="e">
        <v>#N/A</v>
      </c>
      <c r="Q50" s="18" t="e">
        <v>#N/A</v>
      </c>
      <c r="R50" s="18" t="e">
        <v>#N/A</v>
      </c>
    </row>
    <row r="51" spans="1:18" x14ac:dyDescent="0.35">
      <c r="A51" t="s">
        <v>1363</v>
      </c>
      <c r="B51" s="18">
        <v>326</v>
      </c>
      <c r="C51" s="18">
        <v>342</v>
      </c>
      <c r="D51" s="36">
        <v>3.6</v>
      </c>
      <c r="E51" s="36">
        <v>3.4</v>
      </c>
      <c r="F51" s="36">
        <v>64.840147412613703</v>
      </c>
      <c r="G51" s="36">
        <v>64.900000000000006</v>
      </c>
      <c r="H51" s="36">
        <v>55.1</v>
      </c>
      <c r="I51" s="38">
        <v>1.5561</v>
      </c>
      <c r="J51" s="36">
        <v>68.8</v>
      </c>
      <c r="K51" s="36">
        <v>71.7</v>
      </c>
      <c r="L51" s="22" t="e">
        <v>#N/A</v>
      </c>
      <c r="M51" s="18" t="e">
        <v>#N/A</v>
      </c>
      <c r="N51" s="18" t="e">
        <v>#N/A</v>
      </c>
      <c r="O51" s="18" t="e">
        <v>#N/A</v>
      </c>
      <c r="P51" s="18" t="e">
        <v>#N/A</v>
      </c>
      <c r="Q51" s="18" t="e">
        <v>#N/A</v>
      </c>
      <c r="R51" s="18" t="e">
        <v>#N/A</v>
      </c>
    </row>
    <row r="52" spans="1:18" x14ac:dyDescent="0.35">
      <c r="A52" t="s">
        <v>1364</v>
      </c>
      <c r="B52" s="18">
        <v>327</v>
      </c>
      <c r="C52" s="18">
        <v>342</v>
      </c>
      <c r="D52" s="36">
        <v>3.2</v>
      </c>
      <c r="E52" s="36">
        <v>3.1</v>
      </c>
      <c r="F52" s="36">
        <v>65.235641487364063</v>
      </c>
      <c r="G52" s="36">
        <v>65.3</v>
      </c>
      <c r="H52" s="36">
        <v>55.5</v>
      </c>
      <c r="I52" s="38">
        <v>1.5573999999999999</v>
      </c>
      <c r="J52" s="36">
        <v>69</v>
      </c>
      <c r="K52" s="36">
        <v>71.7</v>
      </c>
      <c r="L52" s="22" t="e">
        <v>#N/A</v>
      </c>
      <c r="M52" s="18" t="e">
        <v>#N/A</v>
      </c>
      <c r="N52" s="18" t="e">
        <v>#N/A</v>
      </c>
      <c r="O52" s="18" t="e">
        <v>#N/A</v>
      </c>
      <c r="P52" s="18" t="e">
        <v>#N/A</v>
      </c>
      <c r="Q52" s="18" t="e">
        <v>#N/A</v>
      </c>
      <c r="R52" s="18" t="e">
        <v>#N/A</v>
      </c>
    </row>
    <row r="53" spans="1:18" x14ac:dyDescent="0.35">
      <c r="A53" t="s">
        <v>1365</v>
      </c>
      <c r="B53" s="18">
        <v>328</v>
      </c>
      <c r="C53" s="18">
        <v>343</v>
      </c>
      <c r="D53" s="36">
        <v>3.2</v>
      </c>
      <c r="E53" s="36">
        <v>3</v>
      </c>
      <c r="F53" s="36">
        <v>65.380087905859781</v>
      </c>
      <c r="G53" s="36">
        <v>65.2</v>
      </c>
      <c r="H53" s="36">
        <v>56.6</v>
      </c>
      <c r="I53" s="38">
        <v>1.5723</v>
      </c>
      <c r="J53" s="36">
        <v>68.900000000000006</v>
      </c>
      <c r="K53" s="36">
        <v>71.7</v>
      </c>
      <c r="L53" s="22" t="e">
        <v>#N/A</v>
      </c>
      <c r="M53" s="18" t="e">
        <v>#N/A</v>
      </c>
      <c r="N53" s="18" t="e">
        <v>#N/A</v>
      </c>
      <c r="O53" s="18" t="e">
        <v>#N/A</v>
      </c>
      <c r="P53" s="18" t="e">
        <v>#N/A</v>
      </c>
      <c r="Q53" s="18" t="e">
        <v>#N/A</v>
      </c>
      <c r="R53" s="18" t="e">
        <v>#N/A</v>
      </c>
    </row>
    <row r="54" spans="1:18" x14ac:dyDescent="0.35">
      <c r="A54" t="s">
        <v>1366</v>
      </c>
      <c r="B54" s="18">
        <v>327</v>
      </c>
      <c r="C54" s="18">
        <v>343</v>
      </c>
      <c r="D54" s="36">
        <v>2.8</v>
      </c>
      <c r="E54" s="36">
        <v>2.8</v>
      </c>
      <c r="F54" s="36">
        <v>65.914557073778823</v>
      </c>
      <c r="G54" s="36">
        <v>65.900000000000006</v>
      </c>
      <c r="H54" s="36">
        <v>56</v>
      </c>
      <c r="I54" s="38">
        <v>1.5863</v>
      </c>
      <c r="J54" s="36">
        <v>68.900000000000006</v>
      </c>
      <c r="K54" s="36">
        <v>71.900000000000006</v>
      </c>
      <c r="L54" s="22" t="e">
        <v>#N/A</v>
      </c>
      <c r="M54" s="18" t="e">
        <v>#N/A</v>
      </c>
      <c r="N54" s="18" t="e">
        <v>#N/A</v>
      </c>
      <c r="O54" s="18" t="e">
        <v>#N/A</v>
      </c>
      <c r="P54" s="18" t="e">
        <v>#N/A</v>
      </c>
      <c r="Q54" s="18" t="e">
        <v>#N/A</v>
      </c>
      <c r="R54" s="18" t="e">
        <v>#N/A</v>
      </c>
    </row>
    <row r="55" spans="1:18" x14ac:dyDescent="0.35">
      <c r="A55" t="s">
        <v>1367</v>
      </c>
      <c r="B55" s="18">
        <v>328</v>
      </c>
      <c r="C55" s="18">
        <v>339</v>
      </c>
      <c r="D55" s="36">
        <v>2.6</v>
      </c>
      <c r="E55" s="36">
        <v>2.5</v>
      </c>
      <c r="F55" s="36">
        <v>65.84907012399762</v>
      </c>
      <c r="G55" s="36">
        <v>65.7</v>
      </c>
      <c r="H55" s="36">
        <v>56.2</v>
      </c>
      <c r="I55" s="38">
        <v>1.6169</v>
      </c>
      <c r="J55" s="36">
        <v>68.900000000000006</v>
      </c>
      <c r="K55" s="36">
        <v>71.900000000000006</v>
      </c>
      <c r="L55" s="22" t="e">
        <v>#N/A</v>
      </c>
      <c r="M55" s="18" t="e">
        <v>#N/A</v>
      </c>
      <c r="N55" s="18" t="e">
        <v>#N/A</v>
      </c>
      <c r="O55" s="18" t="e">
        <v>#N/A</v>
      </c>
      <c r="P55" s="18" t="e">
        <v>#N/A</v>
      </c>
      <c r="Q55" s="18" t="e">
        <v>#N/A</v>
      </c>
      <c r="R55" s="18" t="e">
        <v>#N/A</v>
      </c>
    </row>
    <row r="56" spans="1:18" x14ac:dyDescent="0.35">
      <c r="A56" t="s">
        <v>1368</v>
      </c>
      <c r="B56" s="18">
        <v>324</v>
      </c>
      <c r="C56" s="18">
        <v>341</v>
      </c>
      <c r="D56" s="36">
        <v>2.1</v>
      </c>
      <c r="E56" s="36">
        <v>2.2000000000000002</v>
      </c>
      <c r="F56" s="36">
        <v>66.043722841153667</v>
      </c>
      <c r="G56" s="36">
        <v>65.8</v>
      </c>
      <c r="H56" s="36">
        <v>56.9</v>
      </c>
      <c r="I56" s="38">
        <v>1.6085</v>
      </c>
      <c r="J56" s="36">
        <v>69.3</v>
      </c>
      <c r="K56" s="36">
        <v>71.900000000000006</v>
      </c>
      <c r="L56" s="22" t="e">
        <v>#N/A</v>
      </c>
      <c r="M56" s="18" t="e">
        <v>#N/A</v>
      </c>
      <c r="N56" s="18" t="e">
        <v>#N/A</v>
      </c>
      <c r="O56" s="18" t="e">
        <v>#N/A</v>
      </c>
      <c r="P56" s="18" t="e">
        <v>#N/A</v>
      </c>
      <c r="Q56" s="18" t="e">
        <v>#N/A</v>
      </c>
      <c r="R56" s="18" t="e">
        <v>#N/A</v>
      </c>
    </row>
    <row r="57" spans="1:18" x14ac:dyDescent="0.35">
      <c r="A57" t="s">
        <v>1369</v>
      </c>
      <c r="B57" s="18">
        <v>332</v>
      </c>
      <c r="C57" s="18">
        <v>349</v>
      </c>
      <c r="D57" s="36">
        <v>2.6</v>
      </c>
      <c r="E57" s="36">
        <v>2.8</v>
      </c>
      <c r="F57" s="36">
        <v>66.216628602559737</v>
      </c>
      <c r="G57" s="36">
        <v>65.900000000000006</v>
      </c>
      <c r="H57" s="36">
        <v>55.9</v>
      </c>
      <c r="I57" s="38">
        <v>1.5835999999999999</v>
      </c>
      <c r="J57" s="36">
        <v>69.599999999999994</v>
      </c>
      <c r="K57" s="36">
        <v>72.2</v>
      </c>
      <c r="L57" s="22" t="e">
        <v>#N/A</v>
      </c>
      <c r="M57" s="18" t="e">
        <v>#N/A</v>
      </c>
      <c r="N57" s="18" t="e">
        <v>#N/A</v>
      </c>
      <c r="O57" s="18" t="e">
        <v>#N/A</v>
      </c>
      <c r="P57" s="18" t="e">
        <v>#N/A</v>
      </c>
      <c r="Q57" s="18" t="e">
        <v>#N/A</v>
      </c>
      <c r="R57" s="18" t="e">
        <v>#N/A</v>
      </c>
    </row>
    <row r="58" spans="1:18" x14ac:dyDescent="0.35">
      <c r="A58" t="s">
        <v>1370</v>
      </c>
      <c r="B58" s="18">
        <v>333</v>
      </c>
      <c r="C58" s="18">
        <v>347</v>
      </c>
      <c r="D58" s="36">
        <v>3</v>
      </c>
      <c r="E58" s="36">
        <v>3</v>
      </c>
      <c r="F58" s="36">
        <v>66.417010913673366</v>
      </c>
      <c r="G58" s="36">
        <v>66.5</v>
      </c>
      <c r="H58" s="36">
        <v>55.9</v>
      </c>
      <c r="I58" s="38">
        <v>1.5747</v>
      </c>
      <c r="J58" s="36">
        <v>69.8</v>
      </c>
      <c r="K58" s="36">
        <v>72.5</v>
      </c>
      <c r="L58" s="22" t="e">
        <v>#N/A</v>
      </c>
      <c r="M58" s="18" t="e">
        <v>#N/A</v>
      </c>
      <c r="N58" s="18" t="e">
        <v>#N/A</v>
      </c>
      <c r="O58" s="18" t="e">
        <v>#N/A</v>
      </c>
      <c r="P58" s="18" t="e">
        <v>#N/A</v>
      </c>
      <c r="Q58" s="18" t="e">
        <v>#N/A</v>
      </c>
      <c r="R58" s="18" t="e">
        <v>#N/A</v>
      </c>
    </row>
    <row r="59" spans="1:18" x14ac:dyDescent="0.35">
      <c r="A59" t="s">
        <v>1371</v>
      </c>
      <c r="B59" s="18">
        <v>334</v>
      </c>
      <c r="C59" s="18">
        <v>348</v>
      </c>
      <c r="D59" s="36">
        <v>3.4</v>
      </c>
      <c r="E59" s="36">
        <v>3.3</v>
      </c>
      <c r="F59" s="36">
        <v>66.418449302057923</v>
      </c>
      <c r="G59" s="36">
        <v>66.5</v>
      </c>
      <c r="H59" s="36">
        <v>56.7</v>
      </c>
      <c r="I59" s="38">
        <v>1.623</v>
      </c>
      <c r="J59" s="36">
        <v>70.2</v>
      </c>
      <c r="K59" s="36">
        <v>72.599999999999994</v>
      </c>
      <c r="L59" s="22" t="e">
        <v>#N/A</v>
      </c>
      <c r="M59" s="18" t="e">
        <v>#N/A</v>
      </c>
      <c r="N59" s="18" t="e">
        <v>#N/A</v>
      </c>
      <c r="O59" s="18" t="e">
        <v>#N/A</v>
      </c>
      <c r="P59" s="18" t="e">
        <v>#N/A</v>
      </c>
      <c r="Q59" s="18" t="e">
        <v>#N/A</v>
      </c>
      <c r="R59" s="18" t="e">
        <v>#N/A</v>
      </c>
    </row>
    <row r="60" spans="1:18" x14ac:dyDescent="0.35">
      <c r="A60" t="s">
        <v>1372</v>
      </c>
      <c r="B60" s="18">
        <v>334</v>
      </c>
      <c r="C60" s="18">
        <v>349</v>
      </c>
      <c r="D60" s="36">
        <v>3</v>
      </c>
      <c r="E60" s="36">
        <v>2.7</v>
      </c>
      <c r="F60" s="36">
        <v>66.611533541714252</v>
      </c>
      <c r="G60" s="36">
        <v>66.7</v>
      </c>
      <c r="H60" s="36">
        <v>56.4</v>
      </c>
      <c r="I60" s="38">
        <v>1.6606000000000001</v>
      </c>
      <c r="J60" s="36">
        <v>69.8</v>
      </c>
      <c r="K60" s="36">
        <v>72.7</v>
      </c>
      <c r="L60" s="22" t="e">
        <v>#N/A</v>
      </c>
      <c r="M60" s="18" t="e">
        <v>#N/A</v>
      </c>
      <c r="N60" s="18" t="e">
        <v>#N/A</v>
      </c>
      <c r="O60" s="18" t="e">
        <v>#N/A</v>
      </c>
      <c r="P60" s="18" t="e">
        <v>#N/A</v>
      </c>
      <c r="Q60" s="18" t="e">
        <v>#N/A</v>
      </c>
      <c r="R60" s="18" t="e">
        <v>#N/A</v>
      </c>
    </row>
    <row r="61" spans="1:18" x14ac:dyDescent="0.35">
      <c r="A61" t="s">
        <v>1373</v>
      </c>
      <c r="B61" s="18">
        <v>336</v>
      </c>
      <c r="C61" s="18">
        <v>351</v>
      </c>
      <c r="D61" s="36">
        <v>2.9</v>
      </c>
      <c r="E61" s="36">
        <v>2.7</v>
      </c>
      <c r="F61" s="36">
        <v>66.794874023856991</v>
      </c>
      <c r="G61" s="36">
        <v>67.099999999999994</v>
      </c>
      <c r="H61" s="36">
        <v>57.1</v>
      </c>
      <c r="I61" s="38">
        <v>1.6242000000000001</v>
      </c>
      <c r="J61" s="36">
        <v>69.8</v>
      </c>
      <c r="K61" s="36">
        <v>72.7</v>
      </c>
      <c r="L61" s="22" t="e">
        <v>#N/A</v>
      </c>
      <c r="M61" s="18" t="e">
        <v>#N/A</v>
      </c>
      <c r="N61" s="18" t="e">
        <v>#N/A</v>
      </c>
      <c r="O61" s="18" t="e">
        <v>#N/A</v>
      </c>
      <c r="P61" s="18" t="e">
        <v>#N/A</v>
      </c>
      <c r="Q61" s="18" t="e">
        <v>#N/A</v>
      </c>
      <c r="R61" s="18" t="e">
        <v>#N/A</v>
      </c>
    </row>
    <row r="62" spans="1:18" x14ac:dyDescent="0.35">
      <c r="A62" t="s">
        <v>1374</v>
      </c>
      <c r="B62" s="18">
        <v>336</v>
      </c>
      <c r="C62" s="18">
        <v>352</v>
      </c>
      <c r="D62" s="36">
        <v>3</v>
      </c>
      <c r="E62" s="36">
        <v>2.9</v>
      </c>
      <c r="F62" s="36">
        <v>66.909972627285669</v>
      </c>
      <c r="G62" s="36">
        <v>67.2</v>
      </c>
      <c r="H62" s="36">
        <v>57.8</v>
      </c>
      <c r="I62" s="38">
        <v>1.595</v>
      </c>
      <c r="J62" s="36">
        <v>69.8</v>
      </c>
      <c r="K62" s="36">
        <v>72.8</v>
      </c>
      <c r="L62" s="22" t="e">
        <v>#N/A</v>
      </c>
      <c r="M62" s="18" t="e">
        <v>#N/A</v>
      </c>
      <c r="N62" s="18" t="e">
        <v>#N/A</v>
      </c>
      <c r="O62" s="18" t="e">
        <v>#N/A</v>
      </c>
      <c r="P62" s="18" t="e">
        <v>#N/A</v>
      </c>
      <c r="Q62" s="18" t="e">
        <v>#N/A</v>
      </c>
      <c r="R62" s="18" t="e">
        <v>#N/A</v>
      </c>
    </row>
    <row r="63" spans="1:18" x14ac:dyDescent="0.35">
      <c r="A63" t="s">
        <v>1375</v>
      </c>
      <c r="B63" s="18">
        <v>338</v>
      </c>
      <c r="C63" s="18">
        <v>355</v>
      </c>
      <c r="D63" s="36">
        <v>3.3</v>
      </c>
      <c r="E63" s="36">
        <v>3.3</v>
      </c>
      <c r="F63" s="36">
        <v>67.181253791027572</v>
      </c>
      <c r="G63" s="36">
        <v>67.2</v>
      </c>
      <c r="H63" s="36">
        <v>59</v>
      </c>
      <c r="I63" s="38">
        <v>1.6131</v>
      </c>
      <c r="J63" s="36">
        <v>70.400000000000006</v>
      </c>
      <c r="K63" s="36">
        <v>72.7</v>
      </c>
      <c r="L63" s="22" t="e">
        <v>#N/A</v>
      </c>
      <c r="M63" s="18" t="e">
        <v>#N/A</v>
      </c>
      <c r="N63" s="18" t="e">
        <v>#N/A</v>
      </c>
      <c r="O63" s="18" t="e">
        <v>#N/A</v>
      </c>
      <c r="P63" s="18" t="e">
        <v>#N/A</v>
      </c>
      <c r="Q63" s="18" t="e">
        <v>#N/A</v>
      </c>
      <c r="R63" s="18" t="e">
        <v>#N/A</v>
      </c>
    </row>
    <row r="64" spans="1:18" x14ac:dyDescent="0.35">
      <c r="A64" t="s">
        <v>1376</v>
      </c>
      <c r="B64" s="18">
        <v>340</v>
      </c>
      <c r="C64" s="18">
        <v>357</v>
      </c>
      <c r="D64" s="36">
        <v>3.7</v>
      </c>
      <c r="E64" s="36">
        <v>3.7</v>
      </c>
      <c r="F64" s="36">
        <v>67.361102449316988</v>
      </c>
      <c r="G64" s="36">
        <v>67.400000000000006</v>
      </c>
      <c r="H64" s="36">
        <v>60.6</v>
      </c>
      <c r="I64" s="38">
        <v>1.6787000000000001</v>
      </c>
      <c r="J64" s="36">
        <v>70.5</v>
      </c>
      <c r="K64" s="36">
        <v>72.8</v>
      </c>
      <c r="L64" s="22" t="e">
        <v>#N/A</v>
      </c>
      <c r="M64" s="18" t="e">
        <v>#N/A</v>
      </c>
      <c r="N64" s="18" t="e">
        <v>#N/A</v>
      </c>
      <c r="O64" s="18" t="e">
        <v>#N/A</v>
      </c>
      <c r="P64" s="18" t="e">
        <v>#N/A</v>
      </c>
      <c r="Q64" s="18" t="e">
        <v>#N/A</v>
      </c>
      <c r="R64" s="18" t="e">
        <v>#N/A</v>
      </c>
    </row>
    <row r="65" spans="1:18" x14ac:dyDescent="0.35">
      <c r="A65" t="s">
        <v>1377</v>
      </c>
      <c r="B65" s="18">
        <v>341</v>
      </c>
      <c r="C65" s="18">
        <v>357</v>
      </c>
      <c r="D65" s="36">
        <v>3.9</v>
      </c>
      <c r="E65" s="36">
        <v>3.9</v>
      </c>
      <c r="F65" s="36">
        <v>67.501254515134647</v>
      </c>
      <c r="G65" s="36">
        <v>67.3</v>
      </c>
      <c r="H65" s="36">
        <v>62</v>
      </c>
      <c r="I65" s="38">
        <v>1.6900999999999999</v>
      </c>
      <c r="J65" s="36">
        <v>70.7</v>
      </c>
      <c r="K65" s="36">
        <v>73.099999999999994</v>
      </c>
      <c r="L65" s="22" t="e">
        <v>#N/A</v>
      </c>
      <c r="M65" s="18" t="e">
        <v>#N/A</v>
      </c>
      <c r="N65" s="18" t="e">
        <v>#N/A</v>
      </c>
      <c r="O65" s="18" t="e">
        <v>#N/A</v>
      </c>
      <c r="P65" s="18" t="e">
        <v>#N/A</v>
      </c>
      <c r="Q65" s="18" t="e">
        <v>#N/A</v>
      </c>
      <c r="R65" s="18" t="e">
        <v>#N/A</v>
      </c>
    </row>
    <row r="66" spans="1:18" x14ac:dyDescent="0.35">
      <c r="A66" t="s">
        <v>1378</v>
      </c>
      <c r="B66" s="18">
        <v>341</v>
      </c>
      <c r="C66" s="18">
        <v>357</v>
      </c>
      <c r="D66" s="36">
        <v>4.0999999999999996</v>
      </c>
      <c r="E66" s="36">
        <v>4.0999999999999996</v>
      </c>
      <c r="F66" s="36">
        <v>67.781128317903793</v>
      </c>
      <c r="G66" s="36">
        <v>67.8</v>
      </c>
      <c r="H66" s="36">
        <v>62.9</v>
      </c>
      <c r="I66" s="38">
        <v>1.7506999999999999</v>
      </c>
      <c r="J66" s="36">
        <v>70.900000000000006</v>
      </c>
      <c r="K66" s="36">
        <v>73.3</v>
      </c>
      <c r="L66" s="22" t="e">
        <v>#N/A</v>
      </c>
      <c r="M66" s="18" t="e">
        <v>#N/A</v>
      </c>
      <c r="N66" s="18" t="e">
        <v>#N/A</v>
      </c>
      <c r="O66" s="18" t="e">
        <v>#N/A</v>
      </c>
      <c r="P66" s="18" t="e">
        <v>#N/A</v>
      </c>
      <c r="Q66" s="18" t="e">
        <v>#N/A</v>
      </c>
      <c r="R66" s="18" t="e">
        <v>#N/A</v>
      </c>
    </row>
    <row r="67" spans="1:18" x14ac:dyDescent="0.35">
      <c r="A67" t="s">
        <v>1379</v>
      </c>
      <c r="B67" s="18">
        <v>343</v>
      </c>
      <c r="C67" s="18">
        <v>364</v>
      </c>
      <c r="D67" s="36">
        <v>4.0999999999999996</v>
      </c>
      <c r="E67" s="36">
        <v>5.0999999999999996</v>
      </c>
      <c r="F67" s="36">
        <v>67.868382939997119</v>
      </c>
      <c r="G67" s="36">
        <v>67.7</v>
      </c>
      <c r="H67" s="36">
        <v>64.7</v>
      </c>
      <c r="I67" s="38">
        <v>1.8233999999999999</v>
      </c>
      <c r="J67" s="36">
        <v>70.7</v>
      </c>
      <c r="K67" s="36">
        <v>73.400000000000006</v>
      </c>
      <c r="L67" s="22" t="e">
        <v>#N/A</v>
      </c>
      <c r="M67" s="18" t="e">
        <v>#N/A</v>
      </c>
      <c r="N67" s="18" t="e">
        <v>#N/A</v>
      </c>
      <c r="O67" s="18" t="e">
        <v>#N/A</v>
      </c>
      <c r="P67" s="18" t="e">
        <v>#N/A</v>
      </c>
      <c r="Q67" s="18" t="e">
        <v>#N/A</v>
      </c>
      <c r="R67" s="18" t="e">
        <v>#N/A</v>
      </c>
    </row>
    <row r="68" spans="1:18" x14ac:dyDescent="0.35">
      <c r="A68" t="s">
        <v>1380</v>
      </c>
      <c r="B68" s="18">
        <v>338</v>
      </c>
      <c r="C68" s="18">
        <v>352</v>
      </c>
      <c r="D68" s="36">
        <v>4.3</v>
      </c>
      <c r="E68" s="36">
        <v>4.9000000000000004</v>
      </c>
      <c r="F68" s="36">
        <v>68.141302857154386</v>
      </c>
      <c r="G68" s="36">
        <v>67.900000000000006</v>
      </c>
      <c r="H68" s="36">
        <v>65.5</v>
      </c>
      <c r="I68" s="38">
        <v>1.8673</v>
      </c>
      <c r="J68" s="36">
        <v>70.900000000000006</v>
      </c>
      <c r="K68" s="36">
        <v>73.5</v>
      </c>
      <c r="L68" s="22" t="e">
        <v>#N/A</v>
      </c>
      <c r="M68" s="18" t="e">
        <v>#N/A</v>
      </c>
      <c r="N68" s="18" t="e">
        <v>#N/A</v>
      </c>
      <c r="O68" s="18" t="e">
        <v>#N/A</v>
      </c>
      <c r="P68" s="18" t="e">
        <v>#N/A</v>
      </c>
      <c r="Q68" s="18" t="e">
        <v>#N/A</v>
      </c>
      <c r="R68" s="18" t="e">
        <v>#N/A</v>
      </c>
    </row>
    <row r="69" spans="1:18" x14ac:dyDescent="0.35">
      <c r="A69" t="s">
        <v>1381</v>
      </c>
      <c r="B69" s="18">
        <v>345</v>
      </c>
      <c r="C69" s="18">
        <v>361</v>
      </c>
      <c r="D69" s="36">
        <v>4.2</v>
      </c>
      <c r="E69" s="36">
        <v>4.7</v>
      </c>
      <c r="F69" s="36">
        <v>68.303090942267914</v>
      </c>
      <c r="G69" s="36">
        <v>68</v>
      </c>
      <c r="H69" s="36">
        <v>67.099999999999994</v>
      </c>
      <c r="I69" s="38">
        <v>1.8267</v>
      </c>
      <c r="J69" s="36">
        <v>70.900000000000006</v>
      </c>
      <c r="K69" s="36">
        <v>73.8</v>
      </c>
      <c r="L69" s="22" t="e">
        <v>#N/A</v>
      </c>
      <c r="M69" s="18" t="e">
        <v>#N/A</v>
      </c>
      <c r="N69" s="18" t="e">
        <v>#N/A</v>
      </c>
      <c r="O69" s="18" t="e">
        <v>#N/A</v>
      </c>
      <c r="P69" s="18" t="e">
        <v>#N/A</v>
      </c>
      <c r="Q69" s="18" t="e">
        <v>#N/A</v>
      </c>
      <c r="R69" s="18" t="e">
        <v>#N/A</v>
      </c>
    </row>
    <row r="70" spans="1:18" x14ac:dyDescent="0.35">
      <c r="A70" t="s">
        <v>1382</v>
      </c>
      <c r="B70" s="18">
        <v>348</v>
      </c>
      <c r="C70" s="18">
        <v>362</v>
      </c>
      <c r="D70" s="36">
        <v>4.2</v>
      </c>
      <c r="E70" s="36">
        <v>3.7</v>
      </c>
      <c r="F70" s="36">
        <v>68.443734270275613</v>
      </c>
      <c r="G70" s="36">
        <v>68.5</v>
      </c>
      <c r="H70" s="36">
        <v>67.7</v>
      </c>
      <c r="I70" s="38">
        <v>1.8005</v>
      </c>
      <c r="J70" s="36">
        <v>70.7</v>
      </c>
      <c r="K70" s="36">
        <v>74.099999999999994</v>
      </c>
      <c r="L70" s="22" t="e">
        <v>#N/A</v>
      </c>
      <c r="M70" s="18" t="e">
        <v>#N/A</v>
      </c>
      <c r="N70" s="18" t="e">
        <v>#N/A</v>
      </c>
      <c r="O70" s="18" t="e">
        <v>#N/A</v>
      </c>
      <c r="P70" s="18" t="e">
        <v>#N/A</v>
      </c>
      <c r="Q70" s="18" t="e">
        <v>#N/A</v>
      </c>
      <c r="R70" s="18" t="e">
        <v>#N/A</v>
      </c>
    </row>
    <row r="71" spans="1:18" x14ac:dyDescent="0.35">
      <c r="A71" t="s">
        <v>1383</v>
      </c>
      <c r="B71" s="18">
        <v>349</v>
      </c>
      <c r="C71" s="18">
        <v>363</v>
      </c>
      <c r="D71" s="36">
        <v>4.3</v>
      </c>
      <c r="E71" s="36">
        <v>4.0999999999999996</v>
      </c>
      <c r="F71" s="36">
        <v>68.633778216242305</v>
      </c>
      <c r="G71" s="36">
        <v>68.7</v>
      </c>
      <c r="H71" s="36">
        <v>66.8</v>
      </c>
      <c r="I71" s="38">
        <v>1.7876000000000001</v>
      </c>
      <c r="J71" s="36">
        <v>70.900000000000006</v>
      </c>
      <c r="K71" s="36">
        <v>74.400000000000006</v>
      </c>
      <c r="L71" s="22" t="e">
        <v>#N/A</v>
      </c>
      <c r="M71" s="18" t="e">
        <v>#N/A</v>
      </c>
      <c r="N71" s="18" t="e">
        <v>#N/A</v>
      </c>
      <c r="O71" s="18" t="e">
        <v>#N/A</v>
      </c>
      <c r="P71" s="18" t="e">
        <v>#N/A</v>
      </c>
      <c r="Q71" s="18" t="e">
        <v>#N/A</v>
      </c>
      <c r="R71" s="18" t="e">
        <v>#N/A</v>
      </c>
    </row>
    <row r="72" spans="1:18" x14ac:dyDescent="0.35">
      <c r="A72" t="s">
        <v>1384</v>
      </c>
      <c r="B72" s="18">
        <v>349</v>
      </c>
      <c r="C72" s="18">
        <v>364</v>
      </c>
      <c r="D72" s="36">
        <v>4.4000000000000004</v>
      </c>
      <c r="E72" s="36">
        <v>4.2</v>
      </c>
      <c r="F72" s="36">
        <v>68.825642462139754</v>
      </c>
      <c r="G72" s="36">
        <v>68.900000000000006</v>
      </c>
      <c r="H72" s="36">
        <v>66.400000000000006</v>
      </c>
      <c r="I72" s="38">
        <v>1.8274999999999999</v>
      </c>
      <c r="J72" s="36">
        <v>70.400000000000006</v>
      </c>
      <c r="K72" s="36">
        <v>74.400000000000006</v>
      </c>
      <c r="L72" s="22" t="e">
        <v>#N/A</v>
      </c>
      <c r="M72" s="18" t="e">
        <v>#N/A</v>
      </c>
      <c r="N72" s="18" t="e">
        <v>#N/A</v>
      </c>
      <c r="O72" s="18" t="e">
        <v>#N/A</v>
      </c>
      <c r="P72" s="18" t="e">
        <v>#N/A</v>
      </c>
      <c r="Q72" s="18" t="e">
        <v>#N/A</v>
      </c>
      <c r="R72" s="18" t="e">
        <v>#N/A</v>
      </c>
    </row>
    <row r="73" spans="1:18" x14ac:dyDescent="0.35">
      <c r="A73" t="s">
        <v>1385</v>
      </c>
      <c r="B73" s="18">
        <v>351</v>
      </c>
      <c r="C73" s="18">
        <v>365</v>
      </c>
      <c r="D73" s="36">
        <v>4.4000000000000004</v>
      </c>
      <c r="E73" s="36">
        <v>4.0999999999999996</v>
      </c>
      <c r="F73" s="36">
        <v>69.05665682986583</v>
      </c>
      <c r="G73" s="36">
        <v>69.400000000000006</v>
      </c>
      <c r="H73" s="36">
        <v>65.8</v>
      </c>
      <c r="I73" s="38">
        <v>1.8429</v>
      </c>
      <c r="J73" s="36">
        <v>69.900000000000006</v>
      </c>
      <c r="K73" s="36">
        <v>74.400000000000006</v>
      </c>
      <c r="L73" s="22" t="e">
        <v>#N/A</v>
      </c>
      <c r="M73" s="18" t="e">
        <v>#N/A</v>
      </c>
      <c r="N73" s="18" t="e">
        <v>#N/A</v>
      </c>
      <c r="O73" s="18" t="e">
        <v>#N/A</v>
      </c>
      <c r="P73" s="18" t="e">
        <v>#N/A</v>
      </c>
      <c r="Q73" s="18" t="e">
        <v>#N/A</v>
      </c>
      <c r="R73" s="18" t="e">
        <v>#N/A</v>
      </c>
    </row>
    <row r="74" spans="1:18" x14ac:dyDescent="0.35">
      <c r="A74" t="s">
        <v>1386</v>
      </c>
      <c r="B74" s="18">
        <v>354</v>
      </c>
      <c r="C74" s="18">
        <v>367</v>
      </c>
      <c r="D74" s="36">
        <v>4.8</v>
      </c>
      <c r="E74" s="36">
        <v>4.0999999999999996</v>
      </c>
      <c r="F74" s="36">
        <v>69.246849878994638</v>
      </c>
      <c r="G74" s="36">
        <v>69.599999999999994</v>
      </c>
      <c r="H74" s="36">
        <v>64.8</v>
      </c>
      <c r="I74" s="38">
        <v>1.8216000000000001</v>
      </c>
      <c r="J74" s="36">
        <v>69.7</v>
      </c>
      <c r="K74" s="36">
        <v>73.900000000000006</v>
      </c>
      <c r="L74" s="22" t="e">
        <v>#N/A</v>
      </c>
      <c r="M74" s="18" t="e">
        <v>#N/A</v>
      </c>
      <c r="N74" s="18" t="e">
        <v>#N/A</v>
      </c>
      <c r="O74" s="18" t="e">
        <v>#N/A</v>
      </c>
      <c r="P74" s="18" t="e">
        <v>#N/A</v>
      </c>
      <c r="Q74" s="18" t="e">
        <v>#N/A</v>
      </c>
      <c r="R74" s="18" t="e">
        <v>#N/A</v>
      </c>
    </row>
    <row r="75" spans="1:18" x14ac:dyDescent="0.35">
      <c r="A75" t="s">
        <v>1387</v>
      </c>
      <c r="B75" s="18">
        <v>356</v>
      </c>
      <c r="C75" s="18">
        <v>369</v>
      </c>
      <c r="D75" s="36">
        <v>5.0999999999999996</v>
      </c>
      <c r="E75" s="36">
        <v>4.0999999999999996</v>
      </c>
      <c r="F75" s="36">
        <v>69.320828950469803</v>
      </c>
      <c r="G75" s="36">
        <v>69.3</v>
      </c>
      <c r="H75" s="36">
        <v>65.400000000000006</v>
      </c>
      <c r="I75" s="38">
        <v>1.7922</v>
      </c>
      <c r="J75" s="36">
        <v>69.900000000000006</v>
      </c>
      <c r="K75" s="36">
        <v>73.900000000000006</v>
      </c>
      <c r="L75" s="22" t="e">
        <v>#N/A</v>
      </c>
      <c r="M75" s="18" t="e">
        <v>#N/A</v>
      </c>
      <c r="N75" s="18" t="e">
        <v>#N/A</v>
      </c>
      <c r="O75" s="18" t="e">
        <v>#N/A</v>
      </c>
      <c r="P75" s="18" t="e">
        <v>#N/A</v>
      </c>
      <c r="Q75" s="18" t="e">
        <v>#N/A</v>
      </c>
      <c r="R75" s="18" t="e">
        <v>#N/A</v>
      </c>
    </row>
    <row r="76" spans="1:18" x14ac:dyDescent="0.35">
      <c r="A76" t="s">
        <v>1388</v>
      </c>
      <c r="B76" s="18">
        <v>360</v>
      </c>
      <c r="C76" s="18">
        <v>372</v>
      </c>
      <c r="D76" s="36">
        <v>5.5</v>
      </c>
      <c r="E76" s="36">
        <v>4.2</v>
      </c>
      <c r="F76" s="36">
        <v>69.577662223585733</v>
      </c>
      <c r="G76" s="36">
        <v>69.599999999999994</v>
      </c>
      <c r="H76" s="36">
        <v>64.900000000000006</v>
      </c>
      <c r="I76" s="38">
        <v>1.8065</v>
      </c>
      <c r="J76" s="36">
        <v>70</v>
      </c>
      <c r="K76" s="36">
        <v>73.8</v>
      </c>
      <c r="L76" s="22" t="e">
        <v>#N/A</v>
      </c>
      <c r="M76" s="18" t="e">
        <v>#N/A</v>
      </c>
      <c r="N76" s="18" t="e">
        <v>#N/A</v>
      </c>
      <c r="O76" s="18" t="e">
        <v>#N/A</v>
      </c>
      <c r="P76" s="18" t="e">
        <v>#N/A</v>
      </c>
      <c r="Q76" s="18" t="e">
        <v>#N/A</v>
      </c>
      <c r="R76" s="18" t="e">
        <v>#N/A</v>
      </c>
    </row>
    <row r="77" spans="1:18" x14ac:dyDescent="0.35">
      <c r="A77" t="s">
        <v>1389</v>
      </c>
      <c r="B77" s="18">
        <v>359</v>
      </c>
      <c r="C77" s="18">
        <v>372</v>
      </c>
      <c r="D77" s="36">
        <v>5.5</v>
      </c>
      <c r="E77" s="36">
        <v>4.2</v>
      </c>
      <c r="F77" s="36">
        <v>69.906601707097096</v>
      </c>
      <c r="G77" s="36">
        <v>69.7</v>
      </c>
      <c r="H77" s="36">
        <v>65.7</v>
      </c>
      <c r="I77" s="38">
        <v>1.8603000000000001</v>
      </c>
      <c r="J77" s="36">
        <v>70.400000000000006</v>
      </c>
      <c r="K77" s="36">
        <v>73.8</v>
      </c>
      <c r="L77" s="22" t="e">
        <v>#N/A</v>
      </c>
      <c r="M77" s="18" t="e">
        <v>#N/A</v>
      </c>
      <c r="N77" s="18" t="e">
        <v>#N/A</v>
      </c>
      <c r="O77" s="18" t="e">
        <v>#N/A</v>
      </c>
      <c r="P77" s="18" t="e">
        <v>#N/A</v>
      </c>
      <c r="Q77" s="18" t="e">
        <v>#N/A</v>
      </c>
      <c r="R77" s="18" t="e">
        <v>#N/A</v>
      </c>
    </row>
    <row r="78" spans="1:18" x14ac:dyDescent="0.35">
      <c r="A78" t="s">
        <v>1390</v>
      </c>
      <c r="B78" s="18">
        <v>360</v>
      </c>
      <c r="C78" s="18">
        <v>373</v>
      </c>
      <c r="D78" s="36">
        <v>5.5</v>
      </c>
      <c r="E78" s="36">
        <v>4.3</v>
      </c>
      <c r="F78" s="36">
        <v>70.255611213152633</v>
      </c>
      <c r="G78" s="36">
        <v>70.3</v>
      </c>
      <c r="H78" s="36">
        <v>66</v>
      </c>
      <c r="I78" s="38">
        <v>1.9275</v>
      </c>
      <c r="J78" s="36">
        <v>70.8</v>
      </c>
      <c r="K78" s="36">
        <v>73.900000000000006</v>
      </c>
      <c r="L78" s="22" t="e">
        <v>#N/A</v>
      </c>
      <c r="M78" s="18" t="e">
        <v>#N/A</v>
      </c>
      <c r="N78" s="18" t="e">
        <v>#N/A</v>
      </c>
      <c r="O78" s="18" t="e">
        <v>#N/A</v>
      </c>
      <c r="P78" s="18" t="e">
        <v>#N/A</v>
      </c>
      <c r="Q78" s="18" t="e">
        <v>#N/A</v>
      </c>
      <c r="R78" s="18" t="e">
        <v>#N/A</v>
      </c>
    </row>
    <row r="79" spans="1:18" x14ac:dyDescent="0.35">
      <c r="A79" t="s">
        <v>1391</v>
      </c>
      <c r="B79" s="18">
        <v>360</v>
      </c>
      <c r="C79" s="18">
        <v>379</v>
      </c>
      <c r="D79" s="36">
        <v>5.3</v>
      </c>
      <c r="E79" s="36">
        <v>4.2</v>
      </c>
      <c r="F79" s="36">
        <v>70.488577241774692</v>
      </c>
      <c r="G79" s="36">
        <v>70.3</v>
      </c>
      <c r="H79" s="36">
        <v>65.8</v>
      </c>
      <c r="I79" s="38">
        <v>1.8764000000000001</v>
      </c>
      <c r="J79" s="36">
        <v>71</v>
      </c>
      <c r="K79" s="36">
        <v>73.8</v>
      </c>
      <c r="L79" s="22" t="e">
        <v>#N/A</v>
      </c>
      <c r="M79" s="18" t="e">
        <v>#N/A</v>
      </c>
      <c r="N79" s="18" t="e">
        <v>#N/A</v>
      </c>
      <c r="O79" s="18" t="e">
        <v>#N/A</v>
      </c>
      <c r="P79" s="18" t="e">
        <v>#N/A</v>
      </c>
      <c r="Q79" s="18" t="e">
        <v>#N/A</v>
      </c>
      <c r="R79" s="18" t="e">
        <v>#N/A</v>
      </c>
    </row>
    <row r="80" spans="1:18" x14ac:dyDescent="0.35">
      <c r="A80" t="s">
        <v>1392</v>
      </c>
      <c r="B80" s="18">
        <v>358</v>
      </c>
      <c r="C80" s="18">
        <v>371</v>
      </c>
      <c r="D80" s="36">
        <v>5.5</v>
      </c>
      <c r="E80" s="36">
        <v>4.5999999999999996</v>
      </c>
      <c r="F80" s="36">
        <v>70.737097625318555</v>
      </c>
      <c r="G80" s="36">
        <v>70.5</v>
      </c>
      <c r="H80" s="36">
        <v>66.2</v>
      </c>
      <c r="I80" s="38">
        <v>1.8871</v>
      </c>
      <c r="J80" s="36">
        <v>71.5</v>
      </c>
      <c r="K80" s="36">
        <v>74.099999999999994</v>
      </c>
      <c r="L80" s="22" t="e">
        <v>#N/A</v>
      </c>
      <c r="M80" s="18" t="e">
        <v>#N/A</v>
      </c>
      <c r="N80" s="18" t="e">
        <v>#N/A</v>
      </c>
      <c r="O80" s="18" t="e">
        <v>#N/A</v>
      </c>
      <c r="P80" s="18" t="e">
        <v>#N/A</v>
      </c>
      <c r="Q80" s="18" t="e">
        <v>#N/A</v>
      </c>
      <c r="R80" s="18" t="e">
        <v>#N/A</v>
      </c>
    </row>
    <row r="81" spans="1:18" x14ac:dyDescent="0.35">
      <c r="A81" t="s">
        <v>1393</v>
      </c>
      <c r="B81" s="18">
        <v>361</v>
      </c>
      <c r="C81" s="18">
        <v>376</v>
      </c>
      <c r="D81" s="36">
        <v>5.2</v>
      </c>
      <c r="E81" s="36">
        <v>4.5</v>
      </c>
      <c r="F81" s="36">
        <v>70.99390082802023</v>
      </c>
      <c r="G81" s="36">
        <v>70.7</v>
      </c>
      <c r="H81" s="36">
        <v>67.5</v>
      </c>
      <c r="I81" s="38">
        <v>1.9077999999999999</v>
      </c>
      <c r="J81" s="36">
        <v>72.099999999999994</v>
      </c>
      <c r="K81" s="36">
        <v>74.3</v>
      </c>
      <c r="L81" s="22" t="e">
        <v>#N/A</v>
      </c>
      <c r="M81" s="18" t="e">
        <v>#N/A</v>
      </c>
      <c r="N81" s="18" t="e">
        <v>#N/A</v>
      </c>
      <c r="O81" s="18" t="e">
        <v>#N/A</v>
      </c>
      <c r="P81" s="18" t="e">
        <v>#N/A</v>
      </c>
      <c r="Q81" s="18" t="e">
        <v>#N/A</v>
      </c>
      <c r="R81" s="18" t="e">
        <v>#N/A</v>
      </c>
    </row>
    <row r="82" spans="1:18" x14ac:dyDescent="0.35">
      <c r="A82" t="s">
        <v>1394</v>
      </c>
      <c r="B82" s="18">
        <v>364</v>
      </c>
      <c r="C82" s="18">
        <v>379</v>
      </c>
      <c r="D82" s="36">
        <v>5.0999999999999996</v>
      </c>
      <c r="E82" s="36">
        <v>4.5999999999999996</v>
      </c>
      <c r="F82" s="36">
        <v>71.168548413600888</v>
      </c>
      <c r="G82" s="36">
        <v>71.2</v>
      </c>
      <c r="H82" s="36">
        <v>66</v>
      </c>
      <c r="I82" s="38">
        <v>1.8959999999999999</v>
      </c>
      <c r="J82" s="36">
        <v>71.400000000000006</v>
      </c>
      <c r="K82" s="36">
        <v>74.5</v>
      </c>
      <c r="L82" s="22" t="e">
        <v>#N/A</v>
      </c>
      <c r="M82" s="18" t="e">
        <v>#N/A</v>
      </c>
      <c r="N82" s="18" t="e">
        <v>#N/A</v>
      </c>
      <c r="O82" s="18" t="e">
        <v>#N/A</v>
      </c>
      <c r="P82" s="18" t="e">
        <v>#N/A</v>
      </c>
      <c r="Q82" s="18" t="e">
        <v>#N/A</v>
      </c>
      <c r="R82" s="18" t="e">
        <v>#N/A</v>
      </c>
    </row>
    <row r="83" spans="1:18" x14ac:dyDescent="0.35">
      <c r="A83" t="s">
        <v>1395</v>
      </c>
      <c r="B83" s="18">
        <v>366</v>
      </c>
      <c r="C83" s="18">
        <v>380</v>
      </c>
      <c r="D83" s="36">
        <v>4.9000000000000004</v>
      </c>
      <c r="E83" s="36">
        <v>4.3</v>
      </c>
      <c r="F83" s="36">
        <v>71.55196938217226</v>
      </c>
      <c r="G83" s="36">
        <v>71.599999999999994</v>
      </c>
      <c r="H83" s="36">
        <v>66.5</v>
      </c>
      <c r="I83" s="38">
        <v>1.8537999999999999</v>
      </c>
      <c r="J83" s="36">
        <v>71.900000000000006</v>
      </c>
      <c r="K83" s="36">
        <v>74.5</v>
      </c>
      <c r="L83" s="22" t="e">
        <v>#N/A</v>
      </c>
      <c r="M83" s="18" t="e">
        <v>#N/A</v>
      </c>
      <c r="N83" s="18" t="e">
        <v>#N/A</v>
      </c>
      <c r="O83" s="18" t="e">
        <v>#N/A</v>
      </c>
      <c r="P83" s="18" t="e">
        <v>#N/A</v>
      </c>
      <c r="Q83" s="18" t="e">
        <v>#N/A</v>
      </c>
      <c r="R83" s="18" t="e">
        <v>#N/A</v>
      </c>
    </row>
    <row r="84" spans="1:18" x14ac:dyDescent="0.35">
      <c r="A84" t="s">
        <v>1396</v>
      </c>
      <c r="B84" s="18">
        <v>367</v>
      </c>
      <c r="C84" s="18">
        <v>380</v>
      </c>
      <c r="D84" s="36">
        <v>4.9000000000000004</v>
      </c>
      <c r="E84" s="36">
        <v>4.5</v>
      </c>
      <c r="F84" s="36">
        <v>71.64206867099459</v>
      </c>
      <c r="G84" s="36">
        <v>71.7</v>
      </c>
      <c r="H84" s="36">
        <v>67.400000000000006</v>
      </c>
      <c r="I84" s="38">
        <v>1.8179000000000001</v>
      </c>
      <c r="J84" s="36">
        <v>71.900000000000006</v>
      </c>
      <c r="K84" s="36">
        <v>74.3</v>
      </c>
      <c r="L84" s="22" t="e">
        <v>#N/A</v>
      </c>
      <c r="M84" s="18" t="e">
        <v>#N/A</v>
      </c>
      <c r="N84" s="18" t="e">
        <v>#N/A</v>
      </c>
      <c r="O84" s="18" t="e">
        <v>#N/A</v>
      </c>
      <c r="P84" s="18" t="e">
        <v>#N/A</v>
      </c>
      <c r="Q84" s="18" t="e">
        <v>#N/A</v>
      </c>
      <c r="R84" s="18" t="e">
        <v>#N/A</v>
      </c>
    </row>
    <row r="85" spans="1:18" x14ac:dyDescent="0.35">
      <c r="A85" t="s">
        <v>1397</v>
      </c>
      <c r="B85" s="18">
        <v>370</v>
      </c>
      <c r="C85" s="18">
        <v>383</v>
      </c>
      <c r="D85" s="36">
        <v>5.2</v>
      </c>
      <c r="E85" s="36">
        <v>4.5999999999999996</v>
      </c>
      <c r="F85" s="36">
        <v>72.131214916630185</v>
      </c>
      <c r="G85" s="36">
        <v>72.5</v>
      </c>
      <c r="H85" s="36">
        <v>67.7</v>
      </c>
      <c r="I85" s="38">
        <v>1.7508999999999999</v>
      </c>
      <c r="J85" s="36">
        <v>71.099999999999994</v>
      </c>
      <c r="K85" s="36">
        <v>74.5</v>
      </c>
      <c r="L85" s="22" t="e">
        <v>#N/A</v>
      </c>
      <c r="M85" s="18" t="e">
        <v>#N/A</v>
      </c>
      <c r="N85" s="18" t="e">
        <v>#N/A</v>
      </c>
      <c r="O85" s="18" t="e">
        <v>#N/A</v>
      </c>
      <c r="P85" s="18" t="e">
        <v>#N/A</v>
      </c>
      <c r="Q85" s="18" t="e">
        <v>#N/A</v>
      </c>
      <c r="R85" s="18" t="e">
        <v>#N/A</v>
      </c>
    </row>
    <row r="86" spans="1:18" x14ac:dyDescent="0.35">
      <c r="A86" t="s">
        <v>1398</v>
      </c>
      <c r="B86" s="18">
        <v>374</v>
      </c>
      <c r="C86" s="18">
        <v>386</v>
      </c>
      <c r="D86" s="36">
        <v>5.3</v>
      </c>
      <c r="E86" s="36">
        <v>4.8</v>
      </c>
      <c r="F86" s="36">
        <v>72.383992769725381</v>
      </c>
      <c r="G86" s="36">
        <v>72.8</v>
      </c>
      <c r="H86" s="36">
        <v>67.599999999999994</v>
      </c>
      <c r="I86" s="38">
        <v>1.7943</v>
      </c>
      <c r="J86" s="36">
        <v>71.2</v>
      </c>
      <c r="K86" s="36">
        <v>74.3</v>
      </c>
      <c r="L86" s="22" t="e">
        <v>#N/A</v>
      </c>
      <c r="M86" s="18" t="e">
        <v>#N/A</v>
      </c>
      <c r="N86" s="18" t="e">
        <v>#N/A</v>
      </c>
      <c r="O86" s="18" t="e">
        <v>#N/A</v>
      </c>
      <c r="P86" s="18" t="e">
        <v>#N/A</v>
      </c>
      <c r="Q86" s="18" t="e">
        <v>#N/A</v>
      </c>
      <c r="R86" s="18" t="e">
        <v>#N/A</v>
      </c>
    </row>
    <row r="87" spans="1:18" x14ac:dyDescent="0.35">
      <c r="A87" t="s">
        <v>1399</v>
      </c>
      <c r="B87" s="18">
        <v>375</v>
      </c>
      <c r="C87" s="18">
        <v>387</v>
      </c>
      <c r="D87" s="36">
        <v>5.4</v>
      </c>
      <c r="E87" s="36">
        <v>5</v>
      </c>
      <c r="F87" s="36">
        <v>72.551323174429797</v>
      </c>
      <c r="G87" s="36">
        <v>72.5</v>
      </c>
      <c r="H87" s="36">
        <v>68.599999999999994</v>
      </c>
      <c r="I87" s="38">
        <v>1.8081</v>
      </c>
      <c r="J87" s="36">
        <v>71.3</v>
      </c>
      <c r="K87" s="36">
        <v>74.5</v>
      </c>
      <c r="L87" s="22" t="e">
        <v>#N/A</v>
      </c>
      <c r="M87" s="18" t="e">
        <v>#N/A</v>
      </c>
      <c r="N87" s="18" t="e">
        <v>#N/A</v>
      </c>
      <c r="O87" s="18" t="e">
        <v>#N/A</v>
      </c>
      <c r="P87" s="18" t="e">
        <v>#N/A</v>
      </c>
      <c r="Q87" s="18" t="e">
        <v>#N/A</v>
      </c>
      <c r="R87" s="18" t="e">
        <v>#N/A</v>
      </c>
    </row>
    <row r="88" spans="1:18" x14ac:dyDescent="0.35">
      <c r="A88" t="s">
        <v>1400</v>
      </c>
      <c r="B88" s="18">
        <v>375</v>
      </c>
      <c r="C88" s="18">
        <v>388</v>
      </c>
      <c r="D88" s="36">
        <v>5</v>
      </c>
      <c r="E88" s="36">
        <v>4.8</v>
      </c>
      <c r="F88" s="36">
        <v>72.687355485376187</v>
      </c>
      <c r="G88" s="36">
        <v>72.7</v>
      </c>
      <c r="H88" s="36">
        <v>69.5</v>
      </c>
      <c r="I88" s="38">
        <v>1.764</v>
      </c>
      <c r="J88" s="36">
        <v>71.099999999999994</v>
      </c>
      <c r="K88" s="36">
        <v>74.2</v>
      </c>
      <c r="L88" s="22" t="e">
        <v>#N/A</v>
      </c>
      <c r="M88" s="18" t="e">
        <v>#N/A</v>
      </c>
      <c r="N88" s="18" t="e">
        <v>#N/A</v>
      </c>
      <c r="O88" s="18" t="e">
        <v>#N/A</v>
      </c>
      <c r="P88" s="18" t="e">
        <v>#N/A</v>
      </c>
      <c r="Q88" s="18" t="e">
        <v>#N/A</v>
      </c>
      <c r="R88" s="18" t="e">
        <v>#N/A</v>
      </c>
    </row>
    <row r="89" spans="1:18" x14ac:dyDescent="0.35">
      <c r="A89" t="s">
        <v>1401</v>
      </c>
      <c r="B89" s="18">
        <v>377</v>
      </c>
      <c r="C89" s="18">
        <v>390</v>
      </c>
      <c r="D89" s="36">
        <v>4.8</v>
      </c>
      <c r="E89" s="36">
        <v>4.7</v>
      </c>
      <c r="F89" s="36">
        <v>72.799005134436442</v>
      </c>
      <c r="G89" s="36">
        <v>72.599999999999994</v>
      </c>
      <c r="H89" s="36">
        <v>69</v>
      </c>
      <c r="I89" s="38">
        <v>1.7341</v>
      </c>
      <c r="J89" s="36">
        <v>71.599999999999994</v>
      </c>
      <c r="K89" s="36">
        <v>74.7</v>
      </c>
      <c r="L89" s="22" t="e">
        <v>#N/A</v>
      </c>
      <c r="M89" s="18" t="e">
        <v>#N/A</v>
      </c>
      <c r="N89" s="18" t="e">
        <v>#N/A</v>
      </c>
      <c r="O89" s="18" t="e">
        <v>#N/A</v>
      </c>
      <c r="P89" s="18" t="e">
        <v>#N/A</v>
      </c>
      <c r="Q89" s="18" t="e">
        <v>#N/A</v>
      </c>
      <c r="R89" s="18" t="e">
        <v>#N/A</v>
      </c>
    </row>
    <row r="90" spans="1:18" x14ac:dyDescent="0.35">
      <c r="A90" t="s">
        <v>1402</v>
      </c>
      <c r="B90" s="18">
        <v>376</v>
      </c>
      <c r="C90" s="18">
        <v>390</v>
      </c>
      <c r="D90" s="36">
        <v>4.5999999999999996</v>
      </c>
      <c r="E90" s="36">
        <v>4.5</v>
      </c>
      <c r="F90" s="36">
        <v>72.832187531635199</v>
      </c>
      <c r="G90" s="36">
        <v>72.900000000000006</v>
      </c>
      <c r="H90" s="36">
        <v>69.8</v>
      </c>
      <c r="I90" s="38">
        <v>1.7462</v>
      </c>
      <c r="J90" s="36">
        <v>72</v>
      </c>
      <c r="K90" s="36">
        <v>74.900000000000006</v>
      </c>
      <c r="L90" s="22" t="e">
        <v>#N/A</v>
      </c>
      <c r="M90" s="18" t="e">
        <v>#N/A</v>
      </c>
      <c r="N90" s="18" t="e">
        <v>#N/A</v>
      </c>
      <c r="O90" s="18" t="e">
        <v>#N/A</v>
      </c>
      <c r="P90" s="18" t="e">
        <v>#N/A</v>
      </c>
      <c r="Q90" s="18" t="e">
        <v>#N/A</v>
      </c>
      <c r="R90" s="18" t="e">
        <v>#N/A</v>
      </c>
    </row>
    <row r="91" spans="1:18" x14ac:dyDescent="0.35">
      <c r="A91" t="s">
        <v>1403</v>
      </c>
      <c r="B91" s="18">
        <v>374</v>
      </c>
      <c r="C91" s="18">
        <v>391</v>
      </c>
      <c r="D91" s="36">
        <v>4.4000000000000004</v>
      </c>
      <c r="E91" s="36">
        <v>4.2</v>
      </c>
      <c r="F91" s="36">
        <v>73.206989642521137</v>
      </c>
      <c r="G91" s="36">
        <v>73</v>
      </c>
      <c r="H91" s="36">
        <v>69.8</v>
      </c>
      <c r="I91" s="38">
        <v>1.7678</v>
      </c>
      <c r="J91" s="36">
        <v>71.8</v>
      </c>
      <c r="K91" s="36">
        <v>74.8</v>
      </c>
      <c r="L91" s="22" t="e">
        <v>#N/A</v>
      </c>
      <c r="M91" s="18" t="e">
        <v>#N/A</v>
      </c>
      <c r="N91" s="18" t="e">
        <v>#N/A</v>
      </c>
      <c r="O91" s="18" t="e">
        <v>#N/A</v>
      </c>
      <c r="P91" s="18" t="e">
        <v>#N/A</v>
      </c>
      <c r="Q91" s="18" t="e">
        <v>#N/A</v>
      </c>
      <c r="R91" s="18" t="e">
        <v>#N/A</v>
      </c>
    </row>
    <row r="92" spans="1:18" x14ac:dyDescent="0.35">
      <c r="A92" t="s">
        <v>1404</v>
      </c>
      <c r="B92" s="18">
        <v>380</v>
      </c>
      <c r="C92" s="18">
        <v>392</v>
      </c>
      <c r="D92" s="36">
        <v>4.8</v>
      </c>
      <c r="E92" s="36">
        <v>4.4000000000000004</v>
      </c>
      <c r="F92" s="36">
        <v>73.340349453083377</v>
      </c>
      <c r="G92" s="36">
        <v>73.099999999999994</v>
      </c>
      <c r="H92" s="36">
        <v>70.8</v>
      </c>
      <c r="I92" s="38">
        <v>1.7470000000000001</v>
      </c>
      <c r="J92" s="36">
        <v>72.2</v>
      </c>
      <c r="K92" s="36">
        <v>74.7</v>
      </c>
      <c r="L92" s="22" t="e">
        <v>#N/A</v>
      </c>
      <c r="M92" s="18" t="e">
        <v>#N/A</v>
      </c>
      <c r="N92" s="18" t="e">
        <v>#N/A</v>
      </c>
      <c r="O92" s="18" t="e">
        <v>#N/A</v>
      </c>
      <c r="P92" s="18" t="e">
        <v>#N/A</v>
      </c>
      <c r="Q92" s="18" t="e">
        <v>#N/A</v>
      </c>
      <c r="R92" s="18" t="e">
        <v>#N/A</v>
      </c>
    </row>
    <row r="93" spans="1:18" x14ac:dyDescent="0.35">
      <c r="A93" t="s">
        <v>1405</v>
      </c>
      <c r="B93" s="18">
        <v>382</v>
      </c>
      <c r="C93" s="18">
        <v>398</v>
      </c>
      <c r="D93" s="36">
        <v>5.0999999999999996</v>
      </c>
      <c r="E93" s="36">
        <v>4.9000000000000004</v>
      </c>
      <c r="F93" s="36">
        <v>73.593412145250952</v>
      </c>
      <c r="G93" s="36">
        <v>73.3</v>
      </c>
      <c r="H93" s="36">
        <v>69.8</v>
      </c>
      <c r="I93" s="38">
        <v>1.7435</v>
      </c>
      <c r="J93" s="36">
        <v>71.8</v>
      </c>
      <c r="K93" s="36">
        <v>74.8</v>
      </c>
      <c r="L93" s="22" t="e">
        <v>#N/A</v>
      </c>
      <c r="M93" s="18" t="e">
        <v>#N/A</v>
      </c>
      <c r="N93" s="18" t="e">
        <v>#N/A</v>
      </c>
      <c r="O93" s="18" t="e">
        <v>#N/A</v>
      </c>
      <c r="P93" s="18" t="e">
        <v>#N/A</v>
      </c>
      <c r="Q93" s="18" t="e">
        <v>#N/A</v>
      </c>
      <c r="R93" s="18" t="e">
        <v>#N/A</v>
      </c>
    </row>
    <row r="94" spans="1:18" x14ac:dyDescent="0.35">
      <c r="A94" t="s">
        <v>1406</v>
      </c>
      <c r="B94" s="18">
        <v>382</v>
      </c>
      <c r="C94" s="18">
        <v>395</v>
      </c>
      <c r="D94" s="36">
        <v>5.5</v>
      </c>
      <c r="E94" s="36">
        <v>5.3</v>
      </c>
      <c r="F94" s="36">
        <v>73.995430957947093</v>
      </c>
      <c r="G94" s="36">
        <v>74</v>
      </c>
      <c r="H94" s="36">
        <v>70.099999999999994</v>
      </c>
      <c r="I94" s="38">
        <v>1.7685</v>
      </c>
      <c r="J94" s="36">
        <v>71.7</v>
      </c>
      <c r="K94" s="36">
        <v>75</v>
      </c>
      <c r="L94" s="22" t="e">
        <v>#N/A</v>
      </c>
      <c r="M94" s="18" t="e">
        <v>#N/A</v>
      </c>
      <c r="N94" s="18" t="e">
        <v>#N/A</v>
      </c>
      <c r="O94" s="18" t="e">
        <v>#N/A</v>
      </c>
      <c r="P94" s="18" t="e">
        <v>#N/A</v>
      </c>
      <c r="Q94" s="18" t="e">
        <v>#N/A</v>
      </c>
      <c r="R94" s="18" t="e">
        <v>#N/A</v>
      </c>
    </row>
    <row r="95" spans="1:18" x14ac:dyDescent="0.35">
      <c r="A95" t="s">
        <v>1407</v>
      </c>
      <c r="B95" s="18">
        <v>383</v>
      </c>
      <c r="C95" s="18">
        <v>397</v>
      </c>
      <c r="D95" s="36">
        <v>5</v>
      </c>
      <c r="E95" s="36">
        <v>5</v>
      </c>
      <c r="F95" s="36">
        <v>73.957649869587797</v>
      </c>
      <c r="G95" s="36">
        <v>74</v>
      </c>
      <c r="H95" s="36">
        <v>71.3</v>
      </c>
      <c r="I95" s="38">
        <v>1.8702000000000001</v>
      </c>
      <c r="J95" s="36">
        <v>72.7</v>
      </c>
      <c r="K95" s="36">
        <v>75.5</v>
      </c>
      <c r="L95" s="22" t="e">
        <v>#N/A</v>
      </c>
      <c r="M95" s="18" t="e">
        <v>#N/A</v>
      </c>
      <c r="N95" s="18" t="e">
        <v>#N/A</v>
      </c>
      <c r="O95" s="18" t="e">
        <v>#N/A</v>
      </c>
      <c r="P95" s="18" t="e">
        <v>#N/A</v>
      </c>
      <c r="Q95" s="18" t="e">
        <v>#N/A</v>
      </c>
      <c r="R95" s="18" t="e">
        <v>#N/A</v>
      </c>
    </row>
    <row r="96" spans="1:18" x14ac:dyDescent="0.35">
      <c r="A96" t="s">
        <v>1408</v>
      </c>
      <c r="B96" s="18">
        <v>387</v>
      </c>
      <c r="C96" s="18">
        <v>401</v>
      </c>
      <c r="D96" s="36">
        <v>5</v>
      </c>
      <c r="E96" s="36">
        <v>4.9000000000000004</v>
      </c>
      <c r="F96" s="36">
        <v>74.159869784499236</v>
      </c>
      <c r="G96" s="36">
        <v>74.2</v>
      </c>
      <c r="H96" s="36">
        <v>71.400000000000006</v>
      </c>
      <c r="I96" s="38">
        <v>1.8428</v>
      </c>
      <c r="J96" s="36">
        <v>73.2</v>
      </c>
      <c r="K96" s="36">
        <v>75.7</v>
      </c>
      <c r="L96" s="22" t="e">
        <v>#N/A</v>
      </c>
      <c r="M96" s="18" t="e">
        <v>#N/A</v>
      </c>
      <c r="N96" s="18" t="e">
        <v>#N/A</v>
      </c>
      <c r="O96" s="18" t="e">
        <v>#N/A</v>
      </c>
      <c r="P96" s="18" t="e">
        <v>#N/A</v>
      </c>
      <c r="Q96" s="18" t="e">
        <v>#N/A</v>
      </c>
      <c r="R96" s="18" t="e">
        <v>#N/A</v>
      </c>
    </row>
    <row r="97" spans="1:18" x14ac:dyDescent="0.35">
      <c r="A97" t="s">
        <v>1409</v>
      </c>
      <c r="B97" s="18">
        <v>387</v>
      </c>
      <c r="C97" s="18">
        <v>401</v>
      </c>
      <c r="D97" s="36">
        <v>5</v>
      </c>
      <c r="E97" s="36">
        <v>5</v>
      </c>
      <c r="F97" s="36">
        <v>74.415575297456343</v>
      </c>
      <c r="G97" s="36">
        <v>74.8</v>
      </c>
      <c r="H97" s="36">
        <v>73.2</v>
      </c>
      <c r="I97" s="38">
        <v>1.8447</v>
      </c>
      <c r="J97" s="36">
        <v>73.3</v>
      </c>
      <c r="K97" s="36">
        <v>75.900000000000006</v>
      </c>
      <c r="L97" s="22" t="e">
        <v>#N/A</v>
      </c>
      <c r="M97" s="18" t="e">
        <v>#N/A</v>
      </c>
      <c r="N97" s="18" t="e">
        <v>#N/A</v>
      </c>
      <c r="O97" s="18" t="e">
        <v>#N/A</v>
      </c>
      <c r="P97" s="18" t="e">
        <v>#N/A</v>
      </c>
      <c r="Q97" s="18" t="e">
        <v>#N/A</v>
      </c>
      <c r="R97" s="18" t="e">
        <v>#N/A</v>
      </c>
    </row>
    <row r="98" spans="1:18" x14ac:dyDescent="0.35">
      <c r="A98" t="s">
        <v>1410</v>
      </c>
      <c r="B98" s="18">
        <v>387</v>
      </c>
      <c r="C98" s="18">
        <v>401</v>
      </c>
      <c r="D98" s="36">
        <v>4.7</v>
      </c>
      <c r="E98" s="36">
        <v>4.7</v>
      </c>
      <c r="F98" s="36">
        <v>74.431284450379806</v>
      </c>
      <c r="G98" s="36">
        <v>74.900000000000006</v>
      </c>
      <c r="H98" s="36">
        <v>73.099999999999994</v>
      </c>
      <c r="I98" s="38">
        <v>1.8944000000000001</v>
      </c>
      <c r="J98" s="36">
        <v>73.7</v>
      </c>
      <c r="K98" s="36">
        <v>76.099999999999994</v>
      </c>
      <c r="L98" s="22" t="e">
        <v>#N/A</v>
      </c>
      <c r="M98" s="18" t="e">
        <v>#N/A</v>
      </c>
      <c r="N98" s="18" t="e">
        <v>#N/A</v>
      </c>
      <c r="O98" s="18" t="e">
        <v>#N/A</v>
      </c>
      <c r="P98" s="18" t="e">
        <v>#N/A</v>
      </c>
      <c r="Q98" s="18" t="e">
        <v>#N/A</v>
      </c>
      <c r="R98" s="18" t="e">
        <v>#N/A</v>
      </c>
    </row>
    <row r="99" spans="1:18" x14ac:dyDescent="0.35">
      <c r="A99" t="s">
        <v>1411</v>
      </c>
      <c r="B99" s="18">
        <v>388</v>
      </c>
      <c r="C99" s="18">
        <v>402</v>
      </c>
      <c r="D99" s="36">
        <v>3.9</v>
      </c>
      <c r="E99" s="36">
        <v>4.0999999999999996</v>
      </c>
      <c r="F99" s="36">
        <v>74.865126033113256</v>
      </c>
      <c r="G99" s="36">
        <v>74.8</v>
      </c>
      <c r="H99" s="36">
        <v>73.2</v>
      </c>
      <c r="I99" s="38">
        <v>1.8847</v>
      </c>
      <c r="J99" s="36">
        <v>74.099999999999994</v>
      </c>
      <c r="K99" s="36">
        <v>76.2</v>
      </c>
      <c r="L99" s="22" t="e">
        <v>#N/A</v>
      </c>
      <c r="M99" s="18" t="e">
        <v>#N/A</v>
      </c>
      <c r="N99" s="18" t="e">
        <v>#N/A</v>
      </c>
      <c r="O99" s="18" t="e">
        <v>#N/A</v>
      </c>
      <c r="P99" s="18" t="e">
        <v>#N/A</v>
      </c>
      <c r="Q99" s="18" t="e">
        <v>#N/A</v>
      </c>
      <c r="R99" s="18" t="e">
        <v>#N/A</v>
      </c>
    </row>
    <row r="100" spans="1:18" x14ac:dyDescent="0.35">
      <c r="A100" t="s">
        <v>1412</v>
      </c>
      <c r="B100" s="18">
        <v>391</v>
      </c>
      <c r="C100" s="18">
        <v>405</v>
      </c>
      <c r="D100" s="36">
        <v>3.8</v>
      </c>
      <c r="E100" s="36">
        <v>4</v>
      </c>
      <c r="F100" s="36">
        <v>75.296580547488858</v>
      </c>
      <c r="G100" s="36">
        <v>75.3</v>
      </c>
      <c r="H100" s="36">
        <v>75.099999999999994</v>
      </c>
      <c r="I100" s="38">
        <v>1.8754999999999999</v>
      </c>
      <c r="J100" s="36">
        <v>74.5</v>
      </c>
      <c r="K100" s="36">
        <v>76.3</v>
      </c>
      <c r="L100" s="22" t="e">
        <v>#N/A</v>
      </c>
      <c r="M100" s="18" t="e">
        <v>#N/A</v>
      </c>
      <c r="N100" s="18" t="e">
        <v>#N/A</v>
      </c>
      <c r="O100" s="18" t="e">
        <v>#N/A</v>
      </c>
      <c r="P100" s="18" t="e">
        <v>#N/A</v>
      </c>
      <c r="Q100" s="18" t="e">
        <v>#N/A</v>
      </c>
      <c r="R100" s="18" t="e">
        <v>#N/A</v>
      </c>
    </row>
    <row r="101" spans="1:18" x14ac:dyDescent="0.35">
      <c r="A101" t="s">
        <v>1413</v>
      </c>
      <c r="B101" s="18">
        <v>393</v>
      </c>
      <c r="C101" s="18">
        <v>407</v>
      </c>
      <c r="D101" s="36">
        <v>4.0999999999999996</v>
      </c>
      <c r="E101" s="36">
        <v>4.2</v>
      </c>
      <c r="F101" s="36">
        <v>75.50257634026805</v>
      </c>
      <c r="G101" s="36">
        <v>75.3</v>
      </c>
      <c r="H101" s="36">
        <v>77.7</v>
      </c>
      <c r="I101" s="38">
        <v>1.9118999999999999</v>
      </c>
      <c r="J101" s="36">
        <v>75.2</v>
      </c>
      <c r="K101" s="36">
        <v>76.599999999999994</v>
      </c>
      <c r="L101" s="22" t="e">
        <v>#N/A</v>
      </c>
      <c r="M101" s="18" t="e">
        <v>#N/A</v>
      </c>
      <c r="N101" s="18" t="e">
        <v>#N/A</v>
      </c>
      <c r="O101" s="18" t="e">
        <v>#N/A</v>
      </c>
      <c r="P101" s="18" t="e">
        <v>#N/A</v>
      </c>
      <c r="Q101" s="18" t="e">
        <v>#N/A</v>
      </c>
      <c r="R101" s="18" t="e">
        <v>#N/A</v>
      </c>
    </row>
    <row r="102" spans="1:18" x14ac:dyDescent="0.35">
      <c r="A102" t="s">
        <v>1414</v>
      </c>
      <c r="B102" s="18">
        <v>401</v>
      </c>
      <c r="C102" s="18">
        <v>412</v>
      </c>
      <c r="D102" s="36">
        <v>5.0999999999999996</v>
      </c>
      <c r="E102" s="36">
        <v>4.9000000000000004</v>
      </c>
      <c r="F102" s="36">
        <v>75.617137504389532</v>
      </c>
      <c r="G102" s="36">
        <v>75.7</v>
      </c>
      <c r="H102" s="36">
        <v>78.8</v>
      </c>
      <c r="I102" s="38">
        <v>1.9633</v>
      </c>
      <c r="J102" s="36">
        <v>75.3</v>
      </c>
      <c r="K102" s="36">
        <v>76.900000000000006</v>
      </c>
      <c r="L102" s="22" t="e">
        <v>#N/A</v>
      </c>
      <c r="M102" s="18" t="e">
        <v>#N/A</v>
      </c>
      <c r="N102" s="18" t="e">
        <v>#N/A</v>
      </c>
      <c r="O102" s="18" t="e">
        <v>#N/A</v>
      </c>
      <c r="P102" s="18" t="e">
        <v>#N/A</v>
      </c>
      <c r="Q102" s="18" t="e">
        <v>#N/A</v>
      </c>
      <c r="R102" s="18" t="e">
        <v>#N/A</v>
      </c>
    </row>
    <row r="103" spans="1:18" x14ac:dyDescent="0.35">
      <c r="A103" t="s">
        <v>1415</v>
      </c>
      <c r="B103" s="18">
        <v>399</v>
      </c>
      <c r="C103" s="18">
        <v>415</v>
      </c>
      <c r="D103" s="36">
        <v>5.8</v>
      </c>
      <c r="E103" s="36">
        <v>5.4</v>
      </c>
      <c r="F103" s="36">
        <v>75.816800732517578</v>
      </c>
      <c r="G103" s="36">
        <v>75.599999999999994</v>
      </c>
      <c r="H103" s="36">
        <v>78.5</v>
      </c>
      <c r="I103" s="38">
        <v>1.9587000000000001</v>
      </c>
      <c r="J103" s="36">
        <v>74.599999999999994</v>
      </c>
      <c r="K103" s="36">
        <v>77.099999999999994</v>
      </c>
      <c r="L103" s="22" t="e">
        <v>#N/A</v>
      </c>
      <c r="M103" s="18" t="e">
        <v>#N/A</v>
      </c>
      <c r="N103" s="18" t="e">
        <v>#N/A</v>
      </c>
      <c r="O103" s="18" t="e">
        <v>#N/A</v>
      </c>
      <c r="P103" s="18" t="e">
        <v>#N/A</v>
      </c>
      <c r="Q103" s="18" t="e">
        <v>#N/A</v>
      </c>
      <c r="R103" s="18" t="e">
        <v>#N/A</v>
      </c>
    </row>
    <row r="104" spans="1:18" x14ac:dyDescent="0.35">
      <c r="A104" t="s">
        <v>1416</v>
      </c>
      <c r="B104" s="18">
        <v>408</v>
      </c>
      <c r="C104" s="18">
        <v>419</v>
      </c>
      <c r="D104" s="36">
        <v>6.9</v>
      </c>
      <c r="E104" s="36">
        <v>6.2</v>
      </c>
      <c r="F104" s="36">
        <v>76.155019372098408</v>
      </c>
      <c r="G104" s="36">
        <v>75.900000000000006</v>
      </c>
      <c r="H104" s="36">
        <v>80</v>
      </c>
      <c r="I104" s="38">
        <v>1.9581</v>
      </c>
      <c r="J104" s="36">
        <v>75.400000000000006</v>
      </c>
      <c r="K104" s="36">
        <v>77.400000000000006</v>
      </c>
      <c r="L104" s="22" t="e">
        <v>#N/A</v>
      </c>
      <c r="M104" s="18" t="e">
        <v>#N/A</v>
      </c>
      <c r="N104" s="18" t="e">
        <v>#N/A</v>
      </c>
      <c r="O104" s="18" t="e">
        <v>#N/A</v>
      </c>
      <c r="P104" s="18" t="e">
        <v>#N/A</v>
      </c>
      <c r="Q104" s="18" t="e">
        <v>#N/A</v>
      </c>
      <c r="R104" s="18" t="e">
        <v>#N/A</v>
      </c>
    </row>
    <row r="105" spans="1:18" x14ac:dyDescent="0.35">
      <c r="A105" t="s">
        <v>1417</v>
      </c>
      <c r="B105" s="18">
        <v>398</v>
      </c>
      <c r="C105" s="18">
        <v>417</v>
      </c>
      <c r="D105" s="36">
        <v>6.2</v>
      </c>
      <c r="E105" s="36">
        <v>5.8</v>
      </c>
      <c r="F105" s="36">
        <v>76.295854437548613</v>
      </c>
      <c r="G105" s="36">
        <v>76</v>
      </c>
      <c r="H105" s="36">
        <v>81.099999999999994</v>
      </c>
      <c r="I105" s="38">
        <v>1.9471000000000001</v>
      </c>
      <c r="J105" s="36">
        <v>75.8</v>
      </c>
      <c r="K105" s="36">
        <v>77.900000000000006</v>
      </c>
      <c r="L105" s="22" t="e">
        <v>#N/A</v>
      </c>
      <c r="M105" s="18" t="e">
        <v>#N/A</v>
      </c>
      <c r="N105" s="18" t="e">
        <v>#N/A</v>
      </c>
      <c r="O105" s="18" t="e">
        <v>#N/A</v>
      </c>
      <c r="P105" s="18" t="e">
        <v>#N/A</v>
      </c>
      <c r="Q105" s="18" t="e">
        <v>#N/A</v>
      </c>
      <c r="R105" s="18" t="e">
        <v>#N/A</v>
      </c>
    </row>
    <row r="106" spans="1:18" x14ac:dyDescent="0.35">
      <c r="A106" t="s">
        <v>1418</v>
      </c>
      <c r="B106" s="18">
        <v>399</v>
      </c>
      <c r="C106" s="18">
        <v>412</v>
      </c>
      <c r="D106" s="36">
        <v>5.5</v>
      </c>
      <c r="E106" s="36">
        <v>5.3</v>
      </c>
      <c r="F106" s="36">
        <v>76.407692322876528</v>
      </c>
      <c r="G106" s="36">
        <v>76.400000000000006</v>
      </c>
      <c r="H106" s="36">
        <v>83.9</v>
      </c>
      <c r="I106" s="38">
        <v>1.9908999999999999</v>
      </c>
      <c r="J106" s="36">
        <v>76</v>
      </c>
      <c r="K106" s="36">
        <v>77.8</v>
      </c>
      <c r="L106" s="22" t="e">
        <v>#N/A</v>
      </c>
      <c r="M106" s="18" t="e">
        <v>#N/A</v>
      </c>
      <c r="N106" s="18" t="e">
        <v>#N/A</v>
      </c>
      <c r="O106" s="18" t="e">
        <v>#N/A</v>
      </c>
      <c r="P106" s="18" t="e">
        <v>#N/A</v>
      </c>
      <c r="Q106" s="18" t="e">
        <v>#N/A</v>
      </c>
      <c r="R106" s="18" t="e">
        <v>#N/A</v>
      </c>
    </row>
    <row r="107" spans="1:18" x14ac:dyDescent="0.35">
      <c r="A107" t="s">
        <v>1419</v>
      </c>
      <c r="B107" s="18">
        <v>402</v>
      </c>
      <c r="C107" s="18">
        <v>416</v>
      </c>
      <c r="D107" s="36">
        <v>4.5999999999999996</v>
      </c>
      <c r="E107" s="36">
        <v>4.5</v>
      </c>
      <c r="F107" s="36">
        <v>76.656715980537555</v>
      </c>
      <c r="G107" s="36">
        <v>76.7</v>
      </c>
      <c r="H107" s="36">
        <v>86.5</v>
      </c>
      <c r="I107" s="38">
        <v>1.9836</v>
      </c>
      <c r="J107" s="36">
        <v>76.3</v>
      </c>
      <c r="K107" s="36">
        <v>78.099999999999994</v>
      </c>
      <c r="L107" s="22" t="e">
        <v>#N/A</v>
      </c>
      <c r="M107" s="18" t="e">
        <v>#N/A</v>
      </c>
      <c r="N107" s="18" t="e">
        <v>#N/A</v>
      </c>
      <c r="O107" s="18" t="e">
        <v>#N/A</v>
      </c>
      <c r="P107" s="18" t="e">
        <v>#N/A</v>
      </c>
      <c r="Q107" s="18" t="e">
        <v>#N/A</v>
      </c>
      <c r="R107" s="18" t="e">
        <v>#N/A</v>
      </c>
    </row>
    <row r="108" spans="1:18" x14ac:dyDescent="0.35">
      <c r="A108" t="s">
        <v>1420</v>
      </c>
      <c r="B108" s="18">
        <v>404</v>
      </c>
      <c r="C108" s="18">
        <v>418</v>
      </c>
      <c r="D108" s="36">
        <v>4.5999999999999996</v>
      </c>
      <c r="E108" s="36">
        <v>4.4000000000000004</v>
      </c>
      <c r="F108" s="36">
        <v>76.867513148494979</v>
      </c>
      <c r="G108" s="36">
        <v>76.900000000000006</v>
      </c>
      <c r="H108" s="36">
        <v>91.4</v>
      </c>
      <c r="I108" s="38">
        <v>1.9863999999999999</v>
      </c>
      <c r="J108" s="36">
        <v>76.7</v>
      </c>
      <c r="K108" s="36">
        <v>78.3</v>
      </c>
      <c r="L108" s="22" t="e">
        <v>#N/A</v>
      </c>
      <c r="M108" s="18" t="e">
        <v>#N/A</v>
      </c>
      <c r="N108" s="18" t="e">
        <v>#N/A</v>
      </c>
      <c r="O108" s="18" t="e">
        <v>#N/A</v>
      </c>
      <c r="P108" s="18" t="e">
        <v>#N/A</v>
      </c>
      <c r="Q108" s="18" t="e">
        <v>#N/A</v>
      </c>
      <c r="R108" s="18" t="e">
        <v>#N/A</v>
      </c>
    </row>
    <row r="109" spans="1:18" x14ac:dyDescent="0.35">
      <c r="A109" t="s">
        <v>1421</v>
      </c>
      <c r="B109" s="18">
        <v>405</v>
      </c>
      <c r="C109" s="18">
        <v>420</v>
      </c>
      <c r="D109" s="36">
        <v>4.7</v>
      </c>
      <c r="E109" s="36">
        <v>4.5999999999999996</v>
      </c>
      <c r="F109" s="36">
        <v>77.005899911100457</v>
      </c>
      <c r="G109" s="36">
        <v>77.400000000000006</v>
      </c>
      <c r="H109" s="36">
        <v>95.5</v>
      </c>
      <c r="I109" s="38">
        <v>2.0337999999999998</v>
      </c>
      <c r="J109" s="36">
        <v>75.400000000000006</v>
      </c>
      <c r="K109" s="36">
        <v>78.8</v>
      </c>
      <c r="L109" s="22" t="e">
        <v>#N/A</v>
      </c>
      <c r="M109" s="18" t="e">
        <v>#N/A</v>
      </c>
      <c r="N109" s="18" t="e">
        <v>#N/A</v>
      </c>
      <c r="O109" s="18" t="e">
        <v>#N/A</v>
      </c>
      <c r="P109" s="18" t="e">
        <v>#N/A</v>
      </c>
      <c r="Q109" s="18" t="e">
        <v>#N/A</v>
      </c>
      <c r="R109" s="18" t="e">
        <v>#N/A</v>
      </c>
    </row>
    <row r="110" spans="1:18" x14ac:dyDescent="0.35">
      <c r="A110" t="s">
        <v>1422</v>
      </c>
      <c r="B110" s="18">
        <v>407</v>
      </c>
      <c r="C110" s="18">
        <v>422</v>
      </c>
      <c r="D110" s="36">
        <v>4.7</v>
      </c>
      <c r="E110" s="36">
        <v>4.8</v>
      </c>
      <c r="F110" s="36">
        <v>77.280584833456274</v>
      </c>
      <c r="G110" s="36">
        <v>77.8</v>
      </c>
      <c r="H110" s="36">
        <v>99.1</v>
      </c>
      <c r="I110" s="38">
        <v>2.0110999999999999</v>
      </c>
      <c r="J110" s="36">
        <v>75.900000000000006</v>
      </c>
      <c r="K110" s="36">
        <v>79.099999999999994</v>
      </c>
      <c r="L110" s="22" t="e">
        <v>#N/A</v>
      </c>
      <c r="M110" s="18" t="e">
        <v>#N/A</v>
      </c>
      <c r="N110" s="18" t="e">
        <v>#N/A</v>
      </c>
      <c r="O110" s="18" t="e">
        <v>#N/A</v>
      </c>
      <c r="P110" s="18" t="e">
        <v>#N/A</v>
      </c>
      <c r="Q110" s="18" t="e">
        <v>#N/A</v>
      </c>
      <c r="R110" s="18" t="e">
        <v>#N/A</v>
      </c>
    </row>
    <row r="111" spans="1:18" x14ac:dyDescent="0.35">
      <c r="A111" t="s">
        <v>1423</v>
      </c>
      <c r="B111" s="18">
        <v>410</v>
      </c>
      <c r="C111" s="18">
        <v>424</v>
      </c>
      <c r="D111" s="36">
        <v>5.2</v>
      </c>
      <c r="E111" s="36">
        <v>5.2</v>
      </c>
      <c r="F111" s="36">
        <v>77.373320780379743</v>
      </c>
      <c r="G111" s="36">
        <v>77.3</v>
      </c>
      <c r="H111" s="36">
        <v>105.3</v>
      </c>
      <c r="I111" s="38">
        <v>2.0185</v>
      </c>
      <c r="J111" s="36">
        <v>76.8</v>
      </c>
      <c r="K111" s="36">
        <v>79.900000000000006</v>
      </c>
      <c r="L111" s="22" t="e">
        <v>#N/A</v>
      </c>
      <c r="M111" s="18" t="e">
        <v>#N/A</v>
      </c>
      <c r="N111" s="18" t="e">
        <v>#N/A</v>
      </c>
      <c r="O111" s="18" t="e">
        <v>#N/A</v>
      </c>
      <c r="P111" s="18" t="e">
        <v>#N/A</v>
      </c>
      <c r="Q111" s="18" t="e">
        <v>#N/A</v>
      </c>
      <c r="R111" s="18" t="e">
        <v>#N/A</v>
      </c>
    </row>
    <row r="112" spans="1:18" x14ac:dyDescent="0.35">
      <c r="A112" t="s">
        <v>1424</v>
      </c>
      <c r="B112" s="18">
        <v>409</v>
      </c>
      <c r="C112" s="18">
        <v>423</v>
      </c>
      <c r="D112" s="36">
        <v>5.0999999999999996</v>
      </c>
      <c r="E112" s="36">
        <v>5</v>
      </c>
      <c r="F112" s="36">
        <v>77.813795270811255</v>
      </c>
      <c r="G112" s="36">
        <v>77.8</v>
      </c>
      <c r="H112" s="36">
        <v>107.9</v>
      </c>
      <c r="I112" s="38">
        <v>2.0446</v>
      </c>
      <c r="J112" s="36">
        <v>78</v>
      </c>
      <c r="K112" s="36">
        <v>81.2</v>
      </c>
      <c r="L112" s="22" t="e">
        <v>#N/A</v>
      </c>
      <c r="M112" s="18" t="e">
        <v>#N/A</v>
      </c>
      <c r="N112" s="18" t="e">
        <v>#N/A</v>
      </c>
      <c r="O112" s="18" t="e">
        <v>#N/A</v>
      </c>
      <c r="P112" s="18" t="e">
        <v>#N/A</v>
      </c>
      <c r="Q112" s="18" t="e">
        <v>#N/A</v>
      </c>
      <c r="R112" s="18" t="e">
        <v>#N/A</v>
      </c>
    </row>
    <row r="113" spans="1:18" x14ac:dyDescent="0.35">
      <c r="A113" t="s">
        <v>1425</v>
      </c>
      <c r="B113" s="18">
        <v>412</v>
      </c>
      <c r="C113" s="18">
        <v>426</v>
      </c>
      <c r="D113" s="36">
        <v>5</v>
      </c>
      <c r="E113" s="36">
        <v>4.9000000000000004</v>
      </c>
      <c r="F113" s="36">
        <v>77.915704144659983</v>
      </c>
      <c r="G113" s="36">
        <v>77.7</v>
      </c>
      <c r="H113" s="36">
        <v>110.8</v>
      </c>
      <c r="I113" s="38">
        <v>2.0701000000000001</v>
      </c>
      <c r="J113" s="36">
        <v>78.7</v>
      </c>
      <c r="K113" s="36">
        <v>82</v>
      </c>
      <c r="L113" s="22" t="e">
        <v>#N/A</v>
      </c>
      <c r="M113" s="18" t="e">
        <v>#N/A</v>
      </c>
      <c r="N113" s="18" t="e">
        <v>#N/A</v>
      </c>
      <c r="O113" s="18" t="e">
        <v>#N/A</v>
      </c>
      <c r="P113" s="18" t="e">
        <v>#N/A</v>
      </c>
      <c r="Q113" s="18" t="e">
        <v>#N/A</v>
      </c>
      <c r="R113" s="18" t="e">
        <v>#N/A</v>
      </c>
    </row>
    <row r="114" spans="1:18" x14ac:dyDescent="0.35">
      <c r="A114" t="s">
        <v>1426</v>
      </c>
      <c r="B114" s="18">
        <v>411</v>
      </c>
      <c r="C114" s="18">
        <v>426</v>
      </c>
      <c r="D114" s="36">
        <v>4</v>
      </c>
      <c r="E114" s="36">
        <v>4.0999999999999996</v>
      </c>
      <c r="F114" s="36">
        <v>78.103566911121632</v>
      </c>
      <c r="G114" s="36">
        <v>78.2</v>
      </c>
      <c r="H114" s="36">
        <v>114.7</v>
      </c>
      <c r="I114" s="38">
        <v>2.0185</v>
      </c>
      <c r="J114" s="36">
        <v>79.400000000000006</v>
      </c>
      <c r="K114" s="36">
        <v>82.5</v>
      </c>
      <c r="L114" s="22" t="e">
        <v>#N/A</v>
      </c>
      <c r="M114" s="18" t="e">
        <v>#N/A</v>
      </c>
      <c r="N114" s="18" t="e">
        <v>#N/A</v>
      </c>
      <c r="O114" s="18" t="e">
        <v>#N/A</v>
      </c>
      <c r="P114" s="18" t="e">
        <v>#N/A</v>
      </c>
      <c r="Q114" s="18" t="e">
        <v>#N/A</v>
      </c>
      <c r="R114" s="18" t="e">
        <v>#N/A</v>
      </c>
    </row>
    <row r="115" spans="1:18" x14ac:dyDescent="0.35">
      <c r="A115" t="s">
        <v>1427</v>
      </c>
      <c r="B115" s="18">
        <v>412</v>
      </c>
      <c r="C115" s="18">
        <v>429</v>
      </c>
      <c r="D115" s="36">
        <v>3.6</v>
      </c>
      <c r="E115" s="36">
        <v>3.8</v>
      </c>
      <c r="F115" s="36">
        <v>78.325041138399001</v>
      </c>
      <c r="G115" s="36">
        <v>78.099999999999994</v>
      </c>
      <c r="H115" s="36">
        <v>120.4</v>
      </c>
      <c r="I115" s="38">
        <v>1.9698</v>
      </c>
      <c r="J115" s="36">
        <v>79.2</v>
      </c>
      <c r="K115" s="36">
        <v>83.5</v>
      </c>
      <c r="L115" s="22" t="e">
        <v>#N/A</v>
      </c>
      <c r="M115" s="18" t="e">
        <v>#N/A</v>
      </c>
      <c r="N115" s="18" t="e">
        <v>#N/A</v>
      </c>
      <c r="O115" s="18" t="e">
        <v>#N/A</v>
      </c>
      <c r="P115" s="18" t="e">
        <v>#N/A</v>
      </c>
      <c r="Q115" s="18" t="e">
        <v>#N/A</v>
      </c>
      <c r="R115" s="18" t="e">
        <v>#N/A</v>
      </c>
    </row>
    <row r="116" spans="1:18" x14ac:dyDescent="0.35">
      <c r="A116" t="s">
        <v>1428</v>
      </c>
      <c r="B116" s="18">
        <v>425</v>
      </c>
      <c r="C116" s="18">
        <v>435</v>
      </c>
      <c r="D116" s="36">
        <v>3.4</v>
      </c>
      <c r="E116" s="36">
        <v>3.6</v>
      </c>
      <c r="F116" s="36">
        <v>78.565516399212783</v>
      </c>
      <c r="G116" s="36">
        <v>78.3</v>
      </c>
      <c r="H116" s="36">
        <v>128.4</v>
      </c>
      <c r="I116" s="38">
        <v>1.9638</v>
      </c>
      <c r="J116" s="36">
        <v>79.599999999999994</v>
      </c>
      <c r="K116" s="36">
        <v>84</v>
      </c>
      <c r="L116" s="22" t="e">
        <v>#N/A</v>
      </c>
      <c r="M116" s="18" t="e">
        <v>#N/A</v>
      </c>
      <c r="N116" s="18" t="e">
        <v>#N/A</v>
      </c>
      <c r="O116" s="18" t="e">
        <v>#N/A</v>
      </c>
      <c r="P116" s="18" t="e">
        <v>#N/A</v>
      </c>
      <c r="Q116" s="18" t="e">
        <v>#N/A</v>
      </c>
      <c r="R116" s="18" t="e">
        <v>#N/A</v>
      </c>
    </row>
    <row r="117" spans="1:18" x14ac:dyDescent="0.35">
      <c r="A117" t="s">
        <v>1429</v>
      </c>
      <c r="B117" s="18">
        <v>418</v>
      </c>
      <c r="C117" s="18">
        <v>437</v>
      </c>
      <c r="D117" s="36">
        <v>4.0999999999999996</v>
      </c>
      <c r="E117" s="36">
        <v>4.0999999999999996</v>
      </c>
      <c r="F117" s="36">
        <v>78.90054107504578</v>
      </c>
      <c r="G117" s="36">
        <v>78.599999999999994</v>
      </c>
      <c r="H117" s="36">
        <v>132.4</v>
      </c>
      <c r="I117" s="38">
        <v>2.0032000000000001</v>
      </c>
      <c r="J117" s="36">
        <v>79.900000000000006</v>
      </c>
      <c r="K117" s="36">
        <v>84.8</v>
      </c>
      <c r="L117" s="22" t="e">
        <v>#N/A</v>
      </c>
      <c r="M117" s="18" t="e">
        <v>#N/A</v>
      </c>
      <c r="N117" s="18" t="e">
        <v>#N/A</v>
      </c>
      <c r="O117" s="18" t="e">
        <v>#N/A</v>
      </c>
      <c r="P117" s="18" t="e">
        <v>#N/A</v>
      </c>
      <c r="Q117" s="18" t="e">
        <v>#N/A</v>
      </c>
      <c r="R117" s="18" t="e">
        <v>#N/A</v>
      </c>
    </row>
    <row r="118" spans="1:18" x14ac:dyDescent="0.35">
      <c r="A118" t="s">
        <v>1430</v>
      </c>
      <c r="B118" s="18">
        <v>419</v>
      </c>
      <c r="C118" s="18">
        <v>432</v>
      </c>
      <c r="D118" s="36">
        <v>4.5999999999999996</v>
      </c>
      <c r="E118" s="36">
        <v>4.5999999999999996</v>
      </c>
      <c r="F118" s="36">
        <v>79.309340290162297</v>
      </c>
      <c r="G118" s="36">
        <v>79.3</v>
      </c>
      <c r="H118" s="36">
        <v>130.69999999999999</v>
      </c>
      <c r="I118" s="38">
        <v>1.9817</v>
      </c>
      <c r="J118" s="36">
        <v>80.900000000000006</v>
      </c>
      <c r="K118" s="36">
        <v>85.3</v>
      </c>
      <c r="L118" s="22" t="e">
        <v>#N/A</v>
      </c>
      <c r="M118" s="18" t="e">
        <v>#N/A</v>
      </c>
      <c r="N118" s="18" t="e">
        <v>#N/A</v>
      </c>
      <c r="O118" s="18" t="e">
        <v>#N/A</v>
      </c>
      <c r="P118" s="18" t="e">
        <v>#N/A</v>
      </c>
      <c r="Q118" s="18" t="e">
        <v>#N/A</v>
      </c>
      <c r="R118" s="18" t="e">
        <v>#N/A</v>
      </c>
    </row>
    <row r="119" spans="1:18" x14ac:dyDescent="0.35">
      <c r="A119" t="s">
        <v>1431</v>
      </c>
      <c r="B119" s="18">
        <v>420</v>
      </c>
      <c r="C119" s="18">
        <v>434</v>
      </c>
      <c r="D119" s="36">
        <v>4.8</v>
      </c>
      <c r="E119" s="36">
        <v>4.7</v>
      </c>
      <c r="F119" s="36">
        <v>79.550518071659113</v>
      </c>
      <c r="G119" s="36">
        <v>79.599999999999994</v>
      </c>
      <c r="H119" s="36">
        <v>130.30000000000001</v>
      </c>
      <c r="I119" s="38">
        <v>1.9641</v>
      </c>
      <c r="J119" s="36">
        <v>82.3</v>
      </c>
      <c r="K119" s="36">
        <v>87.1</v>
      </c>
      <c r="L119" s="22" t="e">
        <v>#N/A</v>
      </c>
      <c r="M119" s="18" t="e">
        <v>#N/A</v>
      </c>
      <c r="N119" s="18" t="e">
        <v>#N/A</v>
      </c>
      <c r="O119" s="18" t="e">
        <v>#N/A</v>
      </c>
      <c r="P119" s="18" t="e">
        <v>#N/A</v>
      </c>
      <c r="Q119" s="18" t="e">
        <v>#N/A</v>
      </c>
      <c r="R119" s="18" t="e">
        <v>#N/A</v>
      </c>
    </row>
    <row r="120" spans="1:18" x14ac:dyDescent="0.35">
      <c r="A120" t="s">
        <v>1432</v>
      </c>
      <c r="B120" s="18">
        <v>419</v>
      </c>
      <c r="C120" s="18">
        <v>433</v>
      </c>
      <c r="D120" s="36">
        <v>4.3</v>
      </c>
      <c r="E120" s="36">
        <v>4.2</v>
      </c>
      <c r="F120" s="36">
        <v>79.864792216057708</v>
      </c>
      <c r="G120" s="36">
        <v>79.900000000000006</v>
      </c>
      <c r="H120" s="36">
        <v>132.69999999999999</v>
      </c>
      <c r="I120" s="38">
        <v>1.9658</v>
      </c>
      <c r="J120" s="36">
        <v>84</v>
      </c>
      <c r="K120" s="36">
        <v>88</v>
      </c>
      <c r="L120" s="22" t="e">
        <v>#N/A</v>
      </c>
      <c r="M120" s="18" t="e">
        <v>#N/A</v>
      </c>
      <c r="N120" s="18" t="e">
        <v>#N/A</v>
      </c>
      <c r="O120" s="18" t="e">
        <v>#N/A</v>
      </c>
      <c r="P120" s="18" t="e">
        <v>#N/A</v>
      </c>
      <c r="Q120" s="18" t="e">
        <v>#N/A</v>
      </c>
      <c r="R120" s="18" t="e">
        <v>#N/A</v>
      </c>
    </row>
    <row r="121" spans="1:18" x14ac:dyDescent="0.35">
      <c r="A121" t="s">
        <v>1433</v>
      </c>
      <c r="B121" s="18">
        <v>420</v>
      </c>
      <c r="C121" s="18">
        <v>434</v>
      </c>
      <c r="D121" s="36">
        <v>3.9</v>
      </c>
      <c r="E121" s="36">
        <v>3.7</v>
      </c>
      <c r="F121" s="36">
        <v>80.197510528570646</v>
      </c>
      <c r="G121" s="36">
        <v>80.599999999999994</v>
      </c>
      <c r="H121" s="36">
        <v>130.19999999999999</v>
      </c>
      <c r="I121" s="38">
        <v>1.988</v>
      </c>
      <c r="J121" s="36">
        <v>84.7</v>
      </c>
      <c r="K121" s="36">
        <v>88.3</v>
      </c>
      <c r="L121" s="22" t="e">
        <v>#N/A</v>
      </c>
      <c r="M121" s="18" t="e">
        <v>#N/A</v>
      </c>
      <c r="N121" s="18" t="e">
        <v>#N/A</v>
      </c>
      <c r="O121" s="18" t="e">
        <v>#N/A</v>
      </c>
      <c r="P121" s="18" t="e">
        <v>#N/A</v>
      </c>
      <c r="Q121" s="18" t="e">
        <v>#N/A</v>
      </c>
      <c r="R121" s="18" t="e">
        <v>#N/A</v>
      </c>
    </row>
    <row r="122" spans="1:18" x14ac:dyDescent="0.35">
      <c r="A122" t="s">
        <v>1434</v>
      </c>
      <c r="B122" s="18">
        <v>421</v>
      </c>
      <c r="C122" s="18">
        <v>435</v>
      </c>
      <c r="D122" s="36">
        <v>3.6</v>
      </c>
      <c r="E122" s="36">
        <v>3.3</v>
      </c>
      <c r="F122" s="36">
        <v>80.53333475890885</v>
      </c>
      <c r="G122" s="36">
        <v>81.099999999999994</v>
      </c>
      <c r="H122" s="36">
        <v>121.2</v>
      </c>
      <c r="I122" s="38">
        <v>1.8889</v>
      </c>
      <c r="J122" s="36">
        <v>85.8</v>
      </c>
      <c r="K122" s="36">
        <v>88.9</v>
      </c>
      <c r="L122" s="22" t="e">
        <v>#N/A</v>
      </c>
      <c r="M122" s="18" t="e">
        <v>#N/A</v>
      </c>
      <c r="N122" s="18" t="e">
        <v>#N/A</v>
      </c>
      <c r="O122" s="18" t="e">
        <v>#N/A</v>
      </c>
      <c r="P122" s="18" t="e">
        <v>#N/A</v>
      </c>
      <c r="Q122" s="18" t="e">
        <v>#N/A</v>
      </c>
      <c r="R122" s="18" t="e">
        <v>#N/A</v>
      </c>
    </row>
    <row r="123" spans="1:18" x14ac:dyDescent="0.35">
      <c r="A123" t="s">
        <v>1435</v>
      </c>
      <c r="B123" s="18">
        <v>422</v>
      </c>
      <c r="C123" s="18">
        <v>435</v>
      </c>
      <c r="D123" s="36">
        <v>3.3</v>
      </c>
      <c r="E123" s="36">
        <v>3.1</v>
      </c>
      <c r="F123" s="36">
        <v>80.976259042894299</v>
      </c>
      <c r="G123" s="36">
        <v>80.900000000000006</v>
      </c>
      <c r="H123" s="36">
        <v>112.8</v>
      </c>
      <c r="I123" s="38">
        <v>1.7986</v>
      </c>
      <c r="J123" s="36">
        <v>85.5</v>
      </c>
      <c r="K123" s="36">
        <v>89.3</v>
      </c>
      <c r="L123" s="22" t="e">
        <v>#N/A</v>
      </c>
      <c r="M123" s="18" t="e">
        <v>#N/A</v>
      </c>
      <c r="N123" s="18" t="e">
        <v>#N/A</v>
      </c>
      <c r="O123" s="18" t="e">
        <v>#N/A</v>
      </c>
      <c r="P123" s="18" t="e">
        <v>#N/A</v>
      </c>
      <c r="Q123" s="18" t="e">
        <v>#N/A</v>
      </c>
      <c r="R123" s="18" t="e">
        <v>#N/A</v>
      </c>
    </row>
    <row r="124" spans="1:18" x14ac:dyDescent="0.35">
      <c r="A124" t="s">
        <v>1436</v>
      </c>
      <c r="B124" s="18">
        <v>424</v>
      </c>
      <c r="C124" s="18">
        <v>437</v>
      </c>
      <c r="D124" s="36">
        <v>3.4</v>
      </c>
      <c r="E124" s="36">
        <v>3.1</v>
      </c>
      <c r="F124" s="36">
        <v>81.238938643624294</v>
      </c>
      <c r="G124" s="36">
        <v>81.2</v>
      </c>
      <c r="H124" s="36">
        <v>97.8</v>
      </c>
      <c r="I124" s="38">
        <v>1.69</v>
      </c>
      <c r="J124" s="36">
        <v>85.9</v>
      </c>
      <c r="K124" s="36">
        <v>88.8</v>
      </c>
      <c r="L124" s="22" t="e">
        <v>#N/A</v>
      </c>
      <c r="M124" s="18" t="e">
        <v>#N/A</v>
      </c>
      <c r="N124" s="18" t="e">
        <v>#N/A</v>
      </c>
      <c r="O124" s="18" t="e">
        <v>#N/A</v>
      </c>
      <c r="P124" s="18" t="e">
        <v>#N/A</v>
      </c>
      <c r="Q124" s="18" t="e">
        <v>#N/A</v>
      </c>
      <c r="R124" s="18" t="e">
        <v>#N/A</v>
      </c>
    </row>
    <row r="125" spans="1:18" x14ac:dyDescent="0.35">
      <c r="A125" t="s">
        <v>1437</v>
      </c>
      <c r="B125" s="18">
        <v>423</v>
      </c>
      <c r="C125" s="18">
        <v>436</v>
      </c>
      <c r="D125" s="36">
        <v>3.1</v>
      </c>
      <c r="E125" s="36">
        <v>2.8</v>
      </c>
      <c r="F125" s="36">
        <v>81.446512127264469</v>
      </c>
      <c r="G125" s="36">
        <v>81.2</v>
      </c>
      <c r="H125" s="36">
        <v>89.7</v>
      </c>
      <c r="I125" s="38">
        <v>1.5338000000000001</v>
      </c>
      <c r="J125" s="36">
        <v>87.1</v>
      </c>
      <c r="K125" s="36">
        <v>88.7</v>
      </c>
      <c r="L125" s="22" t="e">
        <v>#N/A</v>
      </c>
      <c r="M125" s="18" t="e">
        <v>#N/A</v>
      </c>
      <c r="N125" s="18" t="e">
        <v>#N/A</v>
      </c>
      <c r="O125" s="18" t="e">
        <v>#N/A</v>
      </c>
      <c r="P125" s="18" t="e">
        <v>#N/A</v>
      </c>
      <c r="Q125" s="18" t="e">
        <v>#N/A</v>
      </c>
      <c r="R125" s="18" t="e">
        <v>#N/A</v>
      </c>
    </row>
    <row r="126" spans="1:18" x14ac:dyDescent="0.35">
      <c r="A126" t="s">
        <v>1438</v>
      </c>
      <c r="B126" s="18">
        <v>425</v>
      </c>
      <c r="C126" s="18">
        <v>436</v>
      </c>
      <c r="D126" s="36">
        <v>3.2</v>
      </c>
      <c r="E126" s="36">
        <v>2.8</v>
      </c>
      <c r="F126" s="36">
        <v>81.686476276419512</v>
      </c>
      <c r="G126" s="36">
        <v>81.8</v>
      </c>
      <c r="H126" s="36">
        <v>86.3</v>
      </c>
      <c r="I126" s="38">
        <v>1.4859</v>
      </c>
      <c r="J126" s="36">
        <v>87.7</v>
      </c>
      <c r="K126" s="36">
        <v>89</v>
      </c>
      <c r="L126" s="22" t="e">
        <v>#N/A</v>
      </c>
      <c r="M126" s="18" t="e">
        <v>#N/A</v>
      </c>
      <c r="N126" s="18" t="e">
        <v>#N/A</v>
      </c>
      <c r="O126" s="18" t="e">
        <v>#N/A</v>
      </c>
      <c r="P126" s="18" t="e">
        <v>#N/A</v>
      </c>
      <c r="Q126" s="18" t="e">
        <v>#N/A</v>
      </c>
      <c r="R126" s="18" t="e">
        <v>#N/A</v>
      </c>
    </row>
    <row r="127" spans="1:18" x14ac:dyDescent="0.35">
      <c r="A127" t="s">
        <v>1439</v>
      </c>
      <c r="B127" s="18">
        <v>425</v>
      </c>
      <c r="C127" s="18">
        <v>421</v>
      </c>
      <c r="D127" s="36">
        <v>3</v>
      </c>
      <c r="E127" s="36">
        <v>1</v>
      </c>
      <c r="F127" s="36">
        <v>81.734334295419913</v>
      </c>
      <c r="G127" s="36">
        <v>81.5</v>
      </c>
      <c r="H127" s="36">
        <v>86.7</v>
      </c>
      <c r="I127" s="38">
        <v>1.4452</v>
      </c>
      <c r="J127" s="36">
        <v>87.3</v>
      </c>
      <c r="K127" s="36">
        <v>89.3</v>
      </c>
      <c r="L127" s="22" t="e">
        <v>#N/A</v>
      </c>
      <c r="M127" s="18" t="e">
        <v>#N/A</v>
      </c>
      <c r="N127" s="18" t="e">
        <v>#N/A</v>
      </c>
      <c r="O127" s="18" t="e">
        <v>#N/A</v>
      </c>
      <c r="P127" s="18" t="e">
        <v>#N/A</v>
      </c>
      <c r="Q127" s="18" t="e">
        <v>#N/A</v>
      </c>
      <c r="R127" s="18" t="e">
        <v>#N/A</v>
      </c>
    </row>
    <row r="128" spans="1:18" x14ac:dyDescent="0.35">
      <c r="A128" t="s">
        <v>1440</v>
      </c>
      <c r="B128" s="18">
        <v>409</v>
      </c>
      <c r="C128" s="18">
        <v>409</v>
      </c>
      <c r="D128" s="36">
        <v>0.8</v>
      </c>
      <c r="E128" s="36">
        <v>-1.8</v>
      </c>
      <c r="F128" s="36">
        <v>81.881256748292657</v>
      </c>
      <c r="G128" s="36">
        <v>81.599999999999994</v>
      </c>
      <c r="H128" s="36">
        <v>84.5</v>
      </c>
      <c r="I128" s="38">
        <v>1.4411</v>
      </c>
      <c r="J128" s="36">
        <v>88.7</v>
      </c>
      <c r="K128" s="36">
        <v>89.9</v>
      </c>
      <c r="L128" s="22" t="e">
        <v>#N/A</v>
      </c>
      <c r="M128" s="18" t="e">
        <v>#N/A</v>
      </c>
      <c r="N128" s="18" t="e">
        <v>#N/A</v>
      </c>
      <c r="O128" s="18" t="e">
        <v>#N/A</v>
      </c>
      <c r="P128" s="18" t="e">
        <v>#N/A</v>
      </c>
      <c r="Q128" s="18" t="e">
        <v>#N/A</v>
      </c>
      <c r="R128" s="18" t="e">
        <v>#N/A</v>
      </c>
    </row>
    <row r="129" spans="1:18" x14ac:dyDescent="0.35">
      <c r="A129" t="s">
        <v>1441</v>
      </c>
      <c r="B129" s="18">
        <v>401</v>
      </c>
      <c r="C129" s="18">
        <v>433</v>
      </c>
      <c r="D129" s="36">
        <v>-1.6</v>
      </c>
      <c r="E129" s="36">
        <v>-2.9</v>
      </c>
      <c r="F129" s="36">
        <v>82.01430898753668</v>
      </c>
      <c r="G129" s="36">
        <v>81.7</v>
      </c>
      <c r="H129" s="36">
        <v>84.3</v>
      </c>
      <c r="I129" s="38">
        <v>1.4174</v>
      </c>
      <c r="J129" s="36">
        <v>88.3</v>
      </c>
      <c r="K129" s="36">
        <v>89.7</v>
      </c>
      <c r="L129" s="22" t="e">
        <v>#N/A</v>
      </c>
      <c r="M129" s="18" t="e">
        <v>#N/A</v>
      </c>
      <c r="N129" s="18" t="e">
        <v>#N/A</v>
      </c>
      <c r="O129" s="18" t="e">
        <v>#N/A</v>
      </c>
      <c r="P129" s="18" t="e">
        <v>#N/A</v>
      </c>
      <c r="Q129" s="18" t="e">
        <v>#N/A</v>
      </c>
      <c r="R129" s="18" t="e">
        <v>#N/A</v>
      </c>
    </row>
    <row r="130" spans="1:18" x14ac:dyDescent="0.35">
      <c r="A130" t="s">
        <v>1442</v>
      </c>
      <c r="B130" s="18">
        <v>423</v>
      </c>
      <c r="C130" s="18">
        <v>438</v>
      </c>
      <c r="D130" s="36">
        <v>-2.2000000000000002</v>
      </c>
      <c r="E130" s="36">
        <v>-1.8</v>
      </c>
      <c r="F130" s="36">
        <v>82.089405576117599</v>
      </c>
      <c r="G130" s="36">
        <v>82.1</v>
      </c>
      <c r="H130" s="36">
        <v>87.4</v>
      </c>
      <c r="I130" s="38">
        <v>1.4715</v>
      </c>
      <c r="J130" s="36">
        <v>87.9</v>
      </c>
      <c r="K130" s="36">
        <v>89.9</v>
      </c>
      <c r="L130" s="22" t="e">
        <v>#N/A</v>
      </c>
      <c r="M130" s="18" t="e">
        <v>#N/A</v>
      </c>
      <c r="N130" s="18" t="e">
        <v>#N/A</v>
      </c>
      <c r="O130" s="18" t="e">
        <v>#N/A</v>
      </c>
      <c r="P130" s="18" t="e">
        <v>#N/A</v>
      </c>
      <c r="Q130" s="18" t="e">
        <v>#N/A</v>
      </c>
      <c r="R130" s="18" t="e">
        <v>#N/A</v>
      </c>
    </row>
    <row r="131" spans="1:18" x14ac:dyDescent="0.35">
      <c r="A131" t="s">
        <v>1443</v>
      </c>
      <c r="B131" s="18">
        <v>422</v>
      </c>
      <c r="C131" s="18">
        <v>437</v>
      </c>
      <c r="D131" s="36">
        <v>-0.8</v>
      </c>
      <c r="E131" s="36">
        <v>0.5</v>
      </c>
      <c r="F131" s="36">
        <v>82.341208674159361</v>
      </c>
      <c r="G131" s="36">
        <v>82.4</v>
      </c>
      <c r="H131" s="36">
        <v>93.5</v>
      </c>
      <c r="I131" s="38">
        <v>1.5428999999999999</v>
      </c>
      <c r="J131" s="36">
        <v>88.7</v>
      </c>
      <c r="K131" s="36">
        <v>89.7</v>
      </c>
      <c r="L131" s="22" t="e">
        <v>#N/A</v>
      </c>
      <c r="M131" s="18" t="e">
        <v>#N/A</v>
      </c>
      <c r="N131" s="18" t="e">
        <v>#N/A</v>
      </c>
      <c r="O131" s="18" t="e">
        <v>#N/A</v>
      </c>
      <c r="P131" s="18" t="e">
        <v>#N/A</v>
      </c>
      <c r="Q131" s="18" t="e">
        <v>#N/A</v>
      </c>
      <c r="R131" s="18" t="e">
        <v>#N/A</v>
      </c>
    </row>
    <row r="132" spans="1:18" x14ac:dyDescent="0.35">
      <c r="A132" t="s">
        <v>1444</v>
      </c>
      <c r="B132" s="18">
        <v>420</v>
      </c>
      <c r="C132" s="18">
        <v>438</v>
      </c>
      <c r="D132" s="36">
        <v>0.7</v>
      </c>
      <c r="E132" s="36">
        <v>1.1000000000000001</v>
      </c>
      <c r="F132" s="36">
        <v>82.461496567384998</v>
      </c>
      <c r="G132" s="36">
        <v>82.5</v>
      </c>
      <c r="H132" s="36">
        <v>93.4</v>
      </c>
      <c r="I132" s="38">
        <v>1.6366000000000001</v>
      </c>
      <c r="J132" s="36">
        <v>88.5</v>
      </c>
      <c r="K132" s="36">
        <v>89.7</v>
      </c>
      <c r="L132" s="22" t="e">
        <v>#N/A</v>
      </c>
      <c r="M132" s="18" t="e">
        <v>#N/A</v>
      </c>
      <c r="N132" s="18" t="e">
        <v>#N/A</v>
      </c>
      <c r="O132" s="18" t="e">
        <v>#N/A</v>
      </c>
      <c r="P132" s="18" t="e">
        <v>#N/A</v>
      </c>
      <c r="Q132" s="18" t="e">
        <v>#N/A</v>
      </c>
      <c r="R132" s="18" t="e">
        <v>#N/A</v>
      </c>
    </row>
    <row r="133" spans="1:18" x14ac:dyDescent="0.35">
      <c r="A133" t="s">
        <v>1445</v>
      </c>
      <c r="B133" s="18">
        <v>421</v>
      </c>
      <c r="C133" s="18">
        <v>437</v>
      </c>
      <c r="D133" s="36">
        <v>0.5</v>
      </c>
      <c r="E133" s="36">
        <v>0.8</v>
      </c>
      <c r="F133" s="36">
        <v>82.694008195008337</v>
      </c>
      <c r="G133" s="36">
        <v>83.1</v>
      </c>
      <c r="H133" s="36">
        <v>90.7</v>
      </c>
      <c r="I133" s="38">
        <v>1.6366000000000001</v>
      </c>
      <c r="J133" s="36">
        <v>88.2</v>
      </c>
      <c r="K133" s="36">
        <v>89.3</v>
      </c>
      <c r="L133" s="22" t="e">
        <v>#N/A</v>
      </c>
      <c r="M133" s="18" t="e">
        <v>#N/A</v>
      </c>
      <c r="N133" s="18" t="e">
        <v>#N/A</v>
      </c>
      <c r="O133" s="18" t="e">
        <v>#N/A</v>
      </c>
      <c r="P133" s="18" t="e">
        <v>#N/A</v>
      </c>
      <c r="Q133" s="18" t="e">
        <v>#N/A</v>
      </c>
      <c r="R133" s="18" t="e">
        <v>#N/A</v>
      </c>
    </row>
    <row r="134" spans="1:18" x14ac:dyDescent="0.35">
      <c r="A134" t="s">
        <v>1446</v>
      </c>
      <c r="B134" s="18">
        <v>422</v>
      </c>
      <c r="C134" s="18">
        <v>438</v>
      </c>
      <c r="D134" s="36">
        <v>0.3</v>
      </c>
      <c r="E134" s="36">
        <v>0.8</v>
      </c>
      <c r="F134" s="36">
        <v>82.810105323747024</v>
      </c>
      <c r="G134" s="36">
        <v>83.4</v>
      </c>
      <c r="H134" s="36">
        <v>93.5</v>
      </c>
      <c r="I134" s="38">
        <v>1.6538999999999999</v>
      </c>
      <c r="J134" s="36">
        <v>87.6</v>
      </c>
      <c r="K134" s="36">
        <v>88.8</v>
      </c>
      <c r="L134" s="22" t="e">
        <v>#N/A</v>
      </c>
      <c r="M134" s="18" t="e">
        <v>#N/A</v>
      </c>
      <c r="N134" s="18" t="e">
        <v>#N/A</v>
      </c>
      <c r="O134" s="18" t="e">
        <v>#N/A</v>
      </c>
      <c r="P134" s="18" t="e">
        <v>#N/A</v>
      </c>
      <c r="Q134" s="18" t="e">
        <v>#N/A</v>
      </c>
      <c r="R134" s="18" t="e">
        <v>#N/A</v>
      </c>
    </row>
    <row r="135" spans="1:18" x14ac:dyDescent="0.35">
      <c r="A135" t="s">
        <v>1447</v>
      </c>
      <c r="B135" s="18">
        <v>423</v>
      </c>
      <c r="C135" s="18">
        <v>439</v>
      </c>
      <c r="D135" s="36">
        <v>0.2</v>
      </c>
      <c r="E135" s="36">
        <v>0.7</v>
      </c>
      <c r="F135" s="36">
        <v>82.974048274630093</v>
      </c>
      <c r="G135" s="36">
        <v>82.9</v>
      </c>
      <c r="H135" s="36">
        <v>93.1</v>
      </c>
      <c r="I135" s="38">
        <v>1.6328</v>
      </c>
      <c r="J135" s="36">
        <v>86.8</v>
      </c>
      <c r="K135" s="36">
        <v>89</v>
      </c>
      <c r="L135" s="22" t="e">
        <v>#N/A</v>
      </c>
      <c r="M135" s="18" t="e">
        <v>#N/A</v>
      </c>
      <c r="N135" s="18" t="e">
        <v>#N/A</v>
      </c>
      <c r="O135" s="18" t="e">
        <v>#N/A</v>
      </c>
      <c r="P135" s="18" t="e">
        <v>#N/A</v>
      </c>
      <c r="Q135" s="18" t="e">
        <v>#N/A</v>
      </c>
      <c r="R135" s="18" t="e">
        <v>#N/A</v>
      </c>
    </row>
    <row r="136" spans="1:18" x14ac:dyDescent="0.35">
      <c r="A136" t="s">
        <v>1448</v>
      </c>
      <c r="B136" s="18">
        <v>424</v>
      </c>
      <c r="C136" s="18">
        <v>439</v>
      </c>
      <c r="D136" s="36">
        <v>0.1</v>
      </c>
      <c r="E136" s="36">
        <v>0.6</v>
      </c>
      <c r="F136" s="36">
        <v>83.156634014134625</v>
      </c>
      <c r="G136" s="36">
        <v>83.1</v>
      </c>
      <c r="H136" s="36">
        <v>94.8</v>
      </c>
      <c r="I136" s="38">
        <v>1.6198999999999999</v>
      </c>
      <c r="J136" s="36">
        <v>87.7</v>
      </c>
      <c r="K136" s="36">
        <v>88.8</v>
      </c>
      <c r="L136" s="22" t="e">
        <v>#N/A</v>
      </c>
      <c r="M136" s="18" t="e">
        <v>#N/A</v>
      </c>
      <c r="N136" s="18" t="e">
        <v>#N/A</v>
      </c>
      <c r="O136" s="18" t="e">
        <v>#N/A</v>
      </c>
      <c r="P136" s="18" t="e">
        <v>#N/A</v>
      </c>
      <c r="Q136" s="18" t="e">
        <v>#N/A</v>
      </c>
      <c r="R136" s="18" t="e">
        <v>#N/A</v>
      </c>
    </row>
    <row r="137" spans="1:18" x14ac:dyDescent="0.35">
      <c r="A137" t="s">
        <v>1449</v>
      </c>
      <c r="B137" s="18">
        <v>423</v>
      </c>
      <c r="C137" s="18">
        <v>440</v>
      </c>
      <c r="D137" s="36">
        <v>0.1</v>
      </c>
      <c r="E137" s="36">
        <v>0.7</v>
      </c>
      <c r="F137" s="36">
        <v>83.365480969003755</v>
      </c>
      <c r="G137" s="36">
        <v>83.1</v>
      </c>
      <c r="H137" s="36">
        <v>98.9</v>
      </c>
      <c r="I137" s="38">
        <v>1.6597</v>
      </c>
      <c r="J137" s="36">
        <v>88.2</v>
      </c>
      <c r="K137" s="36">
        <v>89.2</v>
      </c>
      <c r="L137" s="22" t="e">
        <v>#N/A</v>
      </c>
      <c r="M137" s="18" t="e">
        <v>#N/A</v>
      </c>
      <c r="N137" s="18" t="e">
        <v>#N/A</v>
      </c>
      <c r="O137" s="18" t="e">
        <v>#N/A</v>
      </c>
      <c r="P137" s="18" t="e">
        <v>#N/A</v>
      </c>
      <c r="Q137" s="18" t="e">
        <v>#N/A</v>
      </c>
      <c r="R137" s="18" t="e">
        <v>#N/A</v>
      </c>
    </row>
    <row r="138" spans="1:18" x14ac:dyDescent="0.35">
      <c r="A138" t="s">
        <v>1450</v>
      </c>
      <c r="B138" s="18">
        <v>425</v>
      </c>
      <c r="C138" s="18">
        <v>440</v>
      </c>
      <c r="D138" s="36">
        <v>0.1</v>
      </c>
      <c r="E138" s="36">
        <v>0.7</v>
      </c>
      <c r="F138" s="36">
        <v>83.775757598578167</v>
      </c>
      <c r="G138" s="36">
        <v>83.9</v>
      </c>
      <c r="H138" s="36">
        <v>100.8</v>
      </c>
      <c r="I138" s="38">
        <v>1.6238999999999999</v>
      </c>
      <c r="J138" s="36">
        <v>89.1</v>
      </c>
      <c r="K138" s="36">
        <v>89.7</v>
      </c>
      <c r="L138" s="22" t="e">
        <v>#N/A</v>
      </c>
      <c r="M138" s="18" t="e">
        <v>#N/A</v>
      </c>
      <c r="N138" s="18" t="e">
        <v>#N/A</v>
      </c>
      <c r="O138" s="18" t="e">
        <v>#N/A</v>
      </c>
      <c r="P138" s="18" t="e">
        <v>#N/A</v>
      </c>
      <c r="Q138" s="18" t="e">
        <v>#N/A</v>
      </c>
      <c r="R138" s="18" t="e">
        <v>#N/A</v>
      </c>
    </row>
    <row r="139" spans="1:18" x14ac:dyDescent="0.35">
      <c r="A139" t="s">
        <v>1451</v>
      </c>
      <c r="B139" s="18">
        <v>426</v>
      </c>
      <c r="C139" s="18">
        <v>439</v>
      </c>
      <c r="D139" s="36">
        <v>0.2</v>
      </c>
      <c r="E139" s="36">
        <v>2</v>
      </c>
      <c r="F139" s="36">
        <v>84.14671130711244</v>
      </c>
      <c r="G139" s="36">
        <v>83.9</v>
      </c>
      <c r="H139" s="36">
        <v>101.8</v>
      </c>
      <c r="I139" s="38">
        <v>1.6162000000000001</v>
      </c>
      <c r="J139" s="36">
        <v>88.9</v>
      </c>
      <c r="K139" s="36">
        <v>89.1</v>
      </c>
      <c r="L139" s="22" t="e">
        <v>#N/A</v>
      </c>
      <c r="M139" s="18" t="e">
        <v>#N/A</v>
      </c>
      <c r="N139" s="18" t="e">
        <v>#N/A</v>
      </c>
      <c r="O139" s="18" t="e">
        <v>#N/A</v>
      </c>
      <c r="P139" s="18" t="e">
        <v>#N/A</v>
      </c>
      <c r="Q139" s="18" t="e">
        <v>#N/A</v>
      </c>
      <c r="R139" s="18" t="e">
        <v>#N/A</v>
      </c>
    </row>
    <row r="140" spans="1:18" x14ac:dyDescent="0.35">
      <c r="A140" t="s">
        <v>1452</v>
      </c>
      <c r="B140" s="18">
        <v>432</v>
      </c>
      <c r="C140" s="18">
        <v>446</v>
      </c>
      <c r="D140" s="36">
        <v>2</v>
      </c>
      <c r="E140" s="36">
        <v>4.5999999999999996</v>
      </c>
      <c r="F140" s="36">
        <v>84.393157333195731</v>
      </c>
      <c r="G140" s="36">
        <v>84.1</v>
      </c>
      <c r="H140" s="36">
        <v>99.3</v>
      </c>
      <c r="I140" s="38">
        <v>1.5615000000000001</v>
      </c>
      <c r="J140" s="36">
        <v>89.9</v>
      </c>
      <c r="K140" s="36">
        <v>89.2</v>
      </c>
      <c r="L140" s="22" t="e">
        <v>#N/A</v>
      </c>
      <c r="M140" s="18" t="e">
        <v>#N/A</v>
      </c>
      <c r="N140" s="18" t="e">
        <v>#N/A</v>
      </c>
      <c r="O140" s="18" t="e">
        <v>#N/A</v>
      </c>
      <c r="P140" s="18" t="e">
        <v>#N/A</v>
      </c>
      <c r="Q140" s="18" t="e">
        <v>#N/A</v>
      </c>
      <c r="R140" s="18" t="e">
        <v>#N/A</v>
      </c>
    </row>
    <row r="141" spans="1:18" x14ac:dyDescent="0.35">
      <c r="A141" t="s">
        <v>1453</v>
      </c>
      <c r="B141" s="18">
        <v>427</v>
      </c>
      <c r="C141" s="18">
        <v>441</v>
      </c>
      <c r="D141" s="36">
        <v>4.0999999999999996</v>
      </c>
      <c r="E141" s="36">
        <v>4.9000000000000004</v>
      </c>
      <c r="F141" s="36">
        <v>84.725685428231898</v>
      </c>
      <c r="G141" s="36">
        <v>84.4</v>
      </c>
      <c r="H141" s="36">
        <v>96.5</v>
      </c>
      <c r="I141" s="38">
        <v>1.5053000000000001</v>
      </c>
      <c r="J141" s="36">
        <v>90.1</v>
      </c>
      <c r="K141" s="36">
        <v>89</v>
      </c>
      <c r="L141" s="22" t="e">
        <v>#N/A</v>
      </c>
      <c r="M141" s="18" t="e">
        <v>#N/A</v>
      </c>
      <c r="N141" s="18" t="e">
        <v>#N/A</v>
      </c>
      <c r="O141" s="18" t="e">
        <v>#N/A</v>
      </c>
      <c r="P141" s="18" t="e">
        <v>#N/A</v>
      </c>
      <c r="Q141" s="18" t="e">
        <v>#N/A</v>
      </c>
      <c r="R141" s="18" t="e">
        <v>#N/A</v>
      </c>
    </row>
    <row r="142" spans="1:18" x14ac:dyDescent="0.35">
      <c r="A142" t="s">
        <v>1454</v>
      </c>
      <c r="B142" s="18">
        <v>424</v>
      </c>
      <c r="C142" s="18">
        <v>441</v>
      </c>
      <c r="D142" s="36">
        <v>4.0999999999999996</v>
      </c>
      <c r="E142" s="36">
        <v>3.7</v>
      </c>
      <c r="F142" s="36">
        <v>84.875771436600616</v>
      </c>
      <c r="G142" s="36">
        <v>84.9</v>
      </c>
      <c r="H142" s="36">
        <v>97.1</v>
      </c>
      <c r="I142" s="38">
        <v>1.534</v>
      </c>
      <c r="J142" s="36">
        <v>90.4</v>
      </c>
      <c r="K142" s="36">
        <v>89.5</v>
      </c>
      <c r="L142" s="22" t="e">
        <v>#N/A</v>
      </c>
      <c r="M142" s="18" t="e">
        <v>#N/A</v>
      </c>
      <c r="N142" s="18" t="e">
        <v>#N/A</v>
      </c>
      <c r="O142" s="18" t="e">
        <v>#N/A</v>
      </c>
      <c r="P142" s="18" t="e">
        <v>#N/A</v>
      </c>
      <c r="Q142" s="18" t="e">
        <v>#N/A</v>
      </c>
      <c r="R142" s="18" t="e">
        <v>#N/A</v>
      </c>
    </row>
    <row r="143" spans="1:18" x14ac:dyDescent="0.35">
      <c r="A143" t="s">
        <v>1455</v>
      </c>
      <c r="B143" s="18">
        <v>428</v>
      </c>
      <c r="C143" s="18">
        <v>443</v>
      </c>
      <c r="D143" s="36">
        <v>2.5</v>
      </c>
      <c r="E143" s="36">
        <v>1.2</v>
      </c>
      <c r="F143" s="36">
        <v>85.126525504450612</v>
      </c>
      <c r="G143" s="36">
        <v>85.2</v>
      </c>
      <c r="H143" s="36">
        <v>96.4</v>
      </c>
      <c r="I143" s="38">
        <v>1.4626999999999999</v>
      </c>
      <c r="J143" s="36">
        <v>90.3</v>
      </c>
      <c r="K143" s="36">
        <v>89.8</v>
      </c>
      <c r="L143" s="22" t="e">
        <v>#N/A</v>
      </c>
      <c r="M143" s="18" t="e">
        <v>#N/A</v>
      </c>
      <c r="N143" s="18" t="e">
        <v>#N/A</v>
      </c>
      <c r="O143" s="18" t="e">
        <v>#N/A</v>
      </c>
      <c r="P143" s="18" t="e">
        <v>#N/A</v>
      </c>
      <c r="Q143" s="18" t="e">
        <v>#N/A</v>
      </c>
      <c r="R143" s="18" t="e">
        <v>#N/A</v>
      </c>
    </row>
    <row r="144" spans="1:18" x14ac:dyDescent="0.35">
      <c r="A144" t="s">
        <v>1456</v>
      </c>
      <c r="B144" s="18">
        <v>429</v>
      </c>
      <c r="C144" s="18">
        <v>442</v>
      </c>
      <c r="D144" s="36">
        <v>1.1000000000000001</v>
      </c>
      <c r="E144" s="36">
        <v>1</v>
      </c>
      <c r="F144" s="36">
        <v>85.655937643368816</v>
      </c>
      <c r="G144" s="36">
        <v>85.7</v>
      </c>
      <c r="H144" s="36">
        <v>95.9</v>
      </c>
      <c r="I144" s="38">
        <v>1.4761</v>
      </c>
      <c r="J144" s="36">
        <v>90.2</v>
      </c>
      <c r="K144" s="36">
        <v>89.4</v>
      </c>
      <c r="L144" s="22" t="e">
        <v>#N/A</v>
      </c>
      <c r="M144" s="18" t="e">
        <v>#N/A</v>
      </c>
      <c r="N144" s="18" t="e">
        <v>#N/A</v>
      </c>
      <c r="O144" s="18" t="e">
        <v>#N/A</v>
      </c>
      <c r="P144" s="18" t="e">
        <v>#N/A</v>
      </c>
      <c r="Q144" s="18" t="e">
        <v>#N/A</v>
      </c>
      <c r="R144" s="18" t="e">
        <v>#N/A</v>
      </c>
    </row>
    <row r="145" spans="1:18" x14ac:dyDescent="0.35">
      <c r="A145" t="s">
        <v>1457</v>
      </c>
      <c r="B145" s="18">
        <v>429</v>
      </c>
      <c r="C145" s="18">
        <v>443</v>
      </c>
      <c r="D145" s="36">
        <v>1.6</v>
      </c>
      <c r="E145" s="36">
        <v>1.2</v>
      </c>
      <c r="F145" s="36">
        <v>85.688871320251039</v>
      </c>
      <c r="G145" s="36">
        <v>86.1</v>
      </c>
      <c r="H145" s="36">
        <v>100</v>
      </c>
      <c r="I145" s="38">
        <v>1.5299</v>
      </c>
      <c r="J145" s="36">
        <v>91.1</v>
      </c>
      <c r="K145" s="36">
        <v>89.7</v>
      </c>
      <c r="L145" s="22" t="e">
        <v>#N/A</v>
      </c>
      <c r="M145" s="18" t="e">
        <v>#N/A</v>
      </c>
      <c r="N145" s="18" t="e">
        <v>#N/A</v>
      </c>
      <c r="O145" s="18" t="e">
        <v>#N/A</v>
      </c>
      <c r="P145" s="18" t="e">
        <v>#N/A</v>
      </c>
      <c r="Q145" s="18" t="e">
        <v>#N/A</v>
      </c>
      <c r="R145" s="18" t="e">
        <v>#N/A</v>
      </c>
    </row>
    <row r="146" spans="1:18" x14ac:dyDescent="0.35">
      <c r="A146" t="s">
        <v>1458</v>
      </c>
      <c r="B146" s="18">
        <v>431</v>
      </c>
      <c r="C146" s="18">
        <v>445</v>
      </c>
      <c r="D146" s="36">
        <v>1.9</v>
      </c>
      <c r="E146" s="36">
        <v>1.3</v>
      </c>
      <c r="F146" s="36">
        <v>86.097989661138442</v>
      </c>
      <c r="G146" s="36">
        <v>86.7</v>
      </c>
      <c r="H146" s="36">
        <v>107.8</v>
      </c>
      <c r="I146" s="38">
        <v>1.5660000000000001</v>
      </c>
      <c r="J146" s="36">
        <v>91.2</v>
      </c>
      <c r="K146" s="36">
        <v>90</v>
      </c>
      <c r="L146" s="22" t="e">
        <v>#N/A</v>
      </c>
      <c r="M146" s="18" t="e">
        <v>#N/A</v>
      </c>
      <c r="N146" s="18" t="e">
        <v>#N/A</v>
      </c>
      <c r="O146" s="18" t="e">
        <v>#N/A</v>
      </c>
      <c r="P146" s="18" t="e">
        <v>#N/A</v>
      </c>
      <c r="Q146" s="18" t="e">
        <v>#N/A</v>
      </c>
      <c r="R146" s="18" t="e">
        <v>#N/A</v>
      </c>
    </row>
    <row r="147" spans="1:18" x14ac:dyDescent="0.35">
      <c r="A147" t="s">
        <v>1459</v>
      </c>
      <c r="B147" s="18">
        <v>433</v>
      </c>
      <c r="C147" s="18">
        <v>446</v>
      </c>
      <c r="D147" s="36">
        <v>2</v>
      </c>
      <c r="E147" s="36">
        <v>1.5</v>
      </c>
      <c r="F147" s="36">
        <v>85.95966051659461</v>
      </c>
      <c r="G147" s="36">
        <v>85.9</v>
      </c>
      <c r="H147" s="36">
        <v>114.1</v>
      </c>
      <c r="I147" s="38">
        <v>1.5578000000000001</v>
      </c>
      <c r="J147" s="36">
        <v>91.3</v>
      </c>
      <c r="K147" s="36">
        <v>89.8</v>
      </c>
      <c r="L147" s="22" t="e">
        <v>#N/A</v>
      </c>
      <c r="M147" s="18" t="e">
        <v>#N/A</v>
      </c>
      <c r="N147" s="18" t="e">
        <v>#N/A</v>
      </c>
      <c r="O147" s="18" t="e">
        <v>#N/A</v>
      </c>
      <c r="P147" s="18" t="e">
        <v>#N/A</v>
      </c>
      <c r="Q147" s="18" t="e">
        <v>#N/A</v>
      </c>
      <c r="R147" s="18" t="e">
        <v>#N/A</v>
      </c>
    </row>
    <row r="148" spans="1:18" x14ac:dyDescent="0.35">
      <c r="A148" t="s">
        <v>1460</v>
      </c>
      <c r="B148" s="18">
        <v>433</v>
      </c>
      <c r="C148" s="18">
        <v>447</v>
      </c>
      <c r="D148" s="36">
        <v>2.2000000000000002</v>
      </c>
      <c r="E148" s="36">
        <v>1.7</v>
      </c>
      <c r="F148" s="36">
        <v>86.358602745450128</v>
      </c>
      <c r="G148" s="36">
        <v>86.3</v>
      </c>
      <c r="H148" s="36">
        <v>120.1</v>
      </c>
      <c r="I148" s="38">
        <v>1.5862000000000001</v>
      </c>
      <c r="J148" s="36">
        <v>91.7</v>
      </c>
      <c r="K148" s="36">
        <v>90.6</v>
      </c>
      <c r="L148" s="22" t="e">
        <v>#N/A</v>
      </c>
      <c r="M148" s="18" t="e">
        <v>#N/A</v>
      </c>
      <c r="N148" s="18" t="e">
        <v>#N/A</v>
      </c>
      <c r="O148" s="18" t="e">
        <v>#N/A</v>
      </c>
      <c r="P148" s="18" t="e">
        <v>#N/A</v>
      </c>
      <c r="Q148" s="18" t="e">
        <v>#N/A</v>
      </c>
      <c r="R148" s="18" t="e">
        <v>#N/A</v>
      </c>
    </row>
    <row r="149" spans="1:18" x14ac:dyDescent="0.35">
      <c r="A149" t="s">
        <v>1461</v>
      </c>
      <c r="B149" s="18">
        <v>434</v>
      </c>
      <c r="C149" s="18">
        <v>448</v>
      </c>
      <c r="D149" s="36">
        <v>2.2999999999999998</v>
      </c>
      <c r="E149" s="36">
        <v>1.8</v>
      </c>
      <c r="F149" s="36">
        <v>86.374105133268117</v>
      </c>
      <c r="G149" s="36">
        <v>86.1</v>
      </c>
      <c r="H149" s="36">
        <v>124.2</v>
      </c>
      <c r="I149" s="38">
        <v>1.5961000000000001</v>
      </c>
      <c r="J149" s="36">
        <v>93.1</v>
      </c>
      <c r="K149" s="36">
        <v>91.4</v>
      </c>
      <c r="L149" s="22" t="e">
        <v>#N/A</v>
      </c>
      <c r="M149" s="18" t="e">
        <v>#N/A</v>
      </c>
      <c r="N149" s="18" t="e">
        <v>#N/A</v>
      </c>
      <c r="O149" s="18" t="e">
        <v>#N/A</v>
      </c>
      <c r="P149" s="18" t="e">
        <v>#N/A</v>
      </c>
      <c r="Q149" s="18" t="e">
        <v>#N/A</v>
      </c>
      <c r="R149" s="18" t="e">
        <v>#N/A</v>
      </c>
    </row>
    <row r="150" spans="1:18" x14ac:dyDescent="0.35">
      <c r="A150" t="s">
        <v>1462</v>
      </c>
      <c r="B150" s="18">
        <v>433</v>
      </c>
      <c r="C150" s="18">
        <v>449</v>
      </c>
      <c r="D150" s="36">
        <v>2.1</v>
      </c>
      <c r="E150" s="36">
        <v>1.9</v>
      </c>
      <c r="F150" s="36">
        <v>87.077849757341625</v>
      </c>
      <c r="G150" s="36">
        <v>87.2</v>
      </c>
      <c r="H150" s="36">
        <v>129.4</v>
      </c>
      <c r="I150" s="38">
        <v>1.5603</v>
      </c>
      <c r="J150" s="36">
        <v>94.6</v>
      </c>
      <c r="K150" s="36">
        <v>92.3</v>
      </c>
      <c r="L150" s="22" t="e">
        <v>#N/A</v>
      </c>
      <c r="M150" s="18" t="e">
        <v>#N/A</v>
      </c>
      <c r="N150" s="18" t="e">
        <v>#N/A</v>
      </c>
      <c r="O150" s="18" t="e">
        <v>#N/A</v>
      </c>
      <c r="P150" s="18" t="e">
        <v>#N/A</v>
      </c>
      <c r="Q150" s="18" t="e">
        <v>#N/A</v>
      </c>
      <c r="R150" s="18" t="e">
        <v>#N/A</v>
      </c>
    </row>
    <row r="151" spans="1:18" x14ac:dyDescent="0.35">
      <c r="A151" t="s">
        <v>1463</v>
      </c>
      <c r="B151" s="18">
        <v>446</v>
      </c>
      <c r="C151" s="18">
        <v>458</v>
      </c>
      <c r="D151" s="36">
        <v>3</v>
      </c>
      <c r="E151" s="36">
        <v>2.7</v>
      </c>
      <c r="F151" s="36">
        <v>87.569581936198645</v>
      </c>
      <c r="G151" s="36">
        <v>87.3</v>
      </c>
      <c r="H151" s="36">
        <v>133.80000000000001</v>
      </c>
      <c r="I151" s="38">
        <v>1.5794999999999999</v>
      </c>
      <c r="J151" s="36">
        <v>94.5</v>
      </c>
      <c r="K151" s="36">
        <v>93.6</v>
      </c>
      <c r="L151" s="22" t="e">
        <v>#N/A</v>
      </c>
      <c r="M151" s="18" t="e">
        <v>#N/A</v>
      </c>
      <c r="N151" s="18" t="e">
        <v>#N/A</v>
      </c>
      <c r="O151" s="18" t="e">
        <v>#N/A</v>
      </c>
      <c r="P151" s="18" t="e">
        <v>#N/A</v>
      </c>
      <c r="Q151" s="18" t="e">
        <v>#N/A</v>
      </c>
      <c r="R151" s="18" t="e">
        <v>#N/A</v>
      </c>
    </row>
    <row r="152" spans="1:18" x14ac:dyDescent="0.35">
      <c r="A152" t="s">
        <v>1464</v>
      </c>
      <c r="B152" s="18">
        <v>440</v>
      </c>
      <c r="C152" s="18">
        <v>453</v>
      </c>
      <c r="D152" s="36">
        <v>2.7</v>
      </c>
      <c r="E152" s="36">
        <v>2.6</v>
      </c>
      <c r="F152" s="36">
        <v>87.914018631855669</v>
      </c>
      <c r="G152" s="36">
        <v>87.6</v>
      </c>
      <c r="H152" s="36">
        <v>137.69999999999999</v>
      </c>
      <c r="I152" s="38">
        <v>1.613</v>
      </c>
      <c r="J152" s="36">
        <v>95.5</v>
      </c>
      <c r="K152" s="36">
        <v>94.4</v>
      </c>
      <c r="L152" s="22" t="e">
        <v>#N/A</v>
      </c>
      <c r="M152" s="18" t="e">
        <v>#N/A</v>
      </c>
      <c r="N152" s="18" t="e">
        <v>#N/A</v>
      </c>
      <c r="O152" s="18" t="e">
        <v>#N/A</v>
      </c>
      <c r="P152" s="18" t="e">
        <v>#N/A</v>
      </c>
      <c r="Q152" s="18" t="e">
        <v>#N/A</v>
      </c>
      <c r="R152" s="18" t="e">
        <v>#N/A</v>
      </c>
    </row>
    <row r="153" spans="1:18" x14ac:dyDescent="0.35">
      <c r="A153" t="s">
        <v>1465</v>
      </c>
      <c r="B153" s="18">
        <v>439</v>
      </c>
      <c r="C153" s="18">
        <v>453</v>
      </c>
      <c r="D153" s="36">
        <v>3</v>
      </c>
      <c r="E153" s="36">
        <v>2.8</v>
      </c>
      <c r="F153" s="36">
        <v>88.249169620042537</v>
      </c>
      <c r="G153" s="36">
        <v>87.9</v>
      </c>
      <c r="H153" s="36">
        <v>134.30000000000001</v>
      </c>
      <c r="I153" s="38">
        <v>1.6158999999999999</v>
      </c>
      <c r="J153" s="36">
        <v>94.2</v>
      </c>
      <c r="K153" s="36">
        <v>95</v>
      </c>
      <c r="L153" s="22" t="e">
        <v>#N/A</v>
      </c>
      <c r="M153" s="18" t="e">
        <v>#N/A</v>
      </c>
      <c r="N153" s="18" t="e">
        <v>#N/A</v>
      </c>
      <c r="O153" s="18" t="e">
        <v>#N/A</v>
      </c>
      <c r="P153" s="18" t="e">
        <v>#N/A</v>
      </c>
      <c r="Q153" s="18" t="e">
        <v>#N/A</v>
      </c>
      <c r="R153" s="18" t="e">
        <v>#N/A</v>
      </c>
    </row>
    <row r="154" spans="1:18" x14ac:dyDescent="0.35">
      <c r="A154" t="s">
        <v>1466</v>
      </c>
      <c r="B154" s="18">
        <v>437</v>
      </c>
      <c r="C154" s="18">
        <v>451</v>
      </c>
      <c r="D154" s="36">
        <v>2.5</v>
      </c>
      <c r="E154" s="36">
        <v>2.1</v>
      </c>
      <c r="F154" s="36">
        <v>89.044106871786539</v>
      </c>
      <c r="G154" s="36">
        <v>89.1</v>
      </c>
      <c r="H154" s="36">
        <v>136.30000000000001</v>
      </c>
      <c r="I154" s="38">
        <v>1.6345000000000001</v>
      </c>
      <c r="J154" s="36">
        <v>94.3</v>
      </c>
      <c r="K154" s="36">
        <v>95.6</v>
      </c>
      <c r="L154" s="22" t="e">
        <v>#N/A</v>
      </c>
      <c r="M154" s="18" t="e">
        <v>#N/A</v>
      </c>
      <c r="N154" s="18" t="e">
        <v>#N/A</v>
      </c>
      <c r="O154" s="18" t="e">
        <v>#N/A</v>
      </c>
      <c r="P154" s="18" t="e">
        <v>#N/A</v>
      </c>
      <c r="Q154" s="18" t="e">
        <v>#N/A</v>
      </c>
      <c r="R154" s="18" t="e">
        <v>#N/A</v>
      </c>
    </row>
    <row r="155" spans="1:18" x14ac:dyDescent="0.35">
      <c r="A155" t="s">
        <v>1467</v>
      </c>
      <c r="B155" s="18">
        <v>439</v>
      </c>
      <c r="C155" s="18">
        <v>453</v>
      </c>
      <c r="D155" s="36">
        <v>2.8</v>
      </c>
      <c r="E155" s="36">
        <v>2.4</v>
      </c>
      <c r="F155" s="36">
        <v>88.925038192054785</v>
      </c>
      <c r="G155" s="36">
        <v>89</v>
      </c>
      <c r="H155" s="36">
        <v>135.1</v>
      </c>
      <c r="I155" s="38">
        <v>1.6312</v>
      </c>
      <c r="J155" s="36">
        <v>95.5</v>
      </c>
      <c r="K155" s="36">
        <v>96.1</v>
      </c>
      <c r="L155" s="22" t="e">
        <v>#N/A</v>
      </c>
      <c r="M155" s="18" t="e">
        <v>#N/A</v>
      </c>
      <c r="N155" s="18" t="e">
        <v>#N/A</v>
      </c>
      <c r="O155" s="18" t="e">
        <v>#N/A</v>
      </c>
      <c r="P155" s="18" t="e">
        <v>#N/A</v>
      </c>
      <c r="Q155" s="18" t="e">
        <v>#N/A</v>
      </c>
      <c r="R155" s="18" t="e">
        <v>#N/A</v>
      </c>
    </row>
    <row r="156" spans="1:18" x14ac:dyDescent="0.35">
      <c r="A156" t="s">
        <v>1468</v>
      </c>
      <c r="B156" s="18">
        <v>444</v>
      </c>
      <c r="C156" s="18">
        <v>456</v>
      </c>
      <c r="D156" s="36">
        <v>3.1</v>
      </c>
      <c r="E156" s="36">
        <v>2.5</v>
      </c>
      <c r="F156" s="36">
        <v>89.252134801848626</v>
      </c>
      <c r="G156" s="36">
        <v>89.3</v>
      </c>
      <c r="H156" s="36">
        <v>134.80000000000001</v>
      </c>
      <c r="I156" s="38">
        <v>1.6214</v>
      </c>
      <c r="J156" s="36">
        <v>96.5</v>
      </c>
      <c r="K156" s="36">
        <v>96.5</v>
      </c>
      <c r="L156" s="22" t="e">
        <v>#N/A</v>
      </c>
      <c r="M156" s="18" t="e">
        <v>#N/A</v>
      </c>
      <c r="N156" s="18" t="e">
        <v>#N/A</v>
      </c>
      <c r="O156" s="18" t="e">
        <v>#N/A</v>
      </c>
      <c r="P156" s="18" t="e">
        <v>#N/A</v>
      </c>
      <c r="Q156" s="18" t="e">
        <v>#N/A</v>
      </c>
      <c r="R156" s="18" t="e">
        <v>#N/A</v>
      </c>
    </row>
    <row r="157" spans="1:18" x14ac:dyDescent="0.35">
      <c r="A157" t="s">
        <v>1469</v>
      </c>
      <c r="B157" s="18">
        <v>442</v>
      </c>
      <c r="C157" s="18">
        <v>456</v>
      </c>
      <c r="D157" s="36">
        <v>3.1</v>
      </c>
      <c r="E157" s="36">
        <v>2.8</v>
      </c>
      <c r="F157" s="36">
        <v>89.477307657429549</v>
      </c>
      <c r="G157" s="36">
        <v>89.9</v>
      </c>
      <c r="H157" s="36">
        <v>133</v>
      </c>
      <c r="I157" s="38">
        <v>1.6145</v>
      </c>
      <c r="J157" s="36">
        <v>96.7</v>
      </c>
      <c r="K157" s="36">
        <v>96.9</v>
      </c>
      <c r="L157" s="22" t="e">
        <v>#N/A</v>
      </c>
      <c r="M157" s="18" t="e">
        <v>#N/A</v>
      </c>
      <c r="N157" s="18" t="e">
        <v>#N/A</v>
      </c>
      <c r="O157" s="18" t="e">
        <v>#N/A</v>
      </c>
      <c r="P157" s="18" t="e">
        <v>#N/A</v>
      </c>
      <c r="Q157" s="18" t="e">
        <v>#N/A</v>
      </c>
      <c r="R157" s="18" t="e">
        <v>#N/A</v>
      </c>
    </row>
    <row r="158" spans="1:18" x14ac:dyDescent="0.35">
      <c r="A158" t="s">
        <v>1470</v>
      </c>
      <c r="B158" s="18">
        <v>440</v>
      </c>
      <c r="C158" s="18">
        <v>454</v>
      </c>
      <c r="D158" s="36">
        <v>2.9</v>
      </c>
      <c r="E158" s="36">
        <v>2.7</v>
      </c>
      <c r="F158" s="36">
        <v>89.797326665820506</v>
      </c>
      <c r="G158" s="36">
        <v>90.4</v>
      </c>
      <c r="H158" s="36">
        <v>132.69999999999999</v>
      </c>
      <c r="I158" s="38">
        <v>1.6348</v>
      </c>
      <c r="J158" s="36">
        <v>96.9</v>
      </c>
      <c r="K158" s="36">
        <v>96.8</v>
      </c>
      <c r="L158" s="22" t="e">
        <v>#N/A</v>
      </c>
      <c r="M158" s="18" t="e">
        <v>#N/A</v>
      </c>
      <c r="N158" s="18" t="e">
        <v>#N/A</v>
      </c>
      <c r="O158" s="18" t="e">
        <v>#N/A</v>
      </c>
      <c r="P158" s="18" t="e">
        <v>#N/A</v>
      </c>
      <c r="Q158" s="18" t="e">
        <v>#N/A</v>
      </c>
      <c r="R158" s="18" t="e">
        <v>#N/A</v>
      </c>
    </row>
    <row r="159" spans="1:18" x14ac:dyDescent="0.35">
      <c r="A159" t="s">
        <v>1471</v>
      </c>
      <c r="B159" s="18">
        <v>440</v>
      </c>
      <c r="C159" s="18">
        <v>454</v>
      </c>
      <c r="D159" s="36">
        <v>2.4</v>
      </c>
      <c r="E159" s="36">
        <v>2.2000000000000002</v>
      </c>
      <c r="F159" s="36">
        <v>89.940972542289174</v>
      </c>
      <c r="G159" s="36">
        <v>89.9</v>
      </c>
      <c r="H159" s="36">
        <v>130.1</v>
      </c>
      <c r="I159" s="38">
        <v>1.5783</v>
      </c>
      <c r="J159" s="36">
        <v>97.1</v>
      </c>
      <c r="K159" s="36">
        <v>97.1</v>
      </c>
      <c r="L159" s="22" t="e">
        <v>#N/A</v>
      </c>
      <c r="M159" s="18" t="e">
        <v>#N/A</v>
      </c>
      <c r="N159" s="18" t="e">
        <v>#N/A</v>
      </c>
      <c r="O159" s="18" t="e">
        <v>#N/A</v>
      </c>
      <c r="P159" s="18" t="e">
        <v>#N/A</v>
      </c>
      <c r="Q159" s="18" t="e">
        <v>#N/A</v>
      </c>
      <c r="R159" s="18" t="e">
        <v>#N/A</v>
      </c>
    </row>
    <row r="160" spans="1:18" x14ac:dyDescent="0.35">
      <c r="A160" t="s">
        <v>1472</v>
      </c>
      <c r="B160" s="18">
        <v>443</v>
      </c>
      <c r="C160" s="18">
        <v>456</v>
      </c>
      <c r="D160" s="36">
        <v>2.1</v>
      </c>
      <c r="E160" s="36">
        <v>1.9</v>
      </c>
      <c r="F160" s="36">
        <v>89.932905987876154</v>
      </c>
      <c r="G160" s="36">
        <v>89.9</v>
      </c>
      <c r="H160" s="36">
        <v>125.6</v>
      </c>
      <c r="I160" s="38">
        <v>1.5760000000000001</v>
      </c>
      <c r="J160" s="36">
        <v>96.2</v>
      </c>
      <c r="K160" s="36">
        <v>97.3</v>
      </c>
      <c r="L160" s="22" t="e">
        <v>#N/A</v>
      </c>
      <c r="M160" s="18" t="e">
        <v>#N/A</v>
      </c>
      <c r="N160" s="18" t="e">
        <v>#N/A</v>
      </c>
      <c r="O160" s="18" t="e">
        <v>#N/A</v>
      </c>
      <c r="P160" s="18" t="e">
        <v>#N/A</v>
      </c>
      <c r="Q160" s="18" t="e">
        <v>#N/A</v>
      </c>
      <c r="R160" s="18" t="e">
        <v>#N/A</v>
      </c>
    </row>
    <row r="161" spans="1:18" x14ac:dyDescent="0.35">
      <c r="A161" t="s">
        <v>1473</v>
      </c>
      <c r="B161" s="18">
        <v>443</v>
      </c>
      <c r="C161" s="18">
        <v>457</v>
      </c>
      <c r="D161" s="36">
        <v>2</v>
      </c>
      <c r="E161" s="36">
        <v>1.9</v>
      </c>
      <c r="F161" s="36">
        <v>90.059601897264912</v>
      </c>
      <c r="G161" s="36">
        <v>89.8</v>
      </c>
      <c r="H161" s="36">
        <v>125.9</v>
      </c>
      <c r="I161" s="38">
        <v>1.5804</v>
      </c>
      <c r="J161" s="36">
        <v>96.8</v>
      </c>
      <c r="K161" s="36">
        <v>97.6</v>
      </c>
      <c r="L161" s="22" t="e">
        <v>#N/A</v>
      </c>
      <c r="M161" s="18" t="e">
        <v>#N/A</v>
      </c>
      <c r="N161" s="18" t="e">
        <v>#N/A</v>
      </c>
      <c r="O161" s="18" t="e">
        <v>#N/A</v>
      </c>
      <c r="P161" s="18" t="e">
        <v>#N/A</v>
      </c>
      <c r="Q161" s="18" t="e">
        <v>#N/A</v>
      </c>
      <c r="R161" s="18" t="e">
        <v>#N/A</v>
      </c>
    </row>
    <row r="162" spans="1:18" x14ac:dyDescent="0.35">
      <c r="A162" t="s">
        <v>1474</v>
      </c>
      <c r="B162" s="18">
        <v>443</v>
      </c>
      <c r="C162" s="18">
        <v>457</v>
      </c>
      <c r="D162" s="36">
        <v>2.1</v>
      </c>
      <c r="E162" s="36">
        <v>1.9</v>
      </c>
      <c r="F162" s="36">
        <v>90.696903083273511</v>
      </c>
      <c r="G162" s="36">
        <v>90.8</v>
      </c>
      <c r="H162" s="36">
        <v>121.9</v>
      </c>
      <c r="I162" s="38">
        <v>1.5585</v>
      </c>
      <c r="J162" s="36">
        <v>98.1</v>
      </c>
      <c r="K162" s="36">
        <v>97.7</v>
      </c>
      <c r="L162" s="22" t="e">
        <v>#N/A</v>
      </c>
      <c r="M162" s="18" t="e">
        <v>#N/A</v>
      </c>
      <c r="N162" s="18" t="e">
        <v>#N/A</v>
      </c>
      <c r="O162" s="18" t="e">
        <v>#N/A</v>
      </c>
      <c r="P162" s="18" t="e">
        <v>#N/A</v>
      </c>
      <c r="Q162" s="18" t="e">
        <v>#N/A</v>
      </c>
      <c r="R162" s="18" t="e">
        <v>#N/A</v>
      </c>
    </row>
    <row r="163" spans="1:18" x14ac:dyDescent="0.35">
      <c r="A163" t="s">
        <v>1475</v>
      </c>
      <c r="B163" s="18">
        <v>444</v>
      </c>
      <c r="C163" s="18">
        <v>457</v>
      </c>
      <c r="D163" s="36">
        <v>1.2</v>
      </c>
      <c r="E163" s="36">
        <v>1.2</v>
      </c>
      <c r="F163" s="36">
        <v>90.810183814890905</v>
      </c>
      <c r="G163" s="36">
        <v>90.5</v>
      </c>
      <c r="H163" s="36">
        <v>122.2</v>
      </c>
      <c r="I163" s="38">
        <v>1.5509999999999999</v>
      </c>
      <c r="J163" s="36">
        <v>97.8</v>
      </c>
      <c r="K163" s="36">
        <v>98.2</v>
      </c>
      <c r="L163" s="22" t="e">
        <v>#N/A</v>
      </c>
      <c r="M163" s="18" t="e">
        <v>#N/A</v>
      </c>
      <c r="N163" s="18" t="e">
        <v>#N/A</v>
      </c>
      <c r="O163" s="18" t="e">
        <v>#N/A</v>
      </c>
      <c r="P163" s="18" t="e">
        <v>#N/A</v>
      </c>
      <c r="Q163" s="18" t="e">
        <v>#N/A</v>
      </c>
      <c r="R163" s="18" t="e">
        <v>#N/A</v>
      </c>
    </row>
    <row r="164" spans="1:18" x14ac:dyDescent="0.35">
      <c r="A164" t="s">
        <v>1476</v>
      </c>
      <c r="B164" s="18">
        <v>443</v>
      </c>
      <c r="C164" s="18">
        <v>457</v>
      </c>
      <c r="D164" s="36">
        <v>0.8</v>
      </c>
      <c r="E164" s="36">
        <v>0.8</v>
      </c>
      <c r="F164" s="36">
        <v>91.031562927082234</v>
      </c>
      <c r="G164" s="36">
        <v>90.7</v>
      </c>
      <c r="H164" s="36">
        <v>125.3</v>
      </c>
      <c r="I164" s="38">
        <v>1.5802</v>
      </c>
      <c r="J164" s="36">
        <v>99</v>
      </c>
      <c r="K164" s="36">
        <v>98.4</v>
      </c>
      <c r="L164" s="22" t="e">
        <v>#N/A</v>
      </c>
      <c r="M164" s="18" t="e">
        <v>#N/A</v>
      </c>
      <c r="N164" s="18" t="e">
        <v>#N/A</v>
      </c>
      <c r="O164" s="18" t="e">
        <v>#N/A</v>
      </c>
      <c r="P164" s="18" t="e">
        <v>#N/A</v>
      </c>
      <c r="Q164" s="18" t="e">
        <v>#N/A</v>
      </c>
      <c r="R164" s="18" t="e">
        <v>#N/A</v>
      </c>
    </row>
    <row r="165" spans="1:18" x14ac:dyDescent="0.35">
      <c r="A165" t="s">
        <v>1477</v>
      </c>
      <c r="B165" s="18">
        <v>444</v>
      </c>
      <c r="C165" s="18">
        <v>457</v>
      </c>
      <c r="D165" s="36">
        <v>0.5</v>
      </c>
      <c r="E165" s="36">
        <v>0.6</v>
      </c>
      <c r="F165" s="36">
        <v>91.169689964271583</v>
      </c>
      <c r="G165" s="36">
        <v>90.8</v>
      </c>
      <c r="H165" s="36">
        <v>125.7</v>
      </c>
      <c r="I165" s="38">
        <v>1.5823</v>
      </c>
      <c r="J165" s="36">
        <v>98.5</v>
      </c>
      <c r="K165" s="36">
        <v>99</v>
      </c>
      <c r="L165" s="22" t="e">
        <v>#N/A</v>
      </c>
      <c r="M165" s="18" t="e">
        <v>#N/A</v>
      </c>
      <c r="N165" s="18" t="e">
        <v>#N/A</v>
      </c>
      <c r="O165" s="18" t="e">
        <v>#N/A</v>
      </c>
      <c r="P165" s="18" t="e">
        <v>#N/A</v>
      </c>
      <c r="Q165" s="18" t="e">
        <v>#N/A</v>
      </c>
      <c r="R165" s="18" t="e">
        <v>#N/A</v>
      </c>
    </row>
    <row r="166" spans="1:18" x14ac:dyDescent="0.35">
      <c r="A166" t="s">
        <v>1478</v>
      </c>
      <c r="B166" s="18">
        <v>445</v>
      </c>
      <c r="C166" s="18">
        <v>460</v>
      </c>
      <c r="D166" s="36">
        <v>1.2</v>
      </c>
      <c r="E166" s="36">
        <v>1.3</v>
      </c>
      <c r="F166" s="36">
        <v>91.624616945607215</v>
      </c>
      <c r="G166" s="36">
        <v>91.7</v>
      </c>
      <c r="H166" s="36">
        <v>124.4</v>
      </c>
      <c r="I166" s="38">
        <v>1.6013999999999999</v>
      </c>
      <c r="J166" s="36">
        <v>98.4</v>
      </c>
      <c r="K166" s="36">
        <v>99.2</v>
      </c>
      <c r="L166" s="22" t="e">
        <v>#N/A</v>
      </c>
      <c r="M166" s="18" t="e">
        <v>#N/A</v>
      </c>
      <c r="N166" s="18" t="e">
        <v>#N/A</v>
      </c>
      <c r="O166" s="18" t="e">
        <v>#N/A</v>
      </c>
      <c r="P166" s="18" t="e">
        <v>#N/A</v>
      </c>
      <c r="Q166" s="18" t="e">
        <v>#N/A</v>
      </c>
      <c r="R166" s="18" t="e">
        <v>#N/A</v>
      </c>
    </row>
    <row r="167" spans="1:18" x14ac:dyDescent="0.35">
      <c r="A167" t="s">
        <v>1479</v>
      </c>
      <c r="B167" s="18">
        <v>445</v>
      </c>
      <c r="C167" s="18">
        <v>460</v>
      </c>
      <c r="D167" s="36">
        <v>1.4</v>
      </c>
      <c r="E167" s="36">
        <v>1.5</v>
      </c>
      <c r="F167" s="36">
        <v>91.933678640922338</v>
      </c>
      <c r="G167" s="36">
        <v>92</v>
      </c>
      <c r="H167" s="36">
        <v>119</v>
      </c>
      <c r="I167" s="38">
        <v>1.5905</v>
      </c>
      <c r="J167" s="36">
        <v>98.7</v>
      </c>
      <c r="K167" s="36">
        <v>99.5</v>
      </c>
      <c r="L167" s="22" t="e">
        <v>#N/A</v>
      </c>
      <c r="M167" s="18" t="e">
        <v>#N/A</v>
      </c>
      <c r="N167" s="18" t="e">
        <v>#N/A</v>
      </c>
      <c r="O167" s="18" t="e">
        <v>#N/A</v>
      </c>
      <c r="P167" s="18" t="e">
        <v>#N/A</v>
      </c>
      <c r="Q167" s="18" t="e">
        <v>#N/A</v>
      </c>
      <c r="R167" s="18" t="e">
        <v>#N/A</v>
      </c>
    </row>
    <row r="168" spans="1:18" x14ac:dyDescent="0.35">
      <c r="A168" t="s">
        <v>1480</v>
      </c>
      <c r="B168" s="18">
        <v>448</v>
      </c>
      <c r="C168" s="18">
        <v>462</v>
      </c>
      <c r="D168" s="36">
        <v>1.4</v>
      </c>
      <c r="E168" s="36">
        <v>1.6</v>
      </c>
      <c r="F168" s="36">
        <v>92.144978780611737</v>
      </c>
      <c r="G168" s="36">
        <v>92.2</v>
      </c>
      <c r="H168" s="36">
        <v>115.8</v>
      </c>
      <c r="I168" s="38">
        <v>1.5570999999999999</v>
      </c>
      <c r="J168" s="36">
        <v>98.6</v>
      </c>
      <c r="K168" s="36">
        <v>99.3</v>
      </c>
      <c r="L168" s="22" t="e">
        <v>#N/A</v>
      </c>
      <c r="M168" s="18" t="e">
        <v>#N/A</v>
      </c>
      <c r="N168" s="18" t="e">
        <v>#N/A</v>
      </c>
      <c r="O168" s="18" t="e">
        <v>#N/A</v>
      </c>
      <c r="P168" s="18" t="e">
        <v>#N/A</v>
      </c>
      <c r="Q168" s="18" t="e">
        <v>#N/A</v>
      </c>
      <c r="R168" s="18" t="e">
        <v>#N/A</v>
      </c>
    </row>
    <row r="169" spans="1:18" x14ac:dyDescent="0.35">
      <c r="A169" t="s">
        <v>1481</v>
      </c>
      <c r="B169" s="18">
        <v>449</v>
      </c>
      <c r="C169" s="18">
        <v>463</v>
      </c>
      <c r="D169" s="36">
        <v>1.2</v>
      </c>
      <c r="E169" s="36">
        <v>1.5</v>
      </c>
      <c r="F169" s="36">
        <v>92.465340290591641</v>
      </c>
      <c r="G169" s="36">
        <v>92.9</v>
      </c>
      <c r="H169" s="36">
        <v>122</v>
      </c>
      <c r="I169" s="38">
        <v>1.5589</v>
      </c>
      <c r="J169" s="36">
        <v>98.8</v>
      </c>
      <c r="K169" s="36">
        <v>99.5</v>
      </c>
      <c r="L169" s="22" t="e">
        <v>#N/A</v>
      </c>
      <c r="M169" s="18" t="e">
        <v>#N/A</v>
      </c>
      <c r="N169" s="18" t="e">
        <v>#N/A</v>
      </c>
      <c r="O169" s="18" t="e">
        <v>#N/A</v>
      </c>
      <c r="P169" s="18" t="e">
        <v>#N/A</v>
      </c>
      <c r="Q169" s="18" t="e">
        <v>#N/A</v>
      </c>
      <c r="R169" s="18" t="e">
        <v>#N/A</v>
      </c>
    </row>
    <row r="170" spans="1:18" x14ac:dyDescent="0.35">
      <c r="A170" t="s">
        <v>1482</v>
      </c>
      <c r="B170" s="18">
        <v>450</v>
      </c>
      <c r="C170" s="18">
        <v>464</v>
      </c>
      <c r="D170" s="36">
        <v>1.6</v>
      </c>
      <c r="E170" s="36">
        <v>1.7</v>
      </c>
      <c r="F170" s="36">
        <v>92.702060734626571</v>
      </c>
      <c r="G170" s="36">
        <v>93.3</v>
      </c>
      <c r="H170" s="36">
        <v>123.2</v>
      </c>
      <c r="I170" s="38">
        <v>1.5719000000000001</v>
      </c>
      <c r="J170" s="36">
        <v>99</v>
      </c>
      <c r="K170" s="36">
        <v>99.8</v>
      </c>
      <c r="L170" s="22" t="e">
        <v>#N/A</v>
      </c>
      <c r="M170" s="18" t="e">
        <v>#N/A</v>
      </c>
      <c r="N170" s="18" t="e">
        <v>#N/A</v>
      </c>
      <c r="O170" s="18" t="e">
        <v>#N/A</v>
      </c>
      <c r="P170" s="18" t="e">
        <v>#N/A</v>
      </c>
      <c r="Q170" s="18" t="e">
        <v>#N/A</v>
      </c>
      <c r="R170" s="18" t="e">
        <v>#N/A</v>
      </c>
    </row>
    <row r="171" spans="1:18" x14ac:dyDescent="0.35">
      <c r="A171" t="s">
        <v>1483</v>
      </c>
      <c r="B171" s="18">
        <v>449</v>
      </c>
      <c r="C171" s="18">
        <v>462</v>
      </c>
      <c r="D171" s="36">
        <v>1.9</v>
      </c>
      <c r="E171" s="36">
        <v>1.8</v>
      </c>
      <c r="F171" s="36">
        <v>92.810340165553939</v>
      </c>
      <c r="G171" s="36">
        <v>92.8</v>
      </c>
      <c r="H171" s="36">
        <v>125.1</v>
      </c>
      <c r="I171" s="38">
        <v>1.6115999999999999</v>
      </c>
      <c r="J171" s="36">
        <v>99</v>
      </c>
      <c r="K171" s="36">
        <v>100</v>
      </c>
      <c r="L171" s="22" t="e">
        <v>#N/A</v>
      </c>
      <c r="M171" s="18" t="e">
        <v>#N/A</v>
      </c>
      <c r="N171" s="18" t="e">
        <v>#N/A</v>
      </c>
      <c r="O171" s="18" t="e">
        <v>#N/A</v>
      </c>
      <c r="P171" s="18" t="e">
        <v>#N/A</v>
      </c>
      <c r="Q171" s="18" t="e">
        <v>#N/A</v>
      </c>
      <c r="R171" s="18" t="e">
        <v>#N/A</v>
      </c>
    </row>
    <row r="172" spans="1:18" x14ac:dyDescent="0.35">
      <c r="A172" t="s">
        <v>1484</v>
      </c>
      <c r="B172" s="18">
        <v>448</v>
      </c>
      <c r="C172" s="18">
        <v>462</v>
      </c>
      <c r="D172" s="36">
        <v>1.8</v>
      </c>
      <c r="E172" s="36">
        <v>1.7</v>
      </c>
      <c r="F172" s="36">
        <v>93.600772606871331</v>
      </c>
      <c r="G172" s="36">
        <v>93.6</v>
      </c>
      <c r="H172" s="36">
        <v>124</v>
      </c>
      <c r="I172" s="38">
        <v>1.6079000000000001</v>
      </c>
      <c r="J172" s="36">
        <v>99.5</v>
      </c>
      <c r="K172" s="36">
        <v>100.4</v>
      </c>
      <c r="L172" s="22" t="e">
        <v>#N/A</v>
      </c>
      <c r="M172" s="18" t="e">
        <v>#N/A</v>
      </c>
      <c r="N172" s="18" t="e">
        <v>#N/A</v>
      </c>
      <c r="O172" s="18" t="e">
        <v>#N/A</v>
      </c>
      <c r="P172" s="18" t="e">
        <v>#N/A</v>
      </c>
      <c r="Q172" s="18" t="e">
        <v>#N/A</v>
      </c>
      <c r="R172" s="18" t="e">
        <v>#N/A</v>
      </c>
    </row>
    <row r="173" spans="1:18" x14ac:dyDescent="0.35">
      <c r="A173" t="s">
        <v>1485</v>
      </c>
      <c r="B173" s="18">
        <v>449</v>
      </c>
      <c r="C173" s="18">
        <v>463</v>
      </c>
      <c r="D173" s="36">
        <v>1.5</v>
      </c>
      <c r="E173" s="36">
        <v>1.5</v>
      </c>
      <c r="F173" s="36">
        <v>93.839167552835121</v>
      </c>
      <c r="G173" s="36">
        <v>93.6</v>
      </c>
      <c r="H173" s="36">
        <v>123.5</v>
      </c>
      <c r="I173" s="38">
        <v>1.5961000000000001</v>
      </c>
      <c r="J173" s="36">
        <v>100.6</v>
      </c>
      <c r="K173" s="36">
        <v>100.8</v>
      </c>
      <c r="L173" s="22" t="e">
        <v>#N/A</v>
      </c>
      <c r="M173" s="18" t="e">
        <v>#N/A</v>
      </c>
      <c r="N173" s="18" t="e">
        <v>#N/A</v>
      </c>
      <c r="O173" s="18" t="e">
        <v>#N/A</v>
      </c>
      <c r="P173" s="18" t="e">
        <v>#N/A</v>
      </c>
      <c r="Q173" s="18" t="e">
        <v>#N/A</v>
      </c>
      <c r="R173" s="18" t="e">
        <v>#N/A</v>
      </c>
    </row>
    <row r="174" spans="1:18" x14ac:dyDescent="0.35">
      <c r="A174" t="s">
        <v>1486</v>
      </c>
      <c r="B174" s="18">
        <v>448</v>
      </c>
      <c r="C174" s="18">
        <v>461</v>
      </c>
      <c r="D174" s="36">
        <v>1.3</v>
      </c>
      <c r="E174" s="36">
        <v>1.2</v>
      </c>
      <c r="F174" s="36">
        <v>94.001512929488143</v>
      </c>
      <c r="G174" s="36">
        <v>94.1</v>
      </c>
      <c r="H174" s="36">
        <v>122.8</v>
      </c>
      <c r="I174" s="38">
        <v>1.6144000000000001</v>
      </c>
      <c r="J174" s="36">
        <v>101.8</v>
      </c>
      <c r="K174" s="36">
        <v>101</v>
      </c>
      <c r="L174" s="22" t="e">
        <v>#N/A</v>
      </c>
      <c r="M174" s="18" t="e">
        <v>#N/A</v>
      </c>
      <c r="N174" s="18" t="e">
        <v>#N/A</v>
      </c>
      <c r="O174" s="18" t="e">
        <v>#N/A</v>
      </c>
      <c r="P174" s="18" t="e">
        <v>#N/A</v>
      </c>
      <c r="Q174" s="18" t="e">
        <v>#N/A</v>
      </c>
      <c r="R174" s="18" t="e">
        <v>#N/A</v>
      </c>
    </row>
    <row r="175" spans="1:18" x14ac:dyDescent="0.35">
      <c r="A175" t="s">
        <v>1487</v>
      </c>
      <c r="B175" s="18">
        <v>449</v>
      </c>
      <c r="C175" s="18">
        <v>462</v>
      </c>
      <c r="D175" s="36">
        <v>1.3</v>
      </c>
      <c r="E175" s="36">
        <v>1.1000000000000001</v>
      </c>
      <c r="F175" s="36">
        <v>94.269419775737248</v>
      </c>
      <c r="G175" s="36">
        <v>93.9</v>
      </c>
      <c r="H175" s="36">
        <v>123.4</v>
      </c>
      <c r="I175" s="38">
        <v>1.5956999999999999</v>
      </c>
      <c r="J175" s="36">
        <v>101.9</v>
      </c>
      <c r="K175" s="36">
        <v>101.6</v>
      </c>
      <c r="L175" s="22" t="e">
        <v>#N/A</v>
      </c>
      <c r="M175" s="18" t="e">
        <v>#N/A</v>
      </c>
      <c r="N175" s="18" t="e">
        <v>#N/A</v>
      </c>
      <c r="O175" s="18" t="e">
        <v>#N/A</v>
      </c>
      <c r="P175" s="18" t="e">
        <v>#N/A</v>
      </c>
      <c r="Q175" s="18" t="e">
        <v>#N/A</v>
      </c>
      <c r="R175" s="18" t="e">
        <v>#N/A</v>
      </c>
    </row>
    <row r="176" spans="1:18" x14ac:dyDescent="0.35">
      <c r="A176" t="s">
        <v>1488</v>
      </c>
      <c r="B176" s="18">
        <v>448</v>
      </c>
      <c r="C176" s="18">
        <v>462</v>
      </c>
      <c r="D176" s="36">
        <v>1.1000000000000001</v>
      </c>
      <c r="E176" s="36">
        <v>1</v>
      </c>
      <c r="F176" s="36">
        <v>94.461859346068707</v>
      </c>
      <c r="G176" s="36">
        <v>94.1</v>
      </c>
      <c r="H176" s="36">
        <v>123.3</v>
      </c>
      <c r="I176" s="38">
        <v>1.5478000000000001</v>
      </c>
      <c r="J176" s="36">
        <v>102.6</v>
      </c>
      <c r="K176" s="36">
        <v>101.8</v>
      </c>
      <c r="L176" s="22" t="e">
        <v>#N/A</v>
      </c>
      <c r="M176" s="18" t="e">
        <v>#N/A</v>
      </c>
      <c r="N176" s="18" t="e">
        <v>#N/A</v>
      </c>
      <c r="O176" s="18" t="e">
        <v>#N/A</v>
      </c>
      <c r="P176" s="18" t="e">
        <v>#N/A</v>
      </c>
      <c r="Q176" s="18" t="e">
        <v>#N/A</v>
      </c>
      <c r="R176" s="18" t="e">
        <v>#N/A</v>
      </c>
    </row>
    <row r="177" spans="1:18" x14ac:dyDescent="0.35">
      <c r="A177" t="s">
        <v>1489</v>
      </c>
      <c r="B177" s="18">
        <v>440</v>
      </c>
      <c r="C177" s="18">
        <v>454</v>
      </c>
      <c r="D177" s="36">
        <v>0.5</v>
      </c>
      <c r="E177" s="36">
        <v>0.5</v>
      </c>
      <c r="F177" s="36">
        <v>94.805335735258097</v>
      </c>
      <c r="G177" s="36">
        <v>94.4</v>
      </c>
      <c r="H177" s="36">
        <v>122.9</v>
      </c>
      <c r="I177" s="38">
        <v>1.5076000000000001</v>
      </c>
      <c r="J177" s="36">
        <v>102.2</v>
      </c>
      <c r="K177" s="36">
        <v>102.3</v>
      </c>
      <c r="L177" s="22" t="e">
        <v>#N/A</v>
      </c>
      <c r="M177" s="18" t="e">
        <v>#N/A</v>
      </c>
      <c r="N177" s="18" t="e">
        <v>#N/A</v>
      </c>
      <c r="O177" s="18" t="e">
        <v>#N/A</v>
      </c>
      <c r="P177" s="18" t="e">
        <v>#N/A</v>
      </c>
      <c r="Q177" s="18" t="e">
        <v>#N/A</v>
      </c>
      <c r="R177" s="18" t="e">
        <v>#N/A</v>
      </c>
    </row>
    <row r="178" spans="1:18" x14ac:dyDescent="0.35">
      <c r="A178" t="s">
        <v>1490</v>
      </c>
      <c r="B178" s="18">
        <v>461</v>
      </c>
      <c r="C178" s="18">
        <v>477</v>
      </c>
      <c r="D178" s="36">
        <v>1.4</v>
      </c>
      <c r="E178" s="36">
        <v>1.4</v>
      </c>
      <c r="F178" s="36">
        <v>94.699345233180225</v>
      </c>
      <c r="G178" s="36">
        <v>94.8</v>
      </c>
      <c r="H178" s="36">
        <v>122.9</v>
      </c>
      <c r="I178" s="38">
        <v>1.5316000000000001</v>
      </c>
      <c r="J178" s="36">
        <v>102.9</v>
      </c>
      <c r="K178" s="36">
        <v>102.9</v>
      </c>
      <c r="L178" s="22" t="e">
        <v>#N/A</v>
      </c>
      <c r="M178" s="18" t="e">
        <v>#N/A</v>
      </c>
      <c r="N178" s="18" t="e">
        <v>#N/A</v>
      </c>
      <c r="O178" s="18" t="e">
        <v>#N/A</v>
      </c>
      <c r="P178" s="18" t="e">
        <v>#N/A</v>
      </c>
      <c r="Q178" s="18" t="e">
        <v>#N/A</v>
      </c>
      <c r="R178" s="18" t="e">
        <v>#N/A</v>
      </c>
    </row>
    <row r="179" spans="1:18" x14ac:dyDescent="0.35">
      <c r="A179" t="s">
        <v>1491</v>
      </c>
      <c r="B179" s="18">
        <v>453</v>
      </c>
      <c r="C179" s="18">
        <v>468</v>
      </c>
      <c r="D179" s="36">
        <v>1.6</v>
      </c>
      <c r="E179" s="36">
        <v>1.7</v>
      </c>
      <c r="F179" s="36">
        <v>95.256607945002941</v>
      </c>
      <c r="G179" s="36">
        <v>95.3</v>
      </c>
      <c r="H179" s="36">
        <v>122.2</v>
      </c>
      <c r="I179" s="38">
        <v>1.5285</v>
      </c>
      <c r="J179" s="36">
        <v>102.9</v>
      </c>
      <c r="K179" s="36">
        <v>103.2</v>
      </c>
      <c r="L179" s="22" t="e">
        <v>#N/A</v>
      </c>
      <c r="M179" s="18" t="e">
        <v>#N/A</v>
      </c>
      <c r="N179" s="18" t="e">
        <v>#N/A</v>
      </c>
      <c r="O179" s="18" t="e">
        <v>#N/A</v>
      </c>
      <c r="P179" s="18" t="e">
        <v>#N/A</v>
      </c>
      <c r="Q179" s="18" t="e">
        <v>#N/A</v>
      </c>
      <c r="R179" s="18" t="e">
        <v>#N/A</v>
      </c>
    </row>
    <row r="180" spans="1:18" x14ac:dyDescent="0.35">
      <c r="A180" t="s">
        <v>1492</v>
      </c>
      <c r="B180" s="18">
        <v>453</v>
      </c>
      <c r="C180" s="18">
        <v>466</v>
      </c>
      <c r="D180" s="36">
        <v>2.2000000000000002</v>
      </c>
      <c r="E180" s="36">
        <v>2.2000000000000002</v>
      </c>
      <c r="F180" s="36">
        <v>95.233162878225144</v>
      </c>
      <c r="G180" s="36">
        <v>95.3</v>
      </c>
      <c r="H180" s="36">
        <v>120.9</v>
      </c>
      <c r="I180" s="38">
        <v>1.5478000000000001</v>
      </c>
      <c r="J180" s="36">
        <v>102.4</v>
      </c>
      <c r="K180" s="36">
        <v>103.5</v>
      </c>
      <c r="L180" s="22" t="e">
        <v>#N/A</v>
      </c>
      <c r="M180" s="18" t="e">
        <v>#N/A</v>
      </c>
      <c r="N180" s="18" t="e">
        <v>#N/A</v>
      </c>
      <c r="O180" s="18" t="e">
        <v>#N/A</v>
      </c>
      <c r="P180" s="18" t="e">
        <v>#N/A</v>
      </c>
      <c r="Q180" s="18" t="e">
        <v>#N/A</v>
      </c>
      <c r="R180" s="18" t="e">
        <v>#N/A</v>
      </c>
    </row>
    <row r="181" spans="1:18" x14ac:dyDescent="0.35">
      <c r="A181" t="s">
        <v>1493</v>
      </c>
      <c r="B181" s="18">
        <v>452</v>
      </c>
      <c r="C181" s="18">
        <v>466</v>
      </c>
      <c r="D181" s="36">
        <v>1.2</v>
      </c>
      <c r="E181" s="36">
        <v>1.2</v>
      </c>
      <c r="F181" s="36">
        <v>95.342964836763556</v>
      </c>
      <c r="G181" s="36">
        <v>95.8</v>
      </c>
      <c r="H181" s="36">
        <v>118</v>
      </c>
      <c r="I181" s="38">
        <v>1.5172000000000001</v>
      </c>
      <c r="J181" s="36">
        <v>102.6</v>
      </c>
      <c r="K181" s="36">
        <v>103.7</v>
      </c>
      <c r="L181" s="22" t="e">
        <v>#N/A</v>
      </c>
      <c r="M181" s="18" t="e">
        <v>#N/A</v>
      </c>
      <c r="N181" s="18" t="e">
        <v>#N/A</v>
      </c>
      <c r="O181" s="18" t="e">
        <v>#N/A</v>
      </c>
      <c r="P181" s="18" t="e">
        <v>#N/A</v>
      </c>
      <c r="Q181" s="18" t="e">
        <v>#N/A</v>
      </c>
      <c r="R181" s="18" t="e">
        <v>#N/A</v>
      </c>
    </row>
    <row r="182" spans="1:18" x14ac:dyDescent="0.35">
      <c r="A182" t="s">
        <v>1494</v>
      </c>
      <c r="B182" s="18">
        <v>452</v>
      </c>
      <c r="C182" s="18">
        <v>466</v>
      </c>
      <c r="D182" s="36">
        <v>0.7</v>
      </c>
      <c r="E182" s="36">
        <v>0.8</v>
      </c>
      <c r="F182" s="36">
        <v>95.494069939497876</v>
      </c>
      <c r="G182" s="36">
        <v>96.1</v>
      </c>
      <c r="H182" s="36">
        <v>116.2</v>
      </c>
      <c r="I182" s="38">
        <v>1.5507</v>
      </c>
      <c r="J182" s="36">
        <v>103.1</v>
      </c>
      <c r="K182" s="36">
        <v>103.5</v>
      </c>
      <c r="L182" s="22" t="e">
        <v>#N/A</v>
      </c>
      <c r="M182" s="18" t="e">
        <v>#N/A</v>
      </c>
      <c r="N182" s="18" t="e">
        <v>#N/A</v>
      </c>
      <c r="O182" s="18" t="e">
        <v>#N/A</v>
      </c>
      <c r="P182" s="18" t="e">
        <v>#N/A</v>
      </c>
      <c r="Q182" s="18" t="e">
        <v>#N/A</v>
      </c>
      <c r="R182" s="18" t="e">
        <v>#N/A</v>
      </c>
    </row>
    <row r="183" spans="1:18" x14ac:dyDescent="0.35">
      <c r="A183" t="s">
        <v>1495</v>
      </c>
      <c r="B183" s="18">
        <v>452</v>
      </c>
      <c r="C183" s="18">
        <v>466</v>
      </c>
      <c r="D183" s="36">
        <v>0.6</v>
      </c>
      <c r="E183" s="36">
        <v>0.7</v>
      </c>
      <c r="F183" s="36">
        <v>95.870801844313277</v>
      </c>
      <c r="G183" s="36">
        <v>95.9</v>
      </c>
      <c r="H183" s="36">
        <v>116.4</v>
      </c>
      <c r="I183" s="38">
        <v>1.5865</v>
      </c>
      <c r="J183" s="36">
        <v>103.2</v>
      </c>
      <c r="K183" s="36">
        <v>103.6</v>
      </c>
      <c r="L183" s="22" t="e">
        <v>#N/A</v>
      </c>
      <c r="M183" s="18" t="e">
        <v>#N/A</v>
      </c>
      <c r="N183" s="18" t="e">
        <v>#N/A</v>
      </c>
      <c r="O183" s="18" t="e">
        <v>#N/A</v>
      </c>
      <c r="P183" s="18" t="e">
        <v>#N/A</v>
      </c>
      <c r="Q183" s="18" t="e">
        <v>#N/A</v>
      </c>
      <c r="R183" s="18" t="e">
        <v>#N/A</v>
      </c>
    </row>
    <row r="184" spans="1:18" x14ac:dyDescent="0.35">
      <c r="A184" t="s">
        <v>1496</v>
      </c>
      <c r="B184" s="18">
        <v>452</v>
      </c>
      <c r="C184" s="18">
        <v>466</v>
      </c>
      <c r="D184" s="36">
        <v>0.7</v>
      </c>
      <c r="E184" s="36">
        <v>0.8</v>
      </c>
      <c r="F184" s="36">
        <v>96.074473439016415</v>
      </c>
      <c r="G184" s="36">
        <v>96.1</v>
      </c>
      <c r="H184" s="36">
        <v>118.7</v>
      </c>
      <c r="I184" s="38">
        <v>1.6093999999999999</v>
      </c>
      <c r="J184" s="36">
        <v>103.4</v>
      </c>
      <c r="K184" s="36">
        <v>103.5</v>
      </c>
      <c r="L184" s="22" t="e">
        <v>#N/A</v>
      </c>
      <c r="M184" s="18" t="e">
        <v>#N/A</v>
      </c>
      <c r="N184" s="18" t="e">
        <v>#N/A</v>
      </c>
      <c r="O184" s="18" t="e">
        <v>#N/A</v>
      </c>
      <c r="P184" s="18" t="e">
        <v>#N/A</v>
      </c>
      <c r="Q184" s="18" t="e">
        <v>#N/A</v>
      </c>
      <c r="R184" s="18" t="e">
        <v>#N/A</v>
      </c>
    </row>
    <row r="185" spans="1:18" x14ac:dyDescent="0.35">
      <c r="A185" t="s">
        <v>1497</v>
      </c>
      <c r="B185" s="18">
        <v>452</v>
      </c>
      <c r="C185" s="18">
        <v>466</v>
      </c>
      <c r="D185" s="36">
        <v>0.7</v>
      </c>
      <c r="E185" s="36">
        <v>0.8</v>
      </c>
      <c r="F185" s="36">
        <v>96.323558930967778</v>
      </c>
      <c r="G185" s="36">
        <v>96.1</v>
      </c>
      <c r="H185" s="36">
        <v>118.6</v>
      </c>
      <c r="I185" s="38">
        <v>1.6104000000000001</v>
      </c>
      <c r="J185" s="36">
        <v>103.4</v>
      </c>
      <c r="K185" s="36">
        <v>103.6</v>
      </c>
      <c r="L185" s="22" t="e">
        <v>#N/A</v>
      </c>
      <c r="M185" s="18" t="e">
        <v>#N/A</v>
      </c>
      <c r="N185" s="18" t="e">
        <v>#N/A</v>
      </c>
      <c r="O185" s="18" t="e">
        <v>#N/A</v>
      </c>
      <c r="P185" s="18" t="e">
        <v>#N/A</v>
      </c>
      <c r="Q185" s="18" t="e">
        <v>#N/A</v>
      </c>
      <c r="R185" s="18" t="e">
        <v>#N/A</v>
      </c>
    </row>
    <row r="186" spans="1:18" x14ac:dyDescent="0.35">
      <c r="A186" t="s">
        <v>1498</v>
      </c>
      <c r="B186" s="18">
        <v>453</v>
      </c>
      <c r="C186" s="18">
        <v>468</v>
      </c>
      <c r="D186" s="36">
        <v>0.9</v>
      </c>
      <c r="E186" s="36">
        <v>1</v>
      </c>
      <c r="F186" s="36">
        <v>96.299737452404699</v>
      </c>
      <c r="G186" s="36">
        <v>96.4</v>
      </c>
      <c r="H186" s="36">
        <v>118.2</v>
      </c>
      <c r="I186" s="38">
        <v>1.6375</v>
      </c>
      <c r="J186" s="36">
        <v>103.8</v>
      </c>
      <c r="K186" s="36">
        <v>103.2</v>
      </c>
      <c r="L186" s="22" t="e">
        <v>#N/A</v>
      </c>
      <c r="M186" s="18" t="e">
        <v>#N/A</v>
      </c>
      <c r="N186" s="18" t="e">
        <v>#N/A</v>
      </c>
      <c r="O186" s="18" t="e">
        <v>#N/A</v>
      </c>
      <c r="P186" s="18" t="e">
        <v>#N/A</v>
      </c>
      <c r="Q186" s="18" t="e">
        <v>#N/A</v>
      </c>
      <c r="R186" s="18" t="e">
        <v>#N/A</v>
      </c>
    </row>
    <row r="187" spans="1:18" x14ac:dyDescent="0.35">
      <c r="A187" t="s">
        <v>1499</v>
      </c>
      <c r="B187" s="18">
        <v>454</v>
      </c>
      <c r="C187" s="18">
        <v>469</v>
      </c>
      <c r="D187" s="36">
        <v>0.9</v>
      </c>
      <c r="E187" s="36">
        <v>1.2</v>
      </c>
      <c r="F187" s="36">
        <v>96.538157035799202</v>
      </c>
      <c r="G187" s="36">
        <v>96.1</v>
      </c>
      <c r="H187" s="36">
        <v>116.2</v>
      </c>
      <c r="I187" s="38">
        <v>1.647</v>
      </c>
      <c r="J187" s="36">
        <v>103.9</v>
      </c>
      <c r="K187" s="36">
        <v>103.1</v>
      </c>
      <c r="L187" s="22" t="e">
        <v>#N/A</v>
      </c>
      <c r="M187" s="18" t="e">
        <v>#N/A</v>
      </c>
      <c r="N187" s="18" t="e">
        <v>#N/A</v>
      </c>
      <c r="O187" s="18" t="e">
        <v>#N/A</v>
      </c>
      <c r="P187" s="18" t="e">
        <v>#N/A</v>
      </c>
      <c r="Q187" s="18" t="e">
        <v>#N/A</v>
      </c>
      <c r="R187" s="18" t="e">
        <v>#N/A</v>
      </c>
    </row>
    <row r="188" spans="1:18" x14ac:dyDescent="0.35">
      <c r="A188" t="s">
        <v>1500</v>
      </c>
      <c r="B188" s="18">
        <v>458</v>
      </c>
      <c r="C188" s="18">
        <v>472</v>
      </c>
      <c r="D188" s="36">
        <v>1.5</v>
      </c>
      <c r="E188" s="36">
        <v>1.7</v>
      </c>
      <c r="F188" s="36">
        <v>96.788397251647766</v>
      </c>
      <c r="G188" s="36">
        <v>96.4</v>
      </c>
      <c r="H188" s="36">
        <v>118.6</v>
      </c>
      <c r="I188" s="38">
        <v>1.6567000000000001</v>
      </c>
      <c r="J188" s="36">
        <v>104.5</v>
      </c>
      <c r="K188" s="36">
        <v>103.2</v>
      </c>
      <c r="L188" s="22" t="e">
        <v>#N/A</v>
      </c>
      <c r="M188" s="18" t="e">
        <v>#N/A</v>
      </c>
      <c r="N188" s="18" t="e">
        <v>#N/A</v>
      </c>
      <c r="O188" s="18" t="e">
        <v>#N/A</v>
      </c>
      <c r="P188" s="18" t="e">
        <v>#N/A</v>
      </c>
      <c r="Q188" s="18" t="e">
        <v>#N/A</v>
      </c>
      <c r="R188" s="18" t="e">
        <v>#N/A</v>
      </c>
    </row>
    <row r="189" spans="1:18" x14ac:dyDescent="0.35">
      <c r="A189" t="s">
        <v>1501</v>
      </c>
      <c r="B189" s="18">
        <v>445</v>
      </c>
      <c r="C189" s="18">
        <v>461</v>
      </c>
      <c r="D189" s="36">
        <v>1.4</v>
      </c>
      <c r="E189" s="36">
        <v>1.7</v>
      </c>
      <c r="F189" s="36">
        <v>96.927132693725554</v>
      </c>
      <c r="G189" s="36">
        <v>96.5</v>
      </c>
      <c r="H189" s="36">
        <v>122.1</v>
      </c>
      <c r="I189" s="38">
        <v>1.6621999999999999</v>
      </c>
      <c r="J189" s="36">
        <v>103.9</v>
      </c>
      <c r="K189" s="36">
        <v>103.5</v>
      </c>
      <c r="L189" s="22" t="e">
        <v>#N/A</v>
      </c>
      <c r="M189" s="18" t="e">
        <v>#N/A</v>
      </c>
      <c r="N189" s="18" t="e">
        <v>#N/A</v>
      </c>
      <c r="O189" s="18" t="e">
        <v>#N/A</v>
      </c>
      <c r="P189" s="18" t="e">
        <v>#N/A</v>
      </c>
      <c r="Q189" s="18" t="e">
        <v>#N/A</v>
      </c>
      <c r="R189" s="18" t="e">
        <v>#N/A</v>
      </c>
    </row>
    <row r="190" spans="1:18" x14ac:dyDescent="0.35">
      <c r="A190" t="s">
        <v>1502</v>
      </c>
      <c r="B190" s="18">
        <v>455</v>
      </c>
      <c r="C190" s="18">
        <v>469</v>
      </c>
      <c r="D190" s="36">
        <v>0.6</v>
      </c>
      <c r="E190" s="36">
        <v>0.6</v>
      </c>
      <c r="F190" s="36">
        <v>97.395385236651293</v>
      </c>
      <c r="G190" s="36">
        <v>97.5</v>
      </c>
      <c r="H190" s="36">
        <v>121.5</v>
      </c>
      <c r="I190" s="38">
        <v>1.6742999999999999</v>
      </c>
      <c r="J190" s="36">
        <v>103.4</v>
      </c>
      <c r="K190" s="36">
        <v>103.5</v>
      </c>
      <c r="L190" s="22" t="e">
        <v>#N/A</v>
      </c>
      <c r="M190" s="18" t="e">
        <v>#N/A</v>
      </c>
      <c r="N190" s="18" t="e">
        <v>#N/A</v>
      </c>
      <c r="O190" s="18" t="e">
        <v>#N/A</v>
      </c>
      <c r="P190" s="18" t="e">
        <v>#N/A</v>
      </c>
      <c r="Q190" s="18" t="e">
        <v>#N/A</v>
      </c>
      <c r="R190" s="18" t="e">
        <v>#N/A</v>
      </c>
    </row>
    <row r="191" spans="1:18" x14ac:dyDescent="0.35">
      <c r="A191" t="s">
        <v>1503</v>
      </c>
      <c r="B191" s="18">
        <v>454</v>
      </c>
      <c r="C191" s="18">
        <v>469</v>
      </c>
      <c r="D191" s="36">
        <v>-0.1</v>
      </c>
      <c r="E191" s="36">
        <v>0</v>
      </c>
      <c r="F191" s="36">
        <v>97.377212644391648</v>
      </c>
      <c r="G191" s="36">
        <v>97.4</v>
      </c>
      <c r="H191" s="36">
        <v>121.2</v>
      </c>
      <c r="I191" s="38">
        <v>1.6843999999999999</v>
      </c>
      <c r="J191" s="36">
        <v>102.3</v>
      </c>
      <c r="K191" s="36">
        <v>103</v>
      </c>
      <c r="L191" s="22" t="e">
        <v>#N/A</v>
      </c>
      <c r="M191" s="18" t="e">
        <v>#N/A</v>
      </c>
      <c r="N191" s="18" t="e">
        <v>#N/A</v>
      </c>
      <c r="O191" s="18" t="e">
        <v>#N/A</v>
      </c>
      <c r="P191" s="18" t="e">
        <v>#N/A</v>
      </c>
      <c r="Q191" s="18" t="e">
        <v>#N/A</v>
      </c>
      <c r="R191" s="18" t="e">
        <v>#N/A</v>
      </c>
    </row>
    <row r="192" spans="1:18" x14ac:dyDescent="0.35">
      <c r="A192" t="s">
        <v>1504</v>
      </c>
      <c r="B192" s="18">
        <v>455</v>
      </c>
      <c r="C192" s="18">
        <v>470</v>
      </c>
      <c r="D192" s="36">
        <v>-0.2</v>
      </c>
      <c r="E192" s="36">
        <v>-0.2</v>
      </c>
      <c r="F192" s="36">
        <v>97.609854627248794</v>
      </c>
      <c r="G192" s="36">
        <v>97.7</v>
      </c>
      <c r="H192" s="36">
        <v>119.2</v>
      </c>
      <c r="I192" s="38">
        <v>1.6906000000000001</v>
      </c>
      <c r="J192" s="36">
        <v>102.4</v>
      </c>
      <c r="K192" s="36">
        <v>102.3</v>
      </c>
      <c r="L192" s="22" t="e">
        <v>#N/A</v>
      </c>
      <c r="M192" s="18" t="e">
        <v>#N/A</v>
      </c>
      <c r="N192" s="18" t="e">
        <v>#N/A</v>
      </c>
      <c r="O192" s="18" t="e">
        <v>#N/A</v>
      </c>
      <c r="P192" s="18" t="e">
        <v>#N/A</v>
      </c>
      <c r="Q192" s="18" t="e">
        <v>#N/A</v>
      </c>
      <c r="R192" s="18" t="e">
        <v>#N/A</v>
      </c>
    </row>
    <row r="193" spans="1:18" x14ac:dyDescent="0.35">
      <c r="A193" t="s">
        <v>1505</v>
      </c>
      <c r="B193" s="18">
        <v>452</v>
      </c>
      <c r="C193" s="18">
        <v>468</v>
      </c>
      <c r="D193" s="36">
        <v>0.3</v>
      </c>
      <c r="E193" s="36">
        <v>0.5</v>
      </c>
      <c r="F193" s="36">
        <v>97.815226011080838</v>
      </c>
      <c r="G193" s="36">
        <v>98.3</v>
      </c>
      <c r="H193" s="36">
        <v>116.3</v>
      </c>
      <c r="I193" s="38">
        <v>1.7069000000000001</v>
      </c>
      <c r="J193" s="36">
        <v>102.2</v>
      </c>
      <c r="K193" s="36">
        <v>102.3</v>
      </c>
      <c r="L193" s="22" t="e">
        <v>#N/A</v>
      </c>
      <c r="M193" s="18" t="e">
        <v>#N/A</v>
      </c>
      <c r="N193" s="18" t="e">
        <v>#N/A</v>
      </c>
      <c r="O193" s="18" t="e">
        <v>#N/A</v>
      </c>
      <c r="P193" s="18" t="e">
        <v>#N/A</v>
      </c>
      <c r="Q193" s="18" t="e">
        <v>#N/A</v>
      </c>
      <c r="R193" s="18" t="e">
        <v>#N/A</v>
      </c>
    </row>
    <row r="194" spans="1:18" x14ac:dyDescent="0.35">
      <c r="A194" t="s">
        <v>1506</v>
      </c>
      <c r="B194" s="18">
        <v>455</v>
      </c>
      <c r="C194" s="18">
        <v>469</v>
      </c>
      <c r="D194" s="36">
        <v>0.4</v>
      </c>
      <c r="E194" s="36">
        <v>0.6</v>
      </c>
      <c r="F194" s="36">
        <v>97.966299993192635</v>
      </c>
      <c r="G194" s="36">
        <v>98.6</v>
      </c>
      <c r="H194" s="36">
        <v>112.8</v>
      </c>
      <c r="I194" s="38">
        <v>1.6709000000000001</v>
      </c>
      <c r="J194" s="36">
        <v>102</v>
      </c>
      <c r="K194" s="36">
        <v>101.9</v>
      </c>
      <c r="L194" s="22" t="e">
        <v>#N/A</v>
      </c>
      <c r="M194" s="18" t="e">
        <v>#N/A</v>
      </c>
      <c r="N194" s="18" t="e">
        <v>#N/A</v>
      </c>
      <c r="O194" s="18" t="e">
        <v>#N/A</v>
      </c>
      <c r="P194" s="18" t="e">
        <v>#N/A</v>
      </c>
      <c r="Q194" s="18" t="e">
        <v>#N/A</v>
      </c>
      <c r="R194" s="18" t="e">
        <v>#N/A</v>
      </c>
    </row>
    <row r="195" spans="1:18" x14ac:dyDescent="0.35">
      <c r="A195" t="s">
        <v>1507</v>
      </c>
      <c r="B195" s="18">
        <v>458</v>
      </c>
      <c r="C195" s="18">
        <v>473</v>
      </c>
      <c r="D195" s="36">
        <v>0.7</v>
      </c>
      <c r="E195" s="36">
        <v>0.9</v>
      </c>
      <c r="F195" s="36">
        <v>98.120225037357528</v>
      </c>
      <c r="G195" s="36">
        <v>98.2</v>
      </c>
      <c r="H195" s="36">
        <v>109.2</v>
      </c>
      <c r="I195" s="38">
        <v>1.6305000000000001</v>
      </c>
      <c r="J195" s="36">
        <v>101.8</v>
      </c>
      <c r="K195" s="36">
        <v>101.6</v>
      </c>
      <c r="L195" s="22" t="e">
        <v>#N/A</v>
      </c>
      <c r="M195" s="18" t="e">
        <v>#N/A</v>
      </c>
      <c r="N195" s="18" t="e">
        <v>#N/A</v>
      </c>
      <c r="O195" s="18" t="e">
        <v>#N/A</v>
      </c>
      <c r="P195" s="18" t="e">
        <v>#N/A</v>
      </c>
      <c r="Q195" s="18" t="e">
        <v>#N/A</v>
      </c>
      <c r="R195" s="18" t="e">
        <v>#N/A</v>
      </c>
    </row>
    <row r="196" spans="1:18" x14ac:dyDescent="0.35">
      <c r="A196" t="s">
        <v>1508</v>
      </c>
      <c r="B196" s="18">
        <v>461</v>
      </c>
      <c r="C196" s="18">
        <v>475</v>
      </c>
      <c r="D196" s="36">
        <v>1.3</v>
      </c>
      <c r="E196" s="36">
        <v>1.4</v>
      </c>
      <c r="F196" s="36">
        <v>98.48313617266183</v>
      </c>
      <c r="G196" s="36">
        <v>98.5</v>
      </c>
      <c r="H196" s="36">
        <v>109.3</v>
      </c>
      <c r="I196" s="38">
        <v>1.6068</v>
      </c>
      <c r="J196" s="36">
        <v>101.9</v>
      </c>
      <c r="K196" s="36">
        <v>100.8</v>
      </c>
      <c r="L196" s="22" t="e">
        <v>#N/A</v>
      </c>
      <c r="M196" s="18" t="e">
        <v>#N/A</v>
      </c>
      <c r="N196" s="18" t="e">
        <v>#N/A</v>
      </c>
      <c r="O196" s="18" t="e">
        <v>#N/A</v>
      </c>
      <c r="P196" s="18" t="e">
        <v>#N/A</v>
      </c>
      <c r="Q196" s="18" t="e">
        <v>#N/A</v>
      </c>
      <c r="R196" s="18" t="e">
        <v>#N/A</v>
      </c>
    </row>
    <row r="197" spans="1:18" x14ac:dyDescent="0.35">
      <c r="A197" t="s">
        <v>1509</v>
      </c>
      <c r="B197" s="18">
        <v>460</v>
      </c>
      <c r="C197" s="18">
        <v>475</v>
      </c>
      <c r="D197" s="36">
        <v>1.7</v>
      </c>
      <c r="E197" s="36">
        <v>1.7</v>
      </c>
      <c r="F197" s="36">
        <v>98.531873581647332</v>
      </c>
      <c r="G197" s="36">
        <v>98.3</v>
      </c>
      <c r="H197" s="36">
        <v>108.1</v>
      </c>
      <c r="I197" s="38">
        <v>1.5780000000000001</v>
      </c>
      <c r="J197" s="36">
        <v>101.7</v>
      </c>
      <c r="K197" s="36">
        <v>100.5</v>
      </c>
      <c r="L197" s="22" t="e">
        <v>#N/A</v>
      </c>
      <c r="M197" s="18" t="e">
        <v>#N/A</v>
      </c>
      <c r="N197" s="18" t="e">
        <v>#N/A</v>
      </c>
      <c r="O197" s="18" t="e">
        <v>#N/A</v>
      </c>
      <c r="P197" s="18" t="e">
        <v>#N/A</v>
      </c>
      <c r="Q197" s="18" t="e">
        <v>#N/A</v>
      </c>
      <c r="R197" s="18" t="e">
        <v>#N/A</v>
      </c>
    </row>
    <row r="198" spans="1:18" x14ac:dyDescent="0.35">
      <c r="A198" t="s">
        <v>1510</v>
      </c>
      <c r="B198" s="18">
        <v>464</v>
      </c>
      <c r="C198" s="18">
        <v>478</v>
      </c>
      <c r="D198" s="36">
        <v>2.1</v>
      </c>
      <c r="E198" s="36">
        <v>2</v>
      </c>
      <c r="F198" s="36">
        <v>98.585784340948535</v>
      </c>
      <c r="G198" s="36">
        <v>98.7</v>
      </c>
      <c r="H198" s="36">
        <v>105.2</v>
      </c>
      <c r="I198" s="38">
        <v>1.5640000000000001</v>
      </c>
      <c r="J198" s="36">
        <v>102</v>
      </c>
      <c r="K198" s="36">
        <v>100.6</v>
      </c>
      <c r="L198" s="22" t="e">
        <v>#N/A</v>
      </c>
      <c r="M198" s="18" t="e">
        <v>#N/A</v>
      </c>
      <c r="N198" s="18" t="e">
        <v>#N/A</v>
      </c>
      <c r="O198" s="18" t="e">
        <v>#N/A</v>
      </c>
      <c r="P198" s="18" t="e">
        <v>#N/A</v>
      </c>
      <c r="Q198" s="18" t="e">
        <v>#N/A</v>
      </c>
      <c r="R198" s="18" t="e">
        <v>#N/A</v>
      </c>
    </row>
    <row r="199" spans="1:18" x14ac:dyDescent="0.35">
      <c r="A199" t="s">
        <v>1511</v>
      </c>
      <c r="B199" s="18">
        <v>462</v>
      </c>
      <c r="C199" s="18">
        <v>476</v>
      </c>
      <c r="D199" s="36">
        <v>2</v>
      </c>
      <c r="E199" s="36">
        <v>1.8</v>
      </c>
      <c r="F199" s="36">
        <v>98.901878783198981</v>
      </c>
      <c r="G199" s="36">
        <v>98.4</v>
      </c>
      <c r="H199" s="36">
        <v>101</v>
      </c>
      <c r="I199" s="38">
        <v>1.5143</v>
      </c>
      <c r="J199" s="36">
        <v>101.3</v>
      </c>
      <c r="K199" s="36">
        <v>100.7</v>
      </c>
      <c r="L199" s="22" t="e">
        <v>#N/A</v>
      </c>
      <c r="M199" s="18" t="e">
        <v>#N/A</v>
      </c>
      <c r="N199" s="18" t="e">
        <v>#N/A</v>
      </c>
      <c r="O199" s="18" t="e">
        <v>#N/A</v>
      </c>
      <c r="P199" s="18" t="e">
        <v>#N/A</v>
      </c>
      <c r="Q199" s="18" t="e">
        <v>#N/A</v>
      </c>
      <c r="R199" s="18" t="e">
        <v>#N/A</v>
      </c>
    </row>
    <row r="200" spans="1:18" x14ac:dyDescent="0.35">
      <c r="A200" t="s">
        <v>1512</v>
      </c>
      <c r="B200" s="18">
        <v>465</v>
      </c>
      <c r="C200" s="18">
        <v>478</v>
      </c>
      <c r="D200" s="36">
        <v>1.9</v>
      </c>
      <c r="E200" s="36">
        <v>1.7</v>
      </c>
      <c r="F200" s="36">
        <v>99.112615047808021</v>
      </c>
      <c r="G200" s="36">
        <v>98.7</v>
      </c>
      <c r="H200" s="36">
        <v>98.7</v>
      </c>
      <c r="I200" s="38">
        <v>1.5334000000000001</v>
      </c>
      <c r="J200" s="36">
        <v>101</v>
      </c>
      <c r="K200" s="36">
        <v>100.7</v>
      </c>
      <c r="L200" s="22" t="e">
        <v>#N/A</v>
      </c>
      <c r="M200" s="18" t="e">
        <v>#N/A</v>
      </c>
      <c r="N200" s="18" t="e">
        <v>#N/A</v>
      </c>
      <c r="O200" s="18" t="e">
        <v>#N/A</v>
      </c>
      <c r="P200" s="18" t="e">
        <v>#N/A</v>
      </c>
      <c r="Q200" s="18" t="e">
        <v>#N/A</v>
      </c>
      <c r="R200" s="18" t="e">
        <v>#N/A</v>
      </c>
    </row>
    <row r="201" spans="1:18" x14ac:dyDescent="0.35">
      <c r="A201" t="s">
        <v>1513</v>
      </c>
      <c r="B201" s="18">
        <v>466</v>
      </c>
      <c r="C201" s="18">
        <v>480</v>
      </c>
      <c r="D201" s="36">
        <v>2.7</v>
      </c>
      <c r="E201" s="36">
        <v>2.2999999999999998</v>
      </c>
      <c r="F201" s="36">
        <v>99.355886011655869</v>
      </c>
      <c r="G201" s="36">
        <v>98.9</v>
      </c>
      <c r="H201" s="36">
        <v>95.7</v>
      </c>
      <c r="I201" s="38">
        <v>1.4957</v>
      </c>
      <c r="J201" s="36">
        <v>100.9</v>
      </c>
      <c r="K201" s="36">
        <v>101</v>
      </c>
      <c r="L201" s="22" t="e">
        <v>#N/A</v>
      </c>
      <c r="M201" s="18" t="e">
        <v>#N/A</v>
      </c>
      <c r="N201" s="18" t="e">
        <v>#N/A</v>
      </c>
      <c r="O201" s="18" t="e">
        <v>#N/A</v>
      </c>
      <c r="P201" s="18" t="e">
        <v>#N/A</v>
      </c>
      <c r="Q201" s="18" t="e">
        <v>#N/A</v>
      </c>
      <c r="R201" s="18" t="e">
        <v>#N/A</v>
      </c>
    </row>
    <row r="202" spans="1:18" x14ac:dyDescent="0.35">
      <c r="A202" t="s">
        <v>1514</v>
      </c>
      <c r="B202" s="18">
        <v>466</v>
      </c>
      <c r="C202" s="18">
        <v>481</v>
      </c>
      <c r="D202" s="36">
        <v>2.9</v>
      </c>
      <c r="E202" s="36">
        <v>2.7</v>
      </c>
      <c r="F202" s="36">
        <v>99.39462275704895</v>
      </c>
      <c r="G202" s="36">
        <v>99.5</v>
      </c>
      <c r="H202" s="36">
        <v>94.6</v>
      </c>
      <c r="I202" s="38">
        <v>1.4966999999999999</v>
      </c>
      <c r="J202" s="36">
        <v>100.5</v>
      </c>
      <c r="K202" s="36">
        <v>100.9</v>
      </c>
      <c r="L202" s="22" t="e">
        <v>#N/A</v>
      </c>
      <c r="M202" s="18" t="e">
        <v>#N/A</v>
      </c>
      <c r="N202" s="18" t="e">
        <v>#N/A</v>
      </c>
      <c r="O202" s="18" t="e">
        <v>#N/A</v>
      </c>
      <c r="P202" s="18" t="e">
        <v>#N/A</v>
      </c>
      <c r="Q202" s="18" t="e">
        <v>#N/A</v>
      </c>
      <c r="R202" s="18" t="e">
        <v>#N/A</v>
      </c>
    </row>
    <row r="203" spans="1:18" x14ac:dyDescent="0.35">
      <c r="A203" t="s">
        <v>1515</v>
      </c>
      <c r="B203" s="18">
        <v>467</v>
      </c>
      <c r="C203" s="18">
        <v>482</v>
      </c>
      <c r="D203" s="36">
        <v>3.3</v>
      </c>
      <c r="E203" s="36">
        <v>3.1</v>
      </c>
      <c r="F203" s="36">
        <v>99.590992250531201</v>
      </c>
      <c r="G203" s="36">
        <v>99.6</v>
      </c>
      <c r="H203" s="36">
        <v>95</v>
      </c>
      <c r="I203" s="38">
        <v>1.5469999999999999</v>
      </c>
      <c r="J203" s="36">
        <v>100.4</v>
      </c>
      <c r="K203" s="36">
        <v>100.9</v>
      </c>
      <c r="L203" s="22" t="e">
        <v>#N/A</v>
      </c>
      <c r="M203" s="18" t="e">
        <v>#N/A</v>
      </c>
      <c r="N203" s="18" t="e">
        <v>#N/A</v>
      </c>
      <c r="O203" s="18" t="e">
        <v>#N/A</v>
      </c>
      <c r="P203" s="18" t="e">
        <v>#N/A</v>
      </c>
      <c r="Q203" s="18" t="e">
        <v>#N/A</v>
      </c>
      <c r="R203" s="18" t="e">
        <v>#N/A</v>
      </c>
    </row>
    <row r="204" spans="1:18" x14ac:dyDescent="0.35">
      <c r="A204" t="s">
        <v>1516</v>
      </c>
      <c r="B204" s="18">
        <v>466</v>
      </c>
      <c r="C204" s="18">
        <v>481</v>
      </c>
      <c r="D204" s="36">
        <v>2.5</v>
      </c>
      <c r="E204" s="36">
        <v>2.5</v>
      </c>
      <c r="F204" s="36">
        <v>99.779273388888896</v>
      </c>
      <c r="G204" s="36">
        <v>99.9</v>
      </c>
      <c r="H204" s="36">
        <v>94.6</v>
      </c>
      <c r="I204" s="38">
        <v>1.5568</v>
      </c>
      <c r="J204" s="36">
        <v>100.2</v>
      </c>
      <c r="K204" s="36">
        <v>100.6</v>
      </c>
      <c r="L204" s="22" t="e">
        <v>#N/A</v>
      </c>
      <c r="M204" s="18" t="e">
        <v>#N/A</v>
      </c>
      <c r="N204" s="18" t="e">
        <v>#N/A</v>
      </c>
      <c r="O204" s="18" t="e">
        <v>#N/A</v>
      </c>
      <c r="P204" s="18" t="e">
        <v>#N/A</v>
      </c>
      <c r="Q204" s="18" t="e">
        <v>#N/A</v>
      </c>
      <c r="R204" s="18" t="e">
        <v>#N/A</v>
      </c>
    </row>
    <row r="205" spans="1:18" x14ac:dyDescent="0.35">
      <c r="A205" t="s">
        <v>1517</v>
      </c>
      <c r="B205" s="18">
        <v>469</v>
      </c>
      <c r="C205" s="18">
        <v>484</v>
      </c>
      <c r="D205" s="36">
        <v>3</v>
      </c>
      <c r="E205" s="36">
        <v>2.8</v>
      </c>
      <c r="F205" s="36">
        <v>100.08823798782025</v>
      </c>
      <c r="G205" s="36">
        <v>100.6</v>
      </c>
      <c r="H205" s="36">
        <v>93.8</v>
      </c>
      <c r="I205" s="38">
        <v>1.556</v>
      </c>
      <c r="J205" s="36">
        <v>99.5</v>
      </c>
      <c r="K205" s="36">
        <v>100.1</v>
      </c>
      <c r="L205" s="22" t="e">
        <v>#N/A</v>
      </c>
      <c r="M205" s="18" t="e">
        <v>#N/A</v>
      </c>
      <c r="N205" s="18" t="e">
        <v>#N/A</v>
      </c>
      <c r="O205" s="18" t="e">
        <v>#N/A</v>
      </c>
      <c r="P205" s="18" t="e">
        <v>#N/A</v>
      </c>
      <c r="Q205" s="18" t="e">
        <v>#N/A</v>
      </c>
      <c r="R205" s="18" t="e">
        <v>#N/A</v>
      </c>
    </row>
    <row r="206" spans="1:18" x14ac:dyDescent="0.35">
      <c r="A206" t="s">
        <v>1518</v>
      </c>
      <c r="B206" s="18">
        <v>470</v>
      </c>
      <c r="C206" s="18">
        <v>484</v>
      </c>
      <c r="D206" s="36">
        <v>3.2</v>
      </c>
      <c r="E206" s="36">
        <v>3</v>
      </c>
      <c r="F206" s="36">
        <v>100.20438817766058</v>
      </c>
      <c r="G206" s="36">
        <v>100.9</v>
      </c>
      <c r="H206" s="36">
        <v>89.5</v>
      </c>
      <c r="I206" s="38">
        <v>1.5583</v>
      </c>
      <c r="J206" s="36">
        <v>99.5</v>
      </c>
      <c r="K206" s="36">
        <v>99.6</v>
      </c>
      <c r="L206" s="22" t="e">
        <v>#N/A</v>
      </c>
      <c r="M206" s="18" t="e">
        <v>#N/A</v>
      </c>
      <c r="N206" s="18" t="e">
        <v>#N/A</v>
      </c>
      <c r="O206" s="18" t="e">
        <v>#N/A</v>
      </c>
      <c r="P206" s="18" t="e">
        <v>#N/A</v>
      </c>
      <c r="Q206" s="18" t="e">
        <v>#N/A</v>
      </c>
      <c r="R206" s="18" t="e">
        <v>#N/A</v>
      </c>
    </row>
    <row r="207" spans="1:18" x14ac:dyDescent="0.35">
      <c r="A207" t="s">
        <v>1519</v>
      </c>
      <c r="B207" s="18">
        <v>468</v>
      </c>
      <c r="C207" s="18">
        <v>483</v>
      </c>
      <c r="D207" s="36">
        <v>3.1</v>
      </c>
      <c r="E207" s="36">
        <v>2.9</v>
      </c>
      <c r="F207" s="36">
        <v>100.48202749044536</v>
      </c>
      <c r="G207" s="36">
        <v>100.6</v>
      </c>
      <c r="H207" s="36">
        <v>88.9</v>
      </c>
      <c r="I207" s="38">
        <v>1.5326</v>
      </c>
      <c r="J207" s="36">
        <v>99.5</v>
      </c>
      <c r="K207" s="36">
        <v>99.2</v>
      </c>
      <c r="L207" s="22" t="e">
        <v>#N/A</v>
      </c>
      <c r="M207" s="18" t="e">
        <v>#N/A</v>
      </c>
      <c r="N207" s="18" t="e">
        <v>#N/A</v>
      </c>
      <c r="O207" s="18" t="e">
        <v>#N/A</v>
      </c>
      <c r="P207" s="18" t="e">
        <v>#N/A</v>
      </c>
      <c r="Q207" s="18" t="e">
        <v>#N/A</v>
      </c>
      <c r="R207" s="18" t="e">
        <v>#N/A</v>
      </c>
    </row>
    <row r="208" spans="1:18" x14ac:dyDescent="0.35">
      <c r="A208" t="s">
        <v>1520</v>
      </c>
      <c r="B208" s="18">
        <v>469</v>
      </c>
      <c r="C208" s="18">
        <v>484</v>
      </c>
      <c r="D208" s="36">
        <v>2.5</v>
      </c>
      <c r="E208" s="36">
        <v>2.4</v>
      </c>
      <c r="F208" s="36">
        <v>100.71898431555466</v>
      </c>
      <c r="G208" s="36">
        <v>100.7</v>
      </c>
      <c r="H208" s="36">
        <v>90.3</v>
      </c>
      <c r="I208" s="38">
        <v>1.5339</v>
      </c>
      <c r="J208" s="36">
        <v>99.1</v>
      </c>
      <c r="K208" s="36">
        <v>99</v>
      </c>
      <c r="L208" s="22" t="e">
        <v>#N/A</v>
      </c>
      <c r="M208" s="18" t="e">
        <v>#N/A</v>
      </c>
      <c r="N208" s="18" t="e">
        <v>#N/A</v>
      </c>
      <c r="O208" s="18" t="e">
        <v>#N/A</v>
      </c>
      <c r="P208" s="18" t="e">
        <v>#N/A</v>
      </c>
      <c r="Q208" s="18" t="e">
        <v>#N/A</v>
      </c>
      <c r="R208" s="18" t="e">
        <v>#N/A</v>
      </c>
    </row>
    <row r="209" spans="1:18" x14ac:dyDescent="0.35">
      <c r="A209" t="s">
        <v>1521</v>
      </c>
      <c r="B209" s="18">
        <v>470</v>
      </c>
      <c r="C209" s="18">
        <v>484</v>
      </c>
      <c r="D209" s="36">
        <v>2</v>
      </c>
      <c r="E209" s="36">
        <v>2</v>
      </c>
      <c r="F209" s="36">
        <v>100.9642568658784</v>
      </c>
      <c r="G209" s="36">
        <v>100.7</v>
      </c>
      <c r="H209" s="36">
        <v>87.7</v>
      </c>
      <c r="I209" s="38">
        <v>1.5189999999999999</v>
      </c>
      <c r="J209" s="36">
        <v>99.2</v>
      </c>
      <c r="K209" s="36">
        <v>98.8</v>
      </c>
      <c r="L209" s="22" t="e">
        <v>#N/A</v>
      </c>
      <c r="M209" s="18" t="e">
        <v>#N/A</v>
      </c>
      <c r="N209" s="18" t="e">
        <v>#N/A</v>
      </c>
      <c r="O209" s="18" t="e">
        <v>#N/A</v>
      </c>
      <c r="P209" s="18" t="e">
        <v>#N/A</v>
      </c>
      <c r="Q209" s="18" t="e">
        <v>#N/A</v>
      </c>
      <c r="R209" s="18" t="e">
        <v>#N/A</v>
      </c>
    </row>
    <row r="210" spans="1:18" x14ac:dyDescent="0.35">
      <c r="A210" t="s">
        <v>1522</v>
      </c>
      <c r="B210" s="18">
        <v>472</v>
      </c>
      <c r="C210" s="18">
        <v>487</v>
      </c>
      <c r="D210" s="36">
        <v>1.9</v>
      </c>
      <c r="E210" s="36">
        <v>1.9</v>
      </c>
      <c r="F210" s="36">
        <v>101.38098245778318</v>
      </c>
      <c r="G210" s="36">
        <v>101.5</v>
      </c>
      <c r="H210" s="36">
        <v>87</v>
      </c>
      <c r="I210" s="38">
        <v>1.4983</v>
      </c>
      <c r="J210" s="36">
        <v>99</v>
      </c>
      <c r="K210" s="36">
        <v>98.6</v>
      </c>
      <c r="L210" s="22" t="e">
        <v>#N/A</v>
      </c>
      <c r="M210" s="18" t="e">
        <v>#N/A</v>
      </c>
      <c r="N210" s="18" t="e">
        <v>#N/A</v>
      </c>
      <c r="O210" s="18" t="e">
        <v>#N/A</v>
      </c>
      <c r="P210" s="18" t="e">
        <v>#N/A</v>
      </c>
      <c r="Q210" s="18" t="e">
        <v>#N/A</v>
      </c>
      <c r="R210" s="18" t="e">
        <v>#N/A</v>
      </c>
    </row>
    <row r="211" spans="1:18" x14ac:dyDescent="0.35">
      <c r="A211" t="s">
        <v>1523</v>
      </c>
      <c r="B211" s="18">
        <v>474</v>
      </c>
      <c r="C211" s="18">
        <v>489</v>
      </c>
      <c r="D211" s="36">
        <v>2.1</v>
      </c>
      <c r="E211" s="36">
        <v>2.2000000000000002</v>
      </c>
      <c r="F211" s="36">
        <v>101.24498015421544</v>
      </c>
      <c r="G211" s="36">
        <v>100.7</v>
      </c>
      <c r="H211" s="36">
        <v>84.9</v>
      </c>
      <c r="I211" s="38">
        <v>1.4379</v>
      </c>
      <c r="J211" s="36">
        <v>98.6</v>
      </c>
      <c r="K211" s="36">
        <v>98.7</v>
      </c>
      <c r="L211" s="22" t="e">
        <v>#N/A</v>
      </c>
      <c r="M211" s="18" t="e">
        <v>#N/A</v>
      </c>
      <c r="N211" s="18" t="e">
        <v>#N/A</v>
      </c>
      <c r="O211" s="18" t="e">
        <v>#N/A</v>
      </c>
      <c r="P211" s="18" t="e">
        <v>#N/A</v>
      </c>
      <c r="Q211" s="18" t="e">
        <v>#N/A</v>
      </c>
      <c r="R211" s="18" t="e">
        <v>#N/A</v>
      </c>
    </row>
    <row r="212" spans="1:18" x14ac:dyDescent="0.35">
      <c r="A212" t="s">
        <v>1524</v>
      </c>
      <c r="B212" s="18">
        <v>470</v>
      </c>
      <c r="C212" s="18">
        <v>486</v>
      </c>
      <c r="D212" s="36">
        <v>1.9</v>
      </c>
      <c r="E212" s="36">
        <v>2</v>
      </c>
      <c r="F212" s="36">
        <v>101.52774726864608</v>
      </c>
      <c r="G212" s="36">
        <v>101.1</v>
      </c>
      <c r="H212" s="36">
        <v>86.1</v>
      </c>
      <c r="I212" s="38">
        <v>1.4296</v>
      </c>
      <c r="J212" s="36">
        <v>98.8</v>
      </c>
      <c r="K212" s="36">
        <v>98.8</v>
      </c>
      <c r="L212" s="22" t="e">
        <v>#N/A</v>
      </c>
      <c r="M212" s="18" t="e">
        <v>#N/A</v>
      </c>
      <c r="N212" s="18" t="e">
        <v>#N/A</v>
      </c>
      <c r="O212" s="18" t="e">
        <v>#N/A</v>
      </c>
      <c r="P212" s="18" t="e">
        <v>#N/A</v>
      </c>
      <c r="Q212" s="18" t="e">
        <v>#N/A</v>
      </c>
      <c r="R212" s="18" t="e">
        <v>#N/A</v>
      </c>
    </row>
    <row r="213" spans="1:18" x14ac:dyDescent="0.35">
      <c r="A213" t="s">
        <v>1525</v>
      </c>
      <c r="B213" s="18">
        <v>476</v>
      </c>
      <c r="C213" s="18">
        <v>490</v>
      </c>
      <c r="D213" s="36">
        <v>2</v>
      </c>
      <c r="E213" s="36">
        <v>2.1</v>
      </c>
      <c r="F213" s="36">
        <v>102.17945209125992</v>
      </c>
      <c r="G213" s="36">
        <v>101.7</v>
      </c>
      <c r="H213" s="36">
        <v>87.4</v>
      </c>
      <c r="I213" s="38">
        <v>1.425</v>
      </c>
      <c r="J213" s="36">
        <v>98.1</v>
      </c>
      <c r="K213" s="36">
        <v>99.1</v>
      </c>
      <c r="L213" s="22" t="e">
        <v>#N/A</v>
      </c>
      <c r="M213" s="18" t="e">
        <v>#N/A</v>
      </c>
      <c r="N213" s="18" t="e">
        <v>#N/A</v>
      </c>
      <c r="O213" s="18" t="e">
        <v>#N/A</v>
      </c>
      <c r="P213" s="18" t="e">
        <v>#N/A</v>
      </c>
      <c r="Q213" s="18" t="e">
        <v>#N/A</v>
      </c>
      <c r="R213" s="18" t="e">
        <v>#N/A</v>
      </c>
    </row>
    <row r="214" spans="1:18" x14ac:dyDescent="0.35">
      <c r="A214" t="s">
        <v>1526</v>
      </c>
      <c r="B214" s="18">
        <v>479</v>
      </c>
      <c r="C214" s="18">
        <v>495</v>
      </c>
      <c r="D214" s="36">
        <v>2</v>
      </c>
      <c r="E214" s="36">
        <v>2.2000000000000002</v>
      </c>
      <c r="F214" s="36">
        <v>101.79809272139735</v>
      </c>
      <c r="G214" s="36">
        <v>101.9</v>
      </c>
      <c r="H214" s="36">
        <v>89.1</v>
      </c>
      <c r="I214" s="38">
        <v>1.4312</v>
      </c>
      <c r="J214" s="36">
        <v>98</v>
      </c>
      <c r="K214" s="36">
        <v>98.9</v>
      </c>
      <c r="L214" s="22" t="e">
        <v>#N/A</v>
      </c>
      <c r="M214" s="18" t="e">
        <v>#N/A</v>
      </c>
      <c r="N214" s="18" t="e">
        <v>#N/A</v>
      </c>
      <c r="O214" s="18" t="e">
        <v>#N/A</v>
      </c>
      <c r="P214" s="18" t="e">
        <v>#N/A</v>
      </c>
      <c r="Q214" s="18" t="e">
        <v>#N/A</v>
      </c>
      <c r="R214" s="18" t="e">
        <v>#N/A</v>
      </c>
    </row>
    <row r="215" spans="1:18" x14ac:dyDescent="0.35">
      <c r="A215" t="s">
        <v>1527</v>
      </c>
      <c r="B215" s="18">
        <v>477</v>
      </c>
      <c r="C215" s="18">
        <v>493</v>
      </c>
      <c r="D215" s="36">
        <v>2.4</v>
      </c>
      <c r="E215" s="36">
        <v>2.4</v>
      </c>
      <c r="F215" s="36">
        <v>102.18386737416203</v>
      </c>
      <c r="G215" s="36">
        <v>102.2</v>
      </c>
      <c r="H215" s="36">
        <v>90.6</v>
      </c>
      <c r="I215" s="38">
        <v>1.4518</v>
      </c>
      <c r="J215" s="36">
        <v>97.6</v>
      </c>
      <c r="K215" s="36">
        <v>98.3</v>
      </c>
      <c r="L215" s="22" t="e">
        <v>#N/A</v>
      </c>
      <c r="M215" s="18" t="e">
        <v>#N/A</v>
      </c>
      <c r="N215" s="18" t="e">
        <v>#N/A</v>
      </c>
      <c r="O215" s="18" t="e">
        <v>#N/A</v>
      </c>
      <c r="P215" s="18" t="e">
        <v>#N/A</v>
      </c>
      <c r="Q215" s="18" t="e">
        <v>#N/A</v>
      </c>
      <c r="R215" s="18" t="e">
        <v>#N/A</v>
      </c>
    </row>
    <row r="216" spans="1:18" x14ac:dyDescent="0.35">
      <c r="A216" t="s">
        <v>1528</v>
      </c>
      <c r="B216" s="18">
        <v>478</v>
      </c>
      <c r="C216" s="18">
        <v>493</v>
      </c>
      <c r="D216" s="36">
        <v>2.5</v>
      </c>
      <c r="E216" s="36">
        <v>2.6</v>
      </c>
      <c r="F216" s="36">
        <v>102.54935508762412</v>
      </c>
      <c r="G216" s="36">
        <v>102.7</v>
      </c>
      <c r="H216" s="36">
        <v>93.8</v>
      </c>
      <c r="I216" s="38">
        <v>1.4209000000000001</v>
      </c>
      <c r="J216" s="36">
        <v>97.2</v>
      </c>
      <c r="K216" s="36">
        <v>98.1</v>
      </c>
      <c r="L216" s="22" t="e">
        <v>#N/A</v>
      </c>
      <c r="M216" s="18" t="e">
        <v>#N/A</v>
      </c>
      <c r="N216" s="18" t="e">
        <v>#N/A</v>
      </c>
      <c r="O216" s="18" t="e">
        <v>#N/A</v>
      </c>
      <c r="P216" s="18" t="e">
        <v>#N/A</v>
      </c>
      <c r="Q216" s="18" t="e">
        <v>#N/A</v>
      </c>
      <c r="R216" s="18" t="e">
        <v>#N/A</v>
      </c>
    </row>
    <row r="217" spans="1:18" x14ac:dyDescent="0.35">
      <c r="A217" t="s">
        <v>1529</v>
      </c>
      <c r="B217" s="18">
        <v>481</v>
      </c>
      <c r="C217" s="18">
        <v>496</v>
      </c>
      <c r="D217" s="36">
        <v>2.4</v>
      </c>
      <c r="E217" s="36">
        <v>2.5</v>
      </c>
      <c r="F217" s="36">
        <v>102.7688084546587</v>
      </c>
      <c r="G217" s="36">
        <v>103.3</v>
      </c>
      <c r="H217" s="36">
        <v>93</v>
      </c>
      <c r="I217" s="38">
        <v>1.3141</v>
      </c>
      <c r="J217" s="36">
        <v>96.9</v>
      </c>
      <c r="K217" s="36">
        <v>98.1</v>
      </c>
      <c r="L217" s="22" t="e">
        <v>#N/A</v>
      </c>
      <c r="M217" s="18" t="e">
        <v>#N/A</v>
      </c>
      <c r="N217" s="18" t="e">
        <v>#N/A</v>
      </c>
      <c r="O217" s="18" t="e">
        <v>#N/A</v>
      </c>
      <c r="P217" s="18" t="e">
        <v>#N/A</v>
      </c>
      <c r="Q217" s="18" t="e">
        <v>#N/A</v>
      </c>
      <c r="R217" s="18" t="e">
        <v>#N/A</v>
      </c>
    </row>
    <row r="218" spans="1:18" x14ac:dyDescent="0.35">
      <c r="A218" t="s">
        <v>1530</v>
      </c>
      <c r="B218" s="18">
        <v>479</v>
      </c>
      <c r="C218" s="18">
        <v>494</v>
      </c>
      <c r="D218" s="36">
        <v>2.2999999999999998</v>
      </c>
      <c r="E218" s="36">
        <v>2.4</v>
      </c>
      <c r="F218" s="36">
        <v>103.03763736201007</v>
      </c>
      <c r="G218" s="36">
        <v>103.8</v>
      </c>
      <c r="H218" s="36">
        <v>95.3</v>
      </c>
      <c r="I218" s="38">
        <v>1.31</v>
      </c>
      <c r="J218" s="36">
        <v>97.3</v>
      </c>
      <c r="K218" s="36">
        <v>98.3</v>
      </c>
      <c r="L218" s="22" t="e">
        <v>#N/A</v>
      </c>
      <c r="M218" s="18" t="e">
        <v>#N/A</v>
      </c>
      <c r="N218" s="18" t="e">
        <v>#N/A</v>
      </c>
      <c r="O218" s="18" t="e">
        <v>#N/A</v>
      </c>
      <c r="P218" s="18" t="e">
        <v>#N/A</v>
      </c>
      <c r="Q218" s="18" t="e">
        <v>#N/A</v>
      </c>
      <c r="R218" s="18" t="e">
        <v>#N/A</v>
      </c>
    </row>
    <row r="219" spans="1:18" x14ac:dyDescent="0.35">
      <c r="A219" t="s">
        <v>1531</v>
      </c>
      <c r="B219" s="18">
        <v>479</v>
      </c>
      <c r="C219" s="18">
        <v>495</v>
      </c>
      <c r="D219" s="36">
        <v>2.2000000000000002</v>
      </c>
      <c r="E219" s="36">
        <v>2.4</v>
      </c>
      <c r="F219" s="36">
        <v>103.15000432669362</v>
      </c>
      <c r="G219" s="36">
        <v>103.3</v>
      </c>
      <c r="H219" s="36">
        <v>96.1</v>
      </c>
      <c r="I219" s="38">
        <v>1.3142</v>
      </c>
      <c r="J219" s="36">
        <v>97.3</v>
      </c>
      <c r="K219" s="36">
        <v>98.8</v>
      </c>
      <c r="L219" s="22" t="e">
        <v>#N/A</v>
      </c>
      <c r="M219" s="18" t="e">
        <v>#N/A</v>
      </c>
      <c r="N219" s="18" t="e">
        <v>#N/A</v>
      </c>
      <c r="O219" s="18" t="e">
        <v>#N/A</v>
      </c>
      <c r="P219" s="18" t="e">
        <v>#N/A</v>
      </c>
      <c r="Q219" s="18" t="e">
        <v>#N/A</v>
      </c>
      <c r="R219" s="18" t="e">
        <v>#N/A</v>
      </c>
    </row>
    <row r="220" spans="1:18" x14ac:dyDescent="0.35">
      <c r="A220" t="s">
        <v>1532</v>
      </c>
      <c r="B220" s="18">
        <v>481</v>
      </c>
      <c r="C220" s="18">
        <v>497</v>
      </c>
      <c r="D220" s="36">
        <v>2.2999999999999998</v>
      </c>
      <c r="E220" s="36">
        <v>2.5</v>
      </c>
      <c r="F220" s="36">
        <v>103.16858697927336</v>
      </c>
      <c r="G220" s="36">
        <v>103.1</v>
      </c>
      <c r="H220" s="36">
        <v>95.9</v>
      </c>
      <c r="I220" s="38">
        <v>1.2329000000000001</v>
      </c>
      <c r="J220" s="36">
        <v>96.8</v>
      </c>
      <c r="K220" s="36">
        <v>99.3</v>
      </c>
      <c r="L220" s="22" t="e">
        <v>#N/A</v>
      </c>
      <c r="M220" s="18" t="e">
        <v>#N/A</v>
      </c>
      <c r="N220" s="18" t="e">
        <v>#N/A</v>
      </c>
      <c r="O220" s="18" t="e">
        <v>#N/A</v>
      </c>
      <c r="P220" s="18" t="e">
        <v>#N/A</v>
      </c>
      <c r="Q220" s="18" t="e">
        <v>#N/A</v>
      </c>
      <c r="R220" s="18" t="e">
        <v>#N/A</v>
      </c>
    </row>
    <row r="221" spans="1:18" x14ac:dyDescent="0.35">
      <c r="A221" t="s">
        <v>1533</v>
      </c>
      <c r="B221" s="18">
        <v>483</v>
      </c>
      <c r="C221" s="18">
        <v>498</v>
      </c>
      <c r="D221" s="36">
        <v>2.5</v>
      </c>
      <c r="E221" s="36">
        <v>2.7</v>
      </c>
      <c r="F221" s="36">
        <v>103.20383696832832</v>
      </c>
      <c r="G221" s="36">
        <v>102.9</v>
      </c>
      <c r="H221" s="36">
        <v>96</v>
      </c>
      <c r="I221" s="38">
        <v>1.2431000000000001</v>
      </c>
      <c r="J221" s="36">
        <v>97.2</v>
      </c>
      <c r="K221" s="36">
        <v>99.5</v>
      </c>
      <c r="L221" s="22" t="e">
        <v>#N/A</v>
      </c>
      <c r="M221" s="18" t="e">
        <v>#N/A</v>
      </c>
      <c r="N221" s="18" t="e">
        <v>#N/A</v>
      </c>
      <c r="O221" s="18" t="e">
        <v>#N/A</v>
      </c>
      <c r="P221" s="18" t="e">
        <v>#N/A</v>
      </c>
      <c r="Q221" s="18" t="e">
        <v>#N/A</v>
      </c>
      <c r="R221" s="18" t="e">
        <v>#N/A</v>
      </c>
    </row>
    <row r="222" spans="1:18" x14ac:dyDescent="0.35">
      <c r="A222" t="s">
        <v>1534</v>
      </c>
      <c r="B222" s="18">
        <v>480</v>
      </c>
      <c r="C222" s="18">
        <v>496</v>
      </c>
      <c r="D222" s="36">
        <v>2.2999999999999998</v>
      </c>
      <c r="E222" s="36">
        <v>2.5</v>
      </c>
      <c r="F222" s="36">
        <v>103.88397907945046</v>
      </c>
      <c r="G222" s="36">
        <v>104</v>
      </c>
      <c r="H222" s="36">
        <v>95.3</v>
      </c>
      <c r="I222" s="38">
        <v>1.2487999999999999</v>
      </c>
      <c r="J222" s="36">
        <v>97.9</v>
      </c>
      <c r="K222" s="36">
        <v>99.7</v>
      </c>
      <c r="L222" s="22" t="e">
        <v>#N/A</v>
      </c>
      <c r="M222" s="18" t="e">
        <v>#N/A</v>
      </c>
      <c r="N222" s="18" t="e">
        <v>#N/A</v>
      </c>
      <c r="O222" s="18" t="e">
        <v>#N/A</v>
      </c>
      <c r="P222" s="18" t="e">
        <v>#N/A</v>
      </c>
      <c r="Q222" s="18" t="e">
        <v>#N/A</v>
      </c>
      <c r="R222" s="18" t="e">
        <v>#N/A</v>
      </c>
    </row>
    <row r="223" spans="1:18" x14ac:dyDescent="0.35">
      <c r="A223" t="s">
        <v>1535</v>
      </c>
      <c r="B223" s="18">
        <v>482</v>
      </c>
      <c r="C223" s="18">
        <v>497</v>
      </c>
      <c r="D223" s="36">
        <v>2</v>
      </c>
      <c r="E223" s="36">
        <v>2.1</v>
      </c>
      <c r="F223" s="36">
        <v>103.86894914096548</v>
      </c>
      <c r="G223" s="36">
        <v>103.3</v>
      </c>
      <c r="H223" s="36">
        <v>97.8</v>
      </c>
      <c r="I223" s="38">
        <v>1.2351000000000001</v>
      </c>
      <c r="J223" s="36">
        <v>98.1</v>
      </c>
      <c r="K223" s="36">
        <v>99.9</v>
      </c>
      <c r="L223" s="22">
        <v>2.992</v>
      </c>
      <c r="M223" s="18" t="e">
        <v>#N/A</v>
      </c>
      <c r="N223" s="18" t="e">
        <v>#N/A</v>
      </c>
      <c r="O223" s="18" t="e">
        <v>#N/A</v>
      </c>
      <c r="P223" s="18" t="e">
        <v>#N/A</v>
      </c>
      <c r="Q223" s="18" t="e">
        <v>#N/A</v>
      </c>
      <c r="R223" s="18" t="e">
        <v>#N/A</v>
      </c>
    </row>
    <row r="224" spans="1:18" x14ac:dyDescent="0.35">
      <c r="A224" t="s">
        <v>1536</v>
      </c>
      <c r="B224" s="18">
        <v>484</v>
      </c>
      <c r="C224" s="18">
        <v>499</v>
      </c>
      <c r="D224" s="36">
        <v>2</v>
      </c>
      <c r="E224" s="36">
        <v>2.1</v>
      </c>
      <c r="F224" s="36">
        <v>104.33701530950967</v>
      </c>
      <c r="G224" s="36">
        <v>103.9</v>
      </c>
      <c r="H224" s="36">
        <v>98.1</v>
      </c>
      <c r="I224" s="38">
        <v>1.2490000000000001</v>
      </c>
      <c r="J224" s="36">
        <v>98.9</v>
      </c>
      <c r="K224" s="36">
        <v>100.3</v>
      </c>
      <c r="L224" s="22">
        <v>2.863</v>
      </c>
      <c r="M224" s="18" t="e">
        <v>#N/A</v>
      </c>
      <c r="N224" s="18" t="e">
        <v>#N/A</v>
      </c>
      <c r="O224" s="18" t="e">
        <v>#N/A</v>
      </c>
      <c r="P224" s="18" t="e">
        <v>#N/A</v>
      </c>
      <c r="Q224" s="18" t="e">
        <v>#N/A</v>
      </c>
      <c r="R224" s="18" t="e">
        <v>#N/A</v>
      </c>
    </row>
    <row r="225" spans="1:18" x14ac:dyDescent="0.35">
      <c r="A225" t="s">
        <v>1537</v>
      </c>
      <c r="B225" s="18">
        <v>487</v>
      </c>
      <c r="C225" s="18">
        <v>501</v>
      </c>
      <c r="D225" s="36">
        <v>2.2999999999999998</v>
      </c>
      <c r="E225" s="36">
        <v>2.2999999999999998</v>
      </c>
      <c r="F225" s="36">
        <v>104.29704031683951</v>
      </c>
      <c r="G225" s="36">
        <v>103.8</v>
      </c>
      <c r="H225" s="36">
        <v>96.2</v>
      </c>
      <c r="I225" s="38">
        <v>1.2347999999999999</v>
      </c>
      <c r="J225" s="36">
        <v>99.3</v>
      </c>
      <c r="K225" s="36">
        <v>101.2</v>
      </c>
      <c r="L225" s="22">
        <v>2.82</v>
      </c>
      <c r="M225" s="18" t="e">
        <v>#N/A</v>
      </c>
      <c r="N225" s="18" t="e">
        <v>#N/A</v>
      </c>
      <c r="O225" s="18" t="e">
        <v>#N/A</v>
      </c>
      <c r="P225" s="18" t="e">
        <v>#N/A</v>
      </c>
      <c r="Q225" s="18" t="e">
        <v>#N/A</v>
      </c>
      <c r="R225" s="18" t="e">
        <v>#N/A</v>
      </c>
    </row>
    <row r="226" spans="1:18" x14ac:dyDescent="0.35">
      <c r="A226" t="s">
        <v>1538</v>
      </c>
      <c r="B226" s="18">
        <v>487</v>
      </c>
      <c r="C226" s="18">
        <v>502</v>
      </c>
      <c r="D226" s="36">
        <v>2.4</v>
      </c>
      <c r="E226" s="36">
        <v>2.2000000000000002</v>
      </c>
      <c r="F226" s="36">
        <v>104.89086562904332</v>
      </c>
      <c r="G226" s="36">
        <v>105</v>
      </c>
      <c r="H226" s="36">
        <v>95</v>
      </c>
      <c r="I226" s="38">
        <v>1.2652000000000001</v>
      </c>
      <c r="J226" s="36">
        <v>99.5</v>
      </c>
      <c r="K226" s="36">
        <v>101.4</v>
      </c>
      <c r="L226" s="22">
        <v>2.766</v>
      </c>
      <c r="M226" s="18" t="e">
        <v>#N/A</v>
      </c>
      <c r="N226" s="18" t="e">
        <v>#N/A</v>
      </c>
      <c r="O226" s="18" t="e">
        <v>#N/A</v>
      </c>
      <c r="P226" s="18" t="e">
        <v>#N/A</v>
      </c>
      <c r="Q226" s="18" t="e">
        <v>#N/A</v>
      </c>
      <c r="R226" s="18" t="e">
        <v>#N/A</v>
      </c>
    </row>
    <row r="227" spans="1:18" x14ac:dyDescent="0.35">
      <c r="A227" t="s">
        <v>1539</v>
      </c>
      <c r="B227" s="18">
        <v>489</v>
      </c>
      <c r="C227" s="18">
        <v>503</v>
      </c>
      <c r="D227" s="36">
        <v>2.2000000000000002</v>
      </c>
      <c r="E227" s="36">
        <v>1.9</v>
      </c>
      <c r="F227" s="36">
        <v>105.06056577515544</v>
      </c>
      <c r="G227" s="36">
        <v>105.1</v>
      </c>
      <c r="H227" s="36">
        <v>97.3</v>
      </c>
      <c r="I227" s="38">
        <v>1.2932999999999999</v>
      </c>
      <c r="J227" s="36">
        <v>99.6</v>
      </c>
      <c r="K227" s="36">
        <v>102.3</v>
      </c>
      <c r="L227" s="22">
        <v>2.681</v>
      </c>
      <c r="M227" s="18" t="e">
        <v>#N/A</v>
      </c>
      <c r="N227" s="18" t="e">
        <v>#N/A</v>
      </c>
      <c r="O227" s="18" t="e">
        <v>#N/A</v>
      </c>
      <c r="P227" s="18" t="e">
        <v>#N/A</v>
      </c>
      <c r="Q227" s="18" t="e">
        <v>#N/A</v>
      </c>
      <c r="R227" s="18" t="e">
        <v>#N/A</v>
      </c>
    </row>
    <row r="228" spans="1:18" x14ac:dyDescent="0.35">
      <c r="A228" t="s">
        <v>1540</v>
      </c>
      <c r="B228" s="18">
        <v>493</v>
      </c>
      <c r="C228" s="18">
        <v>508</v>
      </c>
      <c r="D228" s="36">
        <v>2.5</v>
      </c>
      <c r="E228" s="36">
        <v>2.2000000000000002</v>
      </c>
      <c r="F228" s="36">
        <v>105.32895131315807</v>
      </c>
      <c r="G228" s="36">
        <v>105.5</v>
      </c>
      <c r="H228" s="36">
        <v>97.8</v>
      </c>
      <c r="I228" s="38">
        <v>1.2813000000000001</v>
      </c>
      <c r="J228" s="36">
        <v>99.4</v>
      </c>
      <c r="K228" s="36">
        <v>102.4</v>
      </c>
      <c r="L228" s="22">
        <v>2.6150000000000002</v>
      </c>
      <c r="M228" s="18" t="e">
        <v>#N/A</v>
      </c>
      <c r="N228" s="18" t="e">
        <v>#N/A</v>
      </c>
      <c r="O228" s="18" t="e">
        <v>#N/A</v>
      </c>
      <c r="P228" s="18" t="e">
        <v>#N/A</v>
      </c>
      <c r="Q228" s="18" t="e">
        <v>#N/A</v>
      </c>
      <c r="R228" s="18" t="e">
        <v>#N/A</v>
      </c>
    </row>
    <row r="229" spans="1:18" x14ac:dyDescent="0.35">
      <c r="A229" t="s">
        <v>1541</v>
      </c>
      <c r="B229" s="18">
        <v>489</v>
      </c>
      <c r="C229" s="18">
        <v>504</v>
      </c>
      <c r="D229" s="36">
        <v>2.4</v>
      </c>
      <c r="E229" s="36">
        <v>2.2000000000000002</v>
      </c>
      <c r="F229" s="36">
        <v>105.46331845488979</v>
      </c>
      <c r="G229" s="36">
        <v>106</v>
      </c>
      <c r="H229" s="36">
        <v>100</v>
      </c>
      <c r="I229" s="38">
        <v>1.2994000000000001</v>
      </c>
      <c r="J229" s="36">
        <v>99.4</v>
      </c>
      <c r="K229" s="36">
        <v>102.8</v>
      </c>
      <c r="L229" s="22">
        <v>2.468</v>
      </c>
      <c r="M229" s="18" t="e">
        <v>#N/A</v>
      </c>
      <c r="N229" s="18" t="e">
        <v>#N/A</v>
      </c>
      <c r="O229" s="18" t="e">
        <v>#N/A</v>
      </c>
      <c r="P229" s="18" t="e">
        <v>#N/A</v>
      </c>
      <c r="Q229" s="18" t="e">
        <v>#N/A</v>
      </c>
      <c r="R229" s="18" t="e">
        <v>#N/A</v>
      </c>
    </row>
    <row r="230" spans="1:18" x14ac:dyDescent="0.35">
      <c r="A230" t="s">
        <v>1542</v>
      </c>
      <c r="B230" s="18">
        <v>491</v>
      </c>
      <c r="C230" s="18">
        <v>507</v>
      </c>
      <c r="D230" s="36">
        <v>2.5</v>
      </c>
      <c r="E230" s="36">
        <v>2.4</v>
      </c>
      <c r="F230" s="36">
        <v>105.69423946806111</v>
      </c>
      <c r="G230" s="36">
        <v>106.5</v>
      </c>
      <c r="H230" s="36">
        <v>99.2</v>
      </c>
      <c r="I230" s="38">
        <v>1.2955000000000001</v>
      </c>
      <c r="J230" s="36">
        <v>99.4</v>
      </c>
      <c r="K230" s="36">
        <v>103.3</v>
      </c>
      <c r="L230" s="22">
        <v>2.4670000000000001</v>
      </c>
      <c r="M230" s="18" t="e">
        <v>#N/A</v>
      </c>
      <c r="N230" s="18" t="e">
        <v>#N/A</v>
      </c>
      <c r="O230" s="18" t="e">
        <v>#N/A</v>
      </c>
      <c r="P230" s="18" t="e">
        <v>#N/A</v>
      </c>
      <c r="Q230" s="18" t="e">
        <v>#N/A</v>
      </c>
      <c r="R230" s="18" t="e">
        <v>#N/A</v>
      </c>
    </row>
    <row r="231" spans="1:18" x14ac:dyDescent="0.35">
      <c r="A231" t="s">
        <v>1543</v>
      </c>
      <c r="B231" s="18">
        <v>493</v>
      </c>
      <c r="C231" s="18">
        <v>509</v>
      </c>
      <c r="D231" s="36">
        <v>2.2999999999999998</v>
      </c>
      <c r="E231" s="36">
        <v>2.2999999999999998</v>
      </c>
      <c r="F231" s="36">
        <v>105.93057438174277</v>
      </c>
      <c r="G231" s="36">
        <v>106.1</v>
      </c>
      <c r="H231" s="36">
        <v>99.7</v>
      </c>
      <c r="I231" s="38">
        <v>1.3324</v>
      </c>
      <c r="J231" s="36">
        <v>100.2</v>
      </c>
      <c r="K231" s="36">
        <v>103.9</v>
      </c>
      <c r="L231" s="22">
        <v>2.5270000000000001</v>
      </c>
      <c r="M231" s="18" t="e">
        <v>#N/A</v>
      </c>
      <c r="N231" s="18" t="e">
        <v>#N/A</v>
      </c>
      <c r="O231" s="18" t="e">
        <v>#N/A</v>
      </c>
      <c r="P231" s="18" t="e">
        <v>#N/A</v>
      </c>
      <c r="Q231" s="18" t="e">
        <v>#N/A</v>
      </c>
      <c r="R231" s="18" t="e">
        <v>#N/A</v>
      </c>
    </row>
    <row r="232" spans="1:18" x14ac:dyDescent="0.35">
      <c r="A232" t="s">
        <v>1544</v>
      </c>
      <c r="B232" s="18">
        <v>492</v>
      </c>
      <c r="C232" s="18">
        <v>509</v>
      </c>
      <c r="D232" s="36">
        <v>2.6</v>
      </c>
      <c r="E232" s="36">
        <v>2.6</v>
      </c>
      <c r="F232" s="36">
        <v>106.00044918693071</v>
      </c>
      <c r="G232" s="36">
        <v>105.9</v>
      </c>
      <c r="H232" s="36">
        <v>98.8</v>
      </c>
      <c r="I232" s="38">
        <v>1.3197000000000001</v>
      </c>
      <c r="J232" s="36">
        <v>100.6</v>
      </c>
      <c r="K232" s="36">
        <v>104.2</v>
      </c>
      <c r="L232" s="22">
        <v>2.444</v>
      </c>
      <c r="M232" s="18" t="e">
        <v>#N/A</v>
      </c>
      <c r="N232" s="18" t="e">
        <v>#N/A</v>
      </c>
      <c r="O232" s="18" t="e">
        <v>#N/A</v>
      </c>
      <c r="P232" s="18" t="e">
        <v>#N/A</v>
      </c>
      <c r="Q232" s="18" t="e">
        <v>#N/A</v>
      </c>
      <c r="R232" s="18" t="e">
        <v>#N/A</v>
      </c>
    </row>
    <row r="233" spans="1:18" x14ac:dyDescent="0.35">
      <c r="A233" t="s">
        <v>1545</v>
      </c>
      <c r="B233" s="18">
        <v>494</v>
      </c>
      <c r="C233" s="18">
        <v>510</v>
      </c>
      <c r="D233" s="36">
        <v>2.5</v>
      </c>
      <c r="E233" s="36">
        <v>2.5</v>
      </c>
      <c r="F233" s="36">
        <v>106.22933023848819</v>
      </c>
      <c r="G233" s="36">
        <v>105.9</v>
      </c>
      <c r="H233" s="36">
        <v>98.8</v>
      </c>
      <c r="I233" s="38">
        <v>1.3219000000000001</v>
      </c>
      <c r="J233" s="36">
        <v>101.1</v>
      </c>
      <c r="K233" s="36">
        <v>104.4</v>
      </c>
      <c r="L233" s="22">
        <v>2.423</v>
      </c>
      <c r="M233" s="18" t="e">
        <v>#N/A</v>
      </c>
      <c r="N233" s="18" t="e">
        <v>#N/A</v>
      </c>
      <c r="O233" s="18" t="e">
        <v>#N/A</v>
      </c>
      <c r="P233" s="18" t="e">
        <v>#N/A</v>
      </c>
      <c r="Q233" s="18" t="e">
        <v>#N/A</v>
      </c>
      <c r="R233" s="18" t="e">
        <v>#N/A</v>
      </c>
    </row>
    <row r="234" spans="1:18" x14ac:dyDescent="0.35">
      <c r="A234" t="s">
        <v>1546</v>
      </c>
      <c r="B234" s="18">
        <v>496</v>
      </c>
      <c r="C234" s="18">
        <v>512</v>
      </c>
      <c r="D234" s="36">
        <v>2.6</v>
      </c>
      <c r="E234" s="36">
        <v>2.6</v>
      </c>
      <c r="F234" s="36">
        <v>106.52173662655179</v>
      </c>
      <c r="G234" s="36">
        <v>106.6</v>
      </c>
      <c r="H234" s="36">
        <v>96.4</v>
      </c>
      <c r="I234" s="38">
        <v>1.3402000000000001</v>
      </c>
      <c r="J234" s="36">
        <v>101.8</v>
      </c>
      <c r="K234" s="36">
        <v>105.1</v>
      </c>
      <c r="L234" s="22">
        <v>2.4710000000000001</v>
      </c>
      <c r="M234" s="18" t="e">
        <v>#N/A</v>
      </c>
      <c r="N234" s="18" t="e">
        <v>#N/A</v>
      </c>
      <c r="O234" s="18" t="e">
        <v>#N/A</v>
      </c>
      <c r="P234" s="18" t="e">
        <v>#N/A</v>
      </c>
      <c r="Q234" s="18" t="e">
        <v>#N/A</v>
      </c>
      <c r="R234" s="18" t="e">
        <v>#N/A</v>
      </c>
    </row>
    <row r="235" spans="1:18" x14ac:dyDescent="0.35">
      <c r="A235" t="s">
        <v>1547</v>
      </c>
      <c r="B235" s="18">
        <v>493</v>
      </c>
      <c r="C235" s="18">
        <v>510</v>
      </c>
      <c r="D235" s="36">
        <v>2.6</v>
      </c>
      <c r="E235" s="36">
        <v>2.7</v>
      </c>
      <c r="F235" s="36">
        <v>106.67256693918183</v>
      </c>
      <c r="G235" s="36">
        <v>106.1</v>
      </c>
      <c r="H235" s="36">
        <v>96.7</v>
      </c>
      <c r="I235" s="38">
        <v>1.3832</v>
      </c>
      <c r="J235" s="36">
        <v>101.7</v>
      </c>
      <c r="K235" s="36">
        <v>104.2</v>
      </c>
      <c r="L235" s="22">
        <v>2.4359999999999999</v>
      </c>
      <c r="M235" s="18" t="e">
        <v>#N/A</v>
      </c>
      <c r="N235" s="18" t="e">
        <v>#N/A</v>
      </c>
      <c r="O235" s="18" t="e">
        <v>#N/A</v>
      </c>
      <c r="P235" s="18" t="e">
        <v>#N/A</v>
      </c>
      <c r="Q235" s="18" t="e">
        <v>#N/A</v>
      </c>
      <c r="R235" s="18" t="e">
        <v>#N/A</v>
      </c>
    </row>
    <row r="236" spans="1:18" x14ac:dyDescent="0.35">
      <c r="A236" t="s">
        <v>1548</v>
      </c>
      <c r="B236" s="18">
        <v>497</v>
      </c>
      <c r="C236" s="18">
        <v>513</v>
      </c>
      <c r="D236" s="36">
        <v>2.8</v>
      </c>
      <c r="E236" s="36">
        <v>2.8</v>
      </c>
      <c r="F236" s="36">
        <v>106.83723802491826</v>
      </c>
      <c r="G236" s="36">
        <v>106.4</v>
      </c>
      <c r="H236" s="36">
        <v>97.8</v>
      </c>
      <c r="I236" s="38">
        <v>1.3960999999999999</v>
      </c>
      <c r="J236" s="36">
        <v>101.9</v>
      </c>
      <c r="K236" s="36">
        <v>104.1</v>
      </c>
      <c r="L236" s="22">
        <v>2.4359999999999999</v>
      </c>
      <c r="M236" s="18" t="e">
        <v>#N/A</v>
      </c>
      <c r="N236" s="18" t="e">
        <v>#N/A</v>
      </c>
      <c r="O236" s="18" t="e">
        <v>#N/A</v>
      </c>
      <c r="P236" s="18" t="e">
        <v>#N/A</v>
      </c>
      <c r="Q236" s="18" t="e">
        <v>#N/A</v>
      </c>
      <c r="R236" s="18" t="e">
        <v>#N/A</v>
      </c>
    </row>
    <row r="237" spans="1:18" x14ac:dyDescent="0.35">
      <c r="A237" t="s">
        <v>1549</v>
      </c>
      <c r="B237" s="18">
        <v>502</v>
      </c>
      <c r="C237" s="18">
        <v>513</v>
      </c>
      <c r="D237" s="36">
        <v>2.7</v>
      </c>
      <c r="E237" s="36">
        <v>2.6</v>
      </c>
      <c r="F237" s="36">
        <v>106.99955703306902</v>
      </c>
      <c r="G237" s="36">
        <v>106.5</v>
      </c>
      <c r="H237" s="36">
        <v>98.8</v>
      </c>
      <c r="I237" s="38">
        <v>1.397</v>
      </c>
      <c r="J237" s="36">
        <v>102.3</v>
      </c>
      <c r="K237" s="36">
        <v>104.3</v>
      </c>
      <c r="L237" s="22">
        <v>2.3559999999999999</v>
      </c>
      <c r="M237" s="18" t="e">
        <v>#N/A</v>
      </c>
      <c r="N237" s="18" t="e">
        <v>#N/A</v>
      </c>
      <c r="O237" s="18" t="e">
        <v>#N/A</v>
      </c>
      <c r="P237" s="18" t="e">
        <v>#N/A</v>
      </c>
      <c r="Q237" s="18" t="e">
        <v>#N/A</v>
      </c>
      <c r="R237" s="18" t="e">
        <v>#N/A</v>
      </c>
    </row>
    <row r="238" spans="1:18" x14ac:dyDescent="0.35">
      <c r="A238" t="s">
        <v>1550</v>
      </c>
      <c r="B238" s="18">
        <v>498</v>
      </c>
      <c r="C238" s="18">
        <v>515</v>
      </c>
      <c r="D238" s="36">
        <v>2.6</v>
      </c>
      <c r="E238" s="36">
        <v>2.6</v>
      </c>
      <c r="F238" s="36">
        <v>107.08649463548537</v>
      </c>
      <c r="G238" s="36">
        <v>107.2</v>
      </c>
      <c r="H238" s="36">
        <v>98.4</v>
      </c>
      <c r="I238" s="38">
        <v>1.4083000000000001</v>
      </c>
      <c r="J238" s="36">
        <v>102.1</v>
      </c>
      <c r="K238" s="36">
        <v>104.5</v>
      </c>
      <c r="L238" s="22">
        <v>2.347</v>
      </c>
      <c r="M238" s="18" t="e">
        <v>#N/A</v>
      </c>
      <c r="N238" s="18" t="e">
        <v>#N/A</v>
      </c>
      <c r="O238" s="18" t="e">
        <v>#N/A</v>
      </c>
      <c r="P238" s="18" t="e">
        <v>#N/A</v>
      </c>
      <c r="Q238" s="18" t="e">
        <v>#N/A</v>
      </c>
      <c r="R238" s="18" t="e">
        <v>#N/A</v>
      </c>
    </row>
    <row r="239" spans="1:18" x14ac:dyDescent="0.35">
      <c r="A239" t="s">
        <v>1551</v>
      </c>
      <c r="B239" s="18">
        <v>500</v>
      </c>
      <c r="C239" s="18">
        <v>516</v>
      </c>
      <c r="D239" s="36">
        <v>2.5</v>
      </c>
      <c r="E239" s="36">
        <v>2.5</v>
      </c>
      <c r="F239" s="36">
        <v>107.52446742812005</v>
      </c>
      <c r="G239" s="36">
        <v>107.6</v>
      </c>
      <c r="H239" s="36">
        <v>98.5</v>
      </c>
      <c r="I239" s="38">
        <v>1.3459000000000001</v>
      </c>
      <c r="J239" s="36">
        <v>101.9</v>
      </c>
      <c r="K239" s="36">
        <v>104.4</v>
      </c>
      <c r="L239" s="22">
        <v>2.194</v>
      </c>
      <c r="M239" s="18" t="e">
        <v>#N/A</v>
      </c>
      <c r="N239" s="18" t="e">
        <v>#N/A</v>
      </c>
      <c r="O239" s="18" t="e">
        <v>#N/A</v>
      </c>
      <c r="P239" s="18" t="e">
        <v>#N/A</v>
      </c>
      <c r="Q239" s="18" t="e">
        <v>#N/A</v>
      </c>
      <c r="R239" s="18" t="e">
        <v>#N/A</v>
      </c>
    </row>
    <row r="240" spans="1:18" x14ac:dyDescent="0.35">
      <c r="A240" t="s">
        <v>1552</v>
      </c>
      <c r="B240" s="18">
        <v>503</v>
      </c>
      <c r="C240" s="18">
        <v>519</v>
      </c>
      <c r="D240" s="36">
        <v>2.1</v>
      </c>
      <c r="E240" s="36">
        <v>2.4</v>
      </c>
      <c r="F240" s="36">
        <v>107.70946242828371</v>
      </c>
      <c r="G240" s="36">
        <v>107.9</v>
      </c>
      <c r="H240" s="36">
        <v>96.8</v>
      </c>
      <c r="I240" s="38">
        <v>1.3288</v>
      </c>
      <c r="J240" s="36">
        <v>101.4</v>
      </c>
      <c r="K240" s="36">
        <v>104.5</v>
      </c>
      <c r="L240" s="22">
        <v>2.2330000000000001</v>
      </c>
      <c r="M240" s="18" t="e">
        <v>#N/A</v>
      </c>
      <c r="N240" s="18" t="e">
        <v>#N/A</v>
      </c>
      <c r="O240" s="18" t="e">
        <v>#N/A</v>
      </c>
      <c r="P240" s="18" t="e">
        <v>#N/A</v>
      </c>
      <c r="Q240" s="18" t="e">
        <v>#N/A</v>
      </c>
      <c r="R240" s="18" t="e">
        <v>#N/A</v>
      </c>
    </row>
    <row r="241" spans="1:18" x14ac:dyDescent="0.35">
      <c r="A241" t="s">
        <v>1553</v>
      </c>
      <c r="B241" s="18">
        <v>505</v>
      </c>
      <c r="C241" s="18">
        <v>521</v>
      </c>
      <c r="D241" s="36">
        <v>2.6</v>
      </c>
      <c r="E241" s="36">
        <v>2.7</v>
      </c>
      <c r="F241" s="36">
        <v>107.98136018062125</v>
      </c>
      <c r="G241" s="36">
        <v>108.5</v>
      </c>
      <c r="H241" s="36">
        <v>95</v>
      </c>
      <c r="I241" s="38">
        <v>1.3169</v>
      </c>
      <c r="J241" s="36">
        <v>101.7</v>
      </c>
      <c r="K241" s="36">
        <v>104.2</v>
      </c>
      <c r="L241" s="22">
        <v>2.2250000000000001</v>
      </c>
      <c r="M241" s="18" t="e">
        <v>#N/A</v>
      </c>
      <c r="N241" s="18" t="e">
        <v>#N/A</v>
      </c>
      <c r="O241" s="18" t="e">
        <v>#N/A</v>
      </c>
      <c r="P241" s="18" t="e">
        <v>#N/A</v>
      </c>
      <c r="Q241" s="18" t="e">
        <v>#N/A</v>
      </c>
      <c r="R241" s="18" t="e">
        <v>#N/A</v>
      </c>
    </row>
    <row r="242" spans="1:18" x14ac:dyDescent="0.35">
      <c r="A242" t="s">
        <v>1554</v>
      </c>
      <c r="B242" s="18">
        <v>508</v>
      </c>
      <c r="C242" s="18">
        <v>523</v>
      </c>
      <c r="D242" s="36">
        <v>2.9</v>
      </c>
      <c r="E242" s="36">
        <v>2.9</v>
      </c>
      <c r="F242" s="36">
        <v>108.40222773460611</v>
      </c>
      <c r="G242" s="36">
        <v>109.2</v>
      </c>
      <c r="H242" s="36">
        <v>95.8</v>
      </c>
      <c r="I242" s="38">
        <v>1.288</v>
      </c>
      <c r="J242" s="36">
        <v>101.9</v>
      </c>
      <c r="K242" s="36">
        <v>104.4</v>
      </c>
      <c r="L242" s="22">
        <v>2.3290000000000002</v>
      </c>
      <c r="M242" s="18" t="e">
        <v>#N/A</v>
      </c>
      <c r="N242" s="18" t="e">
        <v>#N/A</v>
      </c>
      <c r="O242" s="18" t="e">
        <v>#N/A</v>
      </c>
      <c r="P242" s="18" t="e">
        <v>#N/A</v>
      </c>
      <c r="Q242" s="18" t="e">
        <v>#N/A</v>
      </c>
      <c r="R242" s="18" t="e">
        <v>#N/A</v>
      </c>
    </row>
    <row r="243" spans="1:18" x14ac:dyDescent="0.35">
      <c r="A243" t="s">
        <v>1555</v>
      </c>
      <c r="B243" s="18">
        <v>507</v>
      </c>
      <c r="C243" s="18">
        <v>523</v>
      </c>
      <c r="D243" s="36">
        <v>3.2</v>
      </c>
      <c r="E243" s="36">
        <v>3.1</v>
      </c>
      <c r="F243" s="36">
        <v>108.41957877242244</v>
      </c>
      <c r="G243" s="36">
        <v>108.6</v>
      </c>
      <c r="H243" s="36">
        <v>94</v>
      </c>
      <c r="I243" s="38">
        <v>1.3062</v>
      </c>
      <c r="J243" s="36">
        <v>101.7</v>
      </c>
      <c r="K243" s="36">
        <v>105.1</v>
      </c>
      <c r="L243" s="22">
        <v>2.2280000000000002</v>
      </c>
      <c r="M243" s="18" t="e">
        <v>#N/A</v>
      </c>
      <c r="N243" s="18" t="e">
        <v>#N/A</v>
      </c>
      <c r="O243" s="18" t="e">
        <v>#N/A</v>
      </c>
      <c r="P243" s="18" t="e">
        <v>#N/A</v>
      </c>
      <c r="Q243" s="18" t="e">
        <v>#N/A</v>
      </c>
      <c r="R243" s="18" t="e">
        <v>#N/A</v>
      </c>
    </row>
    <row r="244" spans="1:18" x14ac:dyDescent="0.35">
      <c r="A244" t="s">
        <v>1556</v>
      </c>
      <c r="B244" s="18">
        <v>515</v>
      </c>
      <c r="C244" s="18">
        <v>530</v>
      </c>
      <c r="D244" s="36">
        <v>3.6</v>
      </c>
      <c r="E244" s="36">
        <v>3.4</v>
      </c>
      <c r="F244" s="36">
        <v>108.58302322781573</v>
      </c>
      <c r="G244" s="36">
        <v>108.5</v>
      </c>
      <c r="H244" s="36">
        <v>93.2</v>
      </c>
      <c r="I244" s="38">
        <v>1.3011999999999999</v>
      </c>
      <c r="J244" s="36">
        <v>101.5</v>
      </c>
      <c r="K244" s="36">
        <v>104.9</v>
      </c>
      <c r="L244" s="22">
        <v>2.2839999999999998</v>
      </c>
      <c r="M244" s="18" t="e">
        <v>#N/A</v>
      </c>
      <c r="N244" s="18" t="e">
        <v>#N/A</v>
      </c>
      <c r="O244" s="18" t="e">
        <v>#N/A</v>
      </c>
      <c r="P244" s="18" t="e">
        <v>#N/A</v>
      </c>
      <c r="Q244" s="18" t="e">
        <v>#N/A</v>
      </c>
      <c r="R244" s="18" t="e">
        <v>#N/A</v>
      </c>
    </row>
    <row r="245" spans="1:18" x14ac:dyDescent="0.35">
      <c r="A245" t="s">
        <v>1557</v>
      </c>
      <c r="B245" s="18">
        <v>509</v>
      </c>
      <c r="C245" s="18">
        <v>526</v>
      </c>
      <c r="D245" s="36">
        <v>3.5</v>
      </c>
      <c r="E245" s="36">
        <v>3.4</v>
      </c>
      <c r="F245" s="36">
        <v>108.81638297883035</v>
      </c>
      <c r="G245" s="36">
        <v>108.5</v>
      </c>
      <c r="H245" s="36">
        <v>91.9</v>
      </c>
      <c r="I245" s="38">
        <v>1.2901</v>
      </c>
      <c r="J245" s="36">
        <v>101.6</v>
      </c>
      <c r="K245" s="36">
        <v>104.9</v>
      </c>
      <c r="L245" s="22">
        <v>2.4340000000000002</v>
      </c>
      <c r="M245" s="18" t="e">
        <v>#N/A</v>
      </c>
      <c r="N245" s="18" t="e">
        <v>#N/A</v>
      </c>
      <c r="O245" s="18" t="e">
        <v>#N/A</v>
      </c>
      <c r="P245" s="18" t="e">
        <v>#N/A</v>
      </c>
      <c r="Q245" s="18" t="e">
        <v>#N/A</v>
      </c>
      <c r="R245" s="18" t="e">
        <v>#N/A</v>
      </c>
    </row>
    <row r="246" spans="1:18" x14ac:dyDescent="0.35">
      <c r="A246" t="s">
        <v>1558</v>
      </c>
      <c r="B246" s="18">
        <v>512</v>
      </c>
      <c r="C246" s="18">
        <v>528</v>
      </c>
      <c r="D246" s="36">
        <v>3.6</v>
      </c>
      <c r="E246" s="36">
        <v>3.5</v>
      </c>
      <c r="F246" s="36">
        <v>109.18400216743814</v>
      </c>
      <c r="G246" s="36">
        <v>109.2</v>
      </c>
      <c r="H246" s="36">
        <v>92</v>
      </c>
      <c r="I246" s="38">
        <v>1.2662</v>
      </c>
      <c r="J246" s="36">
        <v>102.5</v>
      </c>
      <c r="K246" s="36">
        <v>105.1</v>
      </c>
      <c r="L246" s="22">
        <v>2.4910000000000001</v>
      </c>
      <c r="M246" s="18" t="e">
        <v>#N/A</v>
      </c>
      <c r="N246" s="18" t="e">
        <v>#N/A</v>
      </c>
      <c r="O246" s="18" t="e">
        <v>#N/A</v>
      </c>
      <c r="P246" s="18" t="e">
        <v>#N/A</v>
      </c>
      <c r="Q246" s="18" t="e">
        <v>#N/A</v>
      </c>
      <c r="R246" s="18" t="e">
        <v>#N/A</v>
      </c>
    </row>
    <row r="247" spans="1:18" x14ac:dyDescent="0.35">
      <c r="A247" t="s">
        <v>1559</v>
      </c>
      <c r="B247" s="18">
        <v>513</v>
      </c>
      <c r="C247" s="18">
        <v>530</v>
      </c>
      <c r="D247" s="36">
        <v>3.5</v>
      </c>
      <c r="E247" s="36">
        <v>3.4</v>
      </c>
      <c r="F247" s="36">
        <v>109.37094691702882</v>
      </c>
      <c r="G247" s="36">
        <v>108.8</v>
      </c>
      <c r="H247" s="36">
        <v>93.1</v>
      </c>
      <c r="I247" s="38">
        <v>1.2901</v>
      </c>
      <c r="J247" s="36">
        <v>102.6</v>
      </c>
      <c r="K247" s="36">
        <v>105.2</v>
      </c>
      <c r="L247" s="22">
        <v>2.4710000000000001</v>
      </c>
      <c r="M247" s="18" t="e">
        <v>#N/A</v>
      </c>
      <c r="N247" s="18" t="e">
        <v>#N/A</v>
      </c>
      <c r="O247" s="18" t="e">
        <v>#N/A</v>
      </c>
      <c r="P247" s="18" t="e">
        <v>#N/A</v>
      </c>
      <c r="Q247" s="18" t="e">
        <v>#N/A</v>
      </c>
      <c r="R247" s="18" t="e">
        <v>#N/A</v>
      </c>
    </row>
    <row r="248" spans="1:18" x14ac:dyDescent="0.35">
      <c r="A248" t="s">
        <v>1560</v>
      </c>
      <c r="B248" s="18">
        <v>515</v>
      </c>
      <c r="C248" s="18">
        <v>531</v>
      </c>
      <c r="D248" s="36">
        <v>3.6</v>
      </c>
      <c r="E248" s="36">
        <v>3.5</v>
      </c>
      <c r="F248" s="36">
        <v>109.45979191275536</v>
      </c>
      <c r="G248" s="36">
        <v>109</v>
      </c>
      <c r="H248" s="36">
        <v>93.8</v>
      </c>
      <c r="I248" s="38">
        <v>1.3017000000000001</v>
      </c>
      <c r="J248" s="36">
        <v>103</v>
      </c>
      <c r="K248" s="36">
        <v>105.1</v>
      </c>
      <c r="L248" s="22">
        <v>2.4239999999999999</v>
      </c>
      <c r="M248" s="18" t="e">
        <v>#N/A</v>
      </c>
      <c r="N248" s="18" t="e">
        <v>#N/A</v>
      </c>
      <c r="O248" s="18" t="e">
        <v>#N/A</v>
      </c>
      <c r="P248" s="18" t="e">
        <v>#N/A</v>
      </c>
      <c r="Q248" s="18" t="e">
        <v>#N/A</v>
      </c>
      <c r="R248" s="18" t="e">
        <v>#N/A</v>
      </c>
    </row>
    <row r="249" spans="1:18" x14ac:dyDescent="0.35">
      <c r="A249" t="s">
        <v>1561</v>
      </c>
      <c r="B249" s="18">
        <v>515</v>
      </c>
      <c r="C249" s="18">
        <v>525</v>
      </c>
      <c r="D249" s="36">
        <v>3.4</v>
      </c>
      <c r="E249" s="36">
        <v>3.2</v>
      </c>
      <c r="F249" s="36">
        <v>109.60505734719122</v>
      </c>
      <c r="G249" s="36">
        <v>109.1</v>
      </c>
      <c r="H249" s="36">
        <v>93</v>
      </c>
      <c r="I249" s="38">
        <v>1.3165</v>
      </c>
      <c r="J249" s="36">
        <v>103.1</v>
      </c>
      <c r="K249" s="36">
        <v>105.5</v>
      </c>
      <c r="L249" s="22">
        <v>2.3860000000000001</v>
      </c>
      <c r="M249" s="18" t="e">
        <v>#N/A</v>
      </c>
      <c r="N249" s="18" t="e">
        <v>#N/A</v>
      </c>
      <c r="O249" s="18" t="e">
        <v>#N/A</v>
      </c>
      <c r="P249" s="18" t="e">
        <v>#N/A</v>
      </c>
      <c r="Q249" s="18" t="e">
        <v>#N/A</v>
      </c>
      <c r="R249" s="18" t="e">
        <v>#N/A</v>
      </c>
    </row>
    <row r="250" spans="1:18" x14ac:dyDescent="0.35">
      <c r="A250" t="s">
        <v>1562</v>
      </c>
      <c r="B250" s="18">
        <v>518</v>
      </c>
      <c r="C250" s="18">
        <v>534</v>
      </c>
      <c r="D250" s="36">
        <v>3.4</v>
      </c>
      <c r="E250" s="36">
        <v>3.2</v>
      </c>
      <c r="F250" s="36">
        <v>110.16495821550733</v>
      </c>
      <c r="G250" s="36">
        <v>110.3</v>
      </c>
      <c r="H250" s="36">
        <v>93.5</v>
      </c>
      <c r="I250" s="38">
        <v>1.3036000000000001</v>
      </c>
      <c r="J250" s="36">
        <v>102.8</v>
      </c>
      <c r="K250" s="36">
        <v>105.8</v>
      </c>
      <c r="L250" s="22">
        <v>2.444</v>
      </c>
      <c r="M250" s="18" t="e">
        <v>#N/A</v>
      </c>
      <c r="N250" s="18" t="e">
        <v>#N/A</v>
      </c>
      <c r="O250" s="18" t="e">
        <v>#N/A</v>
      </c>
      <c r="P250" s="18" t="e">
        <v>#N/A</v>
      </c>
      <c r="Q250" s="18" t="e">
        <v>#N/A</v>
      </c>
      <c r="R250" s="18" t="e">
        <v>#N/A</v>
      </c>
    </row>
    <row r="251" spans="1:18" x14ac:dyDescent="0.35">
      <c r="A251" t="s">
        <v>1563</v>
      </c>
      <c r="B251" s="18">
        <v>521</v>
      </c>
      <c r="C251" s="18">
        <v>537</v>
      </c>
      <c r="D251" s="36">
        <v>3.6</v>
      </c>
      <c r="E251" s="36">
        <v>3.4</v>
      </c>
      <c r="F251" s="36">
        <v>110.18732462416953</v>
      </c>
      <c r="G251" s="36">
        <v>110.3</v>
      </c>
      <c r="H251" s="36">
        <v>94.2</v>
      </c>
      <c r="I251" s="38">
        <v>1.2841</v>
      </c>
      <c r="J251" s="36">
        <v>102.9</v>
      </c>
      <c r="K251" s="36">
        <v>106.3</v>
      </c>
      <c r="L251" s="22">
        <v>2.363</v>
      </c>
      <c r="M251" s="18" t="e">
        <v>#N/A</v>
      </c>
      <c r="N251" s="18" t="e">
        <v>#N/A</v>
      </c>
      <c r="O251" s="18" t="e">
        <v>#N/A</v>
      </c>
      <c r="P251" s="18" t="e">
        <v>#N/A</v>
      </c>
      <c r="Q251" s="18" t="e">
        <v>#N/A</v>
      </c>
      <c r="R251" s="18" t="e">
        <v>#N/A</v>
      </c>
    </row>
    <row r="252" spans="1:18" x14ac:dyDescent="0.35">
      <c r="A252" t="s">
        <v>1564</v>
      </c>
      <c r="B252" s="18">
        <v>523</v>
      </c>
      <c r="C252" s="18">
        <v>540</v>
      </c>
      <c r="D252" s="36">
        <v>4.0999999999999996</v>
      </c>
      <c r="E252" s="36">
        <v>3.9</v>
      </c>
      <c r="F252" s="36">
        <v>110.3888557304283</v>
      </c>
      <c r="G252" s="36">
        <v>110.6</v>
      </c>
      <c r="H252" s="36">
        <v>95.4</v>
      </c>
      <c r="I252" s="38">
        <v>1.2679</v>
      </c>
      <c r="J252" s="36">
        <v>103.1</v>
      </c>
      <c r="K252" s="36">
        <v>106.5</v>
      </c>
      <c r="L252" s="22">
        <v>2.3940000000000001</v>
      </c>
      <c r="M252" s="18" t="e">
        <v>#N/A</v>
      </c>
      <c r="N252" s="18" t="e">
        <v>#N/A</v>
      </c>
      <c r="O252" s="18" t="e">
        <v>#N/A</v>
      </c>
      <c r="P252" s="18" t="e">
        <v>#N/A</v>
      </c>
      <c r="Q252" s="18" t="e">
        <v>#N/A</v>
      </c>
      <c r="R252" s="18" t="e">
        <v>#N/A</v>
      </c>
    </row>
    <row r="253" spans="1:18" x14ac:dyDescent="0.35">
      <c r="A253" t="s">
        <v>1565</v>
      </c>
      <c r="B253" s="18">
        <v>526</v>
      </c>
      <c r="C253" s="18">
        <v>542</v>
      </c>
      <c r="D253" s="36">
        <v>4.0999999999999996</v>
      </c>
      <c r="E253" s="36">
        <v>4</v>
      </c>
      <c r="F253" s="36">
        <v>110.69994040123188</v>
      </c>
      <c r="G253" s="36">
        <v>111.2</v>
      </c>
      <c r="H253" s="36">
        <v>95.1</v>
      </c>
      <c r="I253" s="38">
        <v>1.2468999999999999</v>
      </c>
      <c r="J253" s="36">
        <v>103.1</v>
      </c>
      <c r="K253" s="36">
        <v>106.4</v>
      </c>
      <c r="L253" s="22">
        <v>2.1920000000000002</v>
      </c>
      <c r="M253" s="18" t="e">
        <v>#N/A</v>
      </c>
      <c r="N253" s="18" t="e">
        <v>#N/A</v>
      </c>
      <c r="O253" s="18" t="e">
        <v>#N/A</v>
      </c>
      <c r="P253" s="18" t="e">
        <v>#N/A</v>
      </c>
      <c r="Q253" s="18" t="e">
        <v>#N/A</v>
      </c>
      <c r="R253" s="18" t="e">
        <v>#N/A</v>
      </c>
    </row>
    <row r="254" spans="1:18" x14ac:dyDescent="0.35">
      <c r="A254" t="s">
        <v>1566</v>
      </c>
      <c r="B254" s="18">
        <v>525</v>
      </c>
      <c r="C254" s="18">
        <v>541</v>
      </c>
      <c r="D254" s="36">
        <v>3.8</v>
      </c>
      <c r="E254" s="36">
        <v>3.8</v>
      </c>
      <c r="F254" s="36">
        <v>110.93627796603566</v>
      </c>
      <c r="G254" s="36">
        <v>111.7</v>
      </c>
      <c r="H254" s="36">
        <v>93.8</v>
      </c>
      <c r="I254" s="38">
        <v>1.2155</v>
      </c>
      <c r="J254" s="36">
        <v>103.7</v>
      </c>
      <c r="K254" s="36">
        <v>106</v>
      </c>
      <c r="L254" s="22">
        <v>2.1789999999999998</v>
      </c>
      <c r="M254" s="18" t="e">
        <v>#N/A</v>
      </c>
      <c r="N254" s="18" t="e">
        <v>#N/A</v>
      </c>
      <c r="O254" s="18" t="e">
        <v>#N/A</v>
      </c>
      <c r="P254" s="18" t="e">
        <v>#N/A</v>
      </c>
      <c r="Q254" s="18" t="e">
        <v>#N/A</v>
      </c>
      <c r="R254" s="18" t="e">
        <v>#N/A</v>
      </c>
    </row>
    <row r="255" spans="1:18" x14ac:dyDescent="0.35">
      <c r="A255" t="s">
        <v>1567</v>
      </c>
      <c r="B255" s="18">
        <v>527</v>
      </c>
      <c r="C255" s="18">
        <v>544</v>
      </c>
      <c r="D255" s="36">
        <v>3.8</v>
      </c>
      <c r="E255" s="36">
        <v>3.8</v>
      </c>
      <c r="F255" s="36">
        <v>111.12221723659486</v>
      </c>
      <c r="G255" s="36">
        <v>111.3</v>
      </c>
      <c r="H255" s="36">
        <v>93.2</v>
      </c>
      <c r="I255" s="38">
        <v>1.2354000000000001</v>
      </c>
      <c r="J255" s="36">
        <v>103.5</v>
      </c>
      <c r="K255" s="36">
        <v>105.7</v>
      </c>
      <c r="L255" s="22">
        <v>2.2410000000000001</v>
      </c>
      <c r="M255" s="18" t="e">
        <v>#N/A</v>
      </c>
      <c r="N255" s="18" t="e">
        <v>#N/A</v>
      </c>
      <c r="O255" s="18" t="e">
        <v>#N/A</v>
      </c>
      <c r="P255" s="18" t="e">
        <v>#N/A</v>
      </c>
      <c r="Q255" s="18" t="e">
        <v>#N/A</v>
      </c>
      <c r="R255" s="18" t="e">
        <v>#N/A</v>
      </c>
    </row>
    <row r="256" spans="1:18" x14ac:dyDescent="0.35">
      <c r="A256" t="s">
        <v>1568</v>
      </c>
      <c r="B256" s="18">
        <v>526</v>
      </c>
      <c r="C256" s="18">
        <v>543</v>
      </c>
      <c r="D256" s="36">
        <v>3.1</v>
      </c>
      <c r="E256" s="36">
        <v>3.3</v>
      </c>
      <c r="F256" s="36">
        <v>111.31576170369915</v>
      </c>
      <c r="G256" s="36">
        <v>111.3</v>
      </c>
      <c r="H256" s="36">
        <v>95</v>
      </c>
      <c r="I256" s="38">
        <v>1.2646999999999999</v>
      </c>
      <c r="J256" s="36">
        <v>102.8</v>
      </c>
      <c r="K256" s="36">
        <v>105.7</v>
      </c>
      <c r="L256" s="22">
        <v>2.2799999999999998</v>
      </c>
      <c r="M256" s="18" t="e">
        <v>#N/A</v>
      </c>
      <c r="N256" s="18" t="e">
        <v>#N/A</v>
      </c>
      <c r="O256" s="18" t="e">
        <v>#N/A</v>
      </c>
      <c r="P256" s="18" t="e">
        <v>#N/A</v>
      </c>
      <c r="Q256" s="18" t="e">
        <v>#N/A</v>
      </c>
      <c r="R256" s="18" t="e">
        <v>#N/A</v>
      </c>
    </row>
    <row r="257" spans="1:18" x14ac:dyDescent="0.35">
      <c r="A257" t="s">
        <v>1569</v>
      </c>
      <c r="B257" s="18">
        <v>526</v>
      </c>
      <c r="C257" s="18">
        <v>542</v>
      </c>
      <c r="D257" s="36">
        <v>3.1</v>
      </c>
      <c r="E257" s="36">
        <v>3.2</v>
      </c>
      <c r="F257" s="36">
        <v>111.4787260972067</v>
      </c>
      <c r="G257" s="36">
        <v>111.2</v>
      </c>
      <c r="H257" s="36">
        <v>98.2</v>
      </c>
      <c r="I257" s="38">
        <v>1.2883</v>
      </c>
      <c r="J257" s="36">
        <v>103.7</v>
      </c>
      <c r="K257" s="36">
        <v>105.4</v>
      </c>
      <c r="L257" s="22">
        <v>2.2370000000000001</v>
      </c>
      <c r="M257" s="18" t="e">
        <v>#N/A</v>
      </c>
      <c r="N257" s="18" t="e">
        <v>#N/A</v>
      </c>
      <c r="O257" s="18" t="e">
        <v>#N/A</v>
      </c>
      <c r="P257" s="18" t="e">
        <v>#N/A</v>
      </c>
      <c r="Q257" s="18" t="e">
        <v>#N/A</v>
      </c>
      <c r="R257" s="18" t="e">
        <v>#N/A</v>
      </c>
    </row>
    <row r="258" spans="1:18" x14ac:dyDescent="0.35">
      <c r="A258" t="s">
        <v>1570</v>
      </c>
      <c r="B258" s="18">
        <v>525</v>
      </c>
      <c r="C258" s="18">
        <v>542</v>
      </c>
      <c r="D258" s="36">
        <v>2.7</v>
      </c>
      <c r="E258" s="36">
        <v>2.7</v>
      </c>
      <c r="F258" s="36">
        <v>111.55222804818594</v>
      </c>
      <c r="G258" s="36">
        <v>111.5</v>
      </c>
      <c r="H258" s="36">
        <v>100.8</v>
      </c>
      <c r="I258" s="38">
        <v>1.3108</v>
      </c>
      <c r="J258" s="36">
        <v>104.3</v>
      </c>
      <c r="K258" s="36">
        <v>105.8</v>
      </c>
      <c r="L258" s="22">
        <v>2.246</v>
      </c>
      <c r="M258" s="18" t="e">
        <v>#N/A</v>
      </c>
      <c r="N258" s="18" t="e">
        <v>#N/A</v>
      </c>
      <c r="O258" s="18" t="e">
        <v>#N/A</v>
      </c>
      <c r="P258" s="18" t="e">
        <v>#N/A</v>
      </c>
      <c r="Q258" s="18" t="e">
        <v>#N/A</v>
      </c>
      <c r="R258" s="18" t="e">
        <v>#N/A</v>
      </c>
    </row>
    <row r="259" spans="1:18" x14ac:dyDescent="0.35">
      <c r="A259" t="s">
        <v>1571</v>
      </c>
      <c r="B259" s="18">
        <v>530</v>
      </c>
      <c r="C259" s="18">
        <v>546</v>
      </c>
      <c r="D259" s="36">
        <v>3</v>
      </c>
      <c r="E259" s="36">
        <v>2.9</v>
      </c>
      <c r="F259" s="36">
        <v>111.8836585836877</v>
      </c>
      <c r="G259" s="36">
        <v>111.3</v>
      </c>
      <c r="H259" s="36">
        <v>102.5</v>
      </c>
      <c r="I259" s="38">
        <v>1.3070999999999999</v>
      </c>
      <c r="J259" s="36">
        <v>104.1</v>
      </c>
      <c r="K259" s="36">
        <v>106.2</v>
      </c>
      <c r="L259" s="22">
        <v>2.214</v>
      </c>
      <c r="M259" s="18" t="e">
        <v>#N/A</v>
      </c>
      <c r="N259" s="18" t="e">
        <v>#N/A</v>
      </c>
      <c r="O259" s="18" t="e">
        <v>#N/A</v>
      </c>
      <c r="P259" s="18" t="e">
        <v>#N/A</v>
      </c>
      <c r="Q259" s="18" t="e">
        <v>#N/A</v>
      </c>
      <c r="R259" s="18" t="e">
        <v>#N/A</v>
      </c>
    </row>
    <row r="260" spans="1:18" x14ac:dyDescent="0.35">
      <c r="A260" t="s">
        <v>1572</v>
      </c>
      <c r="B260" s="18">
        <v>530</v>
      </c>
      <c r="C260" s="18">
        <v>546</v>
      </c>
      <c r="D260" s="36">
        <v>2.9</v>
      </c>
      <c r="E260" s="36">
        <v>2.8</v>
      </c>
      <c r="F260" s="36">
        <v>112.22197553753611</v>
      </c>
      <c r="G260" s="36">
        <v>111.7</v>
      </c>
      <c r="H260" s="36">
        <v>99.6</v>
      </c>
      <c r="I260" s="38">
        <v>1.2957000000000001</v>
      </c>
      <c r="J260" s="36">
        <v>104.3</v>
      </c>
      <c r="K260" s="36">
        <v>106.4</v>
      </c>
      <c r="L260" s="22">
        <v>2.1949999999999998</v>
      </c>
      <c r="M260" s="18" t="e">
        <v>#N/A</v>
      </c>
      <c r="N260" s="18" t="e">
        <v>#N/A</v>
      </c>
      <c r="O260" s="18" t="e">
        <v>#N/A</v>
      </c>
      <c r="P260" s="18" t="e">
        <v>#N/A</v>
      </c>
      <c r="Q260" s="18" t="e">
        <v>#N/A</v>
      </c>
      <c r="R260" s="18" t="e">
        <v>#N/A</v>
      </c>
    </row>
    <row r="261" spans="1:18" x14ac:dyDescent="0.35">
      <c r="A261" t="s">
        <v>1573</v>
      </c>
      <c r="B261" s="18">
        <v>522</v>
      </c>
      <c r="C261" s="18">
        <v>529</v>
      </c>
      <c r="D261" s="36">
        <v>2.5</v>
      </c>
      <c r="E261" s="36">
        <v>2.2000000000000002</v>
      </c>
      <c r="F261" s="36">
        <v>112.43181515999269</v>
      </c>
      <c r="G261" s="36">
        <v>111.9</v>
      </c>
      <c r="H261" s="36">
        <v>95.2</v>
      </c>
      <c r="I261" s="38">
        <v>1.2363999999999999</v>
      </c>
      <c r="J261" s="36">
        <v>104.5</v>
      </c>
      <c r="K261" s="36">
        <v>106.9</v>
      </c>
      <c r="L261" s="22">
        <v>1.9370000000000001</v>
      </c>
      <c r="M261" s="18" t="e">
        <v>#N/A</v>
      </c>
      <c r="N261" s="18" t="e">
        <v>#N/A</v>
      </c>
      <c r="O261" s="18" t="e">
        <v>#N/A</v>
      </c>
      <c r="P261" s="18" t="e">
        <v>#N/A</v>
      </c>
      <c r="Q261" s="18" t="e">
        <v>#N/A</v>
      </c>
      <c r="R261" s="18" t="e">
        <v>#N/A</v>
      </c>
    </row>
    <row r="262" spans="1:18" x14ac:dyDescent="0.35">
      <c r="A262" t="s">
        <v>1574</v>
      </c>
      <c r="B262" s="18">
        <v>518</v>
      </c>
      <c r="C262" s="18">
        <v>529</v>
      </c>
      <c r="D262" s="36">
        <v>1.4</v>
      </c>
      <c r="E262" s="36">
        <v>0.9</v>
      </c>
      <c r="F262" s="36">
        <v>112.33581758585989</v>
      </c>
      <c r="G262" s="36">
        <v>112.5</v>
      </c>
      <c r="H262" s="36">
        <v>92.4</v>
      </c>
      <c r="I262" s="38">
        <v>1.2410000000000001</v>
      </c>
      <c r="J262" s="36">
        <v>104.2</v>
      </c>
      <c r="K262" s="36">
        <v>106.7</v>
      </c>
      <c r="L262" s="22">
        <v>1.635</v>
      </c>
      <c r="M262" s="18" t="e">
        <v>#N/A</v>
      </c>
      <c r="N262" s="18" t="e">
        <v>#N/A</v>
      </c>
      <c r="O262" s="18" t="e">
        <v>#N/A</v>
      </c>
      <c r="P262" s="18" t="e">
        <v>#N/A</v>
      </c>
      <c r="Q262" s="18" t="e">
        <v>#N/A</v>
      </c>
      <c r="R262" s="18" t="e">
        <v>#N/A</v>
      </c>
    </row>
    <row r="263" spans="1:18" x14ac:dyDescent="0.35">
      <c r="A263" t="s">
        <v>1575</v>
      </c>
      <c r="B263" s="18">
        <v>520</v>
      </c>
      <c r="C263" s="18">
        <v>532</v>
      </c>
      <c r="D263" s="36">
        <v>0.4</v>
      </c>
      <c r="E263" s="36">
        <v>-0.4</v>
      </c>
      <c r="F263" s="36">
        <v>112.33726909971872</v>
      </c>
      <c r="G263" s="36">
        <v>112.5</v>
      </c>
      <c r="H263" s="36">
        <v>91.2</v>
      </c>
      <c r="I263" s="38">
        <v>1.23</v>
      </c>
      <c r="J263" s="36">
        <v>104.8</v>
      </c>
      <c r="K263" s="36">
        <v>106.6</v>
      </c>
      <c r="L263" s="22">
        <v>1.4</v>
      </c>
      <c r="M263" s="18" t="e">
        <v>#N/A</v>
      </c>
      <c r="N263" s="18" t="e">
        <v>#N/A</v>
      </c>
      <c r="O263" s="18" t="e">
        <v>#N/A</v>
      </c>
      <c r="P263" s="18" t="e">
        <v>#N/A</v>
      </c>
      <c r="Q263" s="18" t="e">
        <v>#N/A</v>
      </c>
      <c r="R263" s="18" t="e">
        <v>#N/A</v>
      </c>
    </row>
    <row r="264" spans="1:18" x14ac:dyDescent="0.35">
      <c r="A264" t="s">
        <v>1576</v>
      </c>
      <c r="B264" s="18">
        <v>519</v>
      </c>
      <c r="C264" s="18">
        <v>532</v>
      </c>
      <c r="D264" s="36">
        <v>-0.3</v>
      </c>
      <c r="E264" s="36">
        <v>-1.1000000000000001</v>
      </c>
      <c r="F264" s="36">
        <v>112.35345178823661</v>
      </c>
      <c r="G264" s="36">
        <v>112.6</v>
      </c>
      <c r="H264" s="36">
        <v>93.1</v>
      </c>
      <c r="I264" s="38">
        <v>1.2525999999999999</v>
      </c>
      <c r="J264" s="36">
        <v>104.2</v>
      </c>
      <c r="K264" s="36">
        <v>106.7</v>
      </c>
      <c r="L264" s="22">
        <v>1.3440000000000001</v>
      </c>
      <c r="M264" s="18" t="e">
        <v>#N/A</v>
      </c>
      <c r="N264" s="18" t="e">
        <v>#N/A</v>
      </c>
      <c r="O264" s="18" t="e">
        <v>#N/A</v>
      </c>
      <c r="P264" s="18" t="e">
        <v>#N/A</v>
      </c>
      <c r="Q264" s="18" t="e">
        <v>#N/A</v>
      </c>
      <c r="R264" s="18" t="e">
        <v>#N/A</v>
      </c>
    </row>
    <row r="265" spans="1:18" x14ac:dyDescent="0.35">
      <c r="A265" t="s">
        <v>1577</v>
      </c>
      <c r="B265" s="18">
        <v>527</v>
      </c>
      <c r="C265" s="18">
        <v>541</v>
      </c>
      <c r="D265" s="36">
        <v>-0.2</v>
      </c>
      <c r="E265" s="36">
        <v>-0.9</v>
      </c>
      <c r="F265" s="36">
        <v>113.00262886065474</v>
      </c>
      <c r="G265" s="36">
        <v>113.5</v>
      </c>
      <c r="H265" s="36">
        <v>93.8</v>
      </c>
      <c r="I265" s="38">
        <v>1.2690999999999999</v>
      </c>
      <c r="J265" s="36">
        <v>103.9</v>
      </c>
      <c r="K265" s="36">
        <v>106.7</v>
      </c>
      <c r="L265" s="22">
        <v>1.494</v>
      </c>
      <c r="M265" s="18" t="e">
        <v>#N/A</v>
      </c>
      <c r="N265" s="18" t="e">
        <v>#N/A</v>
      </c>
      <c r="O265" s="18" t="e">
        <v>#N/A</v>
      </c>
      <c r="P265" s="18" t="e">
        <v>#N/A</v>
      </c>
      <c r="Q265" s="18" t="e">
        <v>#N/A</v>
      </c>
      <c r="R265" s="18" t="e">
        <v>#N/A</v>
      </c>
    </row>
    <row r="266" spans="1:18" x14ac:dyDescent="0.35">
      <c r="A266" t="s">
        <v>1578</v>
      </c>
      <c r="B266" s="18">
        <v>539</v>
      </c>
      <c r="C266" s="18">
        <v>552</v>
      </c>
      <c r="D266" s="36">
        <v>0.7</v>
      </c>
      <c r="E266" s="36">
        <v>0.2</v>
      </c>
      <c r="F266" s="36">
        <v>111.70789797671172</v>
      </c>
      <c r="G266" s="36">
        <v>112.4</v>
      </c>
      <c r="H266" s="36">
        <v>95.7</v>
      </c>
      <c r="I266" s="38">
        <v>1.3126</v>
      </c>
      <c r="J266" s="36">
        <v>104.1</v>
      </c>
      <c r="K266" s="36">
        <v>106.8</v>
      </c>
      <c r="L266" s="22">
        <v>1.7509999999999999</v>
      </c>
      <c r="M266" s="18" t="e">
        <v>#N/A</v>
      </c>
      <c r="N266" s="18" t="e">
        <v>#N/A</v>
      </c>
      <c r="O266" s="18" t="e">
        <v>#N/A</v>
      </c>
      <c r="P266" s="18" t="e">
        <v>#N/A</v>
      </c>
      <c r="Q266" s="18" t="e">
        <v>#N/A</v>
      </c>
      <c r="R266" s="18" t="e">
        <v>#N/A</v>
      </c>
    </row>
    <row r="267" spans="1:18" x14ac:dyDescent="0.35">
      <c r="A267" t="s">
        <v>1579</v>
      </c>
      <c r="B267" s="18">
        <v>545</v>
      </c>
      <c r="C267" s="18">
        <v>558</v>
      </c>
      <c r="D267" s="36">
        <v>2.1</v>
      </c>
      <c r="E267" s="36">
        <v>1.5</v>
      </c>
      <c r="F267" s="36">
        <v>112.71717264697014</v>
      </c>
      <c r="G267" s="36">
        <v>112.9</v>
      </c>
      <c r="H267" s="36">
        <v>97.9</v>
      </c>
      <c r="I267" s="38">
        <v>1.2956000000000001</v>
      </c>
      <c r="J267" s="36">
        <v>103.4</v>
      </c>
      <c r="K267" s="36">
        <v>107</v>
      </c>
      <c r="L267" s="22">
        <v>1.891</v>
      </c>
      <c r="M267" s="18" t="e">
        <v>#N/A</v>
      </c>
      <c r="N267" s="18" t="e">
        <v>#N/A</v>
      </c>
      <c r="O267" s="18" t="e">
        <v>#N/A</v>
      </c>
      <c r="P267" s="18" t="e">
        <v>#N/A</v>
      </c>
      <c r="Q267" s="18" t="e">
        <v>#N/A</v>
      </c>
      <c r="R267" s="18" t="e">
        <v>#N/A</v>
      </c>
    </row>
    <row r="268" spans="1:18" x14ac:dyDescent="0.35">
      <c r="A268" t="s">
        <v>1580</v>
      </c>
      <c r="B268" s="18">
        <v>550</v>
      </c>
      <c r="C268" s="18">
        <v>563</v>
      </c>
      <c r="D268" s="36">
        <v>3.5</v>
      </c>
      <c r="E268" s="36">
        <v>2.8</v>
      </c>
      <c r="F268" s="36">
        <v>112.71304798559348</v>
      </c>
      <c r="G268" s="36">
        <v>112.8</v>
      </c>
      <c r="H268" s="36">
        <v>101.3</v>
      </c>
      <c r="I268" s="38">
        <v>1.2985</v>
      </c>
      <c r="J268" s="36">
        <v>103.4</v>
      </c>
      <c r="K268" s="36">
        <v>106.7</v>
      </c>
      <c r="L268" s="22">
        <v>2.1219999999999999</v>
      </c>
      <c r="M268" s="18" t="e">
        <v>#N/A</v>
      </c>
      <c r="N268" s="18" t="e">
        <v>#N/A</v>
      </c>
      <c r="O268" s="18" t="e">
        <v>#N/A</v>
      </c>
      <c r="P268" s="18" t="e">
        <v>#N/A</v>
      </c>
      <c r="Q268" s="18" t="e">
        <v>#N/A</v>
      </c>
      <c r="R268" s="18" t="e">
        <v>#N/A</v>
      </c>
    </row>
    <row r="269" spans="1:18" x14ac:dyDescent="0.35">
      <c r="A269" t="s">
        <v>1581</v>
      </c>
      <c r="B269" s="18">
        <v>554</v>
      </c>
      <c r="C269" s="18">
        <v>568</v>
      </c>
      <c r="D269" s="36">
        <v>4.4000000000000004</v>
      </c>
      <c r="E269" s="36">
        <v>3.7</v>
      </c>
      <c r="F269" s="36">
        <v>113.03745203459408</v>
      </c>
      <c r="G269" s="36">
        <v>112.8</v>
      </c>
      <c r="H269" s="36">
        <v>105.5</v>
      </c>
      <c r="I269" s="38">
        <v>1.3207</v>
      </c>
      <c r="J269" s="36">
        <v>103.1</v>
      </c>
      <c r="K269" s="36">
        <v>107.3</v>
      </c>
      <c r="L269" s="22">
        <v>2.0990000000000002</v>
      </c>
      <c r="M269" s="18" t="e">
        <v>#N/A</v>
      </c>
      <c r="N269" s="18" t="e">
        <v>#N/A</v>
      </c>
      <c r="O269" s="18" t="e">
        <v>#N/A</v>
      </c>
      <c r="P269" s="18" t="e">
        <v>#N/A</v>
      </c>
      <c r="Q269" s="18" t="e">
        <v>#N/A</v>
      </c>
      <c r="R269" s="18" t="e">
        <v>#N/A</v>
      </c>
    </row>
    <row r="270" spans="1:18" x14ac:dyDescent="0.35">
      <c r="A270" t="s">
        <v>1582</v>
      </c>
      <c r="B270" s="18">
        <v>556</v>
      </c>
      <c r="C270" s="18">
        <v>570</v>
      </c>
      <c r="D270" s="36">
        <v>5.2</v>
      </c>
      <c r="E270" s="36">
        <v>4.5999999999999996</v>
      </c>
      <c r="F270" s="36">
        <v>113.20191269863993</v>
      </c>
      <c r="G270" s="36">
        <v>113.1</v>
      </c>
      <c r="H270" s="36">
        <v>108.5</v>
      </c>
      <c r="I270" s="38">
        <v>1.3431999999999999</v>
      </c>
      <c r="J270" s="36">
        <v>102.8</v>
      </c>
      <c r="K270" s="36">
        <v>107.3</v>
      </c>
      <c r="L270" s="22">
        <v>2.383</v>
      </c>
      <c r="M270" s="18" t="e">
        <v>#N/A</v>
      </c>
      <c r="N270" s="18" t="e">
        <v>#N/A</v>
      </c>
      <c r="O270" s="18" t="e">
        <v>#N/A</v>
      </c>
      <c r="P270" s="18" t="e">
        <v>#N/A</v>
      </c>
      <c r="Q270" s="18" t="e">
        <v>#N/A</v>
      </c>
      <c r="R270" s="18" t="e">
        <v>#N/A</v>
      </c>
    </row>
    <row r="271" spans="1:18" x14ac:dyDescent="0.35">
      <c r="A271" t="s">
        <v>1583</v>
      </c>
      <c r="B271" s="18">
        <v>556</v>
      </c>
      <c r="C271" s="18">
        <v>570</v>
      </c>
      <c r="D271" s="36">
        <v>5.4</v>
      </c>
      <c r="E271" s="36">
        <v>4.8</v>
      </c>
      <c r="F271" s="36">
        <v>113.82827973023311</v>
      </c>
      <c r="G271" s="36">
        <v>113.2</v>
      </c>
      <c r="H271" s="36">
        <v>113.5</v>
      </c>
      <c r="I271" s="38">
        <v>1.3633</v>
      </c>
      <c r="J271" s="36">
        <v>103.4</v>
      </c>
      <c r="K271" s="36">
        <v>107.8</v>
      </c>
      <c r="L271" s="22">
        <v>2.4380000000000002</v>
      </c>
      <c r="M271" s="18" t="e">
        <v>#N/A</v>
      </c>
      <c r="N271" s="18" t="e">
        <v>#N/A</v>
      </c>
      <c r="O271" s="18" t="e">
        <v>#N/A</v>
      </c>
      <c r="P271" s="18" t="e">
        <v>#N/A</v>
      </c>
      <c r="Q271" s="18" t="e">
        <v>#N/A</v>
      </c>
      <c r="R271" s="18" t="e">
        <v>#N/A</v>
      </c>
    </row>
    <row r="272" spans="1:18" x14ac:dyDescent="0.35">
      <c r="A272" t="s">
        <v>1584</v>
      </c>
      <c r="B272" s="18">
        <v>554</v>
      </c>
      <c r="C272" s="18">
        <v>567</v>
      </c>
      <c r="D272" s="36">
        <v>5.0999999999999996</v>
      </c>
      <c r="E272" s="36">
        <v>4.5</v>
      </c>
      <c r="F272" s="36">
        <v>114.02899054785345</v>
      </c>
      <c r="G272" s="36">
        <v>113.4</v>
      </c>
      <c r="H272" s="36">
        <v>116.5</v>
      </c>
      <c r="I272" s="38">
        <v>1.387</v>
      </c>
      <c r="J272" s="36">
        <v>103.6</v>
      </c>
      <c r="K272" s="36">
        <v>108.4</v>
      </c>
      <c r="L272" s="22">
        <v>2.6469999999999998</v>
      </c>
      <c r="M272" s="18" t="e">
        <v>#N/A</v>
      </c>
      <c r="N272" s="18" t="e">
        <v>#N/A</v>
      </c>
      <c r="O272" s="18" t="e">
        <v>#N/A</v>
      </c>
      <c r="P272" s="18" t="e">
        <v>#N/A</v>
      </c>
      <c r="Q272" s="18" t="e">
        <v>#N/A</v>
      </c>
      <c r="R272" s="18" t="e">
        <v>#N/A</v>
      </c>
    </row>
    <row r="273" spans="1:18" x14ac:dyDescent="0.35">
      <c r="A273" t="s">
        <v>1585</v>
      </c>
      <c r="B273" s="18">
        <v>548</v>
      </c>
      <c r="C273" s="18">
        <v>552</v>
      </c>
      <c r="D273" s="36">
        <v>4.8</v>
      </c>
      <c r="E273" s="36">
        <v>4.2</v>
      </c>
      <c r="F273" s="36">
        <v>114.18350005622497</v>
      </c>
      <c r="G273" s="36">
        <v>113.6</v>
      </c>
      <c r="H273" s="36">
        <v>119.1</v>
      </c>
      <c r="I273" s="38">
        <v>1.3858999999999999</v>
      </c>
      <c r="J273" s="36">
        <v>103</v>
      </c>
      <c r="K273" s="36">
        <v>108.8</v>
      </c>
      <c r="L273" s="22">
        <v>2.7360000000000002</v>
      </c>
      <c r="M273" s="18" t="e">
        <v>#N/A</v>
      </c>
      <c r="N273" s="18" t="e">
        <v>#N/A</v>
      </c>
      <c r="O273" s="18" t="e">
        <v>#N/A</v>
      </c>
      <c r="P273" s="18" t="e">
        <v>#N/A</v>
      </c>
      <c r="Q273" s="18" t="e">
        <v>#N/A</v>
      </c>
      <c r="R273" s="18" t="e">
        <v>#N/A</v>
      </c>
    </row>
    <row r="274" spans="1:18" x14ac:dyDescent="0.35">
      <c r="A274" t="s">
        <v>1586</v>
      </c>
      <c r="B274" s="18">
        <v>562</v>
      </c>
      <c r="C274" s="18">
        <v>576</v>
      </c>
      <c r="D274" s="36">
        <v>6</v>
      </c>
      <c r="E274" s="36">
        <v>5.6</v>
      </c>
      <c r="F274" s="36">
        <v>114.09956668938329</v>
      </c>
      <c r="G274" s="36">
        <v>114.3</v>
      </c>
      <c r="H274" s="36">
        <v>122.1</v>
      </c>
      <c r="I274" s="38">
        <v>1.3842000000000001</v>
      </c>
      <c r="J274" s="36">
        <v>103.8</v>
      </c>
      <c r="K274" s="36">
        <v>108.9</v>
      </c>
      <c r="L274" s="22">
        <v>2.944</v>
      </c>
      <c r="M274" s="18" t="e">
        <v>#N/A</v>
      </c>
      <c r="N274" s="18" t="e">
        <v>#N/A</v>
      </c>
      <c r="O274" s="18" t="e">
        <v>#N/A</v>
      </c>
      <c r="P274" s="18" t="e">
        <v>#N/A</v>
      </c>
      <c r="Q274" s="18" t="e">
        <v>#N/A</v>
      </c>
      <c r="R274" s="18" t="e">
        <v>#N/A</v>
      </c>
    </row>
    <row r="275" spans="1:18" x14ac:dyDescent="0.35">
      <c r="A275" t="s">
        <v>1587</v>
      </c>
      <c r="B275" s="18">
        <v>570</v>
      </c>
      <c r="C275" s="18">
        <v>581</v>
      </c>
      <c r="D275" s="36">
        <v>7.7</v>
      </c>
      <c r="E275" s="36">
        <v>7.5</v>
      </c>
      <c r="F275" s="36">
        <v>114.37508961499015</v>
      </c>
      <c r="G275" s="36">
        <v>114.6</v>
      </c>
      <c r="H275" s="36">
        <v>128.4</v>
      </c>
      <c r="I275" s="38">
        <v>1.4091</v>
      </c>
      <c r="J275" s="36">
        <v>103.5</v>
      </c>
      <c r="K275" s="36">
        <v>109.3</v>
      </c>
      <c r="L275" s="22">
        <v>3.1850000000000001</v>
      </c>
      <c r="M275" s="18" t="e">
        <v>#N/A</v>
      </c>
      <c r="N275" s="18" t="e">
        <v>#N/A</v>
      </c>
      <c r="O275" s="18" t="e">
        <v>#N/A</v>
      </c>
      <c r="P275" s="18" t="e">
        <v>#N/A</v>
      </c>
      <c r="Q275" s="18" t="e">
        <v>#N/A</v>
      </c>
      <c r="R275" s="18" t="e">
        <v>#N/A</v>
      </c>
    </row>
    <row r="276" spans="1:18" x14ac:dyDescent="0.35">
      <c r="A276" t="s">
        <v>1588</v>
      </c>
      <c r="B276" s="18">
        <v>562</v>
      </c>
      <c r="C276" s="18">
        <v>577</v>
      </c>
      <c r="D276" s="36">
        <v>8.8000000000000007</v>
      </c>
      <c r="E276" s="36">
        <v>8.9</v>
      </c>
      <c r="F276" s="36">
        <v>114.69492032955688</v>
      </c>
      <c r="G276" s="36">
        <v>115</v>
      </c>
      <c r="H276" s="36">
        <v>125.4</v>
      </c>
      <c r="I276" s="38">
        <v>1.4027000000000001</v>
      </c>
      <c r="J276" s="36">
        <v>103.6</v>
      </c>
      <c r="K276" s="36">
        <v>109.7</v>
      </c>
      <c r="L276" s="22">
        <v>3.28</v>
      </c>
      <c r="M276" s="18" t="e">
        <v>#N/A</v>
      </c>
      <c r="N276" s="18" t="e">
        <v>#N/A</v>
      </c>
      <c r="O276" s="18" t="e">
        <v>#N/A</v>
      </c>
      <c r="P276" s="18" t="e">
        <v>#N/A</v>
      </c>
      <c r="Q276" s="18" t="e">
        <v>#N/A</v>
      </c>
      <c r="R276" s="18" t="e">
        <v>#N/A</v>
      </c>
    </row>
    <row r="277" spans="1:18" x14ac:dyDescent="0.35">
      <c r="A277" t="s">
        <v>1589</v>
      </c>
      <c r="B277" s="18">
        <v>567</v>
      </c>
      <c r="C277" s="18">
        <v>581</v>
      </c>
      <c r="D277" s="36">
        <v>8.5</v>
      </c>
      <c r="E277" s="36">
        <v>8.4</v>
      </c>
      <c r="F277" s="36">
        <v>114.7773839502496</v>
      </c>
      <c r="G277" s="36">
        <v>115.3</v>
      </c>
      <c r="H277" s="36">
        <v>124.4</v>
      </c>
      <c r="I277" s="38">
        <v>1.3807</v>
      </c>
      <c r="J277" s="36">
        <v>103.3</v>
      </c>
      <c r="K277" s="36">
        <v>109.8</v>
      </c>
      <c r="L277" s="22">
        <v>3.21</v>
      </c>
      <c r="M277" s="18" t="e">
        <v>#N/A</v>
      </c>
      <c r="N277" s="18" t="e">
        <v>#N/A</v>
      </c>
      <c r="O277" s="18" t="e">
        <v>#N/A</v>
      </c>
      <c r="P277" s="18" t="e">
        <v>#N/A</v>
      </c>
      <c r="Q277" s="18" t="e">
        <v>#N/A</v>
      </c>
      <c r="R277" s="18" t="e">
        <v>#N/A</v>
      </c>
    </row>
    <row r="278" spans="1:18" x14ac:dyDescent="0.35">
      <c r="A278" t="s">
        <v>1590</v>
      </c>
      <c r="B278" s="18">
        <v>571</v>
      </c>
      <c r="C278" s="18">
        <v>584</v>
      </c>
      <c r="D278" s="36">
        <v>7.3</v>
      </c>
      <c r="E278" s="36">
        <v>7.2</v>
      </c>
      <c r="F278" s="36">
        <v>115.14061249917677</v>
      </c>
      <c r="G278" s="36">
        <v>115.8</v>
      </c>
      <c r="H278" s="36">
        <v>128</v>
      </c>
      <c r="I278" s="38">
        <v>1.3798999999999999</v>
      </c>
      <c r="J278" s="36">
        <v>104.4</v>
      </c>
      <c r="K278" s="36">
        <v>109.9</v>
      </c>
      <c r="L278" s="22">
        <v>3.14</v>
      </c>
      <c r="M278" s="18" t="e">
        <v>#N/A</v>
      </c>
      <c r="N278" s="18" t="e">
        <v>#N/A</v>
      </c>
      <c r="O278" s="18" t="e">
        <v>#N/A</v>
      </c>
      <c r="P278" s="18" t="e">
        <v>#N/A</v>
      </c>
      <c r="Q278" s="18" t="e">
        <v>#N/A</v>
      </c>
      <c r="R278" s="18" t="e">
        <v>#N/A</v>
      </c>
    </row>
    <row r="279" spans="1:18" x14ac:dyDescent="0.35">
      <c r="A279" t="s">
        <v>1591</v>
      </c>
      <c r="B279" s="18">
        <v>573</v>
      </c>
      <c r="C279" s="18">
        <v>586</v>
      </c>
      <c r="D279" s="36">
        <v>6.2</v>
      </c>
      <c r="E279" s="36">
        <v>5.9</v>
      </c>
      <c r="F279" s="36">
        <v>115.60897042308333</v>
      </c>
      <c r="G279" s="36">
        <v>115.8</v>
      </c>
      <c r="H279" s="36">
        <v>129.1</v>
      </c>
      <c r="I279" s="38">
        <v>1.3733</v>
      </c>
      <c r="J279" s="36">
        <v>104.2</v>
      </c>
      <c r="K279" s="36">
        <v>110.3</v>
      </c>
      <c r="L279" s="22">
        <v>3.42</v>
      </c>
      <c r="M279" s="18" t="e">
        <v>#N/A</v>
      </c>
      <c r="N279" s="18" t="e">
        <v>#N/A</v>
      </c>
      <c r="O279" s="18" t="e">
        <v>#N/A</v>
      </c>
      <c r="P279" s="18" t="e">
        <v>#N/A</v>
      </c>
      <c r="Q279" s="18" t="e">
        <v>#N/A</v>
      </c>
      <c r="R279" s="18" t="e">
        <v>#N/A</v>
      </c>
    </row>
    <row r="280" spans="1:18" x14ac:dyDescent="0.35">
      <c r="A280" t="s">
        <v>1592</v>
      </c>
      <c r="B280" s="18">
        <v>576</v>
      </c>
      <c r="C280" s="18">
        <v>588</v>
      </c>
      <c r="D280" s="36">
        <v>5.2</v>
      </c>
      <c r="E280" s="36">
        <v>5</v>
      </c>
      <c r="F280" s="36">
        <v>116.31869971926676</v>
      </c>
      <c r="G280" s="36">
        <v>116.5</v>
      </c>
      <c r="H280" s="36">
        <v>133.30000000000001</v>
      </c>
      <c r="I280" s="38">
        <v>1.3695999999999999</v>
      </c>
      <c r="J280" s="36">
        <v>104.7</v>
      </c>
      <c r="K280" s="36">
        <v>110.9</v>
      </c>
      <c r="L280" s="22">
        <v>4.0170000000000003</v>
      </c>
      <c r="M280" s="18" t="e">
        <v>#N/A</v>
      </c>
      <c r="N280" s="18" t="e">
        <v>#N/A</v>
      </c>
      <c r="O280" s="18" t="e">
        <v>#N/A</v>
      </c>
      <c r="P280" s="18" t="e">
        <v>#N/A</v>
      </c>
      <c r="Q280" s="18" t="e">
        <v>#N/A</v>
      </c>
      <c r="R280" s="18" t="e">
        <v>#N/A</v>
      </c>
    </row>
    <row r="281" spans="1:18" x14ac:dyDescent="0.35">
      <c r="A281" t="s">
        <v>1593</v>
      </c>
      <c r="B281" s="18">
        <v>574</v>
      </c>
      <c r="C281" s="18">
        <v>587</v>
      </c>
      <c r="D281" s="36">
        <v>4.5</v>
      </c>
      <c r="E281" s="36">
        <v>4.2</v>
      </c>
      <c r="F281" s="36">
        <v>116.81502622748583</v>
      </c>
      <c r="G281" s="36">
        <v>116.6</v>
      </c>
      <c r="H281" s="36">
        <v>135.4</v>
      </c>
      <c r="I281" s="38">
        <v>1.3448</v>
      </c>
      <c r="J281" s="36">
        <v>105.7</v>
      </c>
      <c r="K281" s="36">
        <v>111.6</v>
      </c>
      <c r="L281" s="22">
        <v>4.4109999999999996</v>
      </c>
      <c r="M281" s="18" t="e">
        <v>#N/A</v>
      </c>
      <c r="N281" s="18" t="e">
        <v>#N/A</v>
      </c>
      <c r="O281" s="18" t="e">
        <v>#N/A</v>
      </c>
      <c r="P281" s="18" t="e">
        <v>#N/A</v>
      </c>
      <c r="Q281" s="18" t="e">
        <v>#N/A</v>
      </c>
      <c r="R281" s="18" t="e">
        <v>#N/A</v>
      </c>
    </row>
    <row r="282" spans="1:18" x14ac:dyDescent="0.35">
      <c r="A282" t="s">
        <v>1594</v>
      </c>
      <c r="B282" s="18">
        <v>593</v>
      </c>
      <c r="C282" s="18">
        <v>603</v>
      </c>
      <c r="D282" s="36">
        <v>5</v>
      </c>
      <c r="E282" s="36">
        <v>4.5999999999999996</v>
      </c>
      <c r="F282" s="36">
        <v>117.13730157729768</v>
      </c>
      <c r="G282" s="36">
        <v>117</v>
      </c>
      <c r="H282" s="36">
        <v>133.69999999999999</v>
      </c>
      <c r="I282" s="38">
        <v>1.3301000000000001</v>
      </c>
      <c r="J282" s="36">
        <v>107.1</v>
      </c>
      <c r="K282" s="36">
        <v>112.2</v>
      </c>
      <c r="L282" s="22">
        <v>4.7430000000000003</v>
      </c>
      <c r="M282" s="18" t="e">
        <v>#N/A</v>
      </c>
      <c r="N282" s="18" t="e">
        <v>#N/A</v>
      </c>
      <c r="O282" s="18" t="e">
        <v>#N/A</v>
      </c>
      <c r="P282" s="18" t="e">
        <v>#N/A</v>
      </c>
      <c r="Q282" s="18" t="e">
        <v>#N/A</v>
      </c>
      <c r="R282" s="18" t="e">
        <v>#N/A</v>
      </c>
    </row>
    <row r="283" spans="1:18" x14ac:dyDescent="0.35">
      <c r="A283" t="s">
        <v>1595</v>
      </c>
      <c r="B283" s="18">
        <v>587</v>
      </c>
      <c r="C283" s="18">
        <v>599</v>
      </c>
      <c r="D283" s="36">
        <v>5.3</v>
      </c>
      <c r="E283" s="36">
        <v>4.8</v>
      </c>
      <c r="F283" s="36">
        <v>117.60861929741789</v>
      </c>
      <c r="G283" s="36">
        <v>116.9</v>
      </c>
      <c r="H283" s="36">
        <v>135.69999999999999</v>
      </c>
      <c r="I283" s="38">
        <v>1.3561000000000001</v>
      </c>
      <c r="J283" s="36">
        <v>107.8</v>
      </c>
      <c r="K283" s="36">
        <v>113.6</v>
      </c>
      <c r="L283" s="22">
        <v>4.6820000000000004</v>
      </c>
      <c r="M283" s="18" t="e">
        <v>#N/A</v>
      </c>
      <c r="N283" s="18" t="e">
        <v>#N/A</v>
      </c>
      <c r="O283" s="18" t="e">
        <v>#N/A</v>
      </c>
      <c r="P283" s="18" t="e">
        <v>#N/A</v>
      </c>
      <c r="Q283" s="18" t="e">
        <v>#N/A</v>
      </c>
      <c r="R283" s="18" t="e">
        <v>#N/A</v>
      </c>
    </row>
    <row r="284" spans="1:18" x14ac:dyDescent="0.35">
      <c r="A284" t="s">
        <v>1596</v>
      </c>
      <c r="B284" s="18">
        <v>588</v>
      </c>
      <c r="C284" s="18">
        <v>600</v>
      </c>
      <c r="D284" s="36">
        <v>6.1</v>
      </c>
      <c r="E284" s="36">
        <v>5.6</v>
      </c>
      <c r="F284" s="36">
        <v>118.0582974670078</v>
      </c>
      <c r="G284" s="36">
        <v>117.3</v>
      </c>
      <c r="H284" s="36">
        <v>141.69999999999999</v>
      </c>
      <c r="I284" s="38">
        <v>1.3537999999999999</v>
      </c>
      <c r="J284" s="36">
        <v>108.9</v>
      </c>
      <c r="K284" s="36">
        <v>114.7</v>
      </c>
      <c r="L284" s="22">
        <v>4.8330000000000002</v>
      </c>
      <c r="M284" s="18" t="e">
        <v>#N/A</v>
      </c>
      <c r="N284" s="18" t="e">
        <v>#N/A</v>
      </c>
      <c r="O284" s="18" t="e">
        <v>#N/A</v>
      </c>
      <c r="P284" s="18" t="e">
        <v>#N/A</v>
      </c>
      <c r="Q284" s="18" t="e">
        <v>#N/A</v>
      </c>
      <c r="R284" s="18" t="e">
        <v>#N/A</v>
      </c>
    </row>
    <row r="285" spans="1:18" x14ac:dyDescent="0.35">
      <c r="A285" t="s">
        <v>1597</v>
      </c>
      <c r="B285" s="18">
        <v>602</v>
      </c>
      <c r="C285" s="18">
        <v>608</v>
      </c>
      <c r="D285" s="36">
        <v>7.2</v>
      </c>
      <c r="E285" s="36">
        <v>7</v>
      </c>
      <c r="F285" s="36">
        <v>118.76878111152178</v>
      </c>
      <c r="G285" s="36">
        <v>118.1</v>
      </c>
      <c r="H285" s="36">
        <v>160.19999999999999</v>
      </c>
      <c r="I285" s="38">
        <v>1.3172999999999999</v>
      </c>
      <c r="J285" s="36">
        <v>109</v>
      </c>
      <c r="K285" s="36">
        <v>115.7</v>
      </c>
      <c r="L285" s="22">
        <v>5.0869999999999997</v>
      </c>
      <c r="M285" s="18" t="e">
        <v>#N/A</v>
      </c>
      <c r="N285" s="18" t="e">
        <v>#N/A</v>
      </c>
      <c r="O285" s="18" t="e">
        <v>#N/A</v>
      </c>
      <c r="P285" s="18" t="e">
        <v>#N/A</v>
      </c>
      <c r="Q285" s="18" t="e">
        <v>#N/A</v>
      </c>
      <c r="R285" s="18" t="e">
        <v>#N/A</v>
      </c>
    </row>
    <row r="286" spans="1:18" x14ac:dyDescent="0.35">
      <c r="A286" t="s">
        <v>1598</v>
      </c>
      <c r="B286" s="18">
        <v>593</v>
      </c>
      <c r="C286" s="18">
        <v>604</v>
      </c>
      <c r="D286" s="36">
        <v>7.1</v>
      </c>
      <c r="E286" s="36">
        <v>6.9</v>
      </c>
      <c r="F286" s="36">
        <v>119.46336851000868</v>
      </c>
      <c r="G286" s="36">
        <v>119.7</v>
      </c>
      <c r="H286" s="36">
        <v>158.80000000000001</v>
      </c>
      <c r="I286" s="38">
        <v>1.2917000000000001</v>
      </c>
      <c r="J286" s="36">
        <v>110.7</v>
      </c>
      <c r="K286" s="36">
        <v>117.9</v>
      </c>
      <c r="L286" s="22">
        <v>5.5730000000000004</v>
      </c>
      <c r="M286" s="18" t="e">
        <v>#N/A</v>
      </c>
      <c r="N286" s="18" t="e">
        <v>#N/A</v>
      </c>
      <c r="O286" s="18" t="e">
        <v>#N/A</v>
      </c>
      <c r="P286" s="18" t="e">
        <v>#N/A</v>
      </c>
      <c r="Q286" s="18" t="e">
        <v>#N/A</v>
      </c>
      <c r="R286" s="18" t="e">
        <v>#N/A</v>
      </c>
    </row>
    <row r="287" spans="1:18" x14ac:dyDescent="0.35">
      <c r="A287" t="s">
        <v>1599</v>
      </c>
      <c r="B287" s="18">
        <v>594</v>
      </c>
      <c r="C287" s="18">
        <v>606</v>
      </c>
      <c r="D287" s="36">
        <v>6.5</v>
      </c>
      <c r="E287" s="36">
        <v>6.4</v>
      </c>
      <c r="F287" s="36">
        <v>119.89850253028189</v>
      </c>
      <c r="G287" s="36">
        <v>120.2</v>
      </c>
      <c r="H287" s="36">
        <v>158.69999999999999</v>
      </c>
      <c r="I287" s="38">
        <v>1.2443</v>
      </c>
      <c r="J287" s="36">
        <v>112.4</v>
      </c>
      <c r="K287" s="36">
        <v>120</v>
      </c>
      <c r="L287" s="22">
        <v>5.899</v>
      </c>
      <c r="M287" s="18" t="e">
        <v>#N/A</v>
      </c>
      <c r="N287" s="18" t="e">
        <v>#N/A</v>
      </c>
      <c r="O287" s="18" t="e">
        <v>#N/A</v>
      </c>
      <c r="P287" s="18" t="e">
        <v>#N/A</v>
      </c>
      <c r="Q287" s="18" t="e">
        <v>#N/A</v>
      </c>
      <c r="R287" s="18" t="e">
        <v>#N/A</v>
      </c>
    </row>
    <row r="288" spans="1:18" x14ac:dyDescent="0.35">
      <c r="A288" t="s">
        <v>1600</v>
      </c>
      <c r="B288" s="18">
        <v>599</v>
      </c>
      <c r="C288" s="18">
        <v>613</v>
      </c>
      <c r="D288" s="36">
        <v>5.4</v>
      </c>
      <c r="E288" s="36">
        <v>5.0999999999999996</v>
      </c>
      <c r="F288" s="36">
        <v>120.60847391241197</v>
      </c>
      <c r="G288" s="36">
        <v>121</v>
      </c>
      <c r="H288" s="36">
        <v>155.69999999999999</v>
      </c>
      <c r="I288" s="38">
        <v>1.2290000000000001</v>
      </c>
      <c r="J288" s="36">
        <v>113.7</v>
      </c>
      <c r="K288" s="36">
        <v>122.6</v>
      </c>
      <c r="L288" s="22">
        <v>6.0460000000000003</v>
      </c>
      <c r="M288" s="18" t="e">
        <v>#N/A</v>
      </c>
      <c r="N288" s="18" t="e">
        <v>#N/A</v>
      </c>
      <c r="O288" s="18" t="e">
        <v>#N/A</v>
      </c>
      <c r="P288" s="18" t="e">
        <v>#N/A</v>
      </c>
      <c r="Q288" s="18" t="e">
        <v>#N/A</v>
      </c>
      <c r="R288" s="18" t="e">
        <v>#N/A</v>
      </c>
    </row>
    <row r="289" spans="1:18" x14ac:dyDescent="0.35">
      <c r="A289" t="s">
        <v>1601</v>
      </c>
      <c r="B289" s="18">
        <v>601</v>
      </c>
      <c r="C289" s="18">
        <v>614</v>
      </c>
      <c r="D289" s="36">
        <v>5.5</v>
      </c>
      <c r="E289" s="36">
        <v>5.4</v>
      </c>
      <c r="F289" s="36">
        <v>121.31892851681329</v>
      </c>
      <c r="G289" s="36">
        <v>121.9</v>
      </c>
      <c r="H289" s="36">
        <v>141.6</v>
      </c>
      <c r="I289" s="38">
        <v>1.1989000000000001</v>
      </c>
      <c r="J289" s="36">
        <v>116.3</v>
      </c>
      <c r="K289" s="36">
        <v>124.7</v>
      </c>
      <c r="L289" s="22">
        <v>6.2720000000000002</v>
      </c>
      <c r="M289" s="18" t="e">
        <v>#N/A</v>
      </c>
      <c r="N289" s="18" t="e">
        <v>#N/A</v>
      </c>
      <c r="O289" s="18" t="e">
        <v>#N/A</v>
      </c>
      <c r="P289" s="18" t="e">
        <v>#N/A</v>
      </c>
      <c r="Q289" s="18" t="e">
        <v>#N/A</v>
      </c>
      <c r="R289" s="18" t="e">
        <v>#N/A</v>
      </c>
    </row>
    <row r="290" spans="1:18" x14ac:dyDescent="0.35">
      <c r="A290" t="s">
        <v>1602</v>
      </c>
      <c r="B290" s="18">
        <v>608</v>
      </c>
      <c r="C290" s="18">
        <v>619</v>
      </c>
      <c r="D290" s="36">
        <v>6.3</v>
      </c>
      <c r="E290" s="36">
        <v>6</v>
      </c>
      <c r="F290" s="36">
        <v>122.04062967833461</v>
      </c>
      <c r="G290" s="36">
        <v>122.7</v>
      </c>
      <c r="H290" s="36">
        <v>138.69999999999999</v>
      </c>
      <c r="I290" s="38">
        <v>1.1999</v>
      </c>
      <c r="J290" s="36">
        <v>118</v>
      </c>
      <c r="K290" s="36">
        <v>125.8</v>
      </c>
      <c r="L290" s="22">
        <v>6.4640000000000004</v>
      </c>
      <c r="M290" s="18" t="e">
        <v>#N/A</v>
      </c>
      <c r="N290" s="18" t="e">
        <v>#N/A</v>
      </c>
      <c r="O290" s="18" t="e">
        <v>#N/A</v>
      </c>
      <c r="P290" s="18" t="e">
        <v>#N/A</v>
      </c>
      <c r="Q290" s="18" t="e">
        <v>#N/A</v>
      </c>
      <c r="R290" s="18" t="e">
        <v>#N/A</v>
      </c>
    </row>
    <row r="291" spans="1:18" x14ac:dyDescent="0.35">
      <c r="A291" t="s">
        <v>1603</v>
      </c>
      <c r="B291" s="18">
        <v>604</v>
      </c>
      <c r="C291" s="18">
        <v>621</v>
      </c>
      <c r="D291" s="36">
        <v>5.9</v>
      </c>
      <c r="E291" s="36">
        <v>6</v>
      </c>
      <c r="F291" s="36">
        <v>122.68914001329183</v>
      </c>
      <c r="G291" s="36">
        <v>122.9</v>
      </c>
      <c r="H291" s="36">
        <v>137.30000000000001</v>
      </c>
      <c r="I291" s="38">
        <v>1.1326000000000001</v>
      </c>
      <c r="J291" s="36">
        <v>119.3</v>
      </c>
      <c r="K291" s="36">
        <v>126.9</v>
      </c>
      <c r="L291" s="22">
        <v>6.5739999999999998</v>
      </c>
      <c r="M291" s="18" t="e">
        <v>#N/A</v>
      </c>
      <c r="N291" s="18" t="e">
        <v>#N/A</v>
      </c>
      <c r="O291" s="18" t="e">
        <v>#N/A</v>
      </c>
      <c r="P291" s="18" t="e">
        <v>#N/A</v>
      </c>
      <c r="Q291" s="18" t="e">
        <v>#N/A</v>
      </c>
      <c r="R291" s="18" t="e">
        <v>#N/A</v>
      </c>
    </row>
    <row r="292" spans="1:18" x14ac:dyDescent="0.35">
      <c r="A292" t="s">
        <v>1604</v>
      </c>
      <c r="B292" s="18">
        <v>615</v>
      </c>
      <c r="C292" s="18">
        <v>627</v>
      </c>
      <c r="D292" s="36">
        <v>6.2</v>
      </c>
      <c r="E292" s="36">
        <v>6.2</v>
      </c>
      <c r="F292" s="36">
        <v>123.52558794788438</v>
      </c>
      <c r="G292" s="36">
        <v>123.8</v>
      </c>
      <c r="H292" s="36">
        <v>136.69999999999999</v>
      </c>
      <c r="I292" s="38">
        <v>1.1307</v>
      </c>
      <c r="J292" s="36">
        <v>121.7</v>
      </c>
      <c r="K292" s="36">
        <v>128.1</v>
      </c>
      <c r="L292" s="22">
        <v>6.4219999999999997</v>
      </c>
      <c r="M292" s="18" t="e">
        <v>#N/A</v>
      </c>
      <c r="N292" s="18" t="e">
        <v>#N/A</v>
      </c>
      <c r="O292" s="18" t="e">
        <v>#N/A</v>
      </c>
      <c r="P292" s="18" t="e">
        <v>#N/A</v>
      </c>
      <c r="Q292" s="18" t="e">
        <v>#N/A</v>
      </c>
      <c r="R292" s="18" t="e">
        <v>#N/A</v>
      </c>
    </row>
    <row r="293" spans="1:18" x14ac:dyDescent="0.35">
      <c r="A293" t="s">
        <v>1605</v>
      </c>
      <c r="B293" s="18">
        <v>619</v>
      </c>
      <c r="C293" s="18">
        <v>631</v>
      </c>
      <c r="D293" s="36">
        <v>6.7</v>
      </c>
      <c r="E293" s="36">
        <v>6.7</v>
      </c>
      <c r="F293" s="36">
        <v>124.21647545937211</v>
      </c>
      <c r="G293" s="36">
        <v>124</v>
      </c>
      <c r="H293" s="36">
        <v>136</v>
      </c>
      <c r="I293" s="38">
        <v>1.1744000000000001</v>
      </c>
      <c r="J293" s="36">
        <v>123.1</v>
      </c>
      <c r="K293" s="36">
        <v>129.1</v>
      </c>
      <c r="L293" s="22">
        <v>6.1859999999999999</v>
      </c>
      <c r="M293" s="18" t="e">
        <v>#N/A</v>
      </c>
      <c r="N293" s="18" t="e">
        <v>#N/A</v>
      </c>
      <c r="O293" s="18" t="e">
        <v>#N/A</v>
      </c>
      <c r="P293" s="18" t="e">
        <v>#N/A</v>
      </c>
      <c r="Q293" s="18" t="e">
        <v>#N/A</v>
      </c>
      <c r="R293" s="18" t="e">
        <v>#N/A</v>
      </c>
    </row>
    <row r="294" spans="1:18" x14ac:dyDescent="0.35">
      <c r="A294" t="s">
        <v>1606</v>
      </c>
      <c r="B294" s="18">
        <v>622</v>
      </c>
      <c r="C294" s="18">
        <v>633</v>
      </c>
      <c r="D294" s="36">
        <v>6.5</v>
      </c>
      <c r="E294" s="36">
        <v>6.3</v>
      </c>
      <c r="F294" s="36">
        <v>125.15988989644281</v>
      </c>
      <c r="G294" s="36">
        <v>125</v>
      </c>
      <c r="H294" s="36">
        <v>133.1</v>
      </c>
      <c r="I294" s="38">
        <v>1.2183999999999999</v>
      </c>
      <c r="J294" s="36">
        <v>125.1</v>
      </c>
      <c r="K294" s="36">
        <v>130.1</v>
      </c>
      <c r="L294" s="22">
        <v>5.9039999999999999</v>
      </c>
      <c r="M294" s="18" t="e">
        <v>#N/A</v>
      </c>
      <c r="N294" s="18" t="e">
        <v>#N/A</v>
      </c>
      <c r="O294" s="18" t="e">
        <v>#N/A</v>
      </c>
      <c r="P294" s="18" t="e">
        <v>#N/A</v>
      </c>
      <c r="Q294" s="18" t="e">
        <v>#N/A</v>
      </c>
      <c r="R294" s="18" t="e">
        <v>#N/A</v>
      </c>
    </row>
    <row r="295" spans="1:18" x14ac:dyDescent="0.35">
      <c r="A295" t="s">
        <v>1607</v>
      </c>
      <c r="B295" s="18">
        <v>625</v>
      </c>
      <c r="C295" s="18">
        <v>637</v>
      </c>
      <c r="D295" s="36">
        <v>6.4</v>
      </c>
      <c r="E295" s="36">
        <v>6.2</v>
      </c>
      <c r="F295" s="36">
        <v>124.62111671628452</v>
      </c>
      <c r="G295" s="36">
        <v>123.8</v>
      </c>
      <c r="H295" s="36">
        <v>131.4</v>
      </c>
      <c r="I295" s="38">
        <v>1.2233000000000001</v>
      </c>
      <c r="J295" s="36">
        <v>125.8</v>
      </c>
      <c r="K295" s="36">
        <v>131.4</v>
      </c>
      <c r="L295" s="22">
        <v>5.7640000000000002</v>
      </c>
      <c r="M295" s="18" t="e">
        <v>#N/A</v>
      </c>
      <c r="N295" s="18" t="e">
        <v>#N/A</v>
      </c>
      <c r="O295" s="18" t="e">
        <v>#N/A</v>
      </c>
      <c r="P295" s="18" t="e">
        <v>#N/A</v>
      </c>
      <c r="Q295" s="18" t="e">
        <v>#N/A</v>
      </c>
      <c r="R295" s="18" t="e">
        <v>#N/A</v>
      </c>
    </row>
    <row r="296" spans="1:18" x14ac:dyDescent="0.35">
      <c r="A296" t="s">
        <v>1608</v>
      </c>
      <c r="B296" s="18">
        <v>631</v>
      </c>
      <c r="C296" s="18">
        <v>641</v>
      </c>
      <c r="D296" s="36">
        <v>6.2</v>
      </c>
      <c r="E296" s="36">
        <v>6.1</v>
      </c>
      <c r="F296" s="36">
        <v>126.01477344200869</v>
      </c>
      <c r="G296" s="36">
        <v>125.1</v>
      </c>
      <c r="H296" s="36">
        <v>130.69999999999999</v>
      </c>
      <c r="I296" s="38">
        <v>1.2085999999999999</v>
      </c>
      <c r="J296" s="36">
        <v>128.5</v>
      </c>
      <c r="K296" s="36">
        <v>132.5</v>
      </c>
      <c r="L296" s="22">
        <v>5.65</v>
      </c>
      <c r="M296" s="18" t="e">
        <v>#N/A</v>
      </c>
      <c r="N296" s="18" t="e">
        <v>#N/A</v>
      </c>
      <c r="O296" s="18" t="e">
        <v>#N/A</v>
      </c>
      <c r="P296" s="18" t="e">
        <v>#N/A</v>
      </c>
      <c r="Q296" s="18" t="e">
        <v>#N/A</v>
      </c>
      <c r="R296" s="18" t="e">
        <v>#N/A</v>
      </c>
    </row>
    <row r="297" spans="1:18" x14ac:dyDescent="0.35">
      <c r="A297" t="s">
        <v>1609</v>
      </c>
      <c r="B297" s="18">
        <v>635</v>
      </c>
      <c r="C297" s="18">
        <v>643</v>
      </c>
      <c r="D297" s="36">
        <v>6.4</v>
      </c>
      <c r="E297" s="36">
        <v>6.3</v>
      </c>
      <c r="F297" s="36">
        <v>126.77834004948062</v>
      </c>
      <c r="G297" s="36">
        <v>126</v>
      </c>
      <c r="H297" s="36">
        <v>128</v>
      </c>
      <c r="I297" s="38">
        <v>1.2135</v>
      </c>
      <c r="J297" s="36">
        <v>129.9</v>
      </c>
      <c r="K297" s="36">
        <v>133.1</v>
      </c>
      <c r="L297" s="22">
        <v>5.492</v>
      </c>
      <c r="M297" s="18" t="e">
        <v>#N/A</v>
      </c>
      <c r="N297" s="18" t="e">
        <v>#N/A</v>
      </c>
      <c r="O297" s="18" t="e">
        <v>#N/A</v>
      </c>
      <c r="P297" s="18" t="e">
        <v>#N/A</v>
      </c>
      <c r="Q297" s="18" t="e">
        <v>#N/A</v>
      </c>
      <c r="R297" s="18" t="e">
        <v>#N/A</v>
      </c>
    </row>
    <row r="298" spans="1:18" x14ac:dyDescent="0.35">
      <c r="A298" t="s">
        <v>1610</v>
      </c>
      <c r="B298" s="18">
        <v>638</v>
      </c>
      <c r="C298" s="18">
        <v>650</v>
      </c>
      <c r="D298" s="36">
        <v>6.7</v>
      </c>
      <c r="E298" s="36">
        <v>6.8</v>
      </c>
      <c r="F298" s="36">
        <v>127.72602587147595</v>
      </c>
      <c r="G298" s="36">
        <v>128</v>
      </c>
      <c r="H298" s="36">
        <v>128.4</v>
      </c>
      <c r="I298" s="38">
        <v>1.2452000000000001</v>
      </c>
      <c r="J298" s="36">
        <v>131.69999999999999</v>
      </c>
      <c r="K298" s="36">
        <v>133.9</v>
      </c>
      <c r="L298" s="22">
        <v>5.5449999999999999</v>
      </c>
      <c r="M298" s="18" t="e">
        <v>#N/A</v>
      </c>
      <c r="N298" s="18" t="e">
        <v>#N/A</v>
      </c>
      <c r="O298" s="18" t="e">
        <v>#N/A</v>
      </c>
      <c r="P298" s="18" t="e">
        <v>#N/A</v>
      </c>
      <c r="Q298" s="18" t="e">
        <v>#N/A</v>
      </c>
      <c r="R298" s="18" t="e">
        <v>#N/A</v>
      </c>
    </row>
    <row r="299" spans="1:18" x14ac:dyDescent="0.35">
      <c r="A299" t="s">
        <v>1611</v>
      </c>
      <c r="B299" s="18">
        <v>642</v>
      </c>
      <c r="C299" s="18">
        <v>654</v>
      </c>
      <c r="D299" s="36">
        <v>7</v>
      </c>
      <c r="E299" s="36">
        <v>7.1</v>
      </c>
      <c r="F299" s="36">
        <v>128.61664868290666</v>
      </c>
      <c r="G299" s="36">
        <v>129</v>
      </c>
      <c r="H299" s="36">
        <v>124.5</v>
      </c>
      <c r="I299" s="38">
        <v>1.2473000000000001</v>
      </c>
      <c r="J299" s="36">
        <v>132.9</v>
      </c>
      <c r="K299" s="36">
        <v>134.1</v>
      </c>
      <c r="L299" s="22">
        <v>5.444</v>
      </c>
      <c r="M299" s="18" t="e">
        <v>#N/A</v>
      </c>
      <c r="N299" s="18" t="e">
        <v>#N/A</v>
      </c>
      <c r="O299" s="18" t="e">
        <v>#N/A</v>
      </c>
      <c r="P299" s="18" t="e">
        <v>#N/A</v>
      </c>
      <c r="Q299" s="18" t="e">
        <v>#N/A</v>
      </c>
      <c r="R299" s="18" t="e">
        <v>#N/A</v>
      </c>
    </row>
    <row r="300" spans="1:18" x14ac:dyDescent="0.35">
      <c r="A300" t="s">
        <v>1612</v>
      </c>
      <c r="B300" s="18">
        <v>658</v>
      </c>
      <c r="C300" s="18">
        <v>668</v>
      </c>
      <c r="D300" s="36">
        <v>8.5</v>
      </c>
      <c r="E300" s="36">
        <v>8.1999999999999993</v>
      </c>
      <c r="F300" s="36">
        <v>129.21817141032849</v>
      </c>
      <c r="G300" s="36">
        <v>129.69999999999999</v>
      </c>
      <c r="H300" s="36">
        <v>123</v>
      </c>
      <c r="I300" s="38">
        <v>1.2630999999999999</v>
      </c>
      <c r="J300" s="36">
        <v>133.4</v>
      </c>
      <c r="K300" s="36">
        <v>134.19999999999999</v>
      </c>
      <c r="L300" s="22">
        <v>5.2969999999999997</v>
      </c>
      <c r="M300" s="18" t="e">
        <v>#N/A</v>
      </c>
      <c r="N300" s="18" t="e">
        <v>#N/A</v>
      </c>
      <c r="O300" s="18" t="e">
        <v>#N/A</v>
      </c>
      <c r="P300" s="18" t="e">
        <v>#N/A</v>
      </c>
      <c r="Q300" s="18" t="e">
        <v>#N/A</v>
      </c>
      <c r="R300" s="18" t="e">
        <v>#N/A</v>
      </c>
    </row>
    <row r="301" spans="1:18" x14ac:dyDescent="0.35">
      <c r="A301" t="s">
        <v>1613</v>
      </c>
      <c r="B301" s="18">
        <v>651</v>
      </c>
      <c r="C301" s="18">
        <v>663</v>
      </c>
      <c r="D301" s="36">
        <v>8.6999999999999993</v>
      </c>
      <c r="E301" s="36">
        <v>8.3000000000000007</v>
      </c>
      <c r="F301" s="36">
        <v>130.3372293229117</v>
      </c>
      <c r="G301" s="36">
        <v>131</v>
      </c>
      <c r="H301" s="36">
        <v>124.4</v>
      </c>
      <c r="I301" s="38">
        <v>1.2881</v>
      </c>
      <c r="J301" s="36">
        <v>133.5</v>
      </c>
      <c r="K301" s="36">
        <v>134.1</v>
      </c>
      <c r="L301" s="22">
        <v>5.1749999999999998</v>
      </c>
      <c r="M301" s="18" t="e">
        <v>#N/A</v>
      </c>
      <c r="N301" s="18" t="e">
        <v>#N/A</v>
      </c>
      <c r="O301" s="18" t="e">
        <v>#N/A</v>
      </c>
      <c r="P301" s="18" t="e">
        <v>#N/A</v>
      </c>
      <c r="Q301" s="18" t="e">
        <v>#N/A</v>
      </c>
      <c r="R301" s="18" t="e">
        <v>#N/A</v>
      </c>
    </row>
    <row r="302" spans="1:18" x14ac:dyDescent="0.35">
      <c r="A302" t="s">
        <v>1614</v>
      </c>
      <c r="B302" s="18">
        <v>651</v>
      </c>
      <c r="C302" s="18">
        <v>664</v>
      </c>
      <c r="D302" s="36">
        <v>8.4</v>
      </c>
      <c r="E302" s="36">
        <v>8</v>
      </c>
      <c r="F302" s="36">
        <v>130.29606682771822</v>
      </c>
      <c r="G302" s="36">
        <v>131</v>
      </c>
      <c r="H302" s="36">
        <v>121.8</v>
      </c>
      <c r="I302" s="38">
        <v>1.2706999999999999</v>
      </c>
      <c r="J302" s="36">
        <v>134</v>
      </c>
      <c r="K302" s="36">
        <v>133.4</v>
      </c>
      <c r="L302" s="22">
        <v>4.9770000000000003</v>
      </c>
      <c r="M302" s="18" t="e">
        <v>#N/A</v>
      </c>
      <c r="N302" s="18" t="e">
        <v>#N/A</v>
      </c>
      <c r="O302" s="18" t="e">
        <v>#N/A</v>
      </c>
      <c r="P302" s="18" t="e">
        <v>#N/A</v>
      </c>
      <c r="Q302" s="18" t="e">
        <v>#N/A</v>
      </c>
      <c r="R302" s="18" t="e">
        <v>#N/A</v>
      </c>
    </row>
    <row r="303" spans="1:18" x14ac:dyDescent="0.35">
      <c r="A303" t="s">
        <v>1615</v>
      </c>
      <c r="B303" s="18">
        <v>659</v>
      </c>
      <c r="C303" s="18">
        <v>670</v>
      </c>
      <c r="D303" s="36">
        <v>8.1999999999999993</v>
      </c>
      <c r="E303" s="36">
        <v>7.7</v>
      </c>
      <c r="F303" s="36">
        <v>131.17846771822789</v>
      </c>
      <c r="G303" s="36">
        <v>131.4</v>
      </c>
      <c r="H303" s="36">
        <v>121.7</v>
      </c>
      <c r="I303" s="38">
        <v>1.2388999999999999</v>
      </c>
      <c r="J303" s="36">
        <v>133.80000000000001</v>
      </c>
      <c r="K303" s="36">
        <v>133</v>
      </c>
      <c r="L303" s="22">
        <v>4.8170000000000002</v>
      </c>
      <c r="M303" s="18" t="e">
        <v>#N/A</v>
      </c>
      <c r="N303" s="18" t="e">
        <v>#N/A</v>
      </c>
      <c r="O303" s="18" t="e">
        <v>#N/A</v>
      </c>
      <c r="P303" s="18" t="e">
        <v>#N/A</v>
      </c>
      <c r="Q303" s="18" t="e">
        <v>#N/A</v>
      </c>
      <c r="R303" s="18" t="e">
        <v>#N/A</v>
      </c>
    </row>
    <row r="304" spans="1:18" x14ac:dyDescent="0.35">
      <c r="A304" t="s">
        <v>1616</v>
      </c>
      <c r="B304" s="18">
        <v>650</v>
      </c>
      <c r="C304" s="18">
        <v>665</v>
      </c>
      <c r="D304" s="36">
        <v>7.3</v>
      </c>
      <c r="E304" s="36">
        <v>7</v>
      </c>
      <c r="F304" s="36">
        <v>131.56244004885841</v>
      </c>
      <c r="G304" s="36">
        <v>131.9</v>
      </c>
      <c r="H304" s="36">
        <v>120.7</v>
      </c>
      <c r="I304" s="38">
        <v>1.2168000000000001</v>
      </c>
      <c r="J304" s="36">
        <v>134</v>
      </c>
      <c r="K304" s="36">
        <v>132.9</v>
      </c>
      <c r="L304" s="22">
        <v>4.5199999999999996</v>
      </c>
      <c r="M304" s="18" t="e">
        <v>#N/A</v>
      </c>
      <c r="N304" s="18" t="e">
        <v>#N/A</v>
      </c>
      <c r="O304" s="18" t="e">
        <v>#N/A</v>
      </c>
      <c r="P304" s="18" t="e">
        <v>#N/A</v>
      </c>
      <c r="Q304" s="18" t="e">
        <v>#N/A</v>
      </c>
      <c r="R304" s="18" t="e">
        <v>#N/A</v>
      </c>
    </row>
    <row r="305" spans="1:18" x14ac:dyDescent="0.35">
      <c r="A305" t="s">
        <v>1622</v>
      </c>
      <c r="B305" s="18">
        <v>657</v>
      </c>
      <c r="C305" s="18">
        <v>668</v>
      </c>
      <c r="D305" s="36">
        <v>7</v>
      </c>
      <c r="E305" s="36">
        <v>6.6</v>
      </c>
      <c r="F305" s="36">
        <v>131.93477159546273</v>
      </c>
      <c r="G305" s="36">
        <v>131.69999999999999</v>
      </c>
      <c r="H305" s="36">
        <v>120.6</v>
      </c>
      <c r="I305" s="38">
        <v>1.2430000000000001</v>
      </c>
      <c r="J305" s="36">
        <v>134.4</v>
      </c>
      <c r="K305" s="36">
        <v>133.30000000000001</v>
      </c>
      <c r="L305" s="22">
        <v>4.444</v>
      </c>
      <c r="M305" s="18" t="e">
        <v>#N/A</v>
      </c>
      <c r="N305" s="18" t="e">
        <v>#N/A</v>
      </c>
      <c r="O305" s="18" t="e">
        <v>#N/A</v>
      </c>
      <c r="P305" s="18" t="e">
        <v>#N/A</v>
      </c>
      <c r="Q305" s="18" t="e">
        <v>#N/A</v>
      </c>
      <c r="R305" s="18" t="e">
        <v>#N/A</v>
      </c>
    </row>
    <row r="306" spans="1:18" x14ac:dyDescent="0.35">
      <c r="A306" t="s">
        <v>1649</v>
      </c>
      <c r="B306" s="18">
        <v>658</v>
      </c>
      <c r="C306" s="18">
        <v>670</v>
      </c>
      <c r="D306" s="36">
        <v>5.9</v>
      </c>
      <c r="E306" s="36">
        <v>5.9</v>
      </c>
      <c r="F306" s="36">
        <v>133.17029733217672</v>
      </c>
      <c r="G306" s="36">
        <v>133</v>
      </c>
      <c r="H306" s="36">
        <v>119.1</v>
      </c>
      <c r="I306" s="38">
        <v>1.2653000000000001</v>
      </c>
      <c r="J306" s="36">
        <v>135.1</v>
      </c>
      <c r="K306" s="36">
        <v>133.4</v>
      </c>
      <c r="L306" s="22">
        <v>4.3639999999999999</v>
      </c>
      <c r="M306" s="18" t="e">
        <v>#N/A</v>
      </c>
      <c r="N306" s="18" t="e">
        <v>#N/A</v>
      </c>
      <c r="O306" s="18" t="e">
        <v>#N/A</v>
      </c>
      <c r="P306" s="18" t="e">
        <v>#N/A</v>
      </c>
      <c r="Q306" s="18" t="e">
        <v>#N/A</v>
      </c>
      <c r="R306" s="18" t="e">
        <v>#N/A</v>
      </c>
    </row>
    <row r="307" spans="1:18" x14ac:dyDescent="0.35">
      <c r="A307" t="s">
        <v>2018</v>
      </c>
      <c r="B307" s="18">
        <v>662</v>
      </c>
      <c r="C307" s="18">
        <v>672</v>
      </c>
      <c r="D307" s="36">
        <v>5.9</v>
      </c>
      <c r="E307" s="36">
        <v>5.8</v>
      </c>
      <c r="F307" s="36">
        <v>132.83331700127934</v>
      </c>
      <c r="G307" s="36">
        <v>131.9</v>
      </c>
      <c r="H307" s="36">
        <v>117.6</v>
      </c>
      <c r="I307" s="38">
        <v>1.2701</v>
      </c>
      <c r="J307" s="36">
        <v>134.6</v>
      </c>
      <c r="K307" s="36">
        <v>133.5</v>
      </c>
      <c r="L307" s="22">
        <v>4.3070000000000004</v>
      </c>
      <c r="M307" s="18" t="e">
        <v>#N/A</v>
      </c>
      <c r="N307" s="18" t="e">
        <v>#N/A</v>
      </c>
      <c r="O307" s="18" t="e">
        <v>#N/A</v>
      </c>
      <c r="P307" s="18" t="e">
        <v>#N/A</v>
      </c>
      <c r="Q307" s="18" t="e">
        <v>#N/A</v>
      </c>
      <c r="R307" s="18" t="e">
        <v>#N/A</v>
      </c>
    </row>
    <row r="308" spans="1:18" x14ac:dyDescent="0.35">
      <c r="A308" t="s">
        <v>2019</v>
      </c>
      <c r="B308" s="18">
        <v>668</v>
      </c>
      <c r="C308" s="18">
        <v>679</v>
      </c>
      <c r="D308" s="36">
        <v>5.9</v>
      </c>
      <c r="E308" s="36">
        <v>5.7</v>
      </c>
      <c r="F308" s="36">
        <v>133.73570226102754</v>
      </c>
      <c r="G308" s="36">
        <v>132.69999999999999</v>
      </c>
      <c r="H308" s="36">
        <v>117.4</v>
      </c>
      <c r="I308" s="38">
        <v>1.2622</v>
      </c>
      <c r="J308" s="36">
        <v>134.9</v>
      </c>
      <c r="K308" s="36">
        <v>133.30000000000001</v>
      </c>
      <c r="L308" s="22">
        <v>4.2640000000000002</v>
      </c>
      <c r="M308" s="18" t="e">
        <v>#N/A</v>
      </c>
      <c r="N308" s="18" t="e">
        <v>#N/A</v>
      </c>
      <c r="O308" s="18" t="e">
        <v>#N/A</v>
      </c>
      <c r="P308" s="18" t="e">
        <v>#N/A</v>
      </c>
      <c r="Q308" s="18" t="e">
        <v>#N/A</v>
      </c>
      <c r="R308" s="18" t="e">
        <v>#N/A</v>
      </c>
    </row>
    <row r="309" spans="1:18" x14ac:dyDescent="0.35">
      <c r="A309" t="s">
        <v>2020</v>
      </c>
      <c r="B309" s="18">
        <v>676</v>
      </c>
      <c r="C309" s="18">
        <v>684</v>
      </c>
      <c r="D309" s="36">
        <v>6.1</v>
      </c>
      <c r="E309" s="36">
        <v>5.9</v>
      </c>
      <c r="F309" s="36">
        <v>134.36573835832138</v>
      </c>
      <c r="G309" s="36">
        <v>133.5</v>
      </c>
      <c r="H309" s="36">
        <v>118.9</v>
      </c>
      <c r="I309" s="38">
        <v>1.2716000000000001</v>
      </c>
      <c r="J309" s="36">
        <v>135.1</v>
      </c>
      <c r="K309" s="36">
        <v>133.30000000000001</v>
      </c>
      <c r="L309" s="22">
        <v>4.1029999999999998</v>
      </c>
      <c r="M309" s="18" t="e">
        <v>#N/A</v>
      </c>
      <c r="N309" s="18" t="e">
        <v>#N/A</v>
      </c>
      <c r="O309" s="18" t="e">
        <v>#N/A</v>
      </c>
      <c r="P309" s="18" t="e">
        <v>#N/A</v>
      </c>
      <c r="Q309" s="18" t="e">
        <v>#N/A</v>
      </c>
      <c r="R309" s="18" t="e">
        <v>#N/A</v>
      </c>
    </row>
    <row r="310" spans="1:18" x14ac:dyDescent="0.35">
      <c r="A310" t="s">
        <v>2021</v>
      </c>
      <c r="B310" s="18">
        <v>673</v>
      </c>
      <c r="C310" s="18">
        <v>686</v>
      </c>
      <c r="D310" s="36">
        <v>6</v>
      </c>
      <c r="E310" s="36">
        <v>5.9</v>
      </c>
      <c r="F310" s="36">
        <v>135.19207492638486</v>
      </c>
      <c r="G310" s="36">
        <v>135.5</v>
      </c>
      <c r="H310" s="36">
        <v>119.2</v>
      </c>
      <c r="I310" s="38">
        <v>1.2512000000000001</v>
      </c>
      <c r="J310" s="36">
        <v>135.6</v>
      </c>
      <c r="K310" s="36">
        <v>134.1</v>
      </c>
      <c r="L310" s="22">
        <v>4</v>
      </c>
      <c r="M310" s="18" t="e">
        <v>#N/A</v>
      </c>
      <c r="N310" s="18" t="e">
        <v>#N/A</v>
      </c>
      <c r="O310" s="18" t="e">
        <v>#N/A</v>
      </c>
      <c r="P310" s="18" t="e">
        <v>#N/A</v>
      </c>
      <c r="Q310" s="18" t="e">
        <v>#N/A</v>
      </c>
      <c r="R310" s="18" t="e">
        <v>#N/A</v>
      </c>
    </row>
    <row r="311" spans="1:18" x14ac:dyDescent="0.35">
      <c r="A311" t="s">
        <v>2022</v>
      </c>
      <c r="B311" s="18">
        <v>674</v>
      </c>
      <c r="C311" s="18">
        <v>687</v>
      </c>
      <c r="D311" s="36">
        <v>5.7</v>
      </c>
      <c r="E311" s="36">
        <v>5.7</v>
      </c>
      <c r="F311" s="36">
        <v>135.9616559938286</v>
      </c>
      <c r="G311" s="36">
        <v>136.4</v>
      </c>
      <c r="H311" s="36">
        <v>120.5</v>
      </c>
      <c r="I311" s="38">
        <v>1.2634000000000001</v>
      </c>
      <c r="J311" s="36">
        <v>135.19999999999999</v>
      </c>
      <c r="K311" s="36">
        <v>134.6</v>
      </c>
      <c r="L311" s="22">
        <v>3.9020000000000001</v>
      </c>
      <c r="M311" s="18" t="e">
        <v>#N/A</v>
      </c>
      <c r="N311" s="18" t="e">
        <v>#N/A</v>
      </c>
      <c r="O311" s="18" t="e">
        <v>#N/A</v>
      </c>
      <c r="P311" s="18" t="e">
        <v>#N/A</v>
      </c>
      <c r="Q311" s="18" t="e">
        <v>#N/A</v>
      </c>
      <c r="R311" s="18" t="e">
        <v>#N/A</v>
      </c>
    </row>
    <row r="312" spans="1:18" x14ac:dyDescent="0.35">
      <c r="A312" t="s">
        <v>2023</v>
      </c>
      <c r="B312" s="18">
        <v>674</v>
      </c>
      <c r="C312" s="18">
        <v>689</v>
      </c>
      <c r="D312" s="36">
        <v>4.4000000000000004</v>
      </c>
      <c r="E312" s="36">
        <v>4.5999999999999996</v>
      </c>
      <c r="F312" s="36">
        <v>136.5583590835808</v>
      </c>
      <c r="G312" s="36">
        <v>137.1</v>
      </c>
      <c r="H312" s="36">
        <v>121</v>
      </c>
      <c r="I312" s="38">
        <v>1.2709999999999999</v>
      </c>
      <c r="J312" s="36">
        <v>135.5</v>
      </c>
      <c r="K312" s="36">
        <v>134.5</v>
      </c>
      <c r="L312" s="22">
        <v>3.867</v>
      </c>
      <c r="M312" s="18" t="e">
        <v>#N/A</v>
      </c>
      <c r="N312" s="18" t="e">
        <v>#N/A</v>
      </c>
      <c r="O312" s="18" t="e">
        <v>#N/A</v>
      </c>
      <c r="P312" s="18" t="e">
        <v>#N/A</v>
      </c>
      <c r="Q312" s="18" t="e">
        <v>#N/A</v>
      </c>
      <c r="R312" s="18" t="e">
        <v>#N/A</v>
      </c>
    </row>
    <row r="313" spans="1:18" x14ac:dyDescent="0.35">
      <c r="A313" t="s">
        <v>2024</v>
      </c>
      <c r="B313" s="18">
        <v>676</v>
      </c>
      <c r="C313" s="18">
        <v>690</v>
      </c>
      <c r="D313" s="36">
        <v>3.8</v>
      </c>
      <c r="E313" s="36">
        <v>4.0999999999999996</v>
      </c>
      <c r="F313" s="36">
        <v>137.07728421614698</v>
      </c>
      <c r="G313" s="36">
        <v>137.80000000000001</v>
      </c>
      <c r="H313" s="36">
        <v>120.9</v>
      </c>
      <c r="I313" s="38">
        <v>1.2863</v>
      </c>
      <c r="J313" s="36">
        <v>135.5</v>
      </c>
      <c r="K313" s="36">
        <v>134.69999999999999</v>
      </c>
      <c r="L313" s="22">
        <v>3.69</v>
      </c>
      <c r="M313" s="18" t="e">
        <v>#N/A</v>
      </c>
      <c r="N313" s="18" t="e">
        <v>#N/A</v>
      </c>
      <c r="O313" s="18" t="e">
        <v>#N/A</v>
      </c>
      <c r="P313" s="18" t="e">
        <v>#N/A</v>
      </c>
      <c r="Q313" s="18" t="e">
        <v>#N/A</v>
      </c>
      <c r="R313" s="18" t="e">
        <v>#N/A</v>
      </c>
    </row>
    <row r="314" spans="1:18" x14ac:dyDescent="0.35">
      <c r="A314" t="s">
        <v>2025</v>
      </c>
      <c r="B314" s="18">
        <v>681</v>
      </c>
      <c r="C314" s="18">
        <v>694</v>
      </c>
      <c r="D314" s="36">
        <v>3.7</v>
      </c>
      <c r="E314" s="36">
        <v>3.9</v>
      </c>
      <c r="F314" s="36">
        <v>137.55598618856351</v>
      </c>
      <c r="G314" s="36">
        <v>138.30000000000001</v>
      </c>
      <c r="H314" s="36">
        <v>121.7</v>
      </c>
      <c r="I314" s="38">
        <v>1.2932999999999999</v>
      </c>
      <c r="J314" s="36">
        <v>135.80000000000001</v>
      </c>
      <c r="K314" s="36">
        <v>134.69999999999999</v>
      </c>
      <c r="L314" s="22">
        <v>3.5249999999999999</v>
      </c>
      <c r="M314" s="18" t="e">
        <v>#N/A</v>
      </c>
      <c r="N314" s="18" t="e">
        <v>#N/A</v>
      </c>
      <c r="O314" s="18" t="e">
        <v>#N/A</v>
      </c>
      <c r="P314" s="18" t="e">
        <v>#N/A</v>
      </c>
      <c r="Q314" s="18" t="e">
        <v>#N/A</v>
      </c>
      <c r="R314" s="18" t="e">
        <v>#N/A</v>
      </c>
    </row>
    <row r="315" spans="1:18" x14ac:dyDescent="0.35">
      <c r="A315" t="s">
        <v>2026</v>
      </c>
      <c r="B315" s="18">
        <v>687</v>
      </c>
      <c r="C315" s="18">
        <v>701</v>
      </c>
      <c r="D315" s="36">
        <v>4.2</v>
      </c>
      <c r="E315" s="36">
        <v>4.4000000000000004</v>
      </c>
      <c r="F315" s="36">
        <v>137.67112378204996</v>
      </c>
      <c r="G315" s="36">
        <v>137.9</v>
      </c>
      <c r="H315" s="36">
        <v>124.6</v>
      </c>
      <c r="I315" s="38">
        <v>1.3218000000000001</v>
      </c>
      <c r="J315" s="36">
        <v>136.30000000000001</v>
      </c>
      <c r="K315" s="36">
        <v>135</v>
      </c>
      <c r="L315" s="22">
        <v>3.5430000000000001</v>
      </c>
      <c r="M315" s="18" t="e">
        <v>#N/A</v>
      </c>
      <c r="N315" s="18" t="e">
        <v>#N/A</v>
      </c>
      <c r="O315" s="18" t="e">
        <v>#N/A</v>
      </c>
      <c r="P315" s="18" t="e">
        <v>#N/A</v>
      </c>
      <c r="Q315" s="18" t="e">
        <v>#N/A</v>
      </c>
      <c r="R315" s="18" t="e">
        <v>#N/A</v>
      </c>
    </row>
    <row r="316" spans="1:18" x14ac:dyDescent="0.35">
      <c r="A316" t="s">
        <v>2027</v>
      </c>
      <c r="B316" s="18">
        <v>692</v>
      </c>
      <c r="C316" s="18">
        <v>708</v>
      </c>
      <c r="D316" s="36">
        <v>5.0999999999999996</v>
      </c>
      <c r="E316" s="36">
        <v>5.3</v>
      </c>
      <c r="F316" s="36">
        <v>138.12688770374808</v>
      </c>
      <c r="G316" s="36">
        <v>138.5</v>
      </c>
      <c r="H316" s="36">
        <v>126.9</v>
      </c>
      <c r="I316" s="38">
        <v>1.3045</v>
      </c>
      <c r="J316" s="36">
        <v>136.5</v>
      </c>
      <c r="K316" s="36">
        <v>134.80000000000001</v>
      </c>
      <c r="L316" s="22">
        <v>3.5110000000000001</v>
      </c>
      <c r="M316" s="18" t="e">
        <v>#N/A</v>
      </c>
      <c r="N316" s="18" t="e">
        <v>#N/A</v>
      </c>
      <c r="O316" s="18" t="e">
        <v>#N/A</v>
      </c>
      <c r="P316" s="18" t="e">
        <v>#N/A</v>
      </c>
      <c r="Q316" s="18" t="e">
        <v>#N/A</v>
      </c>
      <c r="R316" s="18" t="e">
        <v>#N/A</v>
      </c>
    </row>
    <row r="317" spans="1:18" x14ac:dyDescent="0.35">
      <c r="A317" t="s">
        <v>2028</v>
      </c>
      <c r="B317" s="18">
        <v>693</v>
      </c>
      <c r="C317" s="18">
        <v>705</v>
      </c>
      <c r="D317" s="36">
        <v>5.4</v>
      </c>
      <c r="E317" s="36">
        <v>5.5</v>
      </c>
      <c r="F317" s="36">
        <v>138.55929848396539</v>
      </c>
      <c r="G317" s="36">
        <v>138.30000000000001</v>
      </c>
      <c r="H317" s="36">
        <v>127.7</v>
      </c>
      <c r="I317" s="38">
        <v>1.2749999999999999</v>
      </c>
      <c r="J317" s="36">
        <v>137.1</v>
      </c>
      <c r="K317" s="36">
        <v>135.5</v>
      </c>
      <c r="L317" s="22">
        <v>3.6659999999999999</v>
      </c>
      <c r="M317" s="18">
        <v>59</v>
      </c>
      <c r="N317" s="18">
        <v>54</v>
      </c>
      <c r="O317" s="18">
        <v>54</v>
      </c>
      <c r="P317" s="18">
        <v>38</v>
      </c>
      <c r="Q317" s="18">
        <v>8</v>
      </c>
      <c r="R317" s="18">
        <v>3</v>
      </c>
    </row>
    <row r="318" spans="1:18" x14ac:dyDescent="0.35">
      <c r="A318" t="s">
        <v>2029</v>
      </c>
      <c r="B318" s="18">
        <v>699</v>
      </c>
      <c r="C318" s="18">
        <v>710</v>
      </c>
      <c r="D318" s="36">
        <v>6.1</v>
      </c>
      <c r="E318" s="36">
        <v>6</v>
      </c>
      <c r="F318" s="36">
        <v>138.97722036441837</v>
      </c>
      <c r="G318" s="36">
        <v>138.80000000000001</v>
      </c>
      <c r="H318" s="36">
        <v>127</v>
      </c>
      <c r="I318" s="38">
        <v>1.2646999999999999</v>
      </c>
      <c r="J318" s="36">
        <v>137.80000000000001</v>
      </c>
      <c r="K318" s="36">
        <v>135.4</v>
      </c>
      <c r="L318" s="22">
        <v>3.7930000000000001</v>
      </c>
      <c r="M318" s="18">
        <v>64</v>
      </c>
      <c r="N318" s="18">
        <v>54</v>
      </c>
      <c r="O318" s="18">
        <v>53</v>
      </c>
      <c r="P318" s="18">
        <v>41</v>
      </c>
      <c r="Q318" s="18">
        <v>7</v>
      </c>
      <c r="R318" s="18">
        <v>4</v>
      </c>
    </row>
    <row r="319" spans="1:18" x14ac:dyDescent="0.35">
      <c r="A319" t="s">
        <v>2030</v>
      </c>
      <c r="F319" s="36">
        <v>139.52035511142194</v>
      </c>
      <c r="G319" s="36">
        <v>138.5</v>
      </c>
      <c r="H319" s="36">
        <v>124.9</v>
      </c>
      <c r="I319" s="38">
        <v>1.2347999999999999</v>
      </c>
      <c r="J319" s="36">
        <v>139</v>
      </c>
      <c r="K319" s="36">
        <v>135.9</v>
      </c>
      <c r="L319" s="22">
        <v>3.9020000000000001</v>
      </c>
      <c r="M319" s="18">
        <v>63</v>
      </c>
      <c r="N319" s="18">
        <v>61</v>
      </c>
      <c r="O319" s="18">
        <v>54</v>
      </c>
      <c r="P319" s="18">
        <v>37</v>
      </c>
      <c r="Q319" s="18">
        <v>12</v>
      </c>
      <c r="R319" s="18">
        <v>3</v>
      </c>
    </row>
    <row r="320" spans="1:18" x14ac:dyDescent="0.35">
      <c r="A320" t="s">
        <v>2255</v>
      </c>
      <c r="I320" s="38">
        <v>1.2544999999999999</v>
      </c>
      <c r="L320" s="22">
        <v>3.96</v>
      </c>
    </row>
  </sheetData>
  <hyperlinks>
    <hyperlink ref="G1" r:id="rId1" xr:uid="{A49F33DB-A7C5-4564-8363-EA46688F7EC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43FB-3220-457F-A849-810EE14C20B9}">
  <dimension ref="A1:C39"/>
  <sheetViews>
    <sheetView workbookViewId="0">
      <pane xSplit="1" ySplit="6" topLeftCell="B32" activePane="bottomRight" state="frozen"/>
      <selection pane="topRight" activeCell="B1" sqref="B1"/>
      <selection pane="bottomLeft" activeCell="A7" sqref="A7"/>
      <selection pane="bottomRight" activeCell="B35" sqref="B35"/>
    </sheetView>
  </sheetViews>
  <sheetFormatPr defaultRowHeight="14.5" x14ac:dyDescent="0.35"/>
  <cols>
    <col min="2" max="2" width="20.7265625" customWidth="1"/>
    <col min="3" max="3" width="19.6328125" customWidth="1"/>
  </cols>
  <sheetData>
    <row r="1" spans="1:3" x14ac:dyDescent="0.35">
      <c r="A1" s="4" t="s">
        <v>2</v>
      </c>
      <c r="B1" s="21" t="s">
        <v>1998</v>
      </c>
      <c r="C1" s="21" t="s">
        <v>2195</v>
      </c>
    </row>
    <row r="2" spans="1:3" s="6" customFormat="1" ht="58" x14ac:dyDescent="0.35">
      <c r="A2" s="6" t="s">
        <v>8</v>
      </c>
      <c r="B2" s="6" t="s">
        <v>2002</v>
      </c>
      <c r="C2" s="6" t="s">
        <v>2200</v>
      </c>
    </row>
    <row r="3" spans="1:3" x14ac:dyDescent="0.35">
      <c r="A3" t="s">
        <v>7</v>
      </c>
      <c r="B3" t="s">
        <v>2001</v>
      </c>
      <c r="C3" t="s">
        <v>2199</v>
      </c>
    </row>
    <row r="4" spans="1:3" x14ac:dyDescent="0.35">
      <c r="A4" t="s">
        <v>6</v>
      </c>
      <c r="B4" t="s">
        <v>2000</v>
      </c>
      <c r="C4" t="s">
        <v>2198</v>
      </c>
    </row>
    <row r="5" spans="1:3" x14ac:dyDescent="0.35">
      <c r="A5" t="s">
        <v>5</v>
      </c>
      <c r="B5" t="s">
        <v>47</v>
      </c>
      <c r="C5" t="s">
        <v>2197</v>
      </c>
    </row>
    <row r="6" spans="1:3" x14ac:dyDescent="0.35">
      <c r="A6" t="s">
        <v>4</v>
      </c>
      <c r="B6" t="s">
        <v>1999</v>
      </c>
      <c r="C6" t="s">
        <v>2196</v>
      </c>
    </row>
    <row r="7" spans="1:3" x14ac:dyDescent="0.35">
      <c r="A7" t="s">
        <v>3</v>
      </c>
      <c r="B7" s="36">
        <v>1.7</v>
      </c>
      <c r="C7" s="37" t="e">
        <v>#N/A</v>
      </c>
    </row>
    <row r="8" spans="1:3" x14ac:dyDescent="0.35">
      <c r="A8" t="s">
        <v>9</v>
      </c>
      <c r="B8" s="36">
        <v>0.6</v>
      </c>
      <c r="C8" s="37" t="e">
        <v>#N/A</v>
      </c>
    </row>
    <row r="9" spans="1:3" x14ac:dyDescent="0.35">
      <c r="A9" t="s">
        <v>10</v>
      </c>
      <c r="B9" s="36">
        <v>0.6</v>
      </c>
      <c r="C9" s="37" t="e">
        <v>#N/A</v>
      </c>
    </row>
    <row r="10" spans="1:3" x14ac:dyDescent="0.35">
      <c r="A10" t="s">
        <v>11</v>
      </c>
      <c r="B10" s="36">
        <v>0.5</v>
      </c>
      <c r="C10" s="37" t="e">
        <v>#N/A</v>
      </c>
    </row>
    <row r="11" spans="1:3" x14ac:dyDescent="0.35">
      <c r="A11" t="s">
        <v>12</v>
      </c>
      <c r="B11" s="36">
        <v>0.6</v>
      </c>
      <c r="C11" s="37" t="e">
        <v>#N/A</v>
      </c>
    </row>
    <row r="12" spans="1:3" x14ac:dyDescent="0.35">
      <c r="A12" t="s">
        <v>13</v>
      </c>
      <c r="B12" s="36">
        <v>2.1</v>
      </c>
      <c r="C12" s="37" t="e">
        <v>#N/A</v>
      </c>
    </row>
    <row r="13" spans="1:3" x14ac:dyDescent="0.35">
      <c r="A13" t="s">
        <v>14</v>
      </c>
      <c r="B13" s="36">
        <v>2.8</v>
      </c>
      <c r="C13" s="37" t="e">
        <v>#N/A</v>
      </c>
    </row>
    <row r="14" spans="1:3" x14ac:dyDescent="0.35">
      <c r="A14" t="s">
        <v>15</v>
      </c>
      <c r="B14" s="36">
        <v>4.9000000000000004</v>
      </c>
      <c r="C14" s="37" t="e">
        <v>#N/A</v>
      </c>
    </row>
    <row r="15" spans="1:3" x14ac:dyDescent="0.35">
      <c r="A15" t="s">
        <v>16</v>
      </c>
      <c r="B15" s="36">
        <v>6.2</v>
      </c>
      <c r="C15" s="37" t="e">
        <v>#N/A</v>
      </c>
    </row>
    <row r="16" spans="1:3" x14ac:dyDescent="0.35">
      <c r="A16" t="s">
        <v>17</v>
      </c>
      <c r="B16" s="36">
        <v>9.1999999999999993</v>
      </c>
      <c r="C16" s="37" t="e">
        <v>#N/A</v>
      </c>
    </row>
    <row r="17" spans="1:3" x14ac:dyDescent="0.35">
      <c r="A17" t="s">
        <v>18</v>
      </c>
      <c r="B17" s="36">
        <v>10</v>
      </c>
      <c r="C17" s="37" t="e">
        <v>#N/A</v>
      </c>
    </row>
    <row r="18" spans="1:3" x14ac:dyDescent="0.35">
      <c r="A18" t="s">
        <v>19</v>
      </c>
      <c r="B18" s="36">
        <v>10.7</v>
      </c>
      <c r="C18" s="37" t="e">
        <v>#N/A</v>
      </c>
    </row>
    <row r="19" spans="1:3" x14ac:dyDescent="0.35">
      <c r="A19" t="s">
        <v>20</v>
      </c>
      <c r="B19" s="36">
        <v>10.199999999999999</v>
      </c>
      <c r="C19" s="37" t="e">
        <v>#N/A</v>
      </c>
    </row>
    <row r="20" spans="1:3" x14ac:dyDescent="0.35">
      <c r="A20" t="s">
        <v>21</v>
      </c>
      <c r="B20" s="36">
        <v>8.4</v>
      </c>
      <c r="C20" s="37" t="e">
        <v>#N/A</v>
      </c>
    </row>
    <row r="21" spans="1:3" x14ac:dyDescent="0.35">
      <c r="A21" t="s">
        <v>22</v>
      </c>
      <c r="B21" s="36">
        <v>6.7</v>
      </c>
      <c r="C21" s="37" t="e">
        <v>#N/A</v>
      </c>
    </row>
    <row r="22" spans="1:3" x14ac:dyDescent="0.35">
      <c r="A22" t="s">
        <v>23</v>
      </c>
      <c r="B22" s="36">
        <v>4.2</v>
      </c>
      <c r="C22" s="37" t="e">
        <v>#N/A</v>
      </c>
    </row>
    <row r="23" spans="1:3" x14ac:dyDescent="0.35">
      <c r="A23" t="s">
        <v>24</v>
      </c>
      <c r="B23" s="36">
        <v>3.5</v>
      </c>
      <c r="C23" s="37" t="e">
        <v>#N/A</v>
      </c>
    </row>
    <row r="24" spans="1:3" x14ac:dyDescent="0.35">
      <c r="A24" t="s">
        <v>25</v>
      </c>
      <c r="B24" s="36">
        <v>2.1</v>
      </c>
      <c r="C24" s="37" t="e">
        <v>#N/A</v>
      </c>
    </row>
    <row r="25" spans="1:3" x14ac:dyDescent="0.35">
      <c r="A25" t="s">
        <v>26</v>
      </c>
      <c r="B25" s="36">
        <v>2</v>
      </c>
      <c r="C25" s="37" t="e">
        <v>#N/A</v>
      </c>
    </row>
    <row r="26" spans="1:3" x14ac:dyDescent="0.35">
      <c r="A26" t="s">
        <v>27</v>
      </c>
      <c r="B26" s="36">
        <v>2.5</v>
      </c>
      <c r="C26" s="37">
        <v>2.4</v>
      </c>
    </row>
    <row r="27" spans="1:3" x14ac:dyDescent="0.35">
      <c r="A27" t="s">
        <v>28</v>
      </c>
      <c r="B27" s="36">
        <v>2.8</v>
      </c>
      <c r="C27" s="37">
        <v>2.4</v>
      </c>
    </row>
    <row r="28" spans="1:3" x14ac:dyDescent="0.35">
      <c r="A28" t="s">
        <v>29</v>
      </c>
      <c r="B28" s="36">
        <v>3.5</v>
      </c>
      <c r="C28" s="37">
        <v>2.6</v>
      </c>
    </row>
    <row r="29" spans="1:3" x14ac:dyDescent="0.35">
      <c r="A29" t="s">
        <v>30</v>
      </c>
      <c r="B29" s="36">
        <v>3.7</v>
      </c>
      <c r="C29" s="37">
        <v>2.8</v>
      </c>
    </row>
    <row r="30" spans="1:3" x14ac:dyDescent="0.35">
      <c r="A30" t="s">
        <v>31</v>
      </c>
      <c r="B30" s="36">
        <v>3.5</v>
      </c>
      <c r="C30" s="37">
        <v>2.7</v>
      </c>
    </row>
    <row r="31" spans="1:3" x14ac:dyDescent="0.35">
      <c r="A31" t="s">
        <v>32</v>
      </c>
      <c r="B31" s="36">
        <v>3</v>
      </c>
      <c r="C31" s="37">
        <v>2.6</v>
      </c>
    </row>
    <row r="32" spans="1:3" x14ac:dyDescent="0.35">
      <c r="A32" t="s">
        <v>33</v>
      </c>
      <c r="B32" s="36">
        <v>2.6</v>
      </c>
      <c r="C32" s="37">
        <v>2.4</v>
      </c>
    </row>
    <row r="33" spans="1:3" x14ac:dyDescent="0.35">
      <c r="A33" t="s">
        <v>34</v>
      </c>
      <c r="B33" s="36">
        <v>2.6</v>
      </c>
      <c r="C33" s="37">
        <v>2.2999999999999998</v>
      </c>
    </row>
    <row r="34" spans="1:3" x14ac:dyDescent="0.35">
      <c r="A34" t="s">
        <v>35</v>
      </c>
      <c r="B34" s="36">
        <v>2.4</v>
      </c>
      <c r="C34" s="37">
        <v>2.2000000000000002</v>
      </c>
    </row>
    <row r="35" spans="1:3" x14ac:dyDescent="0.35">
      <c r="A35" t="s">
        <v>2003</v>
      </c>
      <c r="B35" s="36">
        <v>2.2999999999999998</v>
      </c>
      <c r="C35" s="37">
        <v>2.1</v>
      </c>
    </row>
    <row r="36" spans="1:3" x14ac:dyDescent="0.35">
      <c r="A36" t="s">
        <v>2004</v>
      </c>
      <c r="B36" s="36">
        <v>2.2000000000000002</v>
      </c>
      <c r="C36" s="37">
        <v>1.9</v>
      </c>
    </row>
    <row r="37" spans="1:3" x14ac:dyDescent="0.35">
      <c r="A37" t="s">
        <v>2005</v>
      </c>
      <c r="B37" s="36">
        <v>2.1</v>
      </c>
      <c r="C37" s="37">
        <v>1.9</v>
      </c>
    </row>
    <row r="38" spans="1:3" x14ac:dyDescent="0.35">
      <c r="A38" t="s">
        <v>2006</v>
      </c>
      <c r="B38" s="36">
        <v>2</v>
      </c>
      <c r="C38" s="37">
        <v>1.8</v>
      </c>
    </row>
    <row r="39" spans="1:3" x14ac:dyDescent="0.35">
      <c r="A39" t="s">
        <v>2007</v>
      </c>
      <c r="B39" s="36">
        <v>1.9</v>
      </c>
    </row>
  </sheetData>
  <hyperlinks>
    <hyperlink ref="B1" r:id="rId1" xr:uid="{97622DBE-7AF9-4D28-A479-EDCD5F1959EC}"/>
    <hyperlink ref="C1" r:id="rId2" xr:uid="{0251BBF8-47C9-42AC-8145-FADF441B5AF0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6664-A2A9-4F69-AB8D-E25E64A95078}">
  <dimension ref="A1:N60"/>
  <sheetViews>
    <sheetView topLeftCell="A3" workbookViewId="0">
      <selection activeCell="F16" sqref="F16:F17"/>
    </sheetView>
  </sheetViews>
  <sheetFormatPr defaultColWidth="9.1796875" defaultRowHeight="14" x14ac:dyDescent="0.3"/>
  <cols>
    <col min="1" max="1" width="22.81640625" style="8" customWidth="1"/>
    <col min="2" max="6" width="14.54296875" style="8" customWidth="1"/>
    <col min="7" max="7" width="5.1796875" style="8" customWidth="1"/>
    <col min="8" max="13" width="14.54296875" style="8" customWidth="1"/>
    <col min="14" max="16384" width="9.1796875" style="8"/>
  </cols>
  <sheetData>
    <row r="1" spans="1:14" x14ac:dyDescent="0.3">
      <c r="A1" s="7" t="s">
        <v>36</v>
      </c>
    </row>
    <row r="2" spans="1:14" x14ac:dyDescent="0.3">
      <c r="A2" s="9"/>
    </row>
    <row r="3" spans="1:14" x14ac:dyDescent="0.3">
      <c r="A3" s="10" t="s">
        <v>1987</v>
      </c>
    </row>
    <row r="4" spans="1:14" x14ac:dyDescent="0.3">
      <c r="A4" s="10"/>
    </row>
    <row r="5" spans="1:14" x14ac:dyDescent="0.3">
      <c r="B5" s="42" t="s">
        <v>1988</v>
      </c>
      <c r="C5" s="42"/>
      <c r="D5" s="42"/>
      <c r="E5" s="42"/>
      <c r="F5" s="42"/>
      <c r="H5" s="42" t="s">
        <v>1989</v>
      </c>
      <c r="I5" s="42"/>
      <c r="J5" s="42"/>
      <c r="K5" s="42"/>
      <c r="L5" s="42"/>
      <c r="M5" s="42"/>
    </row>
    <row r="6" spans="1:14" ht="33" customHeight="1" x14ac:dyDescent="0.3">
      <c r="A6" s="11" t="s">
        <v>37</v>
      </c>
      <c r="B6" s="12" t="s">
        <v>1990</v>
      </c>
      <c r="C6" s="12" t="s">
        <v>1991</v>
      </c>
      <c r="D6" s="12" t="s">
        <v>38</v>
      </c>
      <c r="E6" s="12" t="s">
        <v>39</v>
      </c>
      <c r="F6" s="12" t="s">
        <v>40</v>
      </c>
      <c r="H6" s="12" t="s">
        <v>1990</v>
      </c>
      <c r="I6" s="12" t="s">
        <v>1991</v>
      </c>
      <c r="J6" s="12" t="s">
        <v>38</v>
      </c>
      <c r="K6" s="12" t="s">
        <v>39</v>
      </c>
      <c r="L6" s="12" t="s">
        <v>40</v>
      </c>
      <c r="M6" s="12" t="s">
        <v>41</v>
      </c>
    </row>
    <row r="7" spans="1:14" x14ac:dyDescent="0.3">
      <c r="A7" s="13">
        <v>44227</v>
      </c>
      <c r="B7" s="14">
        <v>-0.1</v>
      </c>
      <c r="C7" s="14">
        <v>-0.3</v>
      </c>
      <c r="D7" s="14">
        <v>-0.3</v>
      </c>
      <c r="E7" s="14">
        <v>0.4</v>
      </c>
      <c r="F7" s="14">
        <v>0.8</v>
      </c>
      <c r="H7" s="14">
        <v>-0.7</v>
      </c>
      <c r="I7" s="14">
        <v>-8.4</v>
      </c>
      <c r="J7" s="14">
        <v>-8.1999999999999993</v>
      </c>
      <c r="K7" s="14">
        <v>1.4</v>
      </c>
      <c r="L7" s="14">
        <v>1.7</v>
      </c>
      <c r="M7" s="14">
        <v>0.7</v>
      </c>
      <c r="N7" s="15"/>
    </row>
    <row r="8" spans="1:14" x14ac:dyDescent="0.3">
      <c r="A8" s="13">
        <v>44255</v>
      </c>
      <c r="B8" s="14">
        <v>0</v>
      </c>
      <c r="C8" s="14">
        <v>-0.3</v>
      </c>
      <c r="D8" s="14">
        <v>-0.1</v>
      </c>
      <c r="E8" s="14">
        <v>0.1</v>
      </c>
      <c r="F8" s="14">
        <v>0.7</v>
      </c>
      <c r="H8" s="14">
        <v>-0.6</v>
      </c>
      <c r="I8" s="14">
        <v>-7.9</v>
      </c>
      <c r="J8" s="14">
        <v>-3.5</v>
      </c>
      <c r="K8" s="14">
        <v>0.5</v>
      </c>
      <c r="L8" s="14">
        <v>1.5</v>
      </c>
      <c r="M8" s="14">
        <v>0.4</v>
      </c>
      <c r="N8" s="15"/>
    </row>
    <row r="9" spans="1:14" x14ac:dyDescent="0.3">
      <c r="A9" s="13">
        <v>44286</v>
      </c>
      <c r="B9" s="14">
        <v>-0.1</v>
      </c>
      <c r="C9" s="14">
        <v>-0.2</v>
      </c>
      <c r="D9" s="14">
        <v>0.1</v>
      </c>
      <c r="E9" s="14">
        <v>0.3</v>
      </c>
      <c r="F9" s="14">
        <v>0.7</v>
      </c>
      <c r="H9" s="14">
        <v>-1.4</v>
      </c>
      <c r="I9" s="14">
        <v>-7.3</v>
      </c>
      <c r="J9" s="14">
        <v>3.5</v>
      </c>
      <c r="K9" s="14">
        <v>0.9</v>
      </c>
      <c r="L9" s="14">
        <v>1.5</v>
      </c>
      <c r="M9" s="14">
        <v>0.7</v>
      </c>
      <c r="N9" s="15"/>
    </row>
    <row r="10" spans="1:14" x14ac:dyDescent="0.3">
      <c r="A10" s="13">
        <v>44316</v>
      </c>
      <c r="B10" s="14">
        <v>0</v>
      </c>
      <c r="C10" s="14">
        <v>0.1</v>
      </c>
      <c r="D10" s="14">
        <v>0.4</v>
      </c>
      <c r="E10" s="14">
        <v>0.4</v>
      </c>
      <c r="F10" s="14">
        <v>0.7</v>
      </c>
      <c r="H10" s="14">
        <v>-0.4</v>
      </c>
      <c r="I10" s="14">
        <v>2.4</v>
      </c>
      <c r="J10" s="14">
        <v>13.6</v>
      </c>
      <c r="K10" s="14">
        <v>1.2</v>
      </c>
      <c r="L10" s="14">
        <v>1.6</v>
      </c>
      <c r="M10" s="14">
        <v>1.5</v>
      </c>
      <c r="N10" s="15"/>
    </row>
    <row r="11" spans="1:14" x14ac:dyDescent="0.3">
      <c r="A11" s="13">
        <v>44347</v>
      </c>
      <c r="B11" s="14">
        <v>-0.1</v>
      </c>
      <c r="C11" s="14">
        <v>0.1</v>
      </c>
      <c r="D11" s="14">
        <v>0.5</v>
      </c>
      <c r="E11" s="14">
        <v>0.8</v>
      </c>
      <c r="F11" s="14">
        <v>0.9</v>
      </c>
      <c r="H11" s="14">
        <v>-1.3</v>
      </c>
      <c r="I11" s="14">
        <v>2.6</v>
      </c>
      <c r="J11" s="14">
        <v>17.899999999999999</v>
      </c>
      <c r="K11" s="14">
        <v>2.2000000000000002</v>
      </c>
      <c r="L11" s="14">
        <v>1.9</v>
      </c>
      <c r="M11" s="14">
        <v>2.1</v>
      </c>
      <c r="N11" s="15"/>
    </row>
    <row r="12" spans="1:14" x14ac:dyDescent="0.3">
      <c r="A12" s="13">
        <v>44377</v>
      </c>
      <c r="B12" s="14">
        <v>0</v>
      </c>
      <c r="C12" s="14">
        <v>0.1</v>
      </c>
      <c r="D12" s="14">
        <v>0.5</v>
      </c>
      <c r="E12" s="14">
        <v>1</v>
      </c>
      <c r="F12" s="14">
        <v>0.9</v>
      </c>
      <c r="H12" s="14">
        <v>-0.6</v>
      </c>
      <c r="I12" s="14">
        <v>2.5</v>
      </c>
      <c r="J12" s="14">
        <v>20.3</v>
      </c>
      <c r="K12" s="14">
        <v>2.7</v>
      </c>
      <c r="L12" s="14">
        <v>2.1</v>
      </c>
      <c r="M12" s="14">
        <v>2.5</v>
      </c>
      <c r="N12" s="15"/>
    </row>
    <row r="13" spans="1:14" x14ac:dyDescent="0.3">
      <c r="A13" s="13">
        <v>44408</v>
      </c>
      <c r="B13" s="14">
        <v>-0.1</v>
      </c>
      <c r="C13" s="14">
        <v>0.1</v>
      </c>
      <c r="D13" s="14">
        <v>0.5</v>
      </c>
      <c r="E13" s="14">
        <v>0.8</v>
      </c>
      <c r="F13" s="14">
        <v>0.7</v>
      </c>
      <c r="H13" s="14">
        <v>-0.6</v>
      </c>
      <c r="I13" s="14">
        <v>2.6</v>
      </c>
      <c r="J13" s="14">
        <v>17.7</v>
      </c>
      <c r="K13" s="14">
        <v>2.2999999999999998</v>
      </c>
      <c r="L13" s="14">
        <v>1.6</v>
      </c>
      <c r="M13" s="14">
        <v>2</v>
      </c>
      <c r="N13" s="15"/>
    </row>
    <row r="14" spans="1:14" x14ac:dyDescent="0.3">
      <c r="A14" s="13">
        <v>44439</v>
      </c>
      <c r="B14" s="14">
        <v>0.1</v>
      </c>
      <c r="C14" s="14">
        <v>0.1</v>
      </c>
      <c r="D14" s="14">
        <v>0.5</v>
      </c>
      <c r="E14" s="14">
        <v>1.2</v>
      </c>
      <c r="F14" s="14">
        <v>1.4</v>
      </c>
      <c r="H14" s="14">
        <v>0.3</v>
      </c>
      <c r="I14" s="14">
        <v>2.6</v>
      </c>
      <c r="J14" s="14">
        <v>17.7</v>
      </c>
      <c r="K14" s="14">
        <v>3.2</v>
      </c>
      <c r="L14" s="14">
        <v>3</v>
      </c>
      <c r="M14" s="14">
        <v>3.2</v>
      </c>
      <c r="N14" s="15"/>
    </row>
    <row r="15" spans="1:14" x14ac:dyDescent="0.3">
      <c r="A15" s="13">
        <v>44469</v>
      </c>
      <c r="B15" s="14">
        <v>0.1</v>
      </c>
      <c r="C15" s="14">
        <v>0.1</v>
      </c>
      <c r="D15" s="14">
        <v>0.5</v>
      </c>
      <c r="E15" s="14">
        <v>1.3</v>
      </c>
      <c r="F15" s="14">
        <v>1.1000000000000001</v>
      </c>
      <c r="H15" s="14">
        <v>0.8</v>
      </c>
      <c r="I15" s="14">
        <v>2.8</v>
      </c>
      <c r="J15" s="14">
        <v>17.8</v>
      </c>
      <c r="K15" s="14">
        <v>3.3</v>
      </c>
      <c r="L15" s="14">
        <v>2.6</v>
      </c>
      <c r="M15" s="14">
        <v>3.1</v>
      </c>
      <c r="N15" s="15"/>
    </row>
    <row r="16" spans="1:14" x14ac:dyDescent="0.3">
      <c r="A16" s="13">
        <v>44500</v>
      </c>
      <c r="B16" s="14">
        <v>0.2</v>
      </c>
      <c r="C16" s="14">
        <v>0.8</v>
      </c>
      <c r="D16" s="14">
        <v>0.6</v>
      </c>
      <c r="E16" s="14">
        <v>1.3</v>
      </c>
      <c r="F16" s="14">
        <v>1.4</v>
      </c>
      <c r="H16" s="14">
        <v>1.2</v>
      </c>
      <c r="I16" s="14">
        <v>22.9</v>
      </c>
      <c r="J16" s="14">
        <v>21.5</v>
      </c>
      <c r="K16" s="14">
        <v>3.4</v>
      </c>
      <c r="L16" s="14">
        <v>3.2</v>
      </c>
      <c r="M16" s="14">
        <v>4.2</v>
      </c>
      <c r="N16" s="15"/>
    </row>
    <row r="17" spans="1:14" x14ac:dyDescent="0.3">
      <c r="A17" s="13">
        <v>44530</v>
      </c>
      <c r="B17" s="14">
        <v>0.3</v>
      </c>
      <c r="C17" s="14">
        <v>0.8</v>
      </c>
      <c r="D17" s="14">
        <v>0.7</v>
      </c>
      <c r="E17" s="14">
        <v>1.9</v>
      </c>
      <c r="F17" s="14">
        <v>1.5</v>
      </c>
      <c r="H17" s="14">
        <v>2.5</v>
      </c>
      <c r="I17" s="14">
        <v>23.2</v>
      </c>
      <c r="J17" s="14">
        <v>28.5</v>
      </c>
      <c r="K17" s="14">
        <v>4.8</v>
      </c>
      <c r="L17" s="14">
        <v>3.3</v>
      </c>
      <c r="M17" s="14">
        <v>5.0999999999999996</v>
      </c>
      <c r="N17" s="15"/>
    </row>
    <row r="18" spans="1:14" x14ac:dyDescent="0.3">
      <c r="A18" s="13">
        <v>44561</v>
      </c>
      <c r="B18" s="14">
        <v>0.5</v>
      </c>
      <c r="C18" s="14">
        <v>0.7</v>
      </c>
      <c r="D18" s="14">
        <v>0.7</v>
      </c>
      <c r="E18" s="14">
        <v>2</v>
      </c>
      <c r="F18" s="14">
        <v>1.5</v>
      </c>
      <c r="H18" s="14">
        <v>4.2</v>
      </c>
      <c r="I18" s="14">
        <v>22.7</v>
      </c>
      <c r="J18" s="14">
        <v>26.8</v>
      </c>
      <c r="K18" s="14">
        <v>5</v>
      </c>
      <c r="L18" s="14">
        <v>3.4</v>
      </c>
      <c r="M18" s="14">
        <v>5.4</v>
      </c>
      <c r="N18" s="15"/>
    </row>
    <row r="19" spans="1:14" x14ac:dyDescent="0.3">
      <c r="A19" s="13">
        <v>44592</v>
      </c>
      <c r="B19" s="14">
        <v>0.5</v>
      </c>
      <c r="C19" s="14">
        <v>0.8</v>
      </c>
      <c r="D19" s="14">
        <v>0.6</v>
      </c>
      <c r="E19" s="14">
        <v>2.2000000000000002</v>
      </c>
      <c r="F19" s="14">
        <v>1.4</v>
      </c>
      <c r="H19" s="14">
        <v>4.3</v>
      </c>
      <c r="I19" s="14">
        <v>22.9</v>
      </c>
      <c r="J19" s="14">
        <v>23.6</v>
      </c>
      <c r="K19" s="14">
        <v>5.5</v>
      </c>
      <c r="L19" s="14">
        <v>3.2</v>
      </c>
      <c r="M19" s="14">
        <v>5.5</v>
      </c>
      <c r="N19" s="15"/>
    </row>
    <row r="20" spans="1:14" x14ac:dyDescent="0.3">
      <c r="A20" s="13">
        <v>44620</v>
      </c>
      <c r="B20" s="14">
        <v>0.6</v>
      </c>
      <c r="C20" s="14">
        <v>0.8</v>
      </c>
      <c r="D20" s="14">
        <v>0.6</v>
      </c>
      <c r="E20" s="14">
        <v>2.7</v>
      </c>
      <c r="F20" s="14">
        <v>1.5</v>
      </c>
      <c r="H20" s="14">
        <v>5.0999999999999996</v>
      </c>
      <c r="I20" s="14">
        <v>23.1</v>
      </c>
      <c r="J20" s="14">
        <v>22.3</v>
      </c>
      <c r="K20" s="14">
        <v>6.9</v>
      </c>
      <c r="L20" s="14">
        <v>3.5</v>
      </c>
      <c r="M20" s="14">
        <v>6.2</v>
      </c>
      <c r="N20" s="15"/>
    </row>
    <row r="21" spans="1:14" x14ac:dyDescent="0.3">
      <c r="A21" s="13">
        <v>44651</v>
      </c>
      <c r="B21" s="14">
        <v>0.7</v>
      </c>
      <c r="C21" s="14">
        <v>0.8</v>
      </c>
      <c r="D21" s="14">
        <v>0.9</v>
      </c>
      <c r="E21" s="14">
        <v>2.9</v>
      </c>
      <c r="F21" s="14">
        <v>1.8</v>
      </c>
      <c r="H21" s="14">
        <v>5.9</v>
      </c>
      <c r="I21" s="14">
        <v>24.8</v>
      </c>
      <c r="J21" s="14">
        <v>30.7</v>
      </c>
      <c r="K21" s="14">
        <v>7.5</v>
      </c>
      <c r="L21" s="14">
        <v>4</v>
      </c>
      <c r="M21" s="14">
        <v>7</v>
      </c>
      <c r="N21" s="15"/>
    </row>
    <row r="22" spans="1:14" x14ac:dyDescent="0.3">
      <c r="A22" s="13">
        <v>44681</v>
      </c>
      <c r="B22" s="14">
        <v>0.8</v>
      </c>
      <c r="C22" s="14">
        <v>2.2999999999999998</v>
      </c>
      <c r="D22" s="14">
        <v>0.9</v>
      </c>
      <c r="E22" s="14">
        <v>2.9</v>
      </c>
      <c r="F22" s="14">
        <v>2.1</v>
      </c>
      <c r="H22" s="14">
        <v>6.7</v>
      </c>
      <c r="I22" s="14">
        <v>69.599999999999994</v>
      </c>
      <c r="J22" s="14">
        <v>31.4</v>
      </c>
      <c r="K22" s="14">
        <v>7.6</v>
      </c>
      <c r="L22" s="14">
        <v>4.7</v>
      </c>
      <c r="M22" s="14">
        <v>9</v>
      </c>
      <c r="N22" s="15"/>
    </row>
    <row r="23" spans="1:14" x14ac:dyDescent="0.3">
      <c r="A23" s="13">
        <v>44712</v>
      </c>
      <c r="B23" s="14">
        <v>1</v>
      </c>
      <c r="C23" s="14">
        <v>2.2999999999999998</v>
      </c>
      <c r="D23" s="14">
        <v>0.9</v>
      </c>
      <c r="E23" s="14">
        <v>2.7</v>
      </c>
      <c r="F23" s="14">
        <v>2.1</v>
      </c>
      <c r="H23" s="14">
        <v>8.6</v>
      </c>
      <c r="I23" s="14">
        <v>69.900000000000006</v>
      </c>
      <c r="J23" s="14">
        <v>32.799999999999997</v>
      </c>
      <c r="K23" s="14">
        <v>6.9</v>
      </c>
      <c r="L23" s="14">
        <v>4.9000000000000004</v>
      </c>
      <c r="M23" s="14">
        <v>9.1</v>
      </c>
      <c r="N23" s="15"/>
    </row>
    <row r="24" spans="1:14" x14ac:dyDescent="0.3">
      <c r="A24" s="13">
        <v>44742</v>
      </c>
      <c r="B24" s="14">
        <v>1.1000000000000001</v>
      </c>
      <c r="C24" s="14">
        <v>2.2999999999999998</v>
      </c>
      <c r="D24" s="14">
        <v>1.2</v>
      </c>
      <c r="E24" s="14">
        <v>2.4</v>
      </c>
      <c r="F24" s="14">
        <v>2.2999999999999998</v>
      </c>
      <c r="H24" s="14">
        <v>9.8000000000000007</v>
      </c>
      <c r="I24" s="14">
        <v>70.2</v>
      </c>
      <c r="J24" s="14">
        <v>42.3</v>
      </c>
      <c r="K24" s="14">
        <v>6.3</v>
      </c>
      <c r="L24" s="14">
        <v>5.2</v>
      </c>
      <c r="M24" s="14">
        <v>9.4</v>
      </c>
      <c r="N24" s="15"/>
    </row>
    <row r="25" spans="1:14" x14ac:dyDescent="0.3">
      <c r="A25" s="13">
        <v>44773</v>
      </c>
      <c r="B25" s="14">
        <v>1.4</v>
      </c>
      <c r="C25" s="14">
        <v>2.2999999999999998</v>
      </c>
      <c r="D25" s="14">
        <v>1.3</v>
      </c>
      <c r="E25" s="14">
        <v>2.5</v>
      </c>
      <c r="F25" s="14">
        <v>2.5</v>
      </c>
      <c r="H25" s="14">
        <v>12.6</v>
      </c>
      <c r="I25" s="14">
        <v>70.3</v>
      </c>
      <c r="J25" s="14">
        <v>43.7</v>
      </c>
      <c r="K25" s="14">
        <v>6.5</v>
      </c>
      <c r="L25" s="14">
        <v>5.7</v>
      </c>
      <c r="M25" s="14">
        <v>10.1</v>
      </c>
      <c r="N25" s="15"/>
    </row>
    <row r="26" spans="1:14" x14ac:dyDescent="0.3">
      <c r="A26" s="13">
        <v>44804</v>
      </c>
      <c r="B26" s="14">
        <v>1.5</v>
      </c>
      <c r="C26" s="14">
        <v>2.2999999999999998</v>
      </c>
      <c r="D26" s="14">
        <v>1</v>
      </c>
      <c r="E26" s="14">
        <v>2.5</v>
      </c>
      <c r="F26" s="14">
        <v>2.6</v>
      </c>
      <c r="H26" s="14">
        <v>13.1</v>
      </c>
      <c r="I26" s="14">
        <v>69.7</v>
      </c>
      <c r="J26" s="14">
        <v>32.1</v>
      </c>
      <c r="K26" s="14">
        <v>6.5</v>
      </c>
      <c r="L26" s="14">
        <v>5.9</v>
      </c>
      <c r="M26" s="14">
        <v>9.9</v>
      </c>
      <c r="N26" s="15"/>
    </row>
    <row r="27" spans="1:14" x14ac:dyDescent="0.3">
      <c r="A27" s="13">
        <v>44834</v>
      </c>
      <c r="B27" s="14">
        <v>1.7</v>
      </c>
      <c r="C27" s="14">
        <v>2.2999999999999998</v>
      </c>
      <c r="D27" s="14">
        <v>0.8</v>
      </c>
      <c r="E27" s="14">
        <v>2.6</v>
      </c>
      <c r="F27" s="14">
        <v>2.7</v>
      </c>
      <c r="H27" s="14">
        <v>14.5</v>
      </c>
      <c r="I27" s="14">
        <v>70.099999999999994</v>
      </c>
      <c r="J27" s="14">
        <v>26.5</v>
      </c>
      <c r="K27" s="14">
        <v>6.8</v>
      </c>
      <c r="L27" s="14">
        <v>6.1</v>
      </c>
      <c r="M27" s="14">
        <v>10.1</v>
      </c>
      <c r="N27" s="15"/>
    </row>
    <row r="28" spans="1:14" x14ac:dyDescent="0.3">
      <c r="A28" s="13">
        <v>44865</v>
      </c>
      <c r="B28" s="14">
        <v>1.8</v>
      </c>
      <c r="C28" s="14">
        <v>3.2</v>
      </c>
      <c r="D28" s="14">
        <v>0.7</v>
      </c>
      <c r="E28" s="14">
        <v>2.5</v>
      </c>
      <c r="F28" s="14">
        <v>2.8</v>
      </c>
      <c r="H28" s="14">
        <v>16.2</v>
      </c>
      <c r="I28" s="14">
        <v>89.7</v>
      </c>
      <c r="J28" s="14">
        <v>22.2</v>
      </c>
      <c r="K28" s="14">
        <v>6.6</v>
      </c>
      <c r="L28" s="14">
        <v>6.3</v>
      </c>
      <c r="M28" s="14">
        <v>11.1</v>
      </c>
      <c r="N28" s="15"/>
    </row>
    <row r="29" spans="1:14" x14ac:dyDescent="0.3">
      <c r="A29" s="13">
        <v>44895</v>
      </c>
      <c r="B29" s="14">
        <v>1.9</v>
      </c>
      <c r="C29" s="14">
        <v>3.2</v>
      </c>
      <c r="D29" s="14">
        <v>0.5</v>
      </c>
      <c r="E29" s="14">
        <v>2.2999999999999998</v>
      </c>
      <c r="F29" s="14">
        <v>2.8</v>
      </c>
      <c r="H29" s="14">
        <v>16.399999999999999</v>
      </c>
      <c r="I29" s="14">
        <v>89</v>
      </c>
      <c r="J29" s="14">
        <v>17.2</v>
      </c>
      <c r="K29" s="14">
        <v>6</v>
      </c>
      <c r="L29" s="14">
        <v>6.3</v>
      </c>
      <c r="M29" s="14">
        <v>10.7</v>
      </c>
      <c r="N29" s="15"/>
    </row>
    <row r="30" spans="1:14" x14ac:dyDescent="0.3">
      <c r="A30" s="13">
        <v>44926</v>
      </c>
      <c r="B30" s="14">
        <v>1.9</v>
      </c>
      <c r="C30" s="14">
        <v>3.2</v>
      </c>
      <c r="D30" s="14">
        <v>0.4</v>
      </c>
      <c r="E30" s="14">
        <v>2.1</v>
      </c>
      <c r="F30" s="14">
        <v>3</v>
      </c>
      <c r="H30" s="14">
        <v>16.8</v>
      </c>
      <c r="I30" s="14">
        <v>88.7</v>
      </c>
      <c r="J30" s="14">
        <v>11.5</v>
      </c>
      <c r="K30" s="14">
        <v>5.5</v>
      </c>
      <c r="L30" s="14">
        <v>6.8</v>
      </c>
      <c r="M30" s="14">
        <v>10.5</v>
      </c>
      <c r="N30" s="15"/>
    </row>
    <row r="31" spans="1:14" x14ac:dyDescent="0.3">
      <c r="A31" s="13">
        <v>44957</v>
      </c>
      <c r="B31" s="14">
        <v>1.9</v>
      </c>
      <c r="C31" s="14">
        <v>3.2</v>
      </c>
      <c r="D31" s="14">
        <v>0.2</v>
      </c>
      <c r="E31" s="14">
        <v>2.1</v>
      </c>
      <c r="F31" s="14">
        <v>2.6</v>
      </c>
      <c r="H31" s="14">
        <v>16.7</v>
      </c>
      <c r="I31" s="14">
        <v>89.5</v>
      </c>
      <c r="J31" s="14">
        <v>7.7</v>
      </c>
      <c r="K31" s="14">
        <v>5.5</v>
      </c>
      <c r="L31" s="14">
        <v>6</v>
      </c>
      <c r="M31" s="14">
        <v>10.1</v>
      </c>
      <c r="N31" s="15"/>
    </row>
    <row r="32" spans="1:14" x14ac:dyDescent="0.3">
      <c r="A32" s="13">
        <v>44985</v>
      </c>
      <c r="B32" s="14">
        <v>2.1</v>
      </c>
      <c r="C32" s="14">
        <v>3.2</v>
      </c>
      <c r="D32" s="14">
        <v>0.1</v>
      </c>
      <c r="E32" s="14">
        <v>2.1</v>
      </c>
      <c r="F32" s="14">
        <v>2.9</v>
      </c>
      <c r="H32" s="14">
        <v>18</v>
      </c>
      <c r="I32" s="14">
        <v>88.6</v>
      </c>
      <c r="J32" s="14">
        <v>4.5999999999999996</v>
      </c>
      <c r="K32" s="14">
        <v>5.7</v>
      </c>
      <c r="L32" s="14">
        <v>6.6</v>
      </c>
      <c r="M32" s="14">
        <v>10.4</v>
      </c>
      <c r="N32" s="15"/>
    </row>
    <row r="33" spans="1:14" x14ac:dyDescent="0.3">
      <c r="A33" s="13">
        <v>45016</v>
      </c>
      <c r="B33" s="14">
        <v>2.2000000000000002</v>
      </c>
      <c r="C33" s="14">
        <v>3.1</v>
      </c>
      <c r="D33" s="14">
        <v>-0.2</v>
      </c>
      <c r="E33" s="14">
        <v>2.1</v>
      </c>
      <c r="F33" s="14">
        <v>2.9</v>
      </c>
      <c r="H33" s="14">
        <v>19.100000000000001</v>
      </c>
      <c r="I33" s="14">
        <v>85.6</v>
      </c>
      <c r="J33" s="14">
        <v>-5.9</v>
      </c>
      <c r="K33" s="14">
        <v>5.6</v>
      </c>
      <c r="L33" s="14">
        <v>6.6</v>
      </c>
      <c r="M33" s="14">
        <v>10.1</v>
      </c>
      <c r="N33" s="15"/>
    </row>
    <row r="34" spans="1:14" x14ac:dyDescent="0.3">
      <c r="A34" s="13">
        <v>45046</v>
      </c>
      <c r="B34" s="14">
        <v>2.1</v>
      </c>
      <c r="C34" s="14">
        <v>1.3</v>
      </c>
      <c r="D34" s="14">
        <v>-0.3</v>
      </c>
      <c r="E34" s="14">
        <v>2.5</v>
      </c>
      <c r="F34" s="14">
        <v>3.1</v>
      </c>
      <c r="H34" s="14">
        <v>19</v>
      </c>
      <c r="I34" s="14">
        <v>24.3</v>
      </c>
      <c r="J34" s="14">
        <v>-8.9</v>
      </c>
      <c r="K34" s="14">
        <v>6.9</v>
      </c>
      <c r="L34" s="14">
        <v>6.9</v>
      </c>
      <c r="M34" s="14">
        <v>8.6999999999999993</v>
      </c>
      <c r="N34" s="15"/>
    </row>
    <row r="35" spans="1:14" x14ac:dyDescent="0.3">
      <c r="A35" s="13">
        <v>45077</v>
      </c>
      <c r="B35" s="14">
        <v>2.1</v>
      </c>
      <c r="C35" s="14">
        <v>1.2</v>
      </c>
      <c r="D35" s="14">
        <v>-0.5</v>
      </c>
      <c r="E35" s="14">
        <v>2.5</v>
      </c>
      <c r="F35" s="14">
        <v>3.3</v>
      </c>
      <c r="H35" s="14">
        <v>18.3</v>
      </c>
      <c r="I35" s="14">
        <v>23.7</v>
      </c>
      <c r="J35" s="14">
        <v>-13.1</v>
      </c>
      <c r="K35" s="14">
        <v>7.1</v>
      </c>
      <c r="L35" s="14">
        <v>7.4</v>
      </c>
      <c r="M35" s="14">
        <v>8.6999999999999993</v>
      </c>
      <c r="N35" s="15"/>
    </row>
    <row r="36" spans="1:14" x14ac:dyDescent="0.3">
      <c r="A36" s="13">
        <v>45107</v>
      </c>
      <c r="B36" s="14">
        <v>2</v>
      </c>
      <c r="C36" s="14">
        <v>1.2</v>
      </c>
      <c r="D36" s="14">
        <v>-0.9</v>
      </c>
      <c r="E36" s="14">
        <v>2.4</v>
      </c>
      <c r="F36" s="14">
        <v>3.2</v>
      </c>
      <c r="H36" s="14">
        <v>17.3</v>
      </c>
      <c r="I36" s="14">
        <v>23.3</v>
      </c>
      <c r="J36" s="14">
        <v>-22.7</v>
      </c>
      <c r="K36" s="14">
        <v>6.8</v>
      </c>
      <c r="L36" s="14">
        <v>7.2</v>
      </c>
      <c r="M36" s="14">
        <v>7.9</v>
      </c>
      <c r="N36" s="15"/>
    </row>
    <row r="37" spans="1:14" x14ac:dyDescent="0.3">
      <c r="A37" s="13">
        <v>45138</v>
      </c>
      <c r="B37" s="14">
        <v>1.7</v>
      </c>
      <c r="C37" s="14">
        <v>0.4</v>
      </c>
      <c r="D37" s="14">
        <v>-1</v>
      </c>
      <c r="E37" s="14">
        <v>2.2000000000000002</v>
      </c>
      <c r="F37" s="14">
        <v>3.4</v>
      </c>
      <c r="H37" s="14">
        <v>14.8</v>
      </c>
      <c r="I37" s="14">
        <v>4.5</v>
      </c>
      <c r="J37" s="14">
        <v>-24.9</v>
      </c>
      <c r="K37" s="14">
        <v>6.3</v>
      </c>
      <c r="L37" s="14">
        <v>7.4</v>
      </c>
      <c r="M37" s="14">
        <v>6.8</v>
      </c>
      <c r="N37" s="15"/>
    </row>
    <row r="38" spans="1:14" x14ac:dyDescent="0.3">
      <c r="A38" s="13">
        <v>45169</v>
      </c>
      <c r="B38" s="14">
        <v>1.6</v>
      </c>
      <c r="C38" s="14">
        <v>0.5</v>
      </c>
      <c r="D38" s="14">
        <v>-0.6</v>
      </c>
      <c r="E38" s="14">
        <v>2</v>
      </c>
      <c r="F38" s="14">
        <v>3.2</v>
      </c>
      <c r="H38" s="14">
        <v>13.6</v>
      </c>
      <c r="I38" s="14">
        <v>5.3</v>
      </c>
      <c r="J38" s="14">
        <v>-16.399999999999999</v>
      </c>
      <c r="K38" s="14">
        <v>5.8</v>
      </c>
      <c r="L38" s="14">
        <v>6.8</v>
      </c>
      <c r="M38" s="14">
        <v>6.7</v>
      </c>
      <c r="N38" s="15"/>
    </row>
    <row r="39" spans="1:14" x14ac:dyDescent="0.3">
      <c r="A39" s="13">
        <v>45199</v>
      </c>
      <c r="B39" s="14">
        <v>1.4</v>
      </c>
      <c r="C39" s="14">
        <v>0.5</v>
      </c>
      <c r="D39" s="14">
        <v>-0.3</v>
      </c>
      <c r="E39" s="14">
        <v>1.9</v>
      </c>
      <c r="F39" s="14">
        <v>3.2</v>
      </c>
      <c r="H39" s="14">
        <v>12.1</v>
      </c>
      <c r="I39" s="14">
        <v>5</v>
      </c>
      <c r="J39" s="14">
        <v>-9.6999999999999993</v>
      </c>
      <c r="K39" s="14">
        <v>5.5</v>
      </c>
      <c r="L39" s="14">
        <v>6.9</v>
      </c>
      <c r="M39" s="14">
        <v>6.7</v>
      </c>
      <c r="N39" s="15"/>
    </row>
    <row r="40" spans="1:14" x14ac:dyDescent="0.3">
      <c r="A40" s="13">
        <v>45200</v>
      </c>
      <c r="B40" s="14">
        <v>1.2</v>
      </c>
      <c r="C40" s="14">
        <v>-1.1000000000000001</v>
      </c>
      <c r="D40" s="14">
        <v>-0.3</v>
      </c>
      <c r="E40" s="14">
        <v>1.7</v>
      </c>
      <c r="F40" s="14">
        <v>3</v>
      </c>
      <c r="H40" s="14">
        <v>10.1</v>
      </c>
      <c r="I40" s="14">
        <v>-21.6</v>
      </c>
      <c r="J40" s="14">
        <v>-7.6</v>
      </c>
      <c r="K40" s="14">
        <v>5.0999999999999996</v>
      </c>
      <c r="L40" s="14">
        <v>6.6</v>
      </c>
      <c r="M40" s="14">
        <v>4.5999999999999996</v>
      </c>
      <c r="N40" s="15"/>
    </row>
    <row r="41" spans="1:14" x14ac:dyDescent="0.3">
      <c r="A41" s="13">
        <v>45231</v>
      </c>
      <c r="B41" s="14">
        <v>1.1000000000000001</v>
      </c>
      <c r="C41" s="14">
        <v>-1.1000000000000001</v>
      </c>
      <c r="D41" s="14">
        <v>-0.4</v>
      </c>
      <c r="E41" s="14">
        <v>1.4</v>
      </c>
      <c r="F41" s="14">
        <v>2.9</v>
      </c>
      <c r="H41" s="14">
        <v>9.1999999999999993</v>
      </c>
      <c r="I41" s="14">
        <v>-21.6</v>
      </c>
      <c r="J41" s="14">
        <v>-10.6</v>
      </c>
      <c r="K41" s="14">
        <v>4.0999999999999996</v>
      </c>
      <c r="L41" s="14">
        <v>6.3</v>
      </c>
      <c r="M41" s="14">
        <v>3.9</v>
      </c>
      <c r="N41" s="15"/>
    </row>
    <row r="42" spans="1:14" x14ac:dyDescent="0.3">
      <c r="A42" s="13">
        <v>45261</v>
      </c>
      <c r="B42" s="14">
        <v>0.9</v>
      </c>
      <c r="C42" s="14">
        <v>-1</v>
      </c>
      <c r="D42" s="14">
        <v>-0.3</v>
      </c>
      <c r="E42" s="14">
        <v>1.4</v>
      </c>
      <c r="F42" s="14">
        <v>3</v>
      </c>
      <c r="H42" s="14">
        <v>8</v>
      </c>
      <c r="I42" s="14">
        <v>-21.5</v>
      </c>
      <c r="J42" s="14">
        <v>-10.8</v>
      </c>
      <c r="K42" s="14">
        <v>4.3</v>
      </c>
      <c r="L42" s="14">
        <v>6.4</v>
      </c>
      <c r="M42" s="14">
        <v>4</v>
      </c>
      <c r="N42" s="15"/>
    </row>
    <row r="43" spans="1:14" x14ac:dyDescent="0.3">
      <c r="A43" s="13">
        <v>45292</v>
      </c>
      <c r="B43" s="14">
        <v>0.8</v>
      </c>
      <c r="C43" s="14">
        <v>-0.9</v>
      </c>
      <c r="D43" s="14">
        <v>-0.3</v>
      </c>
      <c r="E43" s="14">
        <v>1.3</v>
      </c>
      <c r="F43" s="14">
        <v>3</v>
      </c>
      <c r="H43" s="14">
        <v>6.9</v>
      </c>
      <c r="I43" s="14">
        <v>-18.3</v>
      </c>
      <c r="J43" s="14">
        <v>-9.1999999999999993</v>
      </c>
      <c r="K43" s="14">
        <v>3.8</v>
      </c>
      <c r="L43" s="14">
        <v>6.5</v>
      </c>
      <c r="M43" s="14">
        <v>4</v>
      </c>
      <c r="N43" s="15"/>
    </row>
    <row r="44" spans="1:14" x14ac:dyDescent="0.3">
      <c r="A44" s="13">
        <v>45323</v>
      </c>
      <c r="B44" s="14">
        <v>0.6</v>
      </c>
      <c r="C44" s="14">
        <v>-0.9</v>
      </c>
      <c r="D44" s="14">
        <v>-0.2</v>
      </c>
      <c r="E44" s="14">
        <v>1.1000000000000001</v>
      </c>
      <c r="F44" s="14">
        <v>2.8</v>
      </c>
      <c r="H44" s="14">
        <v>5</v>
      </c>
      <c r="I44" s="14">
        <v>-18.2</v>
      </c>
      <c r="J44" s="14">
        <v>-6.5</v>
      </c>
      <c r="K44" s="14">
        <v>3.1</v>
      </c>
      <c r="L44" s="14">
        <v>6.1</v>
      </c>
      <c r="M44" s="14">
        <v>3.4</v>
      </c>
      <c r="N44" s="15"/>
    </row>
    <row r="45" spans="1:14" x14ac:dyDescent="0.3">
      <c r="A45" s="13">
        <v>45352</v>
      </c>
      <c r="B45" s="14">
        <v>0.5</v>
      </c>
      <c r="C45" s="14">
        <v>-0.9</v>
      </c>
      <c r="D45" s="14">
        <v>-0.1</v>
      </c>
      <c r="E45" s="14">
        <v>0.9</v>
      </c>
      <c r="F45" s="14">
        <v>2.8</v>
      </c>
      <c r="H45" s="14">
        <v>4</v>
      </c>
      <c r="I45" s="14">
        <v>-18.2</v>
      </c>
      <c r="J45" s="14">
        <v>-3.7</v>
      </c>
      <c r="K45" s="14">
        <v>2.7</v>
      </c>
      <c r="L45" s="14">
        <v>6</v>
      </c>
      <c r="M45" s="14">
        <v>3.2</v>
      </c>
      <c r="N45" s="15"/>
    </row>
    <row r="46" spans="1:14" x14ac:dyDescent="0.3">
      <c r="A46" s="13">
        <v>45383</v>
      </c>
      <c r="B46" s="14">
        <v>0.3</v>
      </c>
      <c r="C46" s="14">
        <v>-1.3</v>
      </c>
      <c r="D46" s="14">
        <v>0</v>
      </c>
      <c r="E46" s="14">
        <v>0.5</v>
      </c>
      <c r="F46" s="14">
        <v>2.8</v>
      </c>
      <c r="H46" s="14">
        <v>2.9</v>
      </c>
      <c r="I46" s="14">
        <v>-27.1</v>
      </c>
      <c r="J46" s="14">
        <v>-0.3</v>
      </c>
      <c r="K46" s="14">
        <v>1.5</v>
      </c>
      <c r="L46" s="14">
        <v>5.9</v>
      </c>
      <c r="M46" s="14">
        <v>2.2999999999999998</v>
      </c>
    </row>
    <row r="47" spans="1:14" x14ac:dyDescent="0.3">
      <c r="A47" s="13">
        <v>45413</v>
      </c>
      <c r="B47" s="14">
        <v>0.2</v>
      </c>
      <c r="C47" s="14">
        <v>-1.3</v>
      </c>
      <c r="D47" s="14">
        <v>0.1</v>
      </c>
      <c r="E47" s="14">
        <v>0.3</v>
      </c>
      <c r="F47" s="14">
        <v>2.7</v>
      </c>
      <c r="H47" s="14">
        <v>1.7</v>
      </c>
      <c r="I47" s="14">
        <v>-27.1</v>
      </c>
      <c r="J47" s="14">
        <v>2.2999999999999998</v>
      </c>
      <c r="K47" s="14">
        <v>0.9</v>
      </c>
      <c r="L47" s="14">
        <v>5.7</v>
      </c>
      <c r="M47" s="14">
        <v>2</v>
      </c>
    </row>
    <row r="48" spans="1:14" x14ac:dyDescent="0.3">
      <c r="A48" s="13">
        <v>45444</v>
      </c>
      <c r="B48" s="14">
        <v>0.2</v>
      </c>
      <c r="C48" s="14">
        <v>-1.3</v>
      </c>
      <c r="D48" s="14">
        <v>0.1</v>
      </c>
      <c r="E48" s="14">
        <v>0.3</v>
      </c>
      <c r="F48" s="14">
        <v>2.7</v>
      </c>
      <c r="H48" s="14">
        <v>1.5</v>
      </c>
      <c r="I48" s="14">
        <v>-27.2</v>
      </c>
      <c r="J48" s="14">
        <v>2.6</v>
      </c>
      <c r="K48" s="14">
        <v>0.8</v>
      </c>
      <c r="L48" s="14">
        <v>5.7</v>
      </c>
      <c r="M48" s="14">
        <v>2</v>
      </c>
    </row>
    <row r="49" spans="1:13" x14ac:dyDescent="0.3">
      <c r="A49" s="13">
        <v>45474</v>
      </c>
      <c r="B49" s="14">
        <v>0.2</v>
      </c>
      <c r="C49" s="14">
        <v>-0.8</v>
      </c>
      <c r="D49" s="14">
        <v>0.1</v>
      </c>
      <c r="E49" s="14">
        <v>0.3</v>
      </c>
      <c r="F49" s="14">
        <v>2.5</v>
      </c>
      <c r="H49" s="14">
        <v>1.5</v>
      </c>
      <c r="I49" s="14">
        <v>-20.100000000000001</v>
      </c>
      <c r="J49" s="14">
        <v>1.8</v>
      </c>
      <c r="K49" s="14">
        <v>1</v>
      </c>
      <c r="L49" s="14">
        <v>5.2</v>
      </c>
      <c r="M49" s="14">
        <v>2.2000000000000002</v>
      </c>
    </row>
    <row r="50" spans="1:13" x14ac:dyDescent="0.3">
      <c r="A50" s="13">
        <v>45505</v>
      </c>
      <c r="B50" s="14">
        <v>0.2</v>
      </c>
      <c r="C50" s="14">
        <v>-0.8</v>
      </c>
      <c r="D50" s="14">
        <v>-0.1</v>
      </c>
      <c r="E50" s="14">
        <v>0.3</v>
      </c>
      <c r="F50" s="14">
        <v>2.7</v>
      </c>
      <c r="H50" s="14">
        <v>1.3</v>
      </c>
      <c r="I50" s="14">
        <v>-20.5</v>
      </c>
      <c r="J50" s="14">
        <v>-3.4</v>
      </c>
      <c r="K50" s="14">
        <v>0.9</v>
      </c>
      <c r="L50" s="14">
        <v>5.6</v>
      </c>
      <c r="M50" s="14">
        <v>2.2000000000000002</v>
      </c>
    </row>
    <row r="51" spans="1:13" x14ac:dyDescent="0.3">
      <c r="A51" s="13">
        <v>45536</v>
      </c>
      <c r="B51" s="14">
        <v>0.2</v>
      </c>
      <c r="C51" s="14">
        <v>-0.8</v>
      </c>
      <c r="D51" s="14">
        <v>-0.3</v>
      </c>
      <c r="E51" s="14">
        <v>0.2</v>
      </c>
      <c r="F51" s="14">
        <v>2.4</v>
      </c>
      <c r="H51" s="14">
        <v>1.9</v>
      </c>
      <c r="I51" s="14">
        <v>-20.7</v>
      </c>
      <c r="J51" s="14">
        <v>-10.4</v>
      </c>
      <c r="K51" s="14">
        <v>0.8</v>
      </c>
      <c r="L51" s="14">
        <v>4.9000000000000004</v>
      </c>
      <c r="M51" s="14">
        <v>1.7</v>
      </c>
    </row>
    <row r="52" spans="1:13" x14ac:dyDescent="0.3">
      <c r="A52" s="13">
        <v>45566</v>
      </c>
      <c r="B52" s="14">
        <v>0.2</v>
      </c>
      <c r="C52" s="14">
        <v>-0.3</v>
      </c>
      <c r="D52" s="14">
        <v>-0.4</v>
      </c>
      <c r="E52" s="14">
        <v>0.3</v>
      </c>
      <c r="F52" s="14">
        <v>2.4</v>
      </c>
      <c r="H52" s="14">
        <v>1.9</v>
      </c>
      <c r="I52" s="14">
        <v>-7.1</v>
      </c>
      <c r="J52" s="14">
        <v>-13.7</v>
      </c>
      <c r="K52" s="14">
        <v>1</v>
      </c>
      <c r="L52" s="14">
        <v>5</v>
      </c>
      <c r="M52" s="14">
        <v>2.2999999999999998</v>
      </c>
    </row>
    <row r="53" spans="1:13" x14ac:dyDescent="0.3">
      <c r="A53" s="13">
        <v>45597</v>
      </c>
      <c r="B53" s="14">
        <v>0.2</v>
      </c>
      <c r="C53" s="14">
        <v>-0.3</v>
      </c>
      <c r="D53" s="14">
        <v>-0.3</v>
      </c>
      <c r="E53" s="14">
        <v>0.6</v>
      </c>
      <c r="F53" s="14">
        <v>2.4</v>
      </c>
      <c r="H53" s="14">
        <v>2</v>
      </c>
      <c r="I53" s="14">
        <v>-7</v>
      </c>
      <c r="J53" s="14">
        <v>-10.9</v>
      </c>
      <c r="K53" s="14">
        <v>1.7</v>
      </c>
      <c r="L53" s="14">
        <v>5</v>
      </c>
      <c r="M53" s="14">
        <v>2.6</v>
      </c>
    </row>
    <row r="54" spans="1:13" x14ac:dyDescent="0.3">
      <c r="A54" s="13">
        <v>45627</v>
      </c>
      <c r="B54" s="14">
        <v>0.2</v>
      </c>
      <c r="C54" s="14">
        <v>-0.3</v>
      </c>
      <c r="D54" s="14">
        <v>-0.2</v>
      </c>
      <c r="E54" s="14">
        <v>0.6</v>
      </c>
      <c r="F54" s="14">
        <v>2.1</v>
      </c>
      <c r="H54" s="14">
        <v>2</v>
      </c>
      <c r="I54" s="14">
        <v>-6.8</v>
      </c>
      <c r="J54" s="14">
        <v>-5</v>
      </c>
      <c r="K54" s="14">
        <v>1.7</v>
      </c>
      <c r="L54" s="14">
        <v>4.4000000000000004</v>
      </c>
      <c r="M54" s="14">
        <v>2.5</v>
      </c>
    </row>
    <row r="55" spans="1:13" ht="28" x14ac:dyDescent="0.3">
      <c r="A55" s="19" t="s">
        <v>1992</v>
      </c>
      <c r="B55" s="14">
        <v>0.27</v>
      </c>
      <c r="C55" s="14">
        <v>-0.40699999999999997</v>
      </c>
      <c r="D55" s="14">
        <v>-7.0000000000000007E-2</v>
      </c>
      <c r="E55" s="14">
        <v>0.49299999999999999</v>
      </c>
      <c r="F55" s="14">
        <v>2.5289999999999999</v>
      </c>
      <c r="H55" s="14">
        <v>2.3889999999999998</v>
      </c>
      <c r="I55" s="14">
        <v>-9.8620000000000001</v>
      </c>
      <c r="J55" s="14">
        <v>-2.2450000000000001</v>
      </c>
      <c r="K55" s="14">
        <v>1.5229999999999999</v>
      </c>
      <c r="L55" s="14">
        <v>5.1609999999999996</v>
      </c>
      <c r="M55" s="14">
        <v>2.8159999999999998</v>
      </c>
    </row>
    <row r="56" spans="1:13" ht="28" x14ac:dyDescent="0.3">
      <c r="A56" s="19" t="s">
        <v>1993</v>
      </c>
      <c r="B56" s="14">
        <v>0.307</v>
      </c>
      <c r="C56" s="14">
        <v>-0.40699999999999997</v>
      </c>
      <c r="D56" s="14">
        <v>-6.9000000000000006E-2</v>
      </c>
      <c r="E56" s="14">
        <v>0.53200000000000003</v>
      </c>
      <c r="F56" s="14">
        <v>2.4830000000000001</v>
      </c>
      <c r="G56" s="20"/>
      <c r="H56" s="14">
        <v>2.7320000000000002</v>
      </c>
      <c r="I56" s="14">
        <v>-9.9109999999999996</v>
      </c>
      <c r="J56" s="14">
        <v>-2.0819999999999999</v>
      </c>
      <c r="K56" s="14">
        <v>1.639</v>
      </c>
      <c r="L56" s="14">
        <v>5.0659999999999998</v>
      </c>
      <c r="M56" s="14">
        <v>2.8479999999999999</v>
      </c>
    </row>
    <row r="57" spans="1:13" ht="28" x14ac:dyDescent="0.3">
      <c r="A57" s="19" t="s">
        <v>1994</v>
      </c>
      <c r="B57" s="14">
        <v>0.28699999999999998</v>
      </c>
      <c r="C57" s="14">
        <v>-0.39800000000000002</v>
      </c>
      <c r="D57" s="14">
        <v>-0.108</v>
      </c>
      <c r="E57" s="14">
        <v>0.51</v>
      </c>
      <c r="F57" s="14">
        <v>2.4169999999999998</v>
      </c>
      <c r="H57" s="14">
        <v>2.5640000000000001</v>
      </c>
      <c r="I57" s="14">
        <v>-9.7720000000000002</v>
      </c>
      <c r="J57" s="14">
        <v>-3.2610000000000001</v>
      </c>
      <c r="K57" s="14">
        <v>1.5660000000000001</v>
      </c>
      <c r="L57" s="14">
        <v>4.9260000000000002</v>
      </c>
      <c r="M57" s="14">
        <v>2.7090000000000001</v>
      </c>
    </row>
    <row r="58" spans="1:13" ht="28" x14ac:dyDescent="0.3">
      <c r="A58" s="19" t="s">
        <v>1995</v>
      </c>
      <c r="B58" s="14">
        <v>0.30599999999999999</v>
      </c>
      <c r="C58" s="14">
        <v>0.251</v>
      </c>
      <c r="D58" s="14">
        <v>-0.161</v>
      </c>
      <c r="E58" s="14">
        <v>0.63100000000000001</v>
      </c>
      <c r="F58" s="14">
        <v>2.5249999999999999</v>
      </c>
      <c r="H58" s="14">
        <v>2.738</v>
      </c>
      <c r="I58" s="14">
        <v>7.508</v>
      </c>
      <c r="J58" s="14">
        <v>-4.8250000000000002</v>
      </c>
      <c r="K58" s="14">
        <v>1.9430000000000001</v>
      </c>
      <c r="L58" s="14">
        <v>5.077</v>
      </c>
      <c r="M58" s="14">
        <v>3.5539999999999998</v>
      </c>
    </row>
    <row r="59" spans="1:13" ht="28" x14ac:dyDescent="0.3">
      <c r="A59" s="19" t="s">
        <v>1996</v>
      </c>
      <c r="B59" s="14">
        <v>0.35399999999999998</v>
      </c>
      <c r="C59" s="14">
        <v>0.25600000000000001</v>
      </c>
      <c r="D59" s="14">
        <v>-0.161</v>
      </c>
      <c r="E59" s="14">
        <v>0.69399999999999995</v>
      </c>
      <c r="F59" s="14">
        <v>2.387</v>
      </c>
      <c r="H59" s="14">
        <v>3.1829999999999998</v>
      </c>
      <c r="I59" s="14">
        <v>7.6719999999999997</v>
      </c>
      <c r="J59" s="14">
        <v>-4.8490000000000002</v>
      </c>
      <c r="K59" s="14">
        <v>2.141</v>
      </c>
      <c r="L59" s="14">
        <v>4.782</v>
      </c>
      <c r="M59" s="14">
        <v>3.53</v>
      </c>
    </row>
    <row r="60" spans="1:13" ht="28" x14ac:dyDescent="0.3">
      <c r="A60" s="19" t="s">
        <v>1997</v>
      </c>
      <c r="B60" s="14">
        <v>0.34200000000000003</v>
      </c>
      <c r="C60" s="14">
        <v>0.26</v>
      </c>
      <c r="D60" s="14">
        <v>-8.4000000000000005E-2</v>
      </c>
      <c r="E60" s="14">
        <v>0.69699999999999995</v>
      </c>
      <c r="F60" s="14">
        <v>2.3330000000000002</v>
      </c>
      <c r="H60" s="14">
        <v>3.0760000000000001</v>
      </c>
      <c r="I60" s="14">
        <v>7.8209999999999997</v>
      </c>
      <c r="J60" s="14">
        <v>-2.5049999999999999</v>
      </c>
      <c r="K60" s="14">
        <v>2.1589999999999998</v>
      </c>
      <c r="L60" s="14">
        <v>4.6509999999999998</v>
      </c>
      <c r="M60" s="14">
        <v>3.5489999999999999</v>
      </c>
    </row>
  </sheetData>
  <mergeCells count="2">
    <mergeCell ref="B5:F5"/>
    <mergeCell ref="H5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F686-9B21-4115-8A22-031F2DB758AF}">
  <dimension ref="A1:E57"/>
  <sheetViews>
    <sheetView workbookViewId="0">
      <selection activeCell="D18" sqref="D18"/>
    </sheetView>
  </sheetViews>
  <sheetFormatPr defaultColWidth="9.7265625" defaultRowHeight="14" x14ac:dyDescent="0.3"/>
  <cols>
    <col min="1" max="1" width="15.453125" style="24" customWidth="1"/>
    <col min="2" max="5" width="22.7265625" style="24" customWidth="1"/>
    <col min="6" max="16384" width="9.7265625" style="24"/>
  </cols>
  <sheetData>
    <row r="1" spans="1:5" x14ac:dyDescent="0.3">
      <c r="A1" s="7" t="s">
        <v>36</v>
      </c>
      <c r="B1" s="23"/>
    </row>
    <row r="2" spans="1:5" x14ac:dyDescent="0.3">
      <c r="A2" s="9"/>
      <c r="B2" s="23"/>
    </row>
    <row r="3" spans="1:5" x14ac:dyDescent="0.3">
      <c r="A3" s="10" t="s">
        <v>2047</v>
      </c>
      <c r="B3" s="23"/>
    </row>
    <row r="4" spans="1:5" x14ac:dyDescent="0.3">
      <c r="A4" s="25"/>
      <c r="B4" s="23"/>
    </row>
    <row r="5" spans="1:5" x14ac:dyDescent="0.3">
      <c r="B5" s="26" t="s">
        <v>2048</v>
      </c>
      <c r="C5" s="26"/>
      <c r="D5" s="26"/>
      <c r="E5" s="27"/>
    </row>
    <row r="6" spans="1:5" ht="56" x14ac:dyDescent="0.3">
      <c r="A6" s="28" t="s">
        <v>37</v>
      </c>
      <c r="B6" s="29" t="s">
        <v>40</v>
      </c>
      <c r="C6" s="29" t="s">
        <v>2049</v>
      </c>
      <c r="D6" s="29" t="s">
        <v>2050</v>
      </c>
      <c r="E6" s="29" t="s">
        <v>2051</v>
      </c>
    </row>
    <row r="7" spans="1:5" x14ac:dyDescent="0.3">
      <c r="A7" s="30">
        <v>44197</v>
      </c>
      <c r="B7" s="31">
        <v>2.1</v>
      </c>
      <c r="C7" s="31">
        <v>2.2000000000000002</v>
      </c>
      <c r="D7" s="31">
        <v>1.4</v>
      </c>
      <c r="E7" s="31">
        <v>1.8</v>
      </c>
    </row>
    <row r="8" spans="1:5" x14ac:dyDescent="0.3">
      <c r="A8" s="30">
        <v>44228</v>
      </c>
      <c r="B8" s="31">
        <v>1.8</v>
      </c>
      <c r="C8" s="31">
        <v>2.1</v>
      </c>
      <c r="D8" s="31">
        <v>1.2</v>
      </c>
      <c r="E8" s="31">
        <v>1.7</v>
      </c>
    </row>
    <row r="9" spans="1:5" x14ac:dyDescent="0.3">
      <c r="A9" s="30">
        <v>44256</v>
      </c>
      <c r="B9" s="31">
        <v>1.8</v>
      </c>
      <c r="C9" s="31">
        <v>2.1</v>
      </c>
      <c r="D9" s="31">
        <v>1.2</v>
      </c>
      <c r="E9" s="31">
        <v>1.7</v>
      </c>
    </row>
    <row r="10" spans="1:5" x14ac:dyDescent="0.3">
      <c r="A10" s="30">
        <v>44287</v>
      </c>
      <c r="B10" s="31">
        <v>1.9</v>
      </c>
      <c r="C10" s="31">
        <v>2.1</v>
      </c>
      <c r="D10" s="31">
        <v>1.3</v>
      </c>
      <c r="E10" s="31">
        <v>1.7</v>
      </c>
    </row>
    <row r="11" spans="1:5" x14ac:dyDescent="0.3">
      <c r="A11" s="30">
        <v>44317</v>
      </c>
      <c r="B11" s="31">
        <v>2.2000000000000002</v>
      </c>
      <c r="C11" s="31">
        <v>2.5</v>
      </c>
      <c r="D11" s="31">
        <v>1.8</v>
      </c>
      <c r="E11" s="31">
        <v>2</v>
      </c>
    </row>
    <row r="12" spans="1:5" x14ac:dyDescent="0.3">
      <c r="A12" s="30">
        <v>44348</v>
      </c>
      <c r="B12" s="31">
        <v>2.4</v>
      </c>
      <c r="C12" s="31">
        <v>2.7</v>
      </c>
      <c r="D12" s="31">
        <v>2.2999999999999998</v>
      </c>
      <c r="E12" s="31">
        <v>2.2999999999999998</v>
      </c>
    </row>
    <row r="13" spans="1:5" x14ac:dyDescent="0.3">
      <c r="A13" s="30">
        <v>44378</v>
      </c>
      <c r="B13" s="31">
        <v>1.9</v>
      </c>
      <c r="C13" s="31">
        <v>2.4</v>
      </c>
      <c r="D13" s="31">
        <v>1.9</v>
      </c>
      <c r="E13" s="31">
        <v>1.8</v>
      </c>
    </row>
    <row r="14" spans="1:5" x14ac:dyDescent="0.3">
      <c r="A14" s="30">
        <v>44409</v>
      </c>
      <c r="B14" s="31">
        <v>3</v>
      </c>
      <c r="C14" s="31">
        <v>3.6</v>
      </c>
      <c r="D14" s="31">
        <v>4.5</v>
      </c>
      <c r="E14" s="31">
        <v>2.8</v>
      </c>
    </row>
    <row r="15" spans="1:5" x14ac:dyDescent="0.3">
      <c r="A15" s="30">
        <v>44440</v>
      </c>
      <c r="B15" s="31">
        <v>2.5</v>
      </c>
      <c r="C15" s="31">
        <v>2.6</v>
      </c>
      <c r="D15" s="31">
        <v>3</v>
      </c>
      <c r="E15" s="31">
        <v>2.4</v>
      </c>
    </row>
    <row r="16" spans="1:5" x14ac:dyDescent="0.3">
      <c r="A16" s="30">
        <v>44470</v>
      </c>
      <c r="B16" s="31">
        <v>3</v>
      </c>
      <c r="C16" s="31">
        <v>2.9</v>
      </c>
      <c r="D16" s="31">
        <v>3.3</v>
      </c>
      <c r="E16" s="31">
        <v>2.9</v>
      </c>
    </row>
    <row r="17" spans="1:5" x14ac:dyDescent="0.3">
      <c r="A17" s="30">
        <v>44501</v>
      </c>
      <c r="B17" s="31">
        <v>3.2</v>
      </c>
      <c r="C17" s="31">
        <v>3.1</v>
      </c>
      <c r="D17" s="31">
        <v>3.7</v>
      </c>
      <c r="E17" s="31">
        <v>3.1</v>
      </c>
    </row>
    <row r="18" spans="1:5" x14ac:dyDescent="0.3">
      <c r="A18" s="30">
        <v>44531</v>
      </c>
      <c r="B18" s="31">
        <v>3.2</v>
      </c>
      <c r="C18" s="31">
        <v>3.2</v>
      </c>
      <c r="D18" s="31">
        <v>3.4</v>
      </c>
      <c r="E18" s="31">
        <v>3</v>
      </c>
    </row>
    <row r="19" spans="1:5" x14ac:dyDescent="0.3">
      <c r="A19" s="30">
        <v>44562</v>
      </c>
      <c r="B19" s="31">
        <v>3.1</v>
      </c>
      <c r="C19" s="31">
        <v>3.1</v>
      </c>
      <c r="D19" s="31">
        <v>3.5</v>
      </c>
      <c r="E19" s="31">
        <v>3.2</v>
      </c>
    </row>
    <row r="20" spans="1:5" x14ac:dyDescent="0.3">
      <c r="A20" s="30">
        <v>44593</v>
      </c>
      <c r="B20" s="31">
        <v>3.3</v>
      </c>
      <c r="C20" s="31">
        <v>3.4</v>
      </c>
      <c r="D20" s="31">
        <v>3.7</v>
      </c>
      <c r="E20" s="31">
        <v>3.4</v>
      </c>
    </row>
    <row r="21" spans="1:5" x14ac:dyDescent="0.3">
      <c r="A21" s="30">
        <v>44621</v>
      </c>
      <c r="B21" s="31">
        <v>3.9</v>
      </c>
      <c r="C21" s="31">
        <v>3.9</v>
      </c>
      <c r="D21" s="31">
        <v>4.4000000000000004</v>
      </c>
      <c r="E21" s="31">
        <v>3.8</v>
      </c>
    </row>
    <row r="22" spans="1:5" x14ac:dyDescent="0.3">
      <c r="A22" s="30">
        <v>44652</v>
      </c>
      <c r="B22" s="31">
        <v>4.4000000000000004</v>
      </c>
      <c r="C22" s="31">
        <v>4.5999999999999996</v>
      </c>
      <c r="D22" s="31">
        <v>5.3</v>
      </c>
      <c r="E22" s="31">
        <v>4.4000000000000004</v>
      </c>
    </row>
    <row r="23" spans="1:5" x14ac:dyDescent="0.3">
      <c r="A23" s="30">
        <v>44682</v>
      </c>
      <c r="B23" s="31">
        <v>4.5</v>
      </c>
      <c r="C23" s="31">
        <v>4.7</v>
      </c>
      <c r="D23" s="31">
        <v>5.4</v>
      </c>
      <c r="E23" s="31">
        <v>4.5</v>
      </c>
    </row>
    <row r="24" spans="1:5" x14ac:dyDescent="0.3">
      <c r="A24" s="30">
        <v>44713</v>
      </c>
      <c r="B24" s="31">
        <v>4.9000000000000004</v>
      </c>
      <c r="C24" s="31">
        <v>4.9000000000000004</v>
      </c>
      <c r="D24" s="31">
        <v>5.5</v>
      </c>
      <c r="E24" s="31">
        <v>4.5999999999999996</v>
      </c>
    </row>
    <row r="25" spans="1:5" x14ac:dyDescent="0.3">
      <c r="A25" s="30">
        <v>44743</v>
      </c>
      <c r="B25" s="31">
        <v>5.4</v>
      </c>
      <c r="C25" s="31">
        <v>5.2</v>
      </c>
      <c r="D25" s="31">
        <v>5.7</v>
      </c>
      <c r="E25" s="31">
        <v>5</v>
      </c>
    </row>
    <row r="26" spans="1:5" x14ac:dyDescent="0.3">
      <c r="A26" s="30">
        <v>44774</v>
      </c>
      <c r="B26" s="31">
        <v>5.6</v>
      </c>
      <c r="C26" s="31">
        <v>5.5</v>
      </c>
      <c r="D26" s="31">
        <v>6</v>
      </c>
      <c r="E26" s="31">
        <v>5.4</v>
      </c>
    </row>
    <row r="27" spans="1:5" x14ac:dyDescent="0.3">
      <c r="A27" s="30">
        <v>44805</v>
      </c>
      <c r="B27" s="31">
        <v>5.8</v>
      </c>
      <c r="C27" s="31">
        <v>5.7</v>
      </c>
      <c r="D27" s="31">
        <v>5.9</v>
      </c>
      <c r="E27" s="31">
        <v>5.4</v>
      </c>
    </row>
    <row r="28" spans="1:5" x14ac:dyDescent="0.3">
      <c r="A28" s="30">
        <v>44835</v>
      </c>
      <c r="B28" s="31">
        <v>6.1</v>
      </c>
      <c r="C28" s="31">
        <v>6</v>
      </c>
      <c r="D28" s="31">
        <v>6.2</v>
      </c>
      <c r="E28" s="31">
        <v>5.5</v>
      </c>
    </row>
    <row r="29" spans="1:5" x14ac:dyDescent="0.3">
      <c r="A29" s="30">
        <v>44866</v>
      </c>
      <c r="B29" s="31">
        <v>6.2</v>
      </c>
      <c r="C29" s="31">
        <v>6.3</v>
      </c>
      <c r="D29" s="31">
        <v>6.7</v>
      </c>
      <c r="E29" s="31">
        <v>5.7</v>
      </c>
    </row>
    <row r="30" spans="1:5" x14ac:dyDescent="0.3">
      <c r="A30" s="30">
        <v>44896</v>
      </c>
      <c r="B30" s="31">
        <v>6.6</v>
      </c>
      <c r="C30" s="31">
        <v>6.5</v>
      </c>
      <c r="D30" s="31">
        <v>6.8</v>
      </c>
      <c r="E30" s="31">
        <v>5.9</v>
      </c>
    </row>
    <row r="31" spans="1:5" x14ac:dyDescent="0.3">
      <c r="A31" s="30">
        <v>44927</v>
      </c>
      <c r="B31" s="31">
        <v>5.8</v>
      </c>
      <c r="C31" s="31">
        <v>6.1</v>
      </c>
      <c r="D31" s="31">
        <v>6.4</v>
      </c>
      <c r="E31" s="31">
        <v>5.8</v>
      </c>
    </row>
    <row r="32" spans="1:5" x14ac:dyDescent="0.3">
      <c r="A32" s="30">
        <v>44958</v>
      </c>
      <c r="B32" s="31">
        <v>6.4</v>
      </c>
      <c r="C32" s="31">
        <v>6.8</v>
      </c>
      <c r="D32" s="31">
        <v>7.5</v>
      </c>
      <c r="E32" s="31">
        <v>6.3</v>
      </c>
    </row>
    <row r="33" spans="1:5" x14ac:dyDescent="0.3">
      <c r="A33" s="30">
        <v>44986</v>
      </c>
      <c r="B33" s="31">
        <v>6.5</v>
      </c>
      <c r="C33" s="31">
        <v>6.7</v>
      </c>
      <c r="D33" s="31">
        <v>7.2</v>
      </c>
      <c r="E33" s="31">
        <v>6.3</v>
      </c>
    </row>
    <row r="34" spans="1:5" x14ac:dyDescent="0.3">
      <c r="A34" s="30">
        <v>45017</v>
      </c>
      <c r="B34" s="31">
        <v>6.9</v>
      </c>
      <c r="C34" s="31">
        <v>7.4</v>
      </c>
      <c r="D34" s="31">
        <v>7.1</v>
      </c>
      <c r="E34" s="31">
        <v>6.3</v>
      </c>
    </row>
    <row r="35" spans="1:5" x14ac:dyDescent="0.3">
      <c r="A35" s="30">
        <v>45047</v>
      </c>
      <c r="B35" s="31">
        <v>7.3</v>
      </c>
      <c r="C35" s="31">
        <v>7.5</v>
      </c>
      <c r="D35" s="31">
        <v>7.2</v>
      </c>
      <c r="E35" s="31">
        <v>6.5</v>
      </c>
    </row>
    <row r="36" spans="1:5" x14ac:dyDescent="0.3">
      <c r="A36" s="30">
        <v>45078</v>
      </c>
      <c r="B36" s="31">
        <v>7.2</v>
      </c>
      <c r="C36" s="31">
        <v>7.5</v>
      </c>
      <c r="D36" s="31">
        <v>7.1</v>
      </c>
      <c r="E36" s="31">
        <v>6.4</v>
      </c>
    </row>
    <row r="37" spans="1:5" x14ac:dyDescent="0.3">
      <c r="A37" s="30">
        <v>45108</v>
      </c>
      <c r="B37" s="31">
        <v>7.4</v>
      </c>
      <c r="C37" s="31">
        <v>7.7</v>
      </c>
      <c r="D37" s="31">
        <v>6.7</v>
      </c>
      <c r="E37" s="31">
        <v>6.6</v>
      </c>
    </row>
    <row r="38" spans="1:5" x14ac:dyDescent="0.3">
      <c r="A38" s="30">
        <v>45139</v>
      </c>
      <c r="B38" s="31">
        <v>6.8</v>
      </c>
      <c r="C38" s="31">
        <v>7.5</v>
      </c>
      <c r="D38" s="31">
        <v>6.5</v>
      </c>
      <c r="E38" s="31">
        <v>6.4</v>
      </c>
    </row>
    <row r="39" spans="1:5" x14ac:dyDescent="0.3">
      <c r="A39" s="30">
        <v>45170</v>
      </c>
      <c r="B39" s="31">
        <v>6.9</v>
      </c>
      <c r="C39" s="31">
        <v>7.7</v>
      </c>
      <c r="D39" s="31">
        <v>6.6</v>
      </c>
      <c r="E39" s="31">
        <v>6.7</v>
      </c>
    </row>
    <row r="40" spans="1:5" x14ac:dyDescent="0.3">
      <c r="A40" s="30">
        <v>45200</v>
      </c>
      <c r="B40" s="31">
        <v>6.6</v>
      </c>
      <c r="C40" s="31">
        <v>7.4</v>
      </c>
      <c r="D40" s="31">
        <v>6.4</v>
      </c>
      <c r="E40" s="31">
        <v>6.6</v>
      </c>
    </row>
    <row r="41" spans="1:5" x14ac:dyDescent="0.3">
      <c r="A41" s="30">
        <v>45231</v>
      </c>
      <c r="B41" s="31">
        <v>6.3</v>
      </c>
      <c r="C41" s="31">
        <v>7.1</v>
      </c>
      <c r="D41" s="31">
        <v>5.7</v>
      </c>
      <c r="E41" s="31">
        <v>6.4</v>
      </c>
    </row>
    <row r="42" spans="1:5" x14ac:dyDescent="0.3">
      <c r="A42" s="30">
        <v>45261</v>
      </c>
      <c r="B42" s="31">
        <v>6.4</v>
      </c>
      <c r="C42" s="31">
        <v>7</v>
      </c>
      <c r="D42" s="31">
        <v>5.8</v>
      </c>
      <c r="E42" s="31">
        <v>6.4</v>
      </c>
    </row>
    <row r="43" spans="1:5" x14ac:dyDescent="0.3">
      <c r="A43" s="30">
        <v>45292</v>
      </c>
      <c r="B43" s="31">
        <v>6.5</v>
      </c>
      <c r="C43" s="31">
        <v>7.5</v>
      </c>
      <c r="D43" s="31">
        <v>6.3</v>
      </c>
      <c r="E43" s="31">
        <v>6.7</v>
      </c>
    </row>
    <row r="44" spans="1:5" x14ac:dyDescent="0.3">
      <c r="A44" s="30">
        <v>45323</v>
      </c>
      <c r="B44" s="31">
        <v>6.1</v>
      </c>
      <c r="C44" s="31">
        <v>6.9</v>
      </c>
      <c r="D44" s="31">
        <v>5.2</v>
      </c>
      <c r="E44" s="31">
        <v>6.3</v>
      </c>
    </row>
    <row r="45" spans="1:5" x14ac:dyDescent="0.3">
      <c r="A45" s="30">
        <v>45352</v>
      </c>
      <c r="B45" s="31">
        <v>6</v>
      </c>
      <c r="C45" s="31">
        <v>6.8</v>
      </c>
      <c r="D45" s="31">
        <v>5.0999999999999996</v>
      </c>
      <c r="E45" s="31">
        <v>6.2</v>
      </c>
    </row>
    <row r="46" spans="1:5" x14ac:dyDescent="0.3">
      <c r="A46" s="30">
        <v>45383</v>
      </c>
      <c r="B46" s="31">
        <v>5.9</v>
      </c>
      <c r="C46" s="31">
        <v>6.4</v>
      </c>
      <c r="D46" s="31">
        <v>5.0999999999999996</v>
      </c>
      <c r="E46" s="31">
        <v>6.1</v>
      </c>
    </row>
    <row r="47" spans="1:5" x14ac:dyDescent="0.3">
      <c r="A47" s="30">
        <v>45413</v>
      </c>
      <c r="B47" s="31">
        <v>5.7</v>
      </c>
      <c r="C47" s="31">
        <v>6.2</v>
      </c>
      <c r="D47" s="31">
        <v>4.8</v>
      </c>
      <c r="E47" s="31">
        <v>5.9</v>
      </c>
    </row>
    <row r="48" spans="1:5" x14ac:dyDescent="0.3">
      <c r="A48" s="30">
        <v>45444</v>
      </c>
      <c r="B48" s="31">
        <v>5.7</v>
      </c>
      <c r="C48" s="31">
        <v>6.2</v>
      </c>
      <c r="D48" s="31">
        <v>4.5999999999999996</v>
      </c>
      <c r="E48" s="31">
        <v>5.9</v>
      </c>
    </row>
    <row r="49" spans="1:5" x14ac:dyDescent="0.3">
      <c r="A49" s="30">
        <v>45474</v>
      </c>
      <c r="B49" s="31">
        <v>5.2</v>
      </c>
      <c r="C49" s="31">
        <v>5.9</v>
      </c>
      <c r="D49" s="31">
        <v>4.8</v>
      </c>
      <c r="E49" s="31">
        <v>5.5</v>
      </c>
    </row>
    <row r="50" spans="1:5" x14ac:dyDescent="0.3">
      <c r="A50" s="30">
        <v>45505</v>
      </c>
      <c r="B50" s="31">
        <v>5.6</v>
      </c>
      <c r="C50" s="31">
        <v>5.8</v>
      </c>
      <c r="D50" s="31">
        <v>4.8</v>
      </c>
      <c r="E50" s="31">
        <v>5.5</v>
      </c>
    </row>
    <row r="51" spans="1:5" x14ac:dyDescent="0.3">
      <c r="A51" s="30">
        <v>45536</v>
      </c>
      <c r="B51" s="31">
        <v>4.9000000000000004</v>
      </c>
      <c r="C51" s="31">
        <v>5.6</v>
      </c>
      <c r="D51" s="31">
        <v>4.5999999999999996</v>
      </c>
      <c r="E51" s="31">
        <v>5.3</v>
      </c>
    </row>
    <row r="52" spans="1:5" x14ac:dyDescent="0.3">
      <c r="A52" s="30">
        <v>45566</v>
      </c>
      <c r="B52" s="31">
        <v>5</v>
      </c>
      <c r="C52" s="31">
        <v>5.5</v>
      </c>
      <c r="D52" s="31">
        <v>4.2</v>
      </c>
      <c r="E52" s="31">
        <v>5.2</v>
      </c>
    </row>
    <row r="53" spans="1:5" x14ac:dyDescent="0.3">
      <c r="A53" s="30">
        <v>45597</v>
      </c>
      <c r="B53" s="31">
        <v>5</v>
      </c>
      <c r="C53" s="31">
        <v>5.8</v>
      </c>
      <c r="D53" s="31">
        <v>4.5999999999999996</v>
      </c>
      <c r="E53" s="31">
        <v>5.3</v>
      </c>
    </row>
    <row r="54" spans="1:5" x14ac:dyDescent="0.3">
      <c r="A54" s="30">
        <v>45627</v>
      </c>
      <c r="B54" s="31">
        <v>4.4000000000000004</v>
      </c>
      <c r="C54" s="31">
        <v>5.5</v>
      </c>
      <c r="D54" s="31">
        <v>4.4000000000000004</v>
      </c>
      <c r="E54" s="31">
        <v>5.0999999999999996</v>
      </c>
    </row>
    <row r="55" spans="1:5" x14ac:dyDescent="0.3">
      <c r="B55" s="31"/>
      <c r="C55" s="31"/>
      <c r="D55" s="31"/>
      <c r="E55" s="31"/>
    </row>
    <row r="56" spans="1:5" x14ac:dyDescent="0.3">
      <c r="B56" s="31"/>
      <c r="C56" s="31"/>
      <c r="D56" s="31"/>
      <c r="E56" s="31"/>
    </row>
    <row r="57" spans="1:5" x14ac:dyDescent="0.3">
      <c r="B57" s="31"/>
      <c r="C57" s="31"/>
      <c r="D57" s="31"/>
      <c r="E57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85E7-2D77-43B4-8AC4-D4821307649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Chart Data</vt:lpstr>
      <vt:lpstr>Data &gt;&gt;&gt;</vt:lpstr>
      <vt:lpstr>HAVERW</vt:lpstr>
      <vt:lpstr>HAVERD</vt:lpstr>
      <vt:lpstr>HAVERM</vt:lpstr>
      <vt:lpstr>HAVERQ</vt:lpstr>
      <vt:lpstr>BoE MPR - Chart 2.16</vt:lpstr>
      <vt:lpstr>BoE MPR - Chart 2.21</vt:lpstr>
      <vt:lpstr>Charts not used &gt;&gt;&gt;</vt:lpstr>
      <vt:lpstr>Chart - Petrol &amp; oil (short)</vt:lpstr>
      <vt:lpstr>Chart - FX passthrough</vt:lpstr>
      <vt:lpstr>Chart - Energy price cap</vt:lpstr>
      <vt:lpstr>Chart - CPI Fcast (OE vs BoE)</vt:lpstr>
      <vt:lpstr>Chart - DMP NICs rise</vt:lpstr>
      <vt:lpstr>Chart - Inflation forecast</vt:lpstr>
      <vt:lpstr>Chart - conts from fd &amp; cg</vt:lpstr>
      <vt:lpstr>Chart - Underlying services</vt:lpstr>
      <vt:lpstr>Chart - Food prices</vt:lpstr>
      <vt:lpstr>Chart - Petrol &amp; oil (long)</vt:lpstr>
      <vt:lpstr>Chart - CPI fd &amp; cg</vt:lpstr>
      <vt:lpstr>Chart - CPI serv vs pay</vt:lpstr>
      <vt:lpstr>_DLX1.INC</vt:lpstr>
      <vt:lpstr>_DLX2.INC</vt:lpstr>
      <vt:lpstr>_DLX3.INC</vt:lpstr>
      <vt:lpstr>_DLX4.INC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2024-01-04T09:18:09Z</dcterms:created>
  <dcterms:modified xsi:type="dcterms:W3CDTF">2025-03-07T10:46:42Z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2024-01-04T09:20:01Z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22586e39-723b-4f89-972d-588da70b4406</vt:lpwstr>
  </property>
  <property fmtid="{D5CDD505-2E9C-101B-9397-08002B2CF9AE}" pid="8" name="MSIP_Label_231f5784-19ed-4d1e-9a93-4ea41014d730_ContentBits">
    <vt:lpwstr>0</vt:lpwstr>
  </property>
</Properties>
</file>