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AA85CE1C-C1C1-4421-8C48-2BF63DFD5C42}" xr6:coauthVersionLast="47" xr6:coauthVersionMax="47" xr10:uidLastSave="{00000000-0000-0000-0000-000000000000}"/>
  <bookViews>
    <workbookView xWindow="-120" yWindow="-120" windowWidth="29040" windowHeight="15840" activeTab="1" xr2:uid="{1D351929-257C-4FE6-AB37-3DC726031397}"/>
  </bookViews>
  <sheets>
    <sheet name="Chart - GDP" sheetId="3" r:id="rId1"/>
    <sheet name="Chart - Retail sales" sheetId="5" r:id="rId2"/>
    <sheet name="Chart - Wage growth" sheetId="6" r:id="rId3"/>
    <sheet name="Chart Data" sheetId="2" r:id="rId4"/>
    <sheet name="HAVERM" sheetId="1" r:id="rId5"/>
  </sheets>
  <externalReferences>
    <externalReference r:id="rId6"/>
  </externalReferences>
  <definedNames>
    <definedName name="_DLX1.INC">HAVERM!$B$1:$AN$6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2" l="1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3" i="2"/>
  <c r="AF4" i="2" l="1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3" i="2"/>
  <c r="AG64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3" i="2"/>
  <c r="AH4" i="2"/>
  <c r="AI4" i="2"/>
  <c r="AH5" i="2"/>
  <c r="AI5" i="2"/>
  <c r="AH6" i="2"/>
  <c r="AI6" i="2"/>
  <c r="AH7" i="2"/>
  <c r="AI7" i="2"/>
  <c r="AH8" i="2"/>
  <c r="AI8" i="2"/>
  <c r="AH9" i="2"/>
  <c r="AI9" i="2"/>
  <c r="AH10" i="2"/>
  <c r="AI10" i="2"/>
  <c r="AH11" i="2"/>
  <c r="AI11" i="2"/>
  <c r="AH12" i="2"/>
  <c r="AI12" i="2"/>
  <c r="AH13" i="2"/>
  <c r="AI13" i="2"/>
  <c r="AH14" i="2"/>
  <c r="AI14" i="2"/>
  <c r="AH15" i="2"/>
  <c r="AI15" i="2"/>
  <c r="AH16" i="2"/>
  <c r="AI16" i="2"/>
  <c r="AH17" i="2"/>
  <c r="AI17" i="2"/>
  <c r="AH18" i="2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H27" i="2"/>
  <c r="AI27" i="2"/>
  <c r="AH28" i="2"/>
  <c r="AI28" i="2"/>
  <c r="AH29" i="2"/>
  <c r="AI29" i="2"/>
  <c r="AH30" i="2"/>
  <c r="AI30" i="2"/>
  <c r="AH31" i="2"/>
  <c r="AI31" i="2"/>
  <c r="AH32" i="2"/>
  <c r="AI32" i="2"/>
  <c r="AH33" i="2"/>
  <c r="AI33" i="2"/>
  <c r="AH34" i="2"/>
  <c r="AI34" i="2"/>
  <c r="AH35" i="2"/>
  <c r="AI35" i="2"/>
  <c r="AH36" i="2"/>
  <c r="AI36" i="2"/>
  <c r="AH37" i="2"/>
  <c r="AI37" i="2"/>
  <c r="AH38" i="2"/>
  <c r="AI38" i="2"/>
  <c r="AH39" i="2"/>
  <c r="AI39" i="2"/>
  <c r="AH40" i="2"/>
  <c r="AI40" i="2"/>
  <c r="AH41" i="2"/>
  <c r="AI41" i="2"/>
  <c r="AH42" i="2"/>
  <c r="AI42" i="2"/>
  <c r="AH43" i="2"/>
  <c r="AI43" i="2"/>
  <c r="AH44" i="2"/>
  <c r="AI44" i="2"/>
  <c r="AH45" i="2"/>
  <c r="AI45" i="2"/>
  <c r="AH46" i="2"/>
  <c r="AI46" i="2"/>
  <c r="AH47" i="2"/>
  <c r="AI47" i="2"/>
  <c r="AH48" i="2"/>
  <c r="AI48" i="2"/>
  <c r="AH49" i="2"/>
  <c r="AI49" i="2"/>
  <c r="AH50" i="2"/>
  <c r="AI50" i="2"/>
  <c r="AH51" i="2"/>
  <c r="AI51" i="2"/>
  <c r="AH52" i="2"/>
  <c r="AI52" i="2"/>
  <c r="AH53" i="2"/>
  <c r="AI53" i="2"/>
  <c r="AH54" i="2"/>
  <c r="AI54" i="2"/>
  <c r="AH55" i="2"/>
  <c r="AI55" i="2"/>
  <c r="AH56" i="2"/>
  <c r="AI56" i="2"/>
  <c r="AH57" i="2"/>
  <c r="AI57" i="2"/>
  <c r="AH58" i="2"/>
  <c r="AI58" i="2"/>
  <c r="AH59" i="2"/>
  <c r="AI59" i="2"/>
  <c r="AH60" i="2"/>
  <c r="AI60" i="2"/>
  <c r="AH61" i="2"/>
  <c r="AI61" i="2"/>
  <c r="AH62" i="2"/>
  <c r="AI62" i="2"/>
  <c r="AH63" i="2"/>
  <c r="AI63" i="2"/>
  <c r="AH64" i="2"/>
  <c r="AI64" i="2"/>
  <c r="AI3" i="2"/>
  <c r="AH3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2" i="2"/>
  <c r="X173" i="2"/>
  <c r="X174" i="2"/>
  <c r="X175" i="2"/>
  <c r="X176" i="2"/>
  <c r="X177" i="2"/>
  <c r="X178" i="2"/>
  <c r="X179" i="2"/>
  <c r="X180" i="2"/>
  <c r="X181" i="2"/>
  <c r="X182" i="2"/>
  <c r="X171" i="2"/>
  <c r="W15" i="2"/>
  <c r="W16" i="2"/>
  <c r="W17" i="2"/>
  <c r="Y17" i="2" s="1"/>
  <c r="W18" i="2"/>
  <c r="Y18" i="2" s="1"/>
  <c r="W19" i="2"/>
  <c r="W20" i="2"/>
  <c r="W21" i="2"/>
  <c r="Y21" i="2" s="1"/>
  <c r="W22" i="2"/>
  <c r="Y22" i="2" s="1"/>
  <c r="W23" i="2"/>
  <c r="W24" i="2"/>
  <c r="W25" i="2"/>
  <c r="Y25" i="2" s="1"/>
  <c r="W26" i="2"/>
  <c r="Y26" i="2" s="1"/>
  <c r="W27" i="2"/>
  <c r="W28" i="2"/>
  <c r="W29" i="2"/>
  <c r="Y29" i="2" s="1"/>
  <c r="W30" i="2"/>
  <c r="Y30" i="2" s="1"/>
  <c r="W31" i="2"/>
  <c r="W32" i="2"/>
  <c r="W33" i="2"/>
  <c r="Y33" i="2" s="1"/>
  <c r="W34" i="2"/>
  <c r="Y34" i="2" s="1"/>
  <c r="W35" i="2"/>
  <c r="W36" i="2"/>
  <c r="W37" i="2"/>
  <c r="Y37" i="2" s="1"/>
  <c r="W38" i="2"/>
  <c r="Y38" i="2" s="1"/>
  <c r="W39" i="2"/>
  <c r="W40" i="2"/>
  <c r="W41" i="2"/>
  <c r="Y41" i="2" s="1"/>
  <c r="W42" i="2"/>
  <c r="Y42" i="2" s="1"/>
  <c r="W43" i="2"/>
  <c r="W44" i="2"/>
  <c r="W45" i="2"/>
  <c r="Y45" i="2" s="1"/>
  <c r="W46" i="2"/>
  <c r="Y46" i="2" s="1"/>
  <c r="W47" i="2"/>
  <c r="W48" i="2"/>
  <c r="W49" i="2"/>
  <c r="Y49" i="2" s="1"/>
  <c r="W50" i="2"/>
  <c r="Y50" i="2" s="1"/>
  <c r="W51" i="2"/>
  <c r="W52" i="2"/>
  <c r="W53" i="2"/>
  <c r="Y53" i="2" s="1"/>
  <c r="W54" i="2"/>
  <c r="Y54" i="2" s="1"/>
  <c r="W55" i="2"/>
  <c r="W56" i="2"/>
  <c r="W57" i="2"/>
  <c r="Y57" i="2" s="1"/>
  <c r="W58" i="2"/>
  <c r="Y58" i="2" s="1"/>
  <c r="W59" i="2"/>
  <c r="W60" i="2"/>
  <c r="W61" i="2"/>
  <c r="Y61" i="2" s="1"/>
  <c r="W62" i="2"/>
  <c r="Y62" i="2" s="1"/>
  <c r="W63" i="2"/>
  <c r="W64" i="2"/>
  <c r="W65" i="2"/>
  <c r="Y65" i="2" s="1"/>
  <c r="W66" i="2"/>
  <c r="Y66" i="2" s="1"/>
  <c r="W67" i="2"/>
  <c r="W68" i="2"/>
  <c r="W69" i="2"/>
  <c r="Y69" i="2" s="1"/>
  <c r="W70" i="2"/>
  <c r="Y70" i="2" s="1"/>
  <c r="W71" i="2"/>
  <c r="W72" i="2"/>
  <c r="W73" i="2"/>
  <c r="Y73" i="2" s="1"/>
  <c r="W74" i="2"/>
  <c r="Y74" i="2" s="1"/>
  <c r="W75" i="2"/>
  <c r="W76" i="2"/>
  <c r="W77" i="2"/>
  <c r="Y77" i="2" s="1"/>
  <c r="W78" i="2"/>
  <c r="Y78" i="2" s="1"/>
  <c r="W79" i="2"/>
  <c r="W80" i="2"/>
  <c r="W81" i="2"/>
  <c r="Y81" i="2" s="1"/>
  <c r="W82" i="2"/>
  <c r="Y82" i="2" s="1"/>
  <c r="W83" i="2"/>
  <c r="W84" i="2"/>
  <c r="W85" i="2"/>
  <c r="Y85" i="2" s="1"/>
  <c r="W86" i="2"/>
  <c r="Y86" i="2" s="1"/>
  <c r="W87" i="2"/>
  <c r="W88" i="2"/>
  <c r="W89" i="2"/>
  <c r="Y89" i="2" s="1"/>
  <c r="W90" i="2"/>
  <c r="Y90" i="2" s="1"/>
  <c r="W91" i="2"/>
  <c r="W92" i="2"/>
  <c r="W93" i="2"/>
  <c r="Y93" i="2" s="1"/>
  <c r="W94" i="2"/>
  <c r="Y94" i="2" s="1"/>
  <c r="W95" i="2"/>
  <c r="W96" i="2"/>
  <c r="W97" i="2"/>
  <c r="Y97" i="2" s="1"/>
  <c r="W98" i="2"/>
  <c r="Y98" i="2" s="1"/>
  <c r="W99" i="2"/>
  <c r="W100" i="2"/>
  <c r="W101" i="2"/>
  <c r="Y101" i="2" s="1"/>
  <c r="W102" i="2"/>
  <c r="Y102" i="2" s="1"/>
  <c r="W103" i="2"/>
  <c r="W104" i="2"/>
  <c r="W105" i="2"/>
  <c r="Y105" i="2" s="1"/>
  <c r="W106" i="2"/>
  <c r="Y106" i="2" s="1"/>
  <c r="W107" i="2"/>
  <c r="W108" i="2"/>
  <c r="W109" i="2"/>
  <c r="Y109" i="2" s="1"/>
  <c r="W110" i="2"/>
  <c r="Y110" i="2" s="1"/>
  <c r="W111" i="2"/>
  <c r="W112" i="2"/>
  <c r="W113" i="2"/>
  <c r="Y113" i="2" s="1"/>
  <c r="W114" i="2"/>
  <c r="Y114" i="2" s="1"/>
  <c r="W115" i="2"/>
  <c r="W116" i="2"/>
  <c r="W117" i="2"/>
  <c r="Y117" i="2" s="1"/>
  <c r="W118" i="2"/>
  <c r="Y118" i="2" s="1"/>
  <c r="W119" i="2"/>
  <c r="W120" i="2"/>
  <c r="W121" i="2"/>
  <c r="Y121" i="2" s="1"/>
  <c r="W122" i="2"/>
  <c r="Y122" i="2" s="1"/>
  <c r="W123" i="2"/>
  <c r="W124" i="2"/>
  <c r="W125" i="2"/>
  <c r="Y125" i="2" s="1"/>
  <c r="W126" i="2"/>
  <c r="Y126" i="2" s="1"/>
  <c r="W127" i="2"/>
  <c r="W128" i="2"/>
  <c r="W129" i="2"/>
  <c r="Y129" i="2" s="1"/>
  <c r="W130" i="2"/>
  <c r="Y130" i="2" s="1"/>
  <c r="W131" i="2"/>
  <c r="W132" i="2"/>
  <c r="W133" i="2"/>
  <c r="Y133" i="2" s="1"/>
  <c r="W134" i="2"/>
  <c r="Y134" i="2" s="1"/>
  <c r="W135" i="2"/>
  <c r="W136" i="2"/>
  <c r="W137" i="2"/>
  <c r="Y137" i="2" s="1"/>
  <c r="W138" i="2"/>
  <c r="Y138" i="2" s="1"/>
  <c r="W139" i="2"/>
  <c r="W140" i="2"/>
  <c r="W141" i="2"/>
  <c r="Y141" i="2" s="1"/>
  <c r="W142" i="2"/>
  <c r="Y142" i="2" s="1"/>
  <c r="W143" i="2"/>
  <c r="W144" i="2"/>
  <c r="W145" i="2"/>
  <c r="Y145" i="2" s="1"/>
  <c r="W146" i="2"/>
  <c r="Y146" i="2" s="1"/>
  <c r="W147" i="2"/>
  <c r="W148" i="2"/>
  <c r="W149" i="2"/>
  <c r="Y149" i="2" s="1"/>
  <c r="W150" i="2"/>
  <c r="Y150" i="2" s="1"/>
  <c r="W151" i="2"/>
  <c r="W152" i="2"/>
  <c r="W153" i="2"/>
  <c r="Y153" i="2" s="1"/>
  <c r="W154" i="2"/>
  <c r="Y154" i="2" s="1"/>
  <c r="W155" i="2"/>
  <c r="W156" i="2"/>
  <c r="W157" i="2"/>
  <c r="Y157" i="2" s="1"/>
  <c r="W158" i="2"/>
  <c r="Y158" i="2" s="1"/>
  <c r="W159" i="2"/>
  <c r="W160" i="2"/>
  <c r="W161" i="2"/>
  <c r="Y161" i="2" s="1"/>
  <c r="W162" i="2"/>
  <c r="Y162" i="2" s="1"/>
  <c r="W163" i="2"/>
  <c r="W164" i="2"/>
  <c r="W165" i="2"/>
  <c r="Y165" i="2" s="1"/>
  <c r="W166" i="2"/>
  <c r="Y166" i="2" s="1"/>
  <c r="W167" i="2"/>
  <c r="W168" i="2"/>
  <c r="W169" i="2"/>
  <c r="Y169" i="2" s="1"/>
  <c r="W170" i="2"/>
  <c r="Y170" i="2" s="1"/>
  <c r="W171" i="2"/>
  <c r="Y171" i="2" s="1"/>
  <c r="W172" i="2"/>
  <c r="W173" i="2"/>
  <c r="W174" i="2"/>
  <c r="Y174" i="2" s="1"/>
  <c r="W175" i="2"/>
  <c r="Y175" i="2" s="1"/>
  <c r="W176" i="2"/>
  <c r="W177" i="2"/>
  <c r="Y177" i="2" s="1"/>
  <c r="W178" i="2"/>
  <c r="Y178" i="2" s="1"/>
  <c r="W179" i="2"/>
  <c r="Y179" i="2" s="1"/>
  <c r="W180" i="2"/>
  <c r="Y180" i="2" s="1"/>
  <c r="W181" i="2"/>
  <c r="W182" i="2"/>
  <c r="Y182" i="2" s="1"/>
  <c r="W14" i="2"/>
  <c r="Y14" i="2" s="1"/>
  <c r="W13" i="2"/>
  <c r="W12" i="2"/>
  <c r="W11" i="2"/>
  <c r="W10" i="2"/>
  <c r="Y10" i="2" s="1"/>
  <c r="W9" i="2"/>
  <c r="W8" i="2"/>
  <c r="W7" i="2"/>
  <c r="W6" i="2"/>
  <c r="Y6" i="2" s="1"/>
  <c r="W5" i="2"/>
  <c r="W4" i="2"/>
  <c r="W3" i="2"/>
  <c r="K5" i="2"/>
  <c r="K7" i="2"/>
  <c r="K21" i="2"/>
  <c r="K23" i="2"/>
  <c r="K33" i="2"/>
  <c r="K35" i="2"/>
  <c r="K37" i="2"/>
  <c r="K39" i="2"/>
  <c r="R3" i="2"/>
  <c r="I3" i="2" s="1"/>
  <c r="S3" i="2"/>
  <c r="J3" i="2" s="1"/>
  <c r="T3" i="2"/>
  <c r="K3" i="2" s="1"/>
  <c r="Q3" i="2"/>
  <c r="H4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3" i="2"/>
  <c r="E4" i="2"/>
  <c r="E5" i="2"/>
  <c r="E6" i="2"/>
  <c r="E7" i="2"/>
  <c r="E8" i="2"/>
  <c r="E9" i="2"/>
  <c r="E10" i="2"/>
  <c r="E11" i="2"/>
  <c r="E12" i="2"/>
  <c r="E13" i="2"/>
  <c r="E14" i="2"/>
  <c r="E3" i="2"/>
  <c r="D3" i="2"/>
  <c r="D4" i="2"/>
  <c r="D5" i="2"/>
  <c r="D6" i="2"/>
  <c r="D7" i="2"/>
  <c r="D8" i="2"/>
  <c r="D9" i="2"/>
  <c r="D10" i="2"/>
  <c r="D11" i="2"/>
  <c r="D12" i="2"/>
  <c r="D13" i="2"/>
  <c r="D14" i="2"/>
  <c r="C3" i="2"/>
  <c r="C4" i="2"/>
  <c r="C5" i="2"/>
  <c r="C6" i="2"/>
  <c r="C7" i="2"/>
  <c r="C8" i="2"/>
  <c r="C9" i="2"/>
  <c r="C10" i="2"/>
  <c r="C11" i="2"/>
  <c r="C12" i="2"/>
  <c r="C13" i="2"/>
  <c r="C14" i="2"/>
  <c r="B3" i="2"/>
  <c r="K19" i="2" l="1"/>
  <c r="K17" i="2"/>
  <c r="K31" i="2"/>
  <c r="K15" i="2"/>
  <c r="Y176" i="2"/>
  <c r="K13" i="2"/>
  <c r="K11" i="2"/>
  <c r="K29" i="2"/>
  <c r="K27" i="2"/>
  <c r="K25" i="2"/>
  <c r="K9" i="2"/>
  <c r="Y181" i="2"/>
  <c r="AC13" i="2" s="1"/>
  <c r="Y173" i="2"/>
  <c r="AC5" i="2" s="1"/>
  <c r="Y172" i="2"/>
  <c r="AC10" i="2"/>
  <c r="AB10" i="2"/>
  <c r="AC14" i="2"/>
  <c r="AC6" i="2"/>
  <c r="AB6" i="2"/>
  <c r="AB14" i="2"/>
  <c r="AC9" i="2"/>
  <c r="Y159" i="2"/>
  <c r="AC3" i="2" s="1"/>
  <c r="Y143" i="2"/>
  <c r="Y127" i="2"/>
  <c r="Y111" i="2"/>
  <c r="Y95" i="2"/>
  <c r="Y79" i="2"/>
  <c r="Y63" i="2"/>
  <c r="Y47" i="2"/>
  <c r="Y31" i="2"/>
  <c r="Y15" i="2"/>
  <c r="Y9" i="2"/>
  <c r="AB9" i="2" s="1"/>
  <c r="Y164" i="2"/>
  <c r="Y148" i="2"/>
  <c r="Y132" i="2"/>
  <c r="Y116" i="2"/>
  <c r="Y100" i="2"/>
  <c r="Y84" i="2"/>
  <c r="Y68" i="2"/>
  <c r="Y52" i="2"/>
  <c r="Y36" i="2"/>
  <c r="Y20" i="2"/>
  <c r="Y8" i="2"/>
  <c r="Y163" i="2"/>
  <c r="AC7" i="2" s="1"/>
  <c r="Y147" i="2"/>
  <c r="Y131" i="2"/>
  <c r="Y115" i="2"/>
  <c r="Y99" i="2"/>
  <c r="Y83" i="2"/>
  <c r="Y67" i="2"/>
  <c r="Y51" i="2"/>
  <c r="Y35" i="2"/>
  <c r="Y19" i="2"/>
  <c r="Y7" i="2"/>
  <c r="Y168" i="2"/>
  <c r="AC12" i="2" s="1"/>
  <c r="Y152" i="2"/>
  <c r="Y136" i="2"/>
  <c r="Y120" i="2"/>
  <c r="Y104" i="2"/>
  <c r="Y88" i="2"/>
  <c r="Y72" i="2"/>
  <c r="Y56" i="2"/>
  <c r="Y40" i="2"/>
  <c r="Y24" i="2"/>
  <c r="Y13" i="2"/>
  <c r="AB13" i="2" s="1"/>
  <c r="Y167" i="2"/>
  <c r="AC11" i="2" s="1"/>
  <c r="Y151" i="2"/>
  <c r="Y135" i="2"/>
  <c r="Y119" i="2"/>
  <c r="Y103" i="2"/>
  <c r="Y87" i="2"/>
  <c r="Y71" i="2"/>
  <c r="Y55" i="2"/>
  <c r="Y39" i="2"/>
  <c r="Y23" i="2"/>
  <c r="Y12" i="2"/>
  <c r="Y156" i="2"/>
  <c r="Y140" i="2"/>
  <c r="Y124" i="2"/>
  <c r="Y108" i="2"/>
  <c r="Y92" i="2"/>
  <c r="Y76" i="2"/>
  <c r="Y60" i="2"/>
  <c r="Y44" i="2"/>
  <c r="Y28" i="2"/>
  <c r="Y11" i="2"/>
  <c r="Y5" i="2"/>
  <c r="AB5" i="2" s="1"/>
  <c r="Y155" i="2"/>
  <c r="Y139" i="2"/>
  <c r="Y123" i="2"/>
  <c r="Y107" i="2"/>
  <c r="Y91" i="2"/>
  <c r="Y75" i="2"/>
  <c r="Y59" i="2"/>
  <c r="Y43" i="2"/>
  <c r="Y27" i="2"/>
  <c r="Y4" i="2"/>
  <c r="Y160" i="2"/>
  <c r="Y144" i="2"/>
  <c r="Y128" i="2"/>
  <c r="Y112" i="2"/>
  <c r="Y96" i="2"/>
  <c r="Y80" i="2"/>
  <c r="Y64" i="2"/>
  <c r="Y48" i="2"/>
  <c r="Y32" i="2"/>
  <c r="Y16" i="2"/>
  <c r="Y3" i="2"/>
  <c r="J39" i="2"/>
  <c r="J37" i="2"/>
  <c r="J35" i="2"/>
  <c r="J33" i="2"/>
  <c r="J31" i="2"/>
  <c r="J29" i="2"/>
  <c r="J27" i="2"/>
  <c r="J25" i="2"/>
  <c r="J23" i="2"/>
  <c r="J21" i="2"/>
  <c r="J19" i="2"/>
  <c r="J17" i="2"/>
  <c r="J15" i="2"/>
  <c r="J13" i="2"/>
  <c r="J11" i="2"/>
  <c r="J9" i="2"/>
  <c r="J7" i="2"/>
  <c r="J5" i="2"/>
  <c r="I39" i="2"/>
  <c r="I37" i="2"/>
  <c r="I35" i="2"/>
  <c r="I33" i="2"/>
  <c r="I31" i="2"/>
  <c r="I29" i="2"/>
  <c r="I27" i="2"/>
  <c r="I25" i="2"/>
  <c r="I23" i="2"/>
  <c r="I21" i="2"/>
  <c r="I19" i="2"/>
  <c r="I17" i="2"/>
  <c r="I15" i="2"/>
  <c r="I13" i="2"/>
  <c r="I11" i="2"/>
  <c r="I9" i="2"/>
  <c r="I7" i="2"/>
  <c r="I5" i="2"/>
  <c r="H39" i="2"/>
  <c r="H37" i="2"/>
  <c r="H35" i="2"/>
  <c r="H33" i="2"/>
  <c r="H31" i="2"/>
  <c r="H29" i="2"/>
  <c r="H27" i="2"/>
  <c r="H25" i="2"/>
  <c r="H23" i="2"/>
  <c r="H21" i="2"/>
  <c r="H19" i="2"/>
  <c r="H17" i="2"/>
  <c r="H15" i="2"/>
  <c r="H13" i="2"/>
  <c r="H11" i="2"/>
  <c r="H9" i="2"/>
  <c r="H7" i="2"/>
  <c r="H5" i="2"/>
  <c r="H3" i="2"/>
  <c r="K38" i="2"/>
  <c r="K36" i="2"/>
  <c r="K34" i="2"/>
  <c r="K32" i="2"/>
  <c r="K30" i="2"/>
  <c r="K28" i="2"/>
  <c r="K26" i="2"/>
  <c r="K24" i="2"/>
  <c r="K22" i="2"/>
  <c r="K20" i="2"/>
  <c r="K18" i="2"/>
  <c r="K16" i="2"/>
  <c r="K14" i="2"/>
  <c r="K12" i="2"/>
  <c r="K10" i="2"/>
  <c r="K8" i="2"/>
  <c r="K6" i="2"/>
  <c r="K4" i="2"/>
  <c r="J38" i="2"/>
  <c r="J36" i="2"/>
  <c r="J34" i="2"/>
  <c r="J32" i="2"/>
  <c r="J30" i="2"/>
  <c r="J28" i="2"/>
  <c r="J26" i="2"/>
  <c r="J24" i="2"/>
  <c r="J22" i="2"/>
  <c r="J20" i="2"/>
  <c r="J18" i="2"/>
  <c r="J16" i="2"/>
  <c r="J14" i="2"/>
  <c r="J12" i="2"/>
  <c r="J10" i="2"/>
  <c r="J8" i="2"/>
  <c r="J6" i="2"/>
  <c r="J4" i="2"/>
  <c r="I38" i="2"/>
  <c r="I36" i="2"/>
  <c r="I34" i="2"/>
  <c r="I32" i="2"/>
  <c r="I30" i="2"/>
  <c r="I28" i="2"/>
  <c r="I26" i="2"/>
  <c r="I24" i="2"/>
  <c r="I22" i="2"/>
  <c r="I20" i="2"/>
  <c r="I18" i="2"/>
  <c r="I16" i="2"/>
  <c r="I14" i="2"/>
  <c r="I12" i="2"/>
  <c r="I10" i="2"/>
  <c r="I8" i="2"/>
  <c r="I6" i="2"/>
  <c r="I4" i="2"/>
  <c r="H38" i="2"/>
  <c r="H36" i="2"/>
  <c r="H34" i="2"/>
  <c r="H32" i="2"/>
  <c r="H30" i="2"/>
  <c r="H28" i="2"/>
  <c r="H26" i="2"/>
  <c r="H24" i="2"/>
  <c r="H22" i="2"/>
  <c r="H20" i="2"/>
  <c r="H18" i="2"/>
  <c r="H16" i="2"/>
  <c r="H14" i="2"/>
  <c r="H12" i="2"/>
  <c r="H10" i="2"/>
  <c r="H8" i="2"/>
  <c r="H6" i="2"/>
  <c r="AC4" i="2" l="1"/>
  <c r="AC8" i="2"/>
  <c r="AB11" i="2"/>
  <c r="AB7" i="2"/>
  <c r="AB3" i="2"/>
  <c r="AB12" i="2"/>
  <c r="AB8" i="2"/>
  <c r="AB4" i="2"/>
  <c r="P3" i="2"/>
</calcChain>
</file>

<file path=xl/sharedStrings.xml><?xml version="1.0" encoding="utf-8"?>
<sst xmlns="http://schemas.openxmlformats.org/spreadsheetml/2006/main" count="461" uniqueCount="398">
  <si>
    <t>ECY2@UK</t>
  </si>
  <si>
    <t>J5EC@UK</t>
  </si>
  <si>
    <t>EAPT@UK</t>
  </si>
  <si>
    <t>EAPV@UK</t>
  </si>
  <si>
    <t>J5DZ@UK</t>
  </si>
  <si>
    <t>JO5A@UK</t>
  </si>
  <si>
    <t>200001 !M</t>
  </si>
  <si>
    <t>200001</t>
  </si>
  <si>
    <t>.DTLM</t>
  </si>
  <si>
    <t>.LSOURCE</t>
  </si>
  <si>
    <t>.TN</t>
  </si>
  <si>
    <t>.T1</t>
  </si>
  <si>
    <t>.DESC</t>
  </si>
  <si>
    <t>Mar-14-2025 07:01</t>
  </si>
  <si>
    <t>Office for National Statistics</t>
  </si>
  <si>
    <t>Jan-2025</t>
  </si>
  <si>
    <t>Jan-1997</t>
  </si>
  <si>
    <t>UK: Gross Value Added Chained Volume Index (SA, 2022=100)</t>
  </si>
  <si>
    <t>Feb-21-2025 07:01</t>
  </si>
  <si>
    <t>Feb-1996</t>
  </si>
  <si>
    <t>Great Britain: Retail Sales Volume: Retailing Inc Auto Fuel(SA, Mo/Mo %Chg)</t>
  </si>
  <si>
    <t>Jan-1989</t>
  </si>
  <si>
    <t>Great Britain: Retail Sales Volume: Predominantly Food Stores (SA, 2022=100)</t>
  </si>
  <si>
    <t>Great Britain: Retail Sales Volume: Predominantly Nonfood Stores (SA, 2022=100)</t>
  </si>
  <si>
    <t>Great Britain: Retail Sales Volume: Nonstore Retailing (SA, 2022=100)</t>
  </si>
  <si>
    <t>Jan-1996</t>
  </si>
  <si>
    <t>Great Britain: Retail Sales Volume: Predominantly Automotive Fuel (SA, 2022=100)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</si>
  <si>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</si>
  <si>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</si>
  <si>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</si>
  <si>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</si>
  <si>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</si>
  <si>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</si>
  <si>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</si>
  <si>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</si>
  <si>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</si>
  <si>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</si>
  <si>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</si>
  <si>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</si>
  <si>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</si>
  <si>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</si>
  <si>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</si>
  <si>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</si>
  <si>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</si>
  <si>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</si>
  <si>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</si>
  <si>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</si>
  <si>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</si>
  <si>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</si>
  <si>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</si>
  <si>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</si>
  <si>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</si>
  <si>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</si>
  <si>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</si>
  <si>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</si>
  <si>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</si>
  <si>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</si>
  <si>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</si>
  <si>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</si>
  <si>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</si>
  <si>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</si>
  <si>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</si>
  <si>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</si>
  <si>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</si>
  <si>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</si>
  <si>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</si>
  <si>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</si>
  <si>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</si>
  <si>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</si>
  <si>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</si>
  <si>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</si>
  <si>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</si>
  <si>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</si>
  <si>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</si>
  <si>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</si>
  <si>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</si>
  <si>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</si>
  <si>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</si>
  <si>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</si>
  <si>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</si>
  <si>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</si>
  <si>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</si>
  <si>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</si>
  <si>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</si>
  <si>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</si>
  <si>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</si>
  <si>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</si>
  <si>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</si>
  <si>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</si>
  <si>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</si>
  <si>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</si>
  <si>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</si>
  <si>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</si>
  <si>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</si>
  <si>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</si>
  <si>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</si>
  <si>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</si>
  <si>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</si>
  <si>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</si>
  <si>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</si>
  <si>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</si>
  <si>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</si>
  <si>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</si>
  <si>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</si>
  <si>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</si>
  <si>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</si>
  <si>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</si>
  <si>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</si>
  <si>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</si>
  <si>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</si>
  <si>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</si>
  <si>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</si>
  <si>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</si>
  <si>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</si>
  <si>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</si>
  <si>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</si>
  <si>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</si>
  <si>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</si>
  <si>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</si>
  <si>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</si>
  <si>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</si>
  <si>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</si>
  <si>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</si>
  <si>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</si>
  <si>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</si>
  <si>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</si>
  <si>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</si>
  <si>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</si>
  <si>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</si>
  <si>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</si>
  <si>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</si>
  <si>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</si>
  <si>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</si>
  <si>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</si>
  <si>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</si>
  <si>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</si>
  <si>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</si>
  <si>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</si>
  <si>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</si>
  <si>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</si>
  <si>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</si>
  <si>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</si>
  <si>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</si>
  <si>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</si>
  <si>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</si>
  <si>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</si>
  <si>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</si>
  <si>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</si>
  <si>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</si>
  <si>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</si>
  <si>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</si>
  <si>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</si>
  <si>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</si>
  <si>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</si>
  <si>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</si>
  <si>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</si>
  <si>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</si>
  <si>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</si>
  <si>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</si>
  <si>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</si>
  <si>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</si>
  <si>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</si>
  <si>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</si>
  <si>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</si>
  <si>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</si>
  <si>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</si>
  <si>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</si>
  <si>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</si>
  <si>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</si>
  <si>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</si>
  <si>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</si>
  <si>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</si>
  <si>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</si>
  <si>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</si>
  <si>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</si>
  <si>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</si>
  <si>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</si>
  <si>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</si>
  <si>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</si>
  <si>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</si>
  <si>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</si>
  <si>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</si>
  <si>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</si>
  <si>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</si>
  <si>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</si>
  <si>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</si>
  <si>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</si>
  <si>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</si>
  <si>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</si>
  <si>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</si>
  <si>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</si>
  <si>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</si>
  <si>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</si>
  <si>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</si>
  <si>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</si>
  <si>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</si>
  <si>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</si>
  <si>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</si>
  <si>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</si>
  <si>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</si>
  <si>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</si>
  <si>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</si>
  <si>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</si>
  <si>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</si>
  <si>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</si>
  <si>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</si>
  <si>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</si>
  <si>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</si>
  <si>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</si>
  <si>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</si>
  <si>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</si>
  <si>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</si>
  <si>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</si>
  <si>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</si>
  <si>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</si>
  <si>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</si>
  <si>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</si>
  <si>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</si>
  <si>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</si>
  <si>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</si>
  <si>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</si>
  <si>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</si>
  <si>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</si>
  <si>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</si>
  <si>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</si>
  <si>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</si>
  <si>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</si>
  <si>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</si>
  <si>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</si>
  <si>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</si>
  <si>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</si>
  <si>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</si>
  <si>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</si>
  <si>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</si>
  <si>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</si>
  <si>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</si>
  <si>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</si>
  <si>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</si>
  <si>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</si>
  <si>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</si>
  <si>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</si>
  <si>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</si>
  <si>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</si>
  <si>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</si>
  <si>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</si>
  <si>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</si>
  <si>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</si>
  <si>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</si>
  <si>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</si>
  <si>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</si>
  <si>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</si>
  <si>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</si>
  <si>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</si>
  <si>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</si>
  <si>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</si>
  <si>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</si>
  <si>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</si>
  <si>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</si>
  <si>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</si>
  <si>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</si>
  <si>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</si>
  <si>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</si>
  <si>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</si>
  <si>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</si>
  <si>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</si>
  <si>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</si>
  <si>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</si>
  <si>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</si>
  <si>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</si>
  <si>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</si>
  <si>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</si>
  <si>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</si>
  <si>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</si>
  <si>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</si>
  <si>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</si>
  <si>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</si>
  <si>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</si>
  <si>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</si>
  <si>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</si>
  <si>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</si>
  <si>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</si>
  <si>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</si>
  <si>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</si>
  <si>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</si>
  <si>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</si>
  <si>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</si>
  <si>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</si>
  <si>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</si>
  <si>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</si>
  <si>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</si>
  <si>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</si>
  <si>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</si>
  <si>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</si>
  <si>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</si>
  <si>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</si>
  <si>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</si>
  <si>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</si>
  <si>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</si>
  <si>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</si>
  <si>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</si>
  <si>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</si>
  <si>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</si>
  <si>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</si>
  <si>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</si>
  <si>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</si>
  <si>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</si>
  <si>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</si>
  <si>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</si>
  <si>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</si>
  <si>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</si>
  <si>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</si>
  <si>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</si>
  <si>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</si>
  <si>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</si>
  <si>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</si>
  <si>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</si>
  <si>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</si>
  <si>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</si>
  <si>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</si>
  <si>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</si>
  <si>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</si>
  <si>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</si>
  <si>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</si>
  <si>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</si>
  <si>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</si>
  <si>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</si>
  <si>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</si>
  <si>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GDP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</si>
  <si>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</si>
  <si>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</si>
  <si>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</si>
  <si>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</si>
  <si>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</si>
  <si>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</si>
  <si>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</si>
  <si>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</si>
  <si>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</si>
  <si>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</si>
  <si>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</si>
  <si>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</si>
  <si>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</si>
  <si>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Food</t>
  </si>
  <si>
    <t>Non-food</t>
  </si>
  <si>
    <t>Non-store</t>
  </si>
  <si>
    <t>Fuel</t>
  </si>
  <si>
    <t>Weights</t>
  </si>
  <si>
    <t>Retail sales</t>
  </si>
  <si>
    <t>Sales in 2022</t>
  </si>
  <si>
    <t>UKSRFN@UK</t>
  </si>
  <si>
    <t>Feb-21-2025 07:11</t>
  </si>
  <si>
    <t>Jan-1994</t>
  </si>
  <si>
    <t>Great Britain: Retail Sales Value: Predominantly Food Stores(SA, Thous.GBP)</t>
  </si>
  <si>
    <t>UKNRFN@UK</t>
  </si>
  <si>
    <t>Jan-1986</t>
  </si>
  <si>
    <t>Great Britain: Retail Sales Value: Predominantly Food Stores (NSA, Thous.GBP)</t>
  </si>
  <si>
    <t>Food sales as % of annual total</t>
  </si>
  <si>
    <t>Food sales</t>
  </si>
  <si>
    <t>Av month</t>
  </si>
  <si>
    <t>Diff vs av</t>
  </si>
  <si>
    <t>Av 10-19</t>
  </si>
  <si>
    <t>Av 23-24</t>
  </si>
  <si>
    <t>KAB9@UK</t>
  </si>
  <si>
    <t>KAI7@UK</t>
  </si>
  <si>
    <t>KAJ2@UK</t>
  </si>
  <si>
    <t>Mar-20-2025 07:02</t>
  </si>
  <si>
    <t>Jan-2000</t>
  </si>
  <si>
    <t>Great Britain: AWE, Total Pay: Whole Economy (SA, GBP)</t>
  </si>
  <si>
    <t>Great Britain: AWE, Regular Pay: Whole Economy (SA, GBP)</t>
  </si>
  <si>
    <t>UKNVYY@UK</t>
  </si>
  <si>
    <t>UKNVYM@UK</t>
  </si>
  <si>
    <t>UKSEPPM@UK</t>
  </si>
  <si>
    <t>UKSEPPD@UK</t>
  </si>
  <si>
    <t>UNVDWR@UK</t>
  </si>
  <si>
    <t>UNVDWR3@UK</t>
  </si>
  <si>
    <t>Great Britain: Average Weekly Earnings, Regular Pay: Private Sector (SA, GBP)</t>
  </si>
  <si>
    <t>Jul-2014</t>
  </si>
  <si>
    <t>UK: Mean Monthly Pay: Pay As You Earn Real Time Information [RTI] (SA, GBP)</t>
  </si>
  <si>
    <t>Feb-2025</t>
  </si>
  <si>
    <t>UK: Median Monthly Pay: PAYE Real Time Information [RTI] (SA, GBP)</t>
  </si>
  <si>
    <t>Mar-06-2025 09:31</t>
  </si>
  <si>
    <t>Bank of England</t>
  </si>
  <si>
    <t>Aug-2017</t>
  </si>
  <si>
    <t>UK: BoE DMP: Realized Wage Growth Over the Past Year:  Single Month (%)</t>
  </si>
  <si>
    <t>UK: BoE DMP: Realized Wage Growth Over the Past Year: 3 Month Average (%)</t>
  </si>
  <si>
    <t>Mar-17-2025 12:56</t>
  </si>
  <si>
    <t>Indeed Hiring Lab</t>
  </si>
  <si>
    <t>Jan-2019</t>
  </si>
  <si>
    <t>UK: Indeed Wage Tracker: Posted Wage Growth (NSA, Y/Y% Chg)</t>
  </si>
  <si>
    <t>Mar-2019</t>
  </si>
  <si>
    <t>UK: Indeed Wage Tracker: Posted Wage Growth: 3 Month MA (NSA, Y/Y% Chg)</t>
  </si>
  <si>
    <t>202502</t>
  </si>
  <si>
    <t>AWE vs other sources</t>
  </si>
  <si>
    <t>BoE Decision Maker Panel</t>
  </si>
  <si>
    <t>Indeed wage tracker</t>
  </si>
  <si>
    <t>HMRC median monthly pay</t>
  </si>
  <si>
    <t>ONS AWE private sector regular pay</t>
  </si>
  <si>
    <t>Brightmine median pay settlement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</si>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</sst>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2" fontId="3" fillId="0" borderId="0" xfId="0" applyNumberFormat="1" applyFont="1"/>
    <xf numFmtId="14" fontId="0" fillId="0" borderId="0" xfId="0" applyNumberFormat="1"/>
    <xf numFmtId="1" fontId="0" fillId="0" borderId="0" xfId="0" applyNumberFormat="1"/>
    <xf numFmtId="0" fontId="0" fillId="0" borderId="0" xfId="0" applyFill="1"/>
    <xf numFmtId="0" fontId="4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10" Type="http://schemas.openxmlformats.org/officeDocument/2006/relationships/calcChain" Target="calcChain.xml"/><Relationship Id="rId4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6667430154611"/>
          <c:w val="1"/>
          <c:h val="0.8084444939554807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2025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</c:spPr>
          </c:marker>
          <c:cat>
            <c:strRef>
              <c:f>'Chart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Data'!$B$3:$B$14</c:f>
              <c:numCache>
                <c:formatCode>General</c:formatCode>
                <c:ptCount val="12"/>
                <c:pt idx="0" formatCode="0.0">
                  <c:v>0.19756338491934144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2024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Data'!$C$3:$C$14</c:f>
              <c:numCache>
                <c:formatCode>0.0</c:formatCode>
                <c:ptCount val="12"/>
                <c:pt idx="0">
                  <c:v>6.6533599467732962E-2</c:v>
                </c:pt>
                <c:pt idx="1">
                  <c:v>0.29960053262318986</c:v>
                </c:pt>
                <c:pt idx="2">
                  <c:v>0.76615589606927603</c:v>
                </c:pt>
                <c:pt idx="3">
                  <c:v>0.76462765957447942</c:v>
                </c:pt>
                <c:pt idx="4">
                  <c:v>0.82973780285426901</c:v>
                </c:pt>
                <c:pt idx="5">
                  <c:v>0.42975206611570727</c:v>
                </c:pt>
                <c:pt idx="6">
                  <c:v>0.26393929396237858</c:v>
                </c:pt>
                <c:pt idx="7">
                  <c:v>2.2204460492503131E-14</c:v>
                </c:pt>
                <c:pt idx="8">
                  <c:v>0</c:v>
                </c:pt>
                <c:pt idx="9">
                  <c:v>-6.5811122079628692E-2</c:v>
                </c:pt>
                <c:pt idx="10">
                  <c:v>-6.5832784726804761E-2</c:v>
                </c:pt>
                <c:pt idx="11">
                  <c:v>3.291639236340238E-2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2023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Data'!$D$3:$D$14</c:f>
              <c:numCache>
                <c:formatCode>0.0</c:formatCode>
                <c:ptCount val="12"/>
                <c:pt idx="0">
                  <c:v>0.19980019980019303</c:v>
                </c:pt>
                <c:pt idx="1">
                  <c:v>0.1663339986693213</c:v>
                </c:pt>
                <c:pt idx="2">
                  <c:v>9.9634672866133478E-2</c:v>
                </c:pt>
                <c:pt idx="3">
                  <c:v>0.23263542705218576</c:v>
                </c:pt>
                <c:pt idx="4">
                  <c:v>-3.3211557622048193E-2</c:v>
                </c:pt>
                <c:pt idx="5">
                  <c:v>0</c:v>
                </c:pt>
                <c:pt idx="6">
                  <c:v>-9.9469496021242776E-2</c:v>
                </c:pt>
                <c:pt idx="7">
                  <c:v>0.19933554817277432</c:v>
                </c:pt>
                <c:pt idx="8">
                  <c:v>-9.9535500995340254E-2</c:v>
                </c:pt>
                <c:pt idx="9">
                  <c:v>-0.23232658479919177</c:v>
                </c:pt>
                <c:pt idx="10">
                  <c:v>-0.39787798408490449</c:v>
                </c:pt>
                <c:pt idx="11">
                  <c:v>-0.29890401859846705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2022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Data'!$E$3:$E$14</c:f>
              <c:numCache>
                <c:formatCode>0.0</c:formatCode>
                <c:ptCount val="12"/>
                <c:pt idx="0">
                  <c:v>0.91463414634147533</c:v>
                </c:pt>
                <c:pt idx="1">
                  <c:v>0.67430883344572479</c:v>
                </c:pt>
                <c:pt idx="2">
                  <c:v>0.67272115708039149</c:v>
                </c:pt>
                <c:pt idx="3">
                  <c:v>0.63779791876468206</c:v>
                </c:pt>
                <c:pt idx="4">
                  <c:v>0.56932350971199419</c:v>
                </c:pt>
                <c:pt idx="5">
                  <c:v>0.20046775810222961</c:v>
                </c:pt>
                <c:pt idx="6">
                  <c:v>0.10006671114077825</c:v>
                </c:pt>
                <c:pt idx="7">
                  <c:v>-0.16650016650017196</c:v>
                </c:pt>
                <c:pt idx="8">
                  <c:v>0</c:v>
                </c:pt>
                <c:pt idx="9">
                  <c:v>6.6644451849384723E-2</c:v>
                </c:pt>
                <c:pt idx="10">
                  <c:v>0.26684456304202353</c:v>
                </c:pt>
                <c:pt idx="11">
                  <c:v>0.40013337779261082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7933870988016973"/>
          <c:y val="0.12923258009298391"/>
          <c:w val="0.4902878483606023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27607831957258E-2"/>
          <c:y val="0.14728143509160144"/>
          <c:w val="0.90355681745680305"/>
          <c:h val="0.713305914200712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Data'!$H$2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Data'!$G$3:$G$39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'Chart Data'!$H$3:$H$39</c:f>
              <c:numCache>
                <c:formatCode>0.0</c:formatCode>
                <c:ptCount val="37"/>
                <c:pt idx="0">
                  <c:v>-1.2474302770262893</c:v>
                </c:pt>
                <c:pt idx="1">
                  <c:v>-0.36865036085397562</c:v>
                </c:pt>
                <c:pt idx="2">
                  <c:v>0.11169119456200093</c:v>
                </c:pt>
                <c:pt idx="3">
                  <c:v>-0.22272018836573565</c:v>
                </c:pt>
                <c:pt idx="4">
                  <c:v>-0.93353558079076338</c:v>
                </c:pt>
                <c:pt idx="5">
                  <c:v>1.0722051066142415</c:v>
                </c:pt>
                <c:pt idx="6">
                  <c:v>0.37230398187334196</c:v>
                </c:pt>
                <c:pt idx="7">
                  <c:v>-0.258055252597785</c:v>
                </c:pt>
                <c:pt idx="8">
                  <c:v>-0.96512081625151136</c:v>
                </c:pt>
                <c:pt idx="9">
                  <c:v>-7.6197711503077956E-2</c:v>
                </c:pt>
                <c:pt idx="10">
                  <c:v>7.635258490044497E-2</c:v>
                </c:pt>
                <c:pt idx="11">
                  <c:v>-0.19049427875770739</c:v>
                </c:pt>
                <c:pt idx="12">
                  <c:v>-0.19146519760968508</c:v>
                </c:pt>
                <c:pt idx="13">
                  <c:v>0.11546763864043386</c:v>
                </c:pt>
                <c:pt idx="14">
                  <c:v>-0.19185634203789911</c:v>
                </c:pt>
                <c:pt idx="15">
                  <c:v>0.23140947702886941</c:v>
                </c:pt>
                <c:pt idx="16">
                  <c:v>-0.3066569124164914</c:v>
                </c:pt>
                <c:pt idx="17">
                  <c:v>0.38647604702695354</c:v>
                </c:pt>
                <c:pt idx="18">
                  <c:v>-0.87984302518682822</c:v>
                </c:pt>
                <c:pt idx="19">
                  <c:v>0.50922954434125001</c:v>
                </c:pt>
                <c:pt idx="20">
                  <c:v>0</c:v>
                </c:pt>
                <c:pt idx="21">
                  <c:v>0.11594281410808774</c:v>
                </c:pt>
                <c:pt idx="22">
                  <c:v>0.1155860669877509</c:v>
                </c:pt>
                <c:pt idx="23">
                  <c:v>-1.4595991076674524</c:v>
                </c:pt>
                <c:pt idx="24">
                  <c:v>1.3987143744528787</c:v>
                </c:pt>
                <c:pt idx="25">
                  <c:v>-0.1541147559836748</c:v>
                </c:pt>
                <c:pt idx="26">
                  <c:v>-0.54162369185816939</c:v>
                </c:pt>
                <c:pt idx="27">
                  <c:v>-0.23552019919135497</c:v>
                </c:pt>
                <c:pt idx="28">
                  <c:v>0.39501021841240824</c:v>
                </c:pt>
                <c:pt idx="29">
                  <c:v>-0.46907977237485832</c:v>
                </c:pt>
                <c:pt idx="30">
                  <c:v>0.27708988661447692</c:v>
                </c:pt>
                <c:pt idx="31">
                  <c:v>0.82518295731320612</c:v>
                </c:pt>
                <c:pt idx="32">
                  <c:v>-0.96124543938127427</c:v>
                </c:pt>
                <c:pt idx="33">
                  <c:v>-0.19729764585619813</c:v>
                </c:pt>
                <c:pt idx="34">
                  <c:v>-3.9667868818400037E-2</c:v>
                </c:pt>
                <c:pt idx="35">
                  <c:v>-0.75448621950251704</c:v>
                </c:pt>
                <c:pt idx="36">
                  <c:v>2.1072325049547476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Data'!$I$2</c:f>
              <c:strCache>
                <c:ptCount val="1"/>
                <c:pt idx="0">
                  <c:v>Non-food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Data'!$G$3:$G$39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'Chart Data'!$I$3:$I$39</c:f>
              <c:numCache>
                <c:formatCode>0.0</c:formatCode>
                <c:ptCount val="37"/>
                <c:pt idx="0">
                  <c:v>0.15120950827465565</c:v>
                </c:pt>
                <c:pt idx="1">
                  <c:v>0.11296152361775831</c:v>
                </c:pt>
                <c:pt idx="2">
                  <c:v>0.82595046782345816</c:v>
                </c:pt>
                <c:pt idx="3">
                  <c:v>-1.1025391279278522</c:v>
                </c:pt>
                <c:pt idx="4">
                  <c:v>-0.264877860250123</c:v>
                </c:pt>
                <c:pt idx="5">
                  <c:v>-0.22861795435959117</c:v>
                </c:pt>
                <c:pt idx="6">
                  <c:v>-3.8331610347620788E-2</c:v>
                </c:pt>
                <c:pt idx="7">
                  <c:v>-0.99761948852678017</c:v>
                </c:pt>
                <c:pt idx="8">
                  <c:v>7.8790565976623109E-2</c:v>
                </c:pt>
                <c:pt idx="9">
                  <c:v>0.66834602657397557</c:v>
                </c:pt>
                <c:pt idx="10">
                  <c:v>-0.27048515366267734</c:v>
                </c:pt>
                <c:pt idx="11">
                  <c:v>-0.31132272363553315</c:v>
                </c:pt>
                <c:pt idx="12">
                  <c:v>3.9233992167472836E-2</c:v>
                </c:pt>
                <c:pt idx="13">
                  <c:v>0.6271020097770984</c:v>
                </c:pt>
                <c:pt idx="14">
                  <c:v>-0.57844482415933285</c:v>
                </c:pt>
                <c:pt idx="15">
                  <c:v>0.58730761513214791</c:v>
                </c:pt>
                <c:pt idx="16">
                  <c:v>-0.50131884760475909</c:v>
                </c:pt>
                <c:pt idx="17">
                  <c:v>0.39074016664245637</c:v>
                </c:pt>
                <c:pt idx="18">
                  <c:v>-0.61887564637941184</c:v>
                </c:pt>
                <c:pt idx="19">
                  <c:v>-0.15725788860564308</c:v>
                </c:pt>
                <c:pt idx="20">
                  <c:v>-0.94743424134191245</c:v>
                </c:pt>
                <c:pt idx="21">
                  <c:v>0.20238442633381651</c:v>
                </c:pt>
                <c:pt idx="22">
                  <c:v>1.2079288975091873</c:v>
                </c:pt>
                <c:pt idx="23">
                  <c:v>-1.4833006040832468</c:v>
                </c:pt>
                <c:pt idx="24">
                  <c:v>1.0557435053371309</c:v>
                </c:pt>
                <c:pt idx="25">
                  <c:v>0.39517124069716364</c:v>
                </c:pt>
                <c:pt idx="26">
                  <c:v>3.9113888109817654E-2</c:v>
                </c:pt>
                <c:pt idx="27">
                  <c:v>-0.93777639994189355</c:v>
                </c:pt>
                <c:pt idx="28">
                  <c:v>1.1615639499280297</c:v>
                </c:pt>
                <c:pt idx="29">
                  <c:v>-0.69976570614325417</c:v>
                </c:pt>
                <c:pt idx="30">
                  <c:v>0.51478402326356054</c:v>
                </c:pt>
                <c:pt idx="31">
                  <c:v>0.2344440999854755</c:v>
                </c:pt>
                <c:pt idx="32">
                  <c:v>0.77672969296099181</c:v>
                </c:pt>
                <c:pt idx="33">
                  <c:v>-0.60904246828401487</c:v>
                </c:pt>
                <c:pt idx="34">
                  <c:v>-7.735945579742276E-2</c:v>
                </c:pt>
                <c:pt idx="35">
                  <c:v>0.42633742550442527</c:v>
                </c:pt>
                <c:pt idx="36">
                  <c:v>-0.49831093451912561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Data'!$J$2</c:f>
              <c:strCache>
                <c:ptCount val="1"/>
                <c:pt idx="0">
                  <c:v>Non-store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Data'!$G$3:$G$39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'Chart Data'!$J$3:$J$39</c:f>
              <c:numCache>
                <c:formatCode>0.0</c:formatCode>
                <c:ptCount val="37"/>
                <c:pt idx="0">
                  <c:v>-0.48147943921272446</c:v>
                </c:pt>
                <c:pt idx="1">
                  <c:v>-0.82214085090690925</c:v>
                </c:pt>
                <c:pt idx="2">
                  <c:v>-1.3399644350743949</c:v>
                </c:pt>
                <c:pt idx="3">
                  <c:v>0.83267620663847863</c:v>
                </c:pt>
                <c:pt idx="4">
                  <c:v>-0.36027574943060803</c:v>
                </c:pt>
                <c:pt idx="5">
                  <c:v>-0.52383704216568638</c:v>
                </c:pt>
                <c:pt idx="6">
                  <c:v>6.6557934055283666E-2</c:v>
                </c:pt>
                <c:pt idx="7">
                  <c:v>-0.14568341297588319</c:v>
                </c:pt>
                <c:pt idx="8">
                  <c:v>-0.2276924350425652</c:v>
                </c:pt>
                <c:pt idx="9">
                  <c:v>2.7263689305490099E-2</c:v>
                </c:pt>
                <c:pt idx="10">
                  <c:v>-0.54413542747492305</c:v>
                </c:pt>
                <c:pt idx="11">
                  <c:v>0.29811864188291309</c:v>
                </c:pt>
                <c:pt idx="12">
                  <c:v>0.23593688955954698</c:v>
                </c:pt>
                <c:pt idx="13">
                  <c:v>6.8159223263725241E-2</c:v>
                </c:pt>
                <c:pt idx="14">
                  <c:v>4.0682758027131678E-2</c:v>
                </c:pt>
                <c:pt idx="15">
                  <c:v>8.1112303867371532E-2</c:v>
                </c:pt>
                <c:pt idx="16">
                  <c:v>5.3740385517626221E-2</c:v>
                </c:pt>
                <c:pt idx="17">
                  <c:v>-1.3379921445611556E-2</c:v>
                </c:pt>
                <c:pt idx="18">
                  <c:v>0.13393672649562471</c:v>
                </c:pt>
                <c:pt idx="19">
                  <c:v>2.6514839243184242E-2</c:v>
                </c:pt>
                <c:pt idx="20">
                  <c:v>-0.25137951905834011</c:v>
                </c:pt>
                <c:pt idx="21">
                  <c:v>8.0944369490836415E-2</c:v>
                </c:pt>
                <c:pt idx="22">
                  <c:v>0.13407452148173124</c:v>
                </c:pt>
                <c:pt idx="23">
                  <c:v>-0.22560564083137968</c:v>
                </c:pt>
                <c:pt idx="24">
                  <c:v>0.18906591588843707</c:v>
                </c:pt>
                <c:pt idx="25">
                  <c:v>1.3311586811055574E-2</c:v>
                </c:pt>
                <c:pt idx="26">
                  <c:v>-7.9788021355250968E-2</c:v>
                </c:pt>
                <c:pt idx="27">
                  <c:v>5.3519685782440436E-2</c:v>
                </c:pt>
                <c:pt idx="28">
                  <c:v>0.79951187043094629</c:v>
                </c:pt>
                <c:pt idx="29">
                  <c:v>-0.28876396938782373</c:v>
                </c:pt>
                <c:pt idx="30">
                  <c:v>7.7036710274035219E-2</c:v>
                </c:pt>
                <c:pt idx="31">
                  <c:v>-0.15316799398265585</c:v>
                </c:pt>
                <c:pt idx="32">
                  <c:v>5.1663205106140531E-2</c:v>
                </c:pt>
                <c:pt idx="33">
                  <c:v>-9.005360751843107E-2</c:v>
                </c:pt>
                <c:pt idx="34">
                  <c:v>1.2954317582531566E-2</c:v>
                </c:pt>
                <c:pt idx="35">
                  <c:v>-0.4400094127039032</c:v>
                </c:pt>
                <c:pt idx="36">
                  <c:v>0.30805447093993943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Data'!$K$2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Data'!$G$3:$G$39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'Chart Data'!$K$3:$K$39</c:f>
              <c:numCache>
                <c:formatCode>0.0</c:formatCode>
                <c:ptCount val="37"/>
                <c:pt idx="0">
                  <c:v>0.26650048690062972</c:v>
                </c:pt>
                <c:pt idx="1">
                  <c:v>0.19517702162580611</c:v>
                </c:pt>
                <c:pt idx="2">
                  <c:v>-0.34097014493413896</c:v>
                </c:pt>
                <c:pt idx="3">
                  <c:v>0.19789050554115759</c:v>
                </c:pt>
                <c:pt idx="4">
                  <c:v>3.2402559199991222E-2</c:v>
                </c:pt>
                <c:pt idx="5">
                  <c:v>-0.43077332269767771</c:v>
                </c:pt>
                <c:pt idx="6">
                  <c:v>1.120533845478942E-2</c:v>
                </c:pt>
                <c:pt idx="7">
                  <c:v>-0.12313409335352275</c:v>
                </c:pt>
                <c:pt idx="8">
                  <c:v>-7.9239387273325385E-2</c:v>
                </c:pt>
                <c:pt idx="9">
                  <c:v>0.41045466339844644</c:v>
                </c:pt>
                <c:pt idx="10">
                  <c:v>-0.2748479243627186</c:v>
                </c:pt>
                <c:pt idx="11">
                  <c:v>-3.3821408533595623E-2</c:v>
                </c:pt>
                <c:pt idx="12">
                  <c:v>0.12439184711607137</c:v>
                </c:pt>
                <c:pt idx="13">
                  <c:v>-0.19010592392587428</c:v>
                </c:pt>
                <c:pt idx="14">
                  <c:v>-7.9646578369283655E-2</c:v>
                </c:pt>
                <c:pt idx="15">
                  <c:v>-9.1684259986171815E-2</c:v>
                </c:pt>
                <c:pt idx="16">
                  <c:v>9.2449890549730573E-2</c:v>
                </c:pt>
                <c:pt idx="17">
                  <c:v>-2.292106499654234E-2</c:v>
                </c:pt>
                <c:pt idx="18">
                  <c:v>0.14929602397644576</c:v>
                </c:pt>
                <c:pt idx="19">
                  <c:v>-0.12464648754005642</c:v>
                </c:pt>
                <c:pt idx="20">
                  <c:v>9.1684259986174271E-2</c:v>
                </c:pt>
                <c:pt idx="21">
                  <c:v>-0.26142721873367469</c:v>
                </c:pt>
                <c:pt idx="22">
                  <c:v>0.1513368739361679</c:v>
                </c:pt>
                <c:pt idx="23">
                  <c:v>-0.37898221470944171</c:v>
                </c:pt>
                <c:pt idx="24">
                  <c:v>0.85617933009643787</c:v>
                </c:pt>
                <c:pt idx="25">
                  <c:v>-0.19867969998000523</c:v>
                </c:pt>
                <c:pt idx="26">
                  <c:v>0.33718399167503632</c:v>
                </c:pt>
                <c:pt idx="27">
                  <c:v>-0.55627053601955212</c:v>
                </c:pt>
                <c:pt idx="28">
                  <c:v>0.29859204795289152</c:v>
                </c:pt>
                <c:pt idx="29">
                  <c:v>0.20128862533327749</c:v>
                </c:pt>
                <c:pt idx="30">
                  <c:v>-0.12081311341927892</c:v>
                </c:pt>
                <c:pt idx="31">
                  <c:v>6.662512172515743E-2</c:v>
                </c:pt>
                <c:pt idx="32">
                  <c:v>-4.415104444000089E-2</c:v>
                </c:pt>
                <c:pt idx="33">
                  <c:v>7.7573694447759522E-2</c:v>
                </c:pt>
                <c:pt idx="34">
                  <c:v>-2.2009690642802879E-2</c:v>
                </c:pt>
                <c:pt idx="35">
                  <c:v>0.12129444056437597</c:v>
                </c:pt>
                <c:pt idx="36">
                  <c:v>-0.13088718494577734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Data'!$L$2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Data'!$G$3:$G$39</c:f>
              <c:numCache>
                <c:formatCode>m/d/yyyy</c:formatCode>
                <c:ptCount val="37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</c:numCache>
            </c:numRef>
          </c:cat>
          <c:val>
            <c:numRef>
              <c:f>'Chart Data'!$L$3:$L$39</c:f>
              <c:numCache>
                <c:formatCode>0.0</c:formatCode>
                <c:ptCount val="37"/>
                <c:pt idx="0">
                  <c:v>-1.5</c:v>
                </c:pt>
                <c:pt idx="1">
                  <c:v>-1</c:v>
                </c:pt>
                <c:pt idx="2">
                  <c:v>-0.8</c:v>
                </c:pt>
                <c:pt idx="3">
                  <c:v>-0.4</c:v>
                </c:pt>
                <c:pt idx="4">
                  <c:v>-1.6</c:v>
                </c:pt>
                <c:pt idx="5">
                  <c:v>-0.1</c:v>
                </c:pt>
                <c:pt idx="6">
                  <c:v>0.5</c:v>
                </c:pt>
                <c:pt idx="7">
                  <c:v>-1.5</c:v>
                </c:pt>
                <c:pt idx="8">
                  <c:v>-1.2</c:v>
                </c:pt>
                <c:pt idx="9">
                  <c:v>1</c:v>
                </c:pt>
                <c:pt idx="10">
                  <c:v>-1</c:v>
                </c:pt>
                <c:pt idx="11">
                  <c:v>-0.2</c:v>
                </c:pt>
                <c:pt idx="12">
                  <c:v>0.2</c:v>
                </c:pt>
                <c:pt idx="13">
                  <c:v>0.6</c:v>
                </c:pt>
                <c:pt idx="14">
                  <c:v>-0.8</c:v>
                </c:pt>
                <c:pt idx="15">
                  <c:v>0.8</c:v>
                </c:pt>
                <c:pt idx="16">
                  <c:v>-0.7</c:v>
                </c:pt>
                <c:pt idx="17">
                  <c:v>0.7</c:v>
                </c:pt>
                <c:pt idx="18">
                  <c:v>-1.2</c:v>
                </c:pt>
                <c:pt idx="19">
                  <c:v>0.2</c:v>
                </c:pt>
                <c:pt idx="20">
                  <c:v>-1.1000000000000001</c:v>
                </c:pt>
                <c:pt idx="21">
                  <c:v>0.1</c:v>
                </c:pt>
                <c:pt idx="22">
                  <c:v>1.6</c:v>
                </c:pt>
                <c:pt idx="23">
                  <c:v>-3.6</c:v>
                </c:pt>
                <c:pt idx="24">
                  <c:v>3.5</c:v>
                </c:pt>
                <c:pt idx="25">
                  <c:v>0</c:v>
                </c:pt>
                <c:pt idx="26">
                  <c:v>-0.3</c:v>
                </c:pt>
                <c:pt idx="27">
                  <c:v>-1.7</c:v>
                </c:pt>
                <c:pt idx="28">
                  <c:v>2.7</c:v>
                </c:pt>
                <c:pt idx="29">
                  <c:v>-1.3</c:v>
                </c:pt>
                <c:pt idx="30">
                  <c:v>0.7</c:v>
                </c:pt>
                <c:pt idx="31">
                  <c:v>1</c:v>
                </c:pt>
                <c:pt idx="32">
                  <c:v>-0.1</c:v>
                </c:pt>
                <c:pt idx="33">
                  <c:v>-0.8</c:v>
                </c:pt>
                <c:pt idx="34">
                  <c:v>-0.1</c:v>
                </c:pt>
                <c:pt idx="35">
                  <c:v>-0.6</c:v>
                </c:pt>
                <c:pt idx="36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dateAx>
        <c:axId val="275934208"/>
        <c:scaling>
          <c:orientation val="minMax"/>
          <c:min val="4492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Offset val="100"/>
        <c:baseTimeUnit val="months"/>
        <c:majorUnit val="6"/>
        <c:majorTimeUnit val="months"/>
      </c:date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3711498920951104"/>
          <c:y val="0.10845480104272623"/>
          <c:w val="0.22513153391443932"/>
          <c:h val="0.2638882051375103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6667430154611"/>
          <c:w val="1"/>
          <c:h val="0.8084444939554807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Data'!$AF$2</c:f>
              <c:strCache>
                <c:ptCount val="1"/>
                <c:pt idx="0">
                  <c:v>ONS AWE private sector regular pay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Data'!$AE$3:$AE$65</c:f>
              <c:numCache>
                <c:formatCode>m/d/yyyy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'Chart Data'!$AF$3:$AF$65</c:f>
              <c:numCache>
                <c:formatCode>0.0</c:formatCode>
                <c:ptCount val="63"/>
                <c:pt idx="0">
                  <c:v>3.0013642564802101</c:v>
                </c:pt>
                <c:pt idx="1">
                  <c:v>2.857142857142847</c:v>
                </c:pt>
                <c:pt idx="2">
                  <c:v>2.5762711864406596</c:v>
                </c:pt>
                <c:pt idx="3">
                  <c:v>1.3531799729364025</c:v>
                </c:pt>
                <c:pt idx="4">
                  <c:v>0</c:v>
                </c:pt>
                <c:pt idx="5">
                  <c:v>-1.1424731182795744</c:v>
                </c:pt>
                <c:pt idx="6">
                  <c:v>-0.80375083724045782</c:v>
                </c:pt>
                <c:pt idx="7">
                  <c:v>0.13360053440214514</c:v>
                </c:pt>
                <c:pt idx="8">
                  <c:v>1.3333333333333419</c:v>
                </c:pt>
                <c:pt idx="9">
                  <c:v>2.3968042609853413</c:v>
                </c:pt>
                <c:pt idx="10">
                  <c:v>3.2579787234042534</c:v>
                </c:pt>
                <c:pt idx="11">
                  <c:v>3.9176626826029182</c:v>
                </c:pt>
                <c:pt idx="12">
                  <c:v>4.1059602649006655</c:v>
                </c:pt>
                <c:pt idx="13">
                  <c:v>4.1666666666666741</c:v>
                </c:pt>
                <c:pt idx="14">
                  <c:v>4.2300066093853284</c:v>
                </c:pt>
                <c:pt idx="15">
                  <c:v>5.6742323097463299</c:v>
                </c:pt>
                <c:pt idx="16">
                  <c:v>7.1476736345245984</c:v>
                </c:pt>
                <c:pt idx="17">
                  <c:v>8.3616587355540553</c:v>
                </c:pt>
                <c:pt idx="18">
                  <c:v>7.7650236326806121</c:v>
                </c:pt>
                <c:pt idx="19">
                  <c:v>6.7378252168112107</c:v>
                </c:pt>
                <c:pt idx="20">
                  <c:v>5.5263157894736681</c:v>
                </c:pt>
                <c:pt idx="21">
                  <c:v>4.6814044213264072</c:v>
                </c:pt>
                <c:pt idx="22">
                  <c:v>4.1210560206052849</c:v>
                </c:pt>
                <c:pt idx="23">
                  <c:v>3.9616613418530511</c:v>
                </c:pt>
                <c:pt idx="24">
                  <c:v>4.2620865139949116</c:v>
                </c:pt>
                <c:pt idx="25">
                  <c:v>4.6349206349206362</c:v>
                </c:pt>
                <c:pt idx="26">
                  <c:v>5.0095117311350634</c:v>
                </c:pt>
                <c:pt idx="27">
                  <c:v>4.9273531269740989</c:v>
                </c:pt>
                <c:pt idx="28">
                  <c:v>5.2234109502832027</c:v>
                </c:pt>
                <c:pt idx="29">
                  <c:v>5.4579673776662396</c:v>
                </c:pt>
                <c:pt idx="30">
                  <c:v>6.0150375939849621</c:v>
                </c:pt>
                <c:pt idx="31">
                  <c:v>6.2499999999999778</c:v>
                </c:pt>
                <c:pt idx="32">
                  <c:v>6.6708229426434063</c:v>
                </c:pt>
                <c:pt idx="33">
                  <c:v>6.956521739130439</c:v>
                </c:pt>
                <c:pt idx="34">
                  <c:v>7.2974644403215994</c:v>
                </c:pt>
                <c:pt idx="35">
                  <c:v>7.3140749846342779</c:v>
                </c:pt>
                <c:pt idx="36">
                  <c:v>7.0774862721171283</c:v>
                </c:pt>
                <c:pt idx="37">
                  <c:v>7.0995145631068013</c:v>
                </c:pt>
                <c:pt idx="38">
                  <c:v>7.1859903381642498</c:v>
                </c:pt>
                <c:pt idx="39">
                  <c:v>7.6459963877182568</c:v>
                </c:pt>
                <c:pt idx="40">
                  <c:v>7.7751196172248571</c:v>
                </c:pt>
                <c:pt idx="41">
                  <c:v>8.0904223676383058</c:v>
                </c:pt>
                <c:pt idx="42">
                  <c:v>8.0969267139479939</c:v>
                </c:pt>
                <c:pt idx="43">
                  <c:v>8.1176470588235397</c:v>
                </c:pt>
                <c:pt idx="44">
                  <c:v>7.8316773816481611</c:v>
                </c:pt>
                <c:pt idx="45">
                  <c:v>7.2590011614401817</c:v>
                </c:pt>
                <c:pt idx="46">
                  <c:v>6.6282420749279369</c:v>
                </c:pt>
                <c:pt idx="47">
                  <c:v>6.1855670103092786</c:v>
                </c:pt>
                <c:pt idx="48">
                  <c:v>6.0968660968660826</c:v>
                </c:pt>
                <c:pt idx="49">
                  <c:v>5.9490084985835745</c:v>
                </c:pt>
                <c:pt idx="50">
                  <c:v>5.915492957746471</c:v>
                </c:pt>
                <c:pt idx="51">
                  <c:v>5.8724832214765099</c:v>
                </c:pt>
                <c:pt idx="52">
                  <c:v>5.6048834628191102</c:v>
                </c:pt>
                <c:pt idx="53">
                  <c:v>5.2283984589983623</c:v>
                </c:pt>
                <c:pt idx="54">
                  <c:v>4.920721705850184</c:v>
                </c:pt>
                <c:pt idx="55">
                  <c:v>4.787812840043526</c:v>
                </c:pt>
                <c:pt idx="56">
                  <c:v>4.8238482384823866</c:v>
                </c:pt>
                <c:pt idx="57">
                  <c:v>5.4141851651326567</c:v>
                </c:pt>
                <c:pt idx="58">
                  <c:v>5.8918918918918983</c:v>
                </c:pt>
                <c:pt idx="59">
                  <c:v>6.256742179072261</c:v>
                </c:pt>
                <c:pt idx="60">
                  <c:v>6.1224489795918435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2"/>
          <c:order val="2"/>
          <c:tx>
            <c:strRef>
              <c:f>'Chart Data'!$AH$2</c:f>
              <c:strCache>
                <c:ptCount val="1"/>
                <c:pt idx="0">
                  <c:v>BoE Decision Maker Panel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Data'!$AE$3:$AE$65</c:f>
              <c:numCache>
                <c:formatCode>m/d/yyyy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'Chart Data'!$AH$3:$AH$65</c:f>
              <c:numCache>
                <c:formatCode>0.0</c:formatCode>
                <c:ptCount val="6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5.4649999999999999</c:v>
                </c:pt>
                <c:pt idx="29">
                  <c:v>5.5780000000000003</c:v>
                </c:pt>
                <c:pt idx="30">
                  <c:v>5.5410000000000004</c:v>
                </c:pt>
                <c:pt idx="31">
                  <c:v>5.8440000000000003</c:v>
                </c:pt>
                <c:pt idx="32">
                  <c:v>6.0979999999999999</c:v>
                </c:pt>
                <c:pt idx="33">
                  <c:v>6.306</c:v>
                </c:pt>
                <c:pt idx="34">
                  <c:v>6.2190000000000003</c:v>
                </c:pt>
                <c:pt idx="35">
                  <c:v>6.26</c:v>
                </c:pt>
                <c:pt idx="36">
                  <c:v>6.3390000000000004</c:v>
                </c:pt>
                <c:pt idx="37">
                  <c:v>6.51</c:v>
                </c:pt>
                <c:pt idx="38">
                  <c:v>6.4779999999999998</c:v>
                </c:pt>
                <c:pt idx="39">
                  <c:v>6.5640000000000001</c:v>
                </c:pt>
                <c:pt idx="40">
                  <c:v>6.609</c:v>
                </c:pt>
                <c:pt idx="41">
                  <c:v>6.8250000000000002</c:v>
                </c:pt>
                <c:pt idx="42">
                  <c:v>6.8490000000000002</c:v>
                </c:pt>
                <c:pt idx="43">
                  <c:v>6.8949999999999996</c:v>
                </c:pt>
                <c:pt idx="44">
                  <c:v>6.8689999999999998</c:v>
                </c:pt>
                <c:pt idx="45">
                  <c:v>6.9189999999999996</c:v>
                </c:pt>
                <c:pt idx="46">
                  <c:v>6.9530000000000003</c:v>
                </c:pt>
                <c:pt idx="47">
                  <c:v>6.944</c:v>
                </c:pt>
                <c:pt idx="48">
                  <c:v>6.8559999999999999</c:v>
                </c:pt>
                <c:pt idx="49">
                  <c:v>6.6929999999999996</c:v>
                </c:pt>
                <c:pt idx="50">
                  <c:v>6.3780000000000001</c:v>
                </c:pt>
                <c:pt idx="51">
                  <c:v>6.181</c:v>
                </c:pt>
                <c:pt idx="52">
                  <c:v>6.0350000000000001</c:v>
                </c:pt>
                <c:pt idx="53">
                  <c:v>5.9880000000000004</c:v>
                </c:pt>
                <c:pt idx="54">
                  <c:v>5.8869999999999996</c:v>
                </c:pt>
                <c:pt idx="55">
                  <c:v>5.774</c:v>
                </c:pt>
                <c:pt idx="56">
                  <c:v>5.69</c:v>
                </c:pt>
                <c:pt idx="57">
                  <c:v>5.6020000000000003</c:v>
                </c:pt>
                <c:pt idx="58">
                  <c:v>5.5090000000000003</c:v>
                </c:pt>
                <c:pt idx="59">
                  <c:v>5.38</c:v>
                </c:pt>
                <c:pt idx="60">
                  <c:v>5.2759999999999998</c:v>
                </c:pt>
                <c:pt idx="61">
                  <c:v>5.1749999999999998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Data'!$AI$2</c:f>
              <c:strCache>
                <c:ptCount val="1"/>
                <c:pt idx="0">
                  <c:v>Indeed wage tracker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Data'!$AE$3:$AE$65</c:f>
              <c:numCache>
                <c:formatCode>m/d/yyyy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'Chart Data'!$AI$3:$AI$65</c:f>
              <c:numCache>
                <c:formatCode>0.0</c:formatCode>
                <c:ptCount val="63"/>
                <c:pt idx="0">
                  <c:v>2.806165</c:v>
                </c:pt>
                <c:pt idx="1">
                  <c:v>2.2930915000000001</c:v>
                </c:pt>
                <c:pt idx="2">
                  <c:v>1.9478381</c:v>
                </c:pt>
                <c:pt idx="3">
                  <c:v>3.1703820999999999</c:v>
                </c:pt>
                <c:pt idx="4">
                  <c:v>4.0756323999999999</c:v>
                </c:pt>
                <c:pt idx="5">
                  <c:v>4.4872712000000003</c:v>
                </c:pt>
                <c:pt idx="6">
                  <c:v>3.9409057000000001</c:v>
                </c:pt>
                <c:pt idx="7">
                  <c:v>3.5114274000000001</c:v>
                </c:pt>
                <c:pt idx="8">
                  <c:v>3.3418834999999998</c:v>
                </c:pt>
                <c:pt idx="9">
                  <c:v>3.2699760000000002</c:v>
                </c:pt>
                <c:pt idx="10">
                  <c:v>3.2996835</c:v>
                </c:pt>
                <c:pt idx="11">
                  <c:v>3.3910825999999998</c:v>
                </c:pt>
                <c:pt idx="12">
                  <c:v>3.5588950000000001</c:v>
                </c:pt>
                <c:pt idx="13">
                  <c:v>3.6596001</c:v>
                </c:pt>
                <c:pt idx="14">
                  <c:v>3.4812523</c:v>
                </c:pt>
                <c:pt idx="15">
                  <c:v>2.3222687</c:v>
                </c:pt>
                <c:pt idx="16">
                  <c:v>1.5915509999999999</c:v>
                </c:pt>
                <c:pt idx="17">
                  <c:v>1.3784246</c:v>
                </c:pt>
                <c:pt idx="18">
                  <c:v>2.3226757999999998</c:v>
                </c:pt>
                <c:pt idx="19">
                  <c:v>3.0648797999999999</c:v>
                </c:pt>
                <c:pt idx="20">
                  <c:v>3.5096753000000001</c:v>
                </c:pt>
                <c:pt idx="21">
                  <c:v>3.7667383000000001</c:v>
                </c:pt>
                <c:pt idx="22">
                  <c:v>3.8531328</c:v>
                </c:pt>
                <c:pt idx="23">
                  <c:v>3.9664769</c:v>
                </c:pt>
                <c:pt idx="24">
                  <c:v>4.0191961000000003</c:v>
                </c:pt>
                <c:pt idx="25">
                  <c:v>4.1673631000000002</c:v>
                </c:pt>
                <c:pt idx="26">
                  <c:v>4.6858817000000004</c:v>
                </c:pt>
                <c:pt idx="27">
                  <c:v>5.5117091</c:v>
                </c:pt>
                <c:pt idx="28">
                  <c:v>6.2663685999999998</c:v>
                </c:pt>
                <c:pt idx="29">
                  <c:v>6.6071350999999998</c:v>
                </c:pt>
                <c:pt idx="30">
                  <c:v>6.5019789000000001</c:v>
                </c:pt>
                <c:pt idx="31">
                  <c:v>6.4925227000000003</c:v>
                </c:pt>
                <c:pt idx="32">
                  <c:v>6.3844677000000001</c:v>
                </c:pt>
                <c:pt idx="33">
                  <c:v>6.4100251999999998</c:v>
                </c:pt>
                <c:pt idx="34">
                  <c:v>6.3297543999999997</c:v>
                </c:pt>
                <c:pt idx="35">
                  <c:v>6.3690214999999997</c:v>
                </c:pt>
                <c:pt idx="36">
                  <c:v>6.3690214999999997</c:v>
                </c:pt>
                <c:pt idx="37">
                  <c:v>6.4527479999999997</c:v>
                </c:pt>
                <c:pt idx="38">
                  <c:v>6.6569646999999996</c:v>
                </c:pt>
                <c:pt idx="39">
                  <c:v>7.0012052999999996</c:v>
                </c:pt>
                <c:pt idx="40">
                  <c:v>7.2319933000000001</c:v>
                </c:pt>
                <c:pt idx="41">
                  <c:v>7.3281144999999999</c:v>
                </c:pt>
                <c:pt idx="42">
                  <c:v>7.2942163000000004</c:v>
                </c:pt>
                <c:pt idx="43">
                  <c:v>7.1877519999999997</c:v>
                </c:pt>
                <c:pt idx="44">
                  <c:v>7.0729322999999997</c:v>
                </c:pt>
                <c:pt idx="45">
                  <c:v>6.8341057999999997</c:v>
                </c:pt>
                <c:pt idx="46">
                  <c:v>6.6824374999999998</c:v>
                </c:pt>
                <c:pt idx="47">
                  <c:v>6.5584848999999998</c:v>
                </c:pt>
                <c:pt idx="48">
                  <c:v>6.4994130999999999</c:v>
                </c:pt>
                <c:pt idx="49">
                  <c:v>6.4388332999999998</c:v>
                </c:pt>
                <c:pt idx="50">
                  <c:v>6.4273502000000002</c:v>
                </c:pt>
                <c:pt idx="51">
                  <c:v>6.5606336000000001</c:v>
                </c:pt>
                <c:pt idx="52">
                  <c:v>6.6978872999999997</c:v>
                </c:pt>
                <c:pt idx="53">
                  <c:v>6.7878901000000003</c:v>
                </c:pt>
                <c:pt idx="54">
                  <c:v>6.6050725999999997</c:v>
                </c:pt>
                <c:pt idx="55">
                  <c:v>6.5972512999999999</c:v>
                </c:pt>
                <c:pt idx="56">
                  <c:v>6.5743562999999998</c:v>
                </c:pt>
                <c:pt idx="57">
                  <c:v>6.6948135999999998</c:v>
                </c:pt>
                <c:pt idx="58">
                  <c:v>6.5353811000000004</c:v>
                </c:pt>
                <c:pt idx="59">
                  <c:v>6.3351854999999997</c:v>
                </c:pt>
                <c:pt idx="60">
                  <c:v>6.1649748000000004</c:v>
                </c:pt>
                <c:pt idx="61">
                  <c:v>5.9684339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Data'!$AJ$2</c:f>
              <c:strCache>
                <c:ptCount val="1"/>
                <c:pt idx="0">
                  <c:v>Brightmine median pay settlement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Data'!$AE$3:$AE$65</c:f>
              <c:numCache>
                <c:formatCode>m/d/yyyy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'Chart Data'!$AJ$3:$AJ$65</c:f>
              <c:numCache>
                <c:formatCode>General</c:formatCode>
                <c:ptCount val="63"/>
                <c:pt idx="0">
                  <c:v>2.2999999999999998</c:v>
                </c:pt>
                <c:pt idx="1">
                  <c:v>2.4</c:v>
                </c:pt>
                <c:pt idx="2">
                  <c:v>2.4</c:v>
                </c:pt>
                <c:pt idx="3">
                  <c:v>2.2000000000000002</c:v>
                </c:pt>
                <c:pt idx="4">
                  <c:v>2.1</c:v>
                </c:pt>
                <c:pt idx="5">
                  <c:v>2</c:v>
                </c:pt>
                <c:pt idx="6">
                  <c:v>0</c:v>
                </c:pt>
                <c:pt idx="7">
                  <c:v>1.1000000000000001</c:v>
                </c:pt>
                <c:pt idx="8">
                  <c:v>1.5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2.5</c:v>
                </c:pt>
                <c:pt idx="23">
                  <c:v>2.2999999999999998</c:v>
                </c:pt>
                <c:pt idx="24">
                  <c:v>3.5</c:v>
                </c:pt>
                <c:pt idx="25">
                  <c:v>3.5</c:v>
                </c:pt>
                <c:pt idx="26">
                  <c:v>3.7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4.4000000000000004</c:v>
                </c:pt>
                <c:pt idx="31">
                  <c:v>4.4000000000000004</c:v>
                </c:pt>
                <c:pt idx="32">
                  <c:v>4.5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5.5</c:v>
                </c:pt>
                <c:pt idx="46">
                  <c:v>5.5</c:v>
                </c:pt>
                <c:pt idx="47">
                  <c:v>5.8</c:v>
                </c:pt>
                <c:pt idx="48">
                  <c:v>4.5999999999999996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4.9000000000000004</c:v>
                </c:pt>
                <c:pt idx="52">
                  <c:v>4.9000000000000004</c:v>
                </c:pt>
                <c:pt idx="53">
                  <c:v>4.8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3.7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EA-4F38-8199-7C91A55DF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Data'!$AG$2</c15:sqref>
                        </c15:formulaRef>
                      </c:ext>
                    </c:extLst>
                    <c:strCache>
                      <c:ptCount val="1"/>
                      <c:pt idx="0">
                        <c:v>HMRC median monthly pay</c:v>
                      </c:pt>
                    </c:strCache>
                  </c:strRef>
                </c:tx>
                <c:spPr>
                  <a:ln w="38100">
                    <a:solidFill>
                      <a:srgbClr val="003469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Data'!$AE$3:$AE$65</c15:sqref>
                        </c15:formulaRef>
                      </c:ext>
                    </c:extLst>
                    <c:numCache>
                      <c:formatCode>m/d/yyyy</c:formatCode>
                      <c:ptCount val="63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Data'!$AG$3:$AG$65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3.4495688038995054</c:v>
                      </c:pt>
                      <c:pt idx="1">
                        <c:v>3.7778193379465197</c:v>
                      </c:pt>
                      <c:pt idx="2">
                        <c:v>3.4238928172683369</c:v>
                      </c:pt>
                      <c:pt idx="3">
                        <c:v>1.8340125972582388</c:v>
                      </c:pt>
                      <c:pt idx="4">
                        <c:v>0.22132054592400863</c:v>
                      </c:pt>
                      <c:pt idx="5">
                        <c:v>-0.31278748850046556</c:v>
                      </c:pt>
                      <c:pt idx="6">
                        <c:v>0.73448402497247045</c:v>
                      </c:pt>
                      <c:pt idx="7">
                        <c:v>2.0524097489462934</c:v>
                      </c:pt>
                      <c:pt idx="8">
                        <c:v>3.1833150384193099</c:v>
                      </c:pt>
                      <c:pt idx="9">
                        <c:v>4.0204678362573132</c:v>
                      </c:pt>
                      <c:pt idx="10">
                        <c:v>4.5105916727538498</c:v>
                      </c:pt>
                      <c:pt idx="11">
                        <c:v>4.6803860863230851</c:v>
                      </c:pt>
                      <c:pt idx="12">
                        <c:v>4.5125045306270373</c:v>
                      </c:pt>
                      <c:pt idx="13">
                        <c:v>4.4692737430167551</c:v>
                      </c:pt>
                      <c:pt idx="14">
                        <c:v>4.7139258726160538</c:v>
                      </c:pt>
                      <c:pt idx="15">
                        <c:v>6.4762597780607667</c:v>
                      </c:pt>
                      <c:pt idx="16">
                        <c:v>8.0787633419212348</c:v>
                      </c:pt>
                      <c:pt idx="17">
                        <c:v>8.8962716869693601</c:v>
                      </c:pt>
                      <c:pt idx="18">
                        <c:v>7.8381334305504868</c:v>
                      </c:pt>
                      <c:pt idx="19">
                        <c:v>6.679834799784512</c:v>
                      </c:pt>
                      <c:pt idx="20">
                        <c:v>5.9219858156028371</c:v>
                      </c:pt>
                      <c:pt idx="21">
                        <c:v>5.4813773717498293</c:v>
                      </c:pt>
                      <c:pt idx="22">
                        <c:v>5.3992661191682778</c:v>
                      </c:pt>
                      <c:pt idx="23">
                        <c:v>5.4279749478079342</c:v>
                      </c:pt>
                      <c:pt idx="24">
                        <c:v>5.7742327033119434</c:v>
                      </c:pt>
                      <c:pt idx="25">
                        <c:v>5.9168535449370507</c:v>
                      </c:pt>
                      <c:pt idx="26">
                        <c:v>6.1683848797250862</c:v>
                      </c:pt>
                      <c:pt idx="27">
                        <c:v>6.0652656757218537</c:v>
                      </c:pt>
                      <c:pt idx="28">
                        <c:v>6.1978545887961811</c:v>
                      </c:pt>
                      <c:pt idx="29">
                        <c:v>6.1864406779660985</c:v>
                      </c:pt>
                      <c:pt idx="30">
                        <c:v>6.4570655848546377</c:v>
                      </c:pt>
                      <c:pt idx="31">
                        <c:v>6.6150479717219435</c:v>
                      </c:pt>
                      <c:pt idx="32">
                        <c:v>6.7626380984265211</c:v>
                      </c:pt>
                      <c:pt idx="33">
                        <c:v>6.8121252498334339</c:v>
                      </c:pt>
                      <c:pt idx="34">
                        <c:v>7.4436339522546469</c:v>
                      </c:pt>
                      <c:pt idx="35">
                        <c:v>7.6402640264026545</c:v>
                      </c:pt>
                      <c:pt idx="36">
                        <c:v>7.7049180327868783</c:v>
                      </c:pt>
                      <c:pt idx="37">
                        <c:v>7.3452768729641571</c:v>
                      </c:pt>
                      <c:pt idx="38">
                        <c:v>7.0885256513999018</c:v>
                      </c:pt>
                      <c:pt idx="39">
                        <c:v>7.135953608247414</c:v>
                      </c:pt>
                      <c:pt idx="40">
                        <c:v>7.343274009940659</c:v>
                      </c:pt>
                      <c:pt idx="41">
                        <c:v>8.268156424581008</c:v>
                      </c:pt>
                      <c:pt idx="42">
                        <c:v>8.3677357891394077</c:v>
                      </c:pt>
                      <c:pt idx="43">
                        <c:v>8.1622987053994187</c:v>
                      </c:pt>
                      <c:pt idx="44">
                        <c:v>6.9771088115396784</c:v>
                      </c:pt>
                      <c:pt idx="45">
                        <c:v>6.533603617651651</c:v>
                      </c:pt>
                      <c:pt idx="46">
                        <c:v>6.1101681839222266</c:v>
                      </c:pt>
                      <c:pt idx="47">
                        <c:v>6.208799632071127</c:v>
                      </c:pt>
                      <c:pt idx="48">
                        <c:v>6.2861491628614763</c:v>
                      </c:pt>
                      <c:pt idx="49">
                        <c:v>6.2964648763465414</c:v>
                      </c:pt>
                      <c:pt idx="50">
                        <c:v>6.332174701526383</c:v>
                      </c:pt>
                      <c:pt idx="51">
                        <c:v>6.3900165388663277</c:v>
                      </c:pt>
                      <c:pt idx="52">
                        <c:v>6.2434652725914974</c:v>
                      </c:pt>
                      <c:pt idx="53">
                        <c:v>5.3516143299425112</c:v>
                      </c:pt>
                      <c:pt idx="54">
                        <c:v>5.0989010989010985</c:v>
                      </c:pt>
                      <c:pt idx="55">
                        <c:v>5.1233396584440261</c:v>
                      </c:pt>
                      <c:pt idx="56">
                        <c:v>5.8478675069617569</c:v>
                      </c:pt>
                      <c:pt idx="57">
                        <c:v>6.5427400468384134</c:v>
                      </c:pt>
                      <c:pt idx="58">
                        <c:v>6.7035044350734152</c:v>
                      </c:pt>
                      <c:pt idx="59">
                        <c:v>6.5675519630485013</c:v>
                      </c:pt>
                      <c:pt idx="60">
                        <c:v>5.9716454246026007</c:v>
                      </c:pt>
                      <c:pt idx="61">
                        <c:v>5.5238367113902287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492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9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493471511045577"/>
          <c:y val="0.59012149720779072"/>
          <c:w val="0.46725023142806116"/>
          <c:h val="0.22160832503288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D310FF-8ED7-42F9-9B09-61D377C5387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5923D0-7B1C-4FFF-A456-E4AFAFE8929D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69AE7E-B109-4246-B813-C2A3E503EFE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32426" cy="67235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1E687-A830-4A34-7C87-7E6BCC1DD7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F5E9F5-CC8E-9E4D-DCDF-FFE2D26C7D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C43CAD9-7502-426B-6053-255D2D3D7C18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0.49136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6FE21FC-2B7B-C946-F2E6-C75D4AF1C258}"/>
            </a:ext>
          </a:extLst>
        </cdr:cNvPr>
        <cdr:cNvSpPr txBox="1"/>
      </cdr:nvSpPr>
      <cdr:spPr>
        <a:xfrm xmlns:a="http://schemas.openxmlformats.org/drawingml/2006/main">
          <a:off x="0" y="508000"/>
          <a:ext cx="4143374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three months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-on-three months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5C6A8-2143-5D66-3B2E-2C1D6B52EA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2EDF10-A9FE-DF55-F704-C14ADC70B68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month-on-month retail sales growth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C11EF1D-E80E-8C2D-367B-3323C8F4D273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0.21346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F8C087D-965A-5B6E-1304-9344B74EE617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pts</a:t>
          </a:r>
        </a:p>
      </cdr:txBody>
    </cdr:sp>
  </cdr:relSizeAnchor>
  <cdr:relSizeAnchor xmlns:cdr="http://schemas.openxmlformats.org/drawingml/2006/chartDrawing">
    <cdr:from>
      <cdr:x>0.45763</cdr:x>
      <cdr:y>0.1471</cdr:y>
    </cdr:from>
    <cdr:to>
      <cdr:x>0.53107</cdr:x>
      <cdr:y>0.85997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AFE60EE6-DBA5-6C5F-C3CB-5978EA7646DC}"/>
            </a:ext>
          </a:extLst>
        </cdr:cNvPr>
        <cdr:cNvSpPr/>
      </cdr:nvSpPr>
      <cdr:spPr>
        <a:xfrm xmlns:a="http://schemas.openxmlformats.org/drawingml/2006/main">
          <a:off x="3857625" y="990600"/>
          <a:ext cx="619126" cy="4800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1"/>
          </a:solidFill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0.8919</cdr:x>
      <cdr:y>0.14757</cdr:y>
    </cdr:from>
    <cdr:to>
      <cdr:x>0.96535</cdr:x>
      <cdr:y>0.86044</cdr:y>
    </cdr:to>
    <cdr:sp macro="" textlink="">
      <cdr:nvSpPr>
        <cdr:cNvPr id="11" name="Rectangle 10">
          <a:extLst xmlns:a="http://schemas.openxmlformats.org/drawingml/2006/main">
            <a:ext uri="{FF2B5EF4-FFF2-40B4-BE49-F238E27FC236}">
              <a16:creationId xmlns:a16="http://schemas.microsoft.com/office/drawing/2014/main" id="{A4D17748-D045-25A1-F20D-13771C670912}"/>
            </a:ext>
          </a:extLst>
        </cdr:cNvPr>
        <cdr:cNvSpPr/>
      </cdr:nvSpPr>
      <cdr:spPr>
        <a:xfrm xmlns:a="http://schemas.openxmlformats.org/drawingml/2006/main">
          <a:off x="7518400" y="993775"/>
          <a:ext cx="619126" cy="4800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1"/>
          </a:solidFill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32426" cy="67235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60917-B53D-2F00-2767-BAA678BF55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ACC02BD-2F64-749B-DB69-52BADE0A5ED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Measures of private sector wage growth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716E4E8-C767-EDE6-C30F-841CF2C40D57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0.64039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9E454C-898A-A6B5-3FE8-B2CDA05368CD}"/>
            </a:ext>
          </a:extLst>
        </cdr:cNvPr>
        <cdr:cNvSpPr txBox="1"/>
      </cdr:nvSpPr>
      <cdr:spPr>
        <a:xfrm xmlns:a="http://schemas.openxmlformats.org/drawingml/2006/main">
          <a:off x="0" y="508000"/>
          <a:ext cx="54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three-months-on-three months, year ago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Teams\Data%20Team\Collaboration\Macro%20Team\MacroCharts\UK\Historical\UKHISTORICALCHARTS.xlsm" TargetMode="External"/><Relationship Id="rId1" Type="http://schemas.openxmlformats.org/officeDocument/2006/relationships/externalLinkPath" Target="file:///V:\Teams\Data%20Team\Collaboration\Macro%20Team\MacroCharts\UK\Historical\UKHISTORICALCHAR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BI Invest Intentions (2)"/>
      <sheetName val="Manu &amp; Services Profitabili (2"/>
      <sheetName val="Industrial production"/>
      <sheetName val="Inflation"/>
      <sheetName val="CPI with target 2%"/>
      <sheetName val="Core Inflation"/>
      <sheetName val="CPI Goods &amp; Services Infl"/>
      <sheetName val="Inflation Wedge"/>
      <sheetName val="Inflation Quarterly"/>
      <sheetName val="Headline Producer Prices"/>
      <sheetName val="Core Producer Prices"/>
      <sheetName val="Producer Output Prices"/>
      <sheetName val="Producer Input Prices"/>
      <sheetName val="Import &amp; Producer Prices"/>
      <sheetName val="Sterling Oil Prices"/>
      <sheetName val="Pay Settlements"/>
      <sheetName val="Wage Inflation"/>
      <sheetName val="Priv &amp; Pub Earnings Index"/>
      <sheetName val="Priv &amp; Pub Earnings Growth"/>
      <sheetName val="Man &amp; Serv Earnings Growth"/>
      <sheetName val="Output (%Q) 2000 onward"/>
      <sheetName val="Output (%Y)"/>
      <sheetName val="Contributions to GDP"/>
      <sheetName val="Manufacturing Output (%)"/>
      <sheetName val="Industrial Output (%)"/>
      <sheetName val="Bus Confidence &amp; GDP"/>
      <sheetName val="PMI Activity"/>
      <sheetName val="PMI Activity old format"/>
      <sheetName val="PMI &amp; Manufacturing"/>
      <sheetName val="PMI &amp; Services"/>
      <sheetName val="CBI Order Books"/>
      <sheetName val="CBI Output Expectations"/>
      <sheetName val="Consumer Spending"/>
      <sheetName val="Retail Sales"/>
      <sheetName val="CBI Retail Survey"/>
      <sheetName val="CBI Retail Survey Volume"/>
      <sheetName val="CBI uncertainty about demand"/>
      <sheetName val="CBI labour shortage"/>
      <sheetName val="Household Spend on Fuel"/>
      <sheetName val="Consumer Confidence (GfK)"/>
      <sheetName val="Borrowing"/>
      <sheetName val="Corporate borrow"/>
      <sheetName val="Household Wealth"/>
      <sheetName val="Housing Market Activity"/>
      <sheetName val="House Prices"/>
      <sheetName val="Halifax &amp; Nationwide"/>
      <sheetName val="RICS"/>
      <sheetName val="House Price Income Ratio - DCLG"/>
      <sheetName val="House Price Income Ratio"/>
      <sheetName val="REAL HOUSE prices"/>
      <sheetName val="Household Income Gearing"/>
      <sheetName val="House Prices &amp; Confidence"/>
      <sheetName val="House Prices &amp; Turnover"/>
      <sheetName val="Labour Market Indicators"/>
      <sheetName val="Employment"/>
      <sheetName val="Unemployment"/>
      <sheetName val="Unemployment Inflows &amp; Outflows"/>
      <sheetName val="Unit Labour Costs"/>
      <sheetName val="Productivity"/>
      <sheetName val="Business Investment %Q"/>
      <sheetName val="Business Investment %Y"/>
      <sheetName val="Manu &amp; Services Profitability"/>
      <sheetName val="CBI Export Optimism"/>
      <sheetName val="CBI Past Exports"/>
      <sheetName val="CBI Invest Intentions (3)"/>
      <sheetName val="CBI Invest Intentions"/>
      <sheetName val="CBI Manufacturers' Stocks"/>
      <sheetName val="Company Finances"/>
      <sheetName val="Profitability"/>
      <sheetName val="Stockmarket"/>
      <sheetName val="Current Account"/>
      <sheetName val="Visible Trade Balance"/>
      <sheetName val="Trade Balance"/>
      <sheetName val="CBI Export Orders"/>
      <sheetName val="Exports (% 3ma-year)"/>
      <sheetName val="Effective Exchange Rate"/>
      <sheetName val="Euro &amp; US$ per £"/>
      <sheetName val="Bank Base Rate"/>
      <sheetName val="RLG (UK &amp; Ger)"/>
      <sheetName val="RLG (UK,US,Ger)"/>
      <sheetName val="RLG Spreads"/>
      <sheetName val="RLG &amp; Infl Expectations"/>
      <sheetName val="Interest Rate Expectations"/>
      <sheetName val="Real Interest Rate"/>
      <sheetName val="M4 &amp; M4 Lending"/>
      <sheetName val="M4 &amp; M0 Growth (more history)"/>
      <sheetName val="M4 Velocity"/>
      <sheetName val="Company sector fin bal"/>
      <sheetName val="Income Gearing"/>
      <sheetName val="Investment intentions"/>
      <sheetName val="Confidence in profits"/>
      <sheetName val="Home deliveries"/>
      <sheetName val="Home orders"/>
      <sheetName val="Export deliveries"/>
      <sheetName val="Export orders"/>
      <sheetName val="PSCB"/>
      <sheetName val="PSNB"/>
      <sheetName val="Constraints on investment"/>
      <sheetName val="Credit Stds (multiple)"/>
      <sheetName val="Credit Stds line-hist-multiple"/>
      <sheetName val="Credit Stds line-fore-multiple"/>
      <sheetName val="Credit Stds (single) (1)"/>
      <sheetName val="Credit Stds (single) (2)"/>
      <sheetName val="Credit Stds (single) (3)"/>
      <sheetName val="Credit Spreads (single)"/>
      <sheetName val="Credit Stds (manual)"/>
      <sheetName val="Spreads (manual)"/>
      <sheetName val="Mortgage Stds (manual)"/>
      <sheetName val="LIBOR spreads"/>
      <sheetName val="Current Acc % GDP"/>
      <sheetName val="LIBOR+2YSWAP rates"/>
      <sheetName val="Manufacturing  PMI, Volume MA"/>
      <sheetName val="HH Debt to Income"/>
      <sheetName val="Example Line Chart"/>
      <sheetName val="Example Bar Chart"/>
      <sheetName val="Example Chart Notes"/>
      <sheetName val="Zero lines"/>
      <sheetName val="Manual data (Growth 1950-1972)"/>
      <sheetName val="Manual Monthly DATA"/>
      <sheetName val="Manual Quarterly DATA"/>
      <sheetName val="Weekly Data with back data"/>
      <sheetName val="DAILY DATA"/>
      <sheetName val="WEEKLY DATA"/>
      <sheetName val="MONTHLY DATA"/>
      <sheetName val="MONTHLY DATA (2)"/>
      <sheetName val="UK Employment"/>
      <sheetName val="QUARTERLY DATA"/>
      <sheetName val="ANNUAL DATA"/>
      <sheetName val="Model Data"/>
      <sheetName val="2% inflation target line"/>
      <sheetName val="BUTTONS"/>
      <sheetName val="CONTENTS"/>
      <sheetName val="User Log"/>
      <sheetName val="Sheet1"/>
      <sheetName val="create sheet tab list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575">
          <cell r="D575">
            <v>2.2999999999999998</v>
          </cell>
        </row>
        <row r="576">
          <cell r="D576">
            <v>2.4</v>
          </cell>
        </row>
        <row r="577">
          <cell r="D577">
            <v>2.4</v>
          </cell>
        </row>
        <row r="578">
          <cell r="D578">
            <v>2.2000000000000002</v>
          </cell>
        </row>
        <row r="579">
          <cell r="D579">
            <v>2.1</v>
          </cell>
        </row>
        <row r="580">
          <cell r="D580">
            <v>2</v>
          </cell>
        </row>
        <row r="581">
          <cell r="D581">
            <v>0</v>
          </cell>
        </row>
        <row r="582">
          <cell r="D582">
            <v>1.1000000000000001</v>
          </cell>
        </row>
        <row r="583">
          <cell r="D583">
            <v>1.5</v>
          </cell>
        </row>
        <row r="584">
          <cell r="D584">
            <v>2</v>
          </cell>
        </row>
        <row r="585">
          <cell r="D585">
            <v>2</v>
          </cell>
        </row>
        <row r="586">
          <cell r="D586">
            <v>1</v>
          </cell>
        </row>
        <row r="587">
          <cell r="D587">
            <v>1</v>
          </cell>
        </row>
        <row r="588">
          <cell r="D588">
            <v>1</v>
          </cell>
        </row>
        <row r="589">
          <cell r="D589">
            <v>1.2</v>
          </cell>
        </row>
        <row r="590">
          <cell r="D590">
            <v>2</v>
          </cell>
        </row>
        <row r="591">
          <cell r="D591">
            <v>2</v>
          </cell>
        </row>
        <row r="592">
          <cell r="D592">
            <v>2</v>
          </cell>
        </row>
        <row r="593">
          <cell r="D593">
            <v>2</v>
          </cell>
        </row>
        <row r="594">
          <cell r="D594">
            <v>2</v>
          </cell>
        </row>
        <row r="595">
          <cell r="D595">
            <v>2</v>
          </cell>
        </row>
        <row r="596">
          <cell r="D596">
            <v>2</v>
          </cell>
        </row>
        <row r="597">
          <cell r="D597">
            <v>2.5</v>
          </cell>
        </row>
        <row r="598">
          <cell r="D598">
            <v>2.2999999999999998</v>
          </cell>
        </row>
        <row r="599">
          <cell r="D599">
            <v>3.5</v>
          </cell>
        </row>
        <row r="600">
          <cell r="D600">
            <v>3.5</v>
          </cell>
        </row>
        <row r="601">
          <cell r="D601">
            <v>3.7</v>
          </cell>
        </row>
        <row r="602">
          <cell r="D602">
            <v>4</v>
          </cell>
        </row>
        <row r="603">
          <cell r="D603">
            <v>4</v>
          </cell>
        </row>
        <row r="604">
          <cell r="D604">
            <v>4</v>
          </cell>
        </row>
        <row r="605">
          <cell r="D605">
            <v>4.4000000000000004</v>
          </cell>
        </row>
        <row r="606">
          <cell r="D606">
            <v>4.4000000000000004</v>
          </cell>
        </row>
        <row r="607">
          <cell r="D607">
            <v>4.5</v>
          </cell>
        </row>
        <row r="608">
          <cell r="D608">
            <v>5</v>
          </cell>
        </row>
        <row r="609">
          <cell r="D609">
            <v>5</v>
          </cell>
        </row>
        <row r="610">
          <cell r="D610">
            <v>5</v>
          </cell>
        </row>
        <row r="611">
          <cell r="D611">
            <v>6</v>
          </cell>
        </row>
        <row r="612">
          <cell r="D612">
            <v>6</v>
          </cell>
        </row>
        <row r="613">
          <cell r="D613">
            <v>6</v>
          </cell>
        </row>
        <row r="614">
          <cell r="D614">
            <v>6</v>
          </cell>
        </row>
        <row r="615">
          <cell r="D615">
            <v>5</v>
          </cell>
        </row>
        <row r="616">
          <cell r="D616">
            <v>6</v>
          </cell>
        </row>
        <row r="617">
          <cell r="D617">
            <v>5</v>
          </cell>
        </row>
        <row r="618">
          <cell r="D618">
            <v>5</v>
          </cell>
        </row>
        <row r="619">
          <cell r="D619">
            <v>5</v>
          </cell>
        </row>
        <row r="620">
          <cell r="D620">
            <v>5.5</v>
          </cell>
        </row>
        <row r="621">
          <cell r="D621">
            <v>5.5</v>
          </cell>
        </row>
        <row r="622">
          <cell r="D622">
            <v>5.8</v>
          </cell>
        </row>
        <row r="623">
          <cell r="D623">
            <v>4.5999999999999996</v>
          </cell>
        </row>
        <row r="624">
          <cell r="D624">
            <v>4.5999999999999996</v>
          </cell>
        </row>
        <row r="625">
          <cell r="D625">
            <v>4.5</v>
          </cell>
        </row>
        <row r="626">
          <cell r="D626">
            <v>4.9000000000000004</v>
          </cell>
        </row>
        <row r="627">
          <cell r="D627">
            <v>4.9000000000000004</v>
          </cell>
        </row>
        <row r="628">
          <cell r="D628">
            <v>4.8</v>
          </cell>
        </row>
        <row r="629">
          <cell r="D629">
            <v>4</v>
          </cell>
        </row>
        <row r="630">
          <cell r="D630">
            <v>4</v>
          </cell>
        </row>
        <row r="631">
          <cell r="D631">
            <v>4</v>
          </cell>
        </row>
        <row r="632">
          <cell r="D632">
            <v>4</v>
          </cell>
        </row>
        <row r="633">
          <cell r="D633">
            <v>3.7</v>
          </cell>
        </row>
        <row r="634">
          <cell r="D634">
            <v>3</v>
          </cell>
        </row>
        <row r="635">
          <cell r="D635">
            <v>3</v>
          </cell>
        </row>
        <row r="636">
          <cell r="D636">
            <v>3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KNVYY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0371-F31E-47B1-8ADC-1B44B23EDE05}">
  <dimension ref="A1:AJ182"/>
  <sheetViews>
    <sheetView topLeftCell="C2" workbookViewId="0">
      <selection activeCell="L9" sqref="L9"/>
    </sheetView>
  </sheetViews>
  <sheetFormatPr defaultRowHeight="15" x14ac:dyDescent="0.25"/>
  <cols>
    <col min="6" max="6" width="2.7109375" customWidth="1"/>
    <col min="7" max="7" width="10.42578125" bestFit="1" customWidth="1"/>
    <col min="14" max="14" width="2.7109375" customWidth="1"/>
    <col min="15" max="15" width="13" customWidth="1"/>
    <col min="21" max="21" width="2.7109375" customWidth="1"/>
    <col min="22" max="22" width="10.42578125" bestFit="1" customWidth="1"/>
    <col min="26" max="26" width="2.7109375" customWidth="1"/>
    <col min="30" max="30" width="2.7109375" customWidth="1"/>
    <col min="31" max="31" width="10.42578125" bestFit="1" customWidth="1"/>
  </cols>
  <sheetData>
    <row r="1" spans="1:36" x14ac:dyDescent="0.25">
      <c r="A1" s="4" t="s">
        <v>327</v>
      </c>
      <c r="G1" s="4" t="s">
        <v>346</v>
      </c>
      <c r="O1" s="5"/>
      <c r="P1" s="5" t="s">
        <v>340</v>
      </c>
      <c r="Q1" s="5" t="s">
        <v>341</v>
      </c>
      <c r="R1" s="5" t="s">
        <v>342</v>
      </c>
      <c r="S1" s="5" t="s">
        <v>343</v>
      </c>
      <c r="T1" s="5" t="s">
        <v>344</v>
      </c>
      <c r="V1" s="10" t="s">
        <v>355</v>
      </c>
      <c r="AE1" s="4" t="s">
        <v>391</v>
      </c>
    </row>
    <row r="2" spans="1:36" x14ac:dyDescent="0.25">
      <c r="B2">
        <v>2025</v>
      </c>
      <c r="C2">
        <v>2024</v>
      </c>
      <c r="D2">
        <v>2023</v>
      </c>
      <c r="E2">
        <v>2022</v>
      </c>
      <c r="H2" s="5" t="s">
        <v>341</v>
      </c>
      <c r="I2" s="5" t="s">
        <v>342</v>
      </c>
      <c r="J2" s="5" t="s">
        <v>343</v>
      </c>
      <c r="K2" s="5" t="s">
        <v>344</v>
      </c>
      <c r="L2" s="5" t="s">
        <v>340</v>
      </c>
      <c r="M2" s="5" t="s">
        <v>397</v>
      </c>
      <c r="O2" s="5" t="s">
        <v>347</v>
      </c>
      <c r="P2" s="5">
        <v>494298</v>
      </c>
      <c r="Q2" s="5">
        <v>185685</v>
      </c>
      <c r="R2" s="5">
        <v>189472</v>
      </c>
      <c r="S2" s="5">
        <v>64417</v>
      </c>
      <c r="T2" s="5">
        <v>54723</v>
      </c>
      <c r="W2" t="s">
        <v>356</v>
      </c>
      <c r="X2" t="s">
        <v>357</v>
      </c>
      <c r="Y2" t="s">
        <v>358</v>
      </c>
      <c r="AB2" t="s">
        <v>359</v>
      </c>
      <c r="AC2" t="s">
        <v>360</v>
      </c>
      <c r="AF2" t="s">
        <v>395</v>
      </c>
      <c r="AG2" t="s">
        <v>394</v>
      </c>
      <c r="AH2" t="s">
        <v>392</v>
      </c>
      <c r="AI2" t="s">
        <v>393</v>
      </c>
      <c r="AJ2" t="s">
        <v>396</v>
      </c>
    </row>
    <row r="3" spans="1:36" x14ac:dyDescent="0.25">
      <c r="A3" t="s">
        <v>328</v>
      </c>
      <c r="B3" s="2">
        <f>100*((AVERAGE(HAVERM!C305:C307)/AVERAGE(HAVERM!C302:C304))-1)</f>
        <v>0.19756338491934144</v>
      </c>
      <c r="C3" s="2">
        <f>100*((AVERAGE(HAVERM!C293:C295)/AVERAGE(HAVERM!C290:C292))-1)</f>
        <v>6.6533599467732962E-2</v>
      </c>
      <c r="D3" s="2">
        <f>100*((AVERAGE(HAVERM!C281:C283)/AVERAGE(HAVERM!C278:C280))-1)</f>
        <v>0.19980019980019303</v>
      </c>
      <c r="E3" s="2">
        <f>100*((AVERAGE(HAVERM!C269:C271)/AVERAGE(HAVERM!C266:C268))-1)</f>
        <v>0.91463414634147533</v>
      </c>
      <c r="G3" s="7">
        <v>44562</v>
      </c>
      <c r="H3" s="2">
        <f>100*((HAVERM!E271/HAVERM!E270)-1)*'Chart Data'!Q$3</f>
        <v>-1.2474302770262893</v>
      </c>
      <c r="I3" s="2">
        <f>100*((HAVERM!F271/HAVERM!F270)-1)*'Chart Data'!R$3</f>
        <v>0.15120950827465565</v>
      </c>
      <c r="J3" s="2">
        <f>100*((HAVERM!G271/HAVERM!G270)-1)*'Chart Data'!S$3</f>
        <v>-0.48147943921272446</v>
      </c>
      <c r="K3" s="2">
        <f>100*((HAVERM!H271/HAVERM!H270)-1)*'Chart Data'!T$3</f>
        <v>0.26650048690062972</v>
      </c>
      <c r="L3" s="2">
        <f>HAVERM!D271</f>
        <v>-1.5</v>
      </c>
      <c r="M3" s="2">
        <v>100</v>
      </c>
      <c r="O3" s="5" t="s">
        <v>345</v>
      </c>
      <c r="P3" s="6">
        <f>SUM(Q3:T3)</f>
        <v>1</v>
      </c>
      <c r="Q3" s="6">
        <f>Q2/SUM($Q$2:$T$2)</f>
        <v>0.37565471771020259</v>
      </c>
      <c r="R3" s="6">
        <f t="shared" ref="R3:T3" si="0">R2/SUM($Q$2:$T$2)</f>
        <v>0.38331610347625011</v>
      </c>
      <c r="S3" s="6">
        <f t="shared" si="0"/>
        <v>0.13032043488024406</v>
      </c>
      <c r="T3" s="6">
        <f t="shared" si="0"/>
        <v>0.11070874393330325</v>
      </c>
      <c r="V3" s="7">
        <v>40179</v>
      </c>
      <c r="W3" s="11">
        <f>HAVERM!J127/SUM(HAVERM!J127:J138)</f>
        <v>7.1029016228626923E-2</v>
      </c>
      <c r="X3" s="12">
        <f t="shared" ref="X3:X66" si="1">1/12</f>
        <v>8.3333333333333329E-2</v>
      </c>
      <c r="Y3" s="12">
        <f t="shared" ref="Y3:Y66" si="2">W3-X3</f>
        <v>-1.2304317104706405E-2</v>
      </c>
      <c r="AA3" t="s">
        <v>328</v>
      </c>
      <c r="AB3" s="12">
        <f>AVERAGE(Y3,Y15,Y27,Y39,Y51,Y63,Y75,Y87,Y99,Y111)</f>
        <v>-1.1618650330414336E-2</v>
      </c>
      <c r="AC3" s="12">
        <f>AVERAGE(Y159,Y171)</f>
        <v>-1.3539395329038188E-2</v>
      </c>
      <c r="AE3" s="7">
        <v>43831</v>
      </c>
      <c r="AF3" s="2">
        <f>100*((AVERAGE(HAVERM!M245:M247)/AVERAGE(HAVERM!M233:M235))-1)</f>
        <v>3.0013642564802101</v>
      </c>
      <c r="AG3" s="2">
        <f>100*((AVERAGE(HAVERM!O245:O247)/AVERAGE(HAVERM!O233:O235))-1)</f>
        <v>3.4495688038995054</v>
      </c>
      <c r="AH3" s="2" t="e">
        <f>HAVERM!Q247</f>
        <v>#N/A</v>
      </c>
      <c r="AI3" s="2">
        <f>HAVERM!S247</f>
        <v>2.806165</v>
      </c>
      <c r="AJ3">
        <f>'[1]Manual Monthly DATA'!D575</f>
        <v>2.2999999999999998</v>
      </c>
    </row>
    <row r="4" spans="1:36" x14ac:dyDescent="0.25">
      <c r="A4" t="s">
        <v>329</v>
      </c>
      <c r="C4" s="2">
        <f>100*((AVERAGE(HAVERM!C294:C296)/AVERAGE(HAVERM!C291:C293))-1)</f>
        <v>0.29960053262318986</v>
      </c>
      <c r="D4" s="2">
        <f>100*((AVERAGE(HAVERM!C282:C284)/AVERAGE(HAVERM!C279:C281))-1)</f>
        <v>0.1663339986693213</v>
      </c>
      <c r="E4" s="2">
        <f>100*((AVERAGE(HAVERM!C270:C272)/AVERAGE(HAVERM!C267:C269))-1)</f>
        <v>0.67430883344572479</v>
      </c>
      <c r="G4" s="7">
        <v>44593</v>
      </c>
      <c r="H4" s="2">
        <f>100*((HAVERM!E272/HAVERM!E271)-1)*'Chart Data'!Q$3</f>
        <v>-0.36865036085397562</v>
      </c>
      <c r="I4" s="2">
        <f>100*((HAVERM!F272/HAVERM!F271)-1)*'Chart Data'!R$3</f>
        <v>0.11296152361775831</v>
      </c>
      <c r="J4" s="2">
        <f>100*((HAVERM!G272/HAVERM!G271)-1)*'Chart Data'!S$3</f>
        <v>-0.82214085090690925</v>
      </c>
      <c r="K4" s="2">
        <f>100*((HAVERM!H272/HAVERM!H271)-1)*'Chart Data'!T$3</f>
        <v>0.19517702162580611</v>
      </c>
      <c r="L4" s="2">
        <f>HAVERM!D272</f>
        <v>-1</v>
      </c>
      <c r="M4" s="2"/>
      <c r="V4" s="7">
        <v>40210</v>
      </c>
      <c r="W4" s="11">
        <f>HAVERM!J128/SUM(HAVERM!J127:J138)</f>
        <v>7.2968386648892852E-2</v>
      </c>
      <c r="X4" s="12">
        <f t="shared" si="1"/>
        <v>8.3333333333333329E-2</v>
      </c>
      <c r="Y4" s="12">
        <f t="shared" si="2"/>
        <v>-1.0364946684440476E-2</v>
      </c>
      <c r="AA4" t="s">
        <v>329</v>
      </c>
      <c r="AB4" s="12">
        <f t="shared" ref="AB4:AB14" si="3">AVERAGE(Y4,Y16,Y28,Y40,Y52,Y64,Y76,Y88,Y100,Y112)</f>
        <v>-1.0543298442860177E-2</v>
      </c>
      <c r="AC4" s="12">
        <f t="shared" ref="AC4:AC14" si="4">AVERAGE(Y160,Y172)</f>
        <v>-9.3506192016711218E-3</v>
      </c>
      <c r="AE4" s="7">
        <v>43862</v>
      </c>
      <c r="AF4" s="2">
        <f>100*((AVERAGE(HAVERM!M246:M248)/AVERAGE(HAVERM!M234:M236))-1)</f>
        <v>2.857142857142847</v>
      </c>
      <c r="AG4" s="2">
        <f>100*((AVERAGE(HAVERM!O246:O248)/AVERAGE(HAVERM!O234:O236))-1)</f>
        <v>3.7778193379465197</v>
      </c>
      <c r="AH4" s="2" t="e">
        <f>HAVERM!Q248</f>
        <v>#N/A</v>
      </c>
      <c r="AI4" s="2">
        <f>HAVERM!S248</f>
        <v>2.2930915000000001</v>
      </c>
      <c r="AJ4">
        <f>'[1]Manual Monthly DATA'!D576</f>
        <v>2.4</v>
      </c>
    </row>
    <row r="5" spans="1:36" x14ac:dyDescent="0.25">
      <c r="A5" t="s">
        <v>330</v>
      </c>
      <c r="C5" s="2">
        <f>100*((AVERAGE(HAVERM!C295:C297)/AVERAGE(HAVERM!C292:C294))-1)</f>
        <v>0.76615589606927603</v>
      </c>
      <c r="D5" s="2">
        <f>100*((AVERAGE(HAVERM!C283:C285)/AVERAGE(HAVERM!C280:C282))-1)</f>
        <v>9.9634672866133478E-2</v>
      </c>
      <c r="E5" s="2">
        <f>100*((AVERAGE(HAVERM!C271:C273)/AVERAGE(HAVERM!C268:C270))-1)</f>
        <v>0.67272115708039149</v>
      </c>
      <c r="G5" s="7">
        <v>44621</v>
      </c>
      <c r="H5" s="2">
        <f>100*((HAVERM!E273/HAVERM!E272)-1)*'Chart Data'!Q$3</f>
        <v>0.11169119456200093</v>
      </c>
      <c r="I5" s="2">
        <f>100*((HAVERM!F273/HAVERM!F272)-1)*'Chart Data'!R$3</f>
        <v>0.82595046782345816</v>
      </c>
      <c r="J5" s="2">
        <f>100*((HAVERM!G273/HAVERM!G272)-1)*'Chart Data'!S$3</f>
        <v>-1.3399644350743949</v>
      </c>
      <c r="K5" s="2">
        <f>100*((HAVERM!H273/HAVERM!H272)-1)*'Chart Data'!T$3</f>
        <v>-0.34097014493413896</v>
      </c>
      <c r="L5" s="2">
        <f>HAVERM!D273</f>
        <v>-0.8</v>
      </c>
      <c r="M5" s="2"/>
      <c r="V5" s="7">
        <v>40238</v>
      </c>
      <c r="W5" s="11">
        <f>HAVERM!J129/SUM(HAVERM!J127:J138)</f>
        <v>9.4772296535166348E-2</v>
      </c>
      <c r="X5" s="12">
        <f t="shared" si="1"/>
        <v>8.3333333333333329E-2</v>
      </c>
      <c r="Y5" s="12">
        <f t="shared" si="2"/>
        <v>1.1438963201833019E-2</v>
      </c>
      <c r="AA5" t="s">
        <v>330</v>
      </c>
      <c r="AB5" s="12">
        <f t="shared" si="3"/>
        <v>1.0509593573325773E-2</v>
      </c>
      <c r="AC5" s="12">
        <f t="shared" si="4"/>
        <v>1.2029718833420973E-2</v>
      </c>
      <c r="AE5" s="7">
        <v>43891</v>
      </c>
      <c r="AF5" s="2">
        <f>100*((AVERAGE(HAVERM!M247:M249)/AVERAGE(HAVERM!M235:M237))-1)</f>
        <v>2.5762711864406596</v>
      </c>
      <c r="AG5" s="2">
        <f>100*((AVERAGE(HAVERM!O247:O249)/AVERAGE(HAVERM!O235:O237))-1)</f>
        <v>3.4238928172683369</v>
      </c>
      <c r="AH5" s="2" t="e">
        <f>HAVERM!Q249</f>
        <v>#N/A</v>
      </c>
      <c r="AI5" s="2">
        <f>HAVERM!S249</f>
        <v>1.9478381</v>
      </c>
      <c r="AJ5">
        <f>'[1]Manual Monthly DATA'!D577</f>
        <v>2.4</v>
      </c>
    </row>
    <row r="6" spans="1:36" x14ac:dyDescent="0.25">
      <c r="A6" t="s">
        <v>331</v>
      </c>
      <c r="C6" s="2">
        <f>100*((AVERAGE(HAVERM!C296:C298)/AVERAGE(HAVERM!C293:C295))-1)</f>
        <v>0.76462765957447942</v>
      </c>
      <c r="D6" s="2">
        <f>100*((AVERAGE(HAVERM!C284:C286)/AVERAGE(HAVERM!C281:C283))-1)</f>
        <v>0.23263542705218576</v>
      </c>
      <c r="E6" s="2">
        <f>100*((AVERAGE(HAVERM!C272:C274)/AVERAGE(HAVERM!C269:C271))-1)</f>
        <v>0.63779791876468206</v>
      </c>
      <c r="G6" s="7">
        <v>44652</v>
      </c>
      <c r="H6" s="2">
        <f>100*((HAVERM!E274/HAVERM!E273)-1)*'Chart Data'!Q$3</f>
        <v>-0.22272018836573565</v>
      </c>
      <c r="I6" s="2">
        <f>100*((HAVERM!F274/HAVERM!F273)-1)*'Chart Data'!R$3</f>
        <v>-1.1025391279278522</v>
      </c>
      <c r="J6" s="2">
        <f>100*((HAVERM!G274/HAVERM!G273)-1)*'Chart Data'!S$3</f>
        <v>0.83267620663847863</v>
      </c>
      <c r="K6" s="2">
        <f>100*((HAVERM!H274/HAVERM!H273)-1)*'Chart Data'!T$3</f>
        <v>0.19789050554115759</v>
      </c>
      <c r="L6" s="2">
        <f>HAVERM!D274</f>
        <v>-0.4</v>
      </c>
      <c r="M6" s="2"/>
      <c r="V6" s="7">
        <v>40269</v>
      </c>
      <c r="W6" s="11">
        <f>HAVERM!J130/SUM(HAVERM!J127:J138)</f>
        <v>7.4526652770558643E-2</v>
      </c>
      <c r="X6" s="12">
        <f t="shared" si="1"/>
        <v>8.3333333333333329E-2</v>
      </c>
      <c r="Y6" s="12">
        <f t="shared" si="2"/>
        <v>-8.8066805627746853E-3</v>
      </c>
      <c r="AA6" t="s">
        <v>331</v>
      </c>
      <c r="AB6" s="12">
        <f t="shared" si="3"/>
        <v>-7.9071647257366925E-3</v>
      </c>
      <c r="AC6" s="12">
        <f t="shared" si="4"/>
        <v>-8.0997061949039523E-3</v>
      </c>
      <c r="AE6" s="7">
        <v>43922</v>
      </c>
      <c r="AF6" s="2">
        <f>100*((AVERAGE(HAVERM!M248:M250)/AVERAGE(HAVERM!M236:M238))-1)</f>
        <v>1.3531799729364025</v>
      </c>
      <c r="AG6" s="2">
        <f>100*((AVERAGE(HAVERM!O248:O250)/AVERAGE(HAVERM!O236:O238))-1)</f>
        <v>1.8340125972582388</v>
      </c>
      <c r="AH6" s="2" t="e">
        <f>HAVERM!Q250</f>
        <v>#N/A</v>
      </c>
      <c r="AI6" s="2">
        <f>HAVERM!S250</f>
        <v>3.1703820999999999</v>
      </c>
      <c r="AJ6">
        <f>'[1]Manual Monthly DATA'!D578</f>
        <v>2.2000000000000002</v>
      </c>
    </row>
    <row r="7" spans="1:36" x14ac:dyDescent="0.25">
      <c r="A7" t="s">
        <v>332</v>
      </c>
      <c r="C7" s="2">
        <f>100*((AVERAGE(HAVERM!C297:C299)/AVERAGE(HAVERM!C294:C296))-1)</f>
        <v>0.82973780285426901</v>
      </c>
      <c r="D7" s="2">
        <f>100*((AVERAGE(HAVERM!C285:C287)/AVERAGE(HAVERM!C282:C284))-1)</f>
        <v>-3.3211557622048193E-2</v>
      </c>
      <c r="E7" s="2">
        <f>100*((AVERAGE(HAVERM!C273:C275)/AVERAGE(HAVERM!C270:C272))-1)</f>
        <v>0.56932350971199419</v>
      </c>
      <c r="G7" s="7">
        <v>44682</v>
      </c>
      <c r="H7" s="2">
        <f>100*((HAVERM!E275/HAVERM!E274)-1)*'Chart Data'!Q$3</f>
        <v>-0.93353558079076338</v>
      </c>
      <c r="I7" s="2">
        <f>100*((HAVERM!F275/HAVERM!F274)-1)*'Chart Data'!R$3</f>
        <v>-0.264877860250123</v>
      </c>
      <c r="J7" s="2">
        <f>100*((HAVERM!G275/HAVERM!G274)-1)*'Chart Data'!S$3</f>
        <v>-0.36027574943060803</v>
      </c>
      <c r="K7" s="2">
        <f>100*((HAVERM!H275/HAVERM!H274)-1)*'Chart Data'!T$3</f>
        <v>3.2402559199991222E-2</v>
      </c>
      <c r="L7" s="2">
        <f>HAVERM!D275</f>
        <v>-1.6</v>
      </c>
      <c r="M7" s="2"/>
      <c r="V7" s="7">
        <v>40299</v>
      </c>
      <c r="W7" s="11">
        <f>HAVERM!J131/SUM(HAVERM!J127:J138)</f>
        <v>7.7284482148981842E-2</v>
      </c>
      <c r="X7" s="12">
        <f t="shared" si="1"/>
        <v>8.3333333333333329E-2</v>
      </c>
      <c r="Y7" s="12">
        <f t="shared" si="2"/>
        <v>-6.0488511843514864E-3</v>
      </c>
      <c r="AA7" t="s">
        <v>332</v>
      </c>
      <c r="AB7" s="12">
        <f t="shared" si="3"/>
        <v>-6.4390784010198918E-3</v>
      </c>
      <c r="AC7" s="12">
        <f t="shared" si="4"/>
        <v>-5.3046457103929426E-3</v>
      </c>
      <c r="AE7" s="7">
        <v>43952</v>
      </c>
      <c r="AF7" s="2">
        <f>100*((AVERAGE(HAVERM!M249:M251)/AVERAGE(HAVERM!M237:M239))-1)</f>
        <v>0</v>
      </c>
      <c r="AG7" s="2">
        <f>100*((AVERAGE(HAVERM!O249:O251)/AVERAGE(HAVERM!O237:O239))-1)</f>
        <v>0.22132054592400863</v>
      </c>
      <c r="AH7" s="2" t="e">
        <f>HAVERM!Q251</f>
        <v>#N/A</v>
      </c>
      <c r="AI7" s="2">
        <f>HAVERM!S251</f>
        <v>4.0756323999999999</v>
      </c>
      <c r="AJ7">
        <f>'[1]Manual Monthly DATA'!D579</f>
        <v>2.1</v>
      </c>
    </row>
    <row r="8" spans="1:36" x14ac:dyDescent="0.25">
      <c r="A8" t="s">
        <v>333</v>
      </c>
      <c r="C8" s="2">
        <f>100*((AVERAGE(HAVERM!C298:C300)/AVERAGE(HAVERM!C295:C297))-1)</f>
        <v>0.42975206611570727</v>
      </c>
      <c r="D8" s="2">
        <f>100*((AVERAGE(HAVERM!C286:C288)/AVERAGE(HAVERM!C283:C285))-1)</f>
        <v>0</v>
      </c>
      <c r="E8" s="2">
        <f>100*((AVERAGE(HAVERM!C274:C276)/AVERAGE(HAVERM!C271:C273))-1)</f>
        <v>0.20046775810222961</v>
      </c>
      <c r="G8" s="7">
        <v>44713</v>
      </c>
      <c r="H8" s="2">
        <f>100*((HAVERM!E276/HAVERM!E275)-1)*'Chart Data'!Q$3</f>
        <v>1.0722051066142415</v>
      </c>
      <c r="I8" s="2">
        <f>100*((HAVERM!F276/HAVERM!F275)-1)*'Chart Data'!R$3</f>
        <v>-0.22861795435959117</v>
      </c>
      <c r="J8" s="2">
        <f>100*((HAVERM!G276/HAVERM!G275)-1)*'Chart Data'!S$3</f>
        <v>-0.52383704216568638</v>
      </c>
      <c r="K8" s="2">
        <f>100*((HAVERM!H276/HAVERM!H275)-1)*'Chart Data'!T$3</f>
        <v>-0.43077332269767771</v>
      </c>
      <c r="L8" s="2">
        <f>HAVERM!D276</f>
        <v>-0.1</v>
      </c>
      <c r="M8" s="2"/>
      <c r="V8" s="7">
        <v>40330</v>
      </c>
      <c r="W8" s="11">
        <f>HAVERM!J132/SUM(HAVERM!J127:J138)</f>
        <v>9.7729447844806763E-2</v>
      </c>
      <c r="X8" s="12">
        <f t="shared" si="1"/>
        <v>8.3333333333333329E-2</v>
      </c>
      <c r="Y8" s="12">
        <f t="shared" si="2"/>
        <v>1.4396114511473435E-2</v>
      </c>
      <c r="AA8" t="s">
        <v>333</v>
      </c>
      <c r="AB8" s="12">
        <f t="shared" si="3"/>
        <v>1.2625728681411935E-2</v>
      </c>
      <c r="AC8" s="12">
        <f t="shared" si="4"/>
        <v>1.3336778114991128E-2</v>
      </c>
      <c r="AE8" s="7">
        <v>43983</v>
      </c>
      <c r="AF8" s="2">
        <f>100*((AVERAGE(HAVERM!M250:M252)/AVERAGE(HAVERM!M238:M240))-1)</f>
        <v>-1.1424731182795744</v>
      </c>
      <c r="AG8" s="2">
        <f>100*((AVERAGE(HAVERM!O250:O252)/AVERAGE(HAVERM!O238:O240))-1)</f>
        <v>-0.31278748850046556</v>
      </c>
      <c r="AH8" s="2" t="e">
        <f>HAVERM!Q252</f>
        <v>#N/A</v>
      </c>
      <c r="AI8" s="2">
        <f>HAVERM!S252</f>
        <v>4.4872712000000003</v>
      </c>
      <c r="AJ8">
        <f>'[1]Manual Monthly DATA'!D580</f>
        <v>2</v>
      </c>
    </row>
    <row r="9" spans="1:36" x14ac:dyDescent="0.25">
      <c r="A9" t="s">
        <v>334</v>
      </c>
      <c r="C9" s="2">
        <f>100*((AVERAGE(HAVERM!C299:C301)/AVERAGE(HAVERM!C296:C298))-1)</f>
        <v>0.26393929396237858</v>
      </c>
      <c r="D9" s="2">
        <f>100*((AVERAGE(HAVERM!C287:C289)/AVERAGE(HAVERM!C284:C286))-1)</f>
        <v>-9.9469496021242776E-2</v>
      </c>
      <c r="E9" s="2">
        <f>100*((AVERAGE(HAVERM!C275:C277)/AVERAGE(HAVERM!C272:C274))-1)</f>
        <v>0.10006671114077825</v>
      </c>
      <c r="G9" s="7">
        <v>44743</v>
      </c>
      <c r="H9" s="2">
        <f>100*((HAVERM!E277/HAVERM!E276)-1)*'Chart Data'!Q$3</f>
        <v>0.37230398187334196</v>
      </c>
      <c r="I9" s="2">
        <f>100*((HAVERM!F277/HAVERM!F276)-1)*'Chart Data'!R$3</f>
        <v>-3.8331610347620788E-2</v>
      </c>
      <c r="J9" s="2">
        <f>100*((HAVERM!G277/HAVERM!G276)-1)*'Chart Data'!S$3</f>
        <v>6.6557934055283666E-2</v>
      </c>
      <c r="K9" s="2">
        <f>100*((HAVERM!H277/HAVERM!H276)-1)*'Chart Data'!T$3</f>
        <v>1.120533845478942E-2</v>
      </c>
      <c r="L9" s="2">
        <f>HAVERM!D277</f>
        <v>0.5</v>
      </c>
      <c r="M9" s="2"/>
      <c r="V9" s="7">
        <v>40360</v>
      </c>
      <c r="W9" s="11">
        <f>HAVERM!J133/SUM(HAVERM!J127:J138)</f>
        <v>7.6141522843716516E-2</v>
      </c>
      <c r="X9" s="12">
        <f t="shared" si="1"/>
        <v>8.3333333333333329E-2</v>
      </c>
      <c r="Y9" s="12">
        <f t="shared" si="2"/>
        <v>-7.1918104896168122E-3</v>
      </c>
      <c r="AA9" t="s">
        <v>334</v>
      </c>
      <c r="AB9" s="12">
        <f t="shared" si="3"/>
        <v>-6.4159330063654554E-3</v>
      </c>
      <c r="AC9" s="12">
        <f t="shared" si="4"/>
        <v>-6.1518051744955324E-3</v>
      </c>
      <c r="AE9" s="7">
        <v>44013</v>
      </c>
      <c r="AF9" s="2">
        <f>100*((AVERAGE(HAVERM!M251:M253)/AVERAGE(HAVERM!M239:M241))-1)</f>
        <v>-0.80375083724045782</v>
      </c>
      <c r="AG9" s="2">
        <f>100*((AVERAGE(HAVERM!O251:O253)/AVERAGE(HAVERM!O239:O241))-1)</f>
        <v>0.73448402497247045</v>
      </c>
      <c r="AH9" s="2" t="e">
        <f>HAVERM!Q253</f>
        <v>#N/A</v>
      </c>
      <c r="AI9" s="2">
        <f>HAVERM!S253</f>
        <v>3.9409057000000001</v>
      </c>
      <c r="AJ9">
        <f>'[1]Manual Monthly DATA'!D581</f>
        <v>0</v>
      </c>
    </row>
    <row r="10" spans="1:36" x14ac:dyDescent="0.25">
      <c r="A10" t="s">
        <v>335</v>
      </c>
      <c r="C10" s="2">
        <f>100*((AVERAGE(HAVERM!C300:C302)/AVERAGE(HAVERM!C297:C299))-1)</f>
        <v>2.2204460492503131E-14</v>
      </c>
      <c r="D10" s="2">
        <f>100*((AVERAGE(HAVERM!C288:C290)/AVERAGE(HAVERM!C285:C287))-1)</f>
        <v>0.19933554817277432</v>
      </c>
      <c r="E10" s="2">
        <f>100*((AVERAGE(HAVERM!C276:C278)/AVERAGE(HAVERM!C273:C275))-1)</f>
        <v>-0.16650016650017196</v>
      </c>
      <c r="G10" s="7">
        <v>44774</v>
      </c>
      <c r="H10" s="2">
        <f>100*((HAVERM!E278/HAVERM!E277)-1)*'Chart Data'!Q$3</f>
        <v>-0.258055252597785</v>
      </c>
      <c r="I10" s="2">
        <f>100*((HAVERM!F278/HAVERM!F277)-1)*'Chart Data'!R$3</f>
        <v>-0.99761948852678017</v>
      </c>
      <c r="J10" s="2">
        <f>100*((HAVERM!G278/HAVERM!G277)-1)*'Chart Data'!S$3</f>
        <v>-0.14568341297588319</v>
      </c>
      <c r="K10" s="2">
        <f>100*((HAVERM!H278/HAVERM!H277)-1)*'Chart Data'!T$3</f>
        <v>-0.12313409335352275</v>
      </c>
      <c r="L10" s="2">
        <f>HAVERM!D278</f>
        <v>-1.5</v>
      </c>
      <c r="M10" s="2"/>
      <c r="V10" s="7">
        <v>40391</v>
      </c>
      <c r="W10" s="11">
        <f>HAVERM!J134/SUM(HAVERM!J127:J138)</f>
        <v>7.497560961954837E-2</v>
      </c>
      <c r="X10" s="12">
        <f t="shared" si="1"/>
        <v>8.3333333333333329E-2</v>
      </c>
      <c r="Y10" s="12">
        <f t="shared" si="2"/>
        <v>-8.3577237137849592E-3</v>
      </c>
      <c r="AA10" t="s">
        <v>335</v>
      </c>
      <c r="AB10" s="12">
        <f t="shared" si="3"/>
        <v>-8.1183533697101965E-3</v>
      </c>
      <c r="AC10" s="12">
        <f t="shared" si="4"/>
        <v>-6.9174704601219633E-3</v>
      </c>
      <c r="AE10" s="7">
        <v>44044</v>
      </c>
      <c r="AF10" s="2">
        <f>100*((AVERAGE(HAVERM!M252:M254)/AVERAGE(HAVERM!M240:M242))-1)</f>
        <v>0.13360053440214514</v>
      </c>
      <c r="AG10" s="2">
        <f>100*((AVERAGE(HAVERM!O252:O254)/AVERAGE(HAVERM!O240:O242))-1)</f>
        <v>2.0524097489462934</v>
      </c>
      <c r="AH10" s="2" t="e">
        <f>HAVERM!Q254</f>
        <v>#N/A</v>
      </c>
      <c r="AI10" s="2">
        <f>HAVERM!S254</f>
        <v>3.5114274000000001</v>
      </c>
      <c r="AJ10">
        <f>'[1]Manual Monthly DATA'!D582</f>
        <v>1.1000000000000001</v>
      </c>
    </row>
    <row r="11" spans="1:36" x14ac:dyDescent="0.25">
      <c r="A11" t="s">
        <v>336</v>
      </c>
      <c r="C11" s="2">
        <f>100*((AVERAGE(HAVERM!C301:C303)/AVERAGE(HAVERM!C298:C300))-1)</f>
        <v>0</v>
      </c>
      <c r="D11" s="2">
        <f>100*((AVERAGE(HAVERM!C289:C291)/AVERAGE(HAVERM!C286:C288))-1)</f>
        <v>-9.9535500995340254E-2</v>
      </c>
      <c r="E11" s="2">
        <f>100*((AVERAGE(HAVERM!C277:C279)/AVERAGE(HAVERM!C274:C276))-1)</f>
        <v>0</v>
      </c>
      <c r="G11" s="7">
        <v>44805</v>
      </c>
      <c r="H11" s="2">
        <f>100*((HAVERM!E279/HAVERM!E278)-1)*'Chart Data'!Q$3</f>
        <v>-0.96512081625151136</v>
      </c>
      <c r="I11" s="2">
        <f>100*((HAVERM!F279/HAVERM!F278)-1)*'Chart Data'!R$3</f>
        <v>7.8790565976623109E-2</v>
      </c>
      <c r="J11" s="2">
        <f>100*((HAVERM!G279/HAVERM!G278)-1)*'Chart Data'!S$3</f>
        <v>-0.2276924350425652</v>
      </c>
      <c r="K11" s="2">
        <f>100*((HAVERM!H279/HAVERM!H278)-1)*'Chart Data'!T$3</f>
        <v>-7.9239387273325385E-2</v>
      </c>
      <c r="L11" s="2">
        <f>HAVERM!D279</f>
        <v>-1.2</v>
      </c>
      <c r="M11" s="2"/>
      <c r="V11" s="7">
        <v>40422</v>
      </c>
      <c r="W11" s="11">
        <f>HAVERM!J135/SUM(HAVERM!J127:J138)</f>
        <v>9.3096468927053089E-2</v>
      </c>
      <c r="X11" s="12">
        <f t="shared" si="1"/>
        <v>8.3333333333333329E-2</v>
      </c>
      <c r="Y11" s="12">
        <f t="shared" si="2"/>
        <v>9.76313559371976E-3</v>
      </c>
      <c r="AA11" t="s">
        <v>336</v>
      </c>
      <c r="AB11" s="12">
        <f t="shared" si="3"/>
        <v>1.0301642739805538E-2</v>
      </c>
      <c r="AC11" s="12">
        <f t="shared" si="4"/>
        <v>1.0087299953724767E-2</v>
      </c>
      <c r="AE11" s="7">
        <v>44075</v>
      </c>
      <c r="AF11" s="2">
        <f>100*((AVERAGE(HAVERM!M253:M255)/AVERAGE(HAVERM!M241:M243))-1)</f>
        <v>1.3333333333333419</v>
      </c>
      <c r="AG11" s="2">
        <f>100*((AVERAGE(HAVERM!O253:O255)/AVERAGE(HAVERM!O241:O243))-1)</f>
        <v>3.1833150384193099</v>
      </c>
      <c r="AH11" s="2" t="e">
        <f>HAVERM!Q255</f>
        <v>#N/A</v>
      </c>
      <c r="AI11" s="2">
        <f>HAVERM!S255</f>
        <v>3.3418834999999998</v>
      </c>
      <c r="AJ11">
        <f>'[1]Manual Monthly DATA'!D583</f>
        <v>1.5</v>
      </c>
    </row>
    <row r="12" spans="1:36" x14ac:dyDescent="0.25">
      <c r="A12" t="s">
        <v>337</v>
      </c>
      <c r="C12" s="2">
        <f>100*((AVERAGE(HAVERM!C302:C304)/AVERAGE(HAVERM!C299:C301))-1)</f>
        <v>-6.5811122079628692E-2</v>
      </c>
      <c r="D12" s="2">
        <f>100*((AVERAGE(HAVERM!C290:C292)/AVERAGE(HAVERM!C287:C289))-1)</f>
        <v>-0.23232658479919177</v>
      </c>
      <c r="E12" s="2">
        <f>100*((AVERAGE(HAVERM!C278:C280)/AVERAGE(HAVERM!C275:C277))-1)</f>
        <v>6.6644451849384723E-2</v>
      </c>
      <c r="G12" s="7">
        <v>44835</v>
      </c>
      <c r="H12" s="2">
        <f>100*((HAVERM!E280/HAVERM!E279)-1)*'Chart Data'!Q$3</f>
        <v>-7.6197711503077956E-2</v>
      </c>
      <c r="I12" s="2">
        <f>100*((HAVERM!F280/HAVERM!F279)-1)*'Chart Data'!R$3</f>
        <v>0.66834602657397557</v>
      </c>
      <c r="J12" s="2">
        <f>100*((HAVERM!G280/HAVERM!G279)-1)*'Chart Data'!S$3</f>
        <v>2.7263689305490099E-2</v>
      </c>
      <c r="K12" s="2">
        <f>100*((HAVERM!H280/HAVERM!H279)-1)*'Chart Data'!T$3</f>
        <v>0.41045466339844644</v>
      </c>
      <c r="L12" s="2">
        <f>HAVERM!D280</f>
        <v>1</v>
      </c>
      <c r="M12" s="2"/>
      <c r="V12" s="7">
        <v>40452</v>
      </c>
      <c r="W12" s="11">
        <f>HAVERM!J136/SUM(HAVERM!J127:J138)</f>
        <v>7.5921604263830406E-2</v>
      </c>
      <c r="X12" s="12">
        <f t="shared" si="1"/>
        <v>8.3333333333333329E-2</v>
      </c>
      <c r="Y12" s="12">
        <f t="shared" si="2"/>
        <v>-7.4117290695029231E-3</v>
      </c>
      <c r="AA12" t="s">
        <v>337</v>
      </c>
      <c r="AB12" s="12">
        <f t="shared" si="3"/>
        <v>-7.2461606352435676E-3</v>
      </c>
      <c r="AC12" s="12">
        <f t="shared" si="4"/>
        <v>-7.0060929100328601E-3</v>
      </c>
      <c r="AE12" s="7">
        <v>44105</v>
      </c>
      <c r="AF12" s="2">
        <f>100*((AVERAGE(HAVERM!M254:M256)/AVERAGE(HAVERM!M242:M244))-1)</f>
        <v>2.3968042609853413</v>
      </c>
      <c r="AG12" s="2">
        <f>100*((AVERAGE(HAVERM!O254:O256)/AVERAGE(HAVERM!O242:O244))-1)</f>
        <v>4.0204678362573132</v>
      </c>
      <c r="AH12" s="2" t="e">
        <f>HAVERM!Q256</f>
        <v>#N/A</v>
      </c>
      <c r="AI12" s="2">
        <f>HAVERM!S256</f>
        <v>3.2699760000000002</v>
      </c>
      <c r="AJ12">
        <f>'[1]Manual Monthly DATA'!D584</f>
        <v>2</v>
      </c>
    </row>
    <row r="13" spans="1:36" x14ac:dyDescent="0.25">
      <c r="A13" t="s">
        <v>338</v>
      </c>
      <c r="C13" s="2">
        <f>100*((AVERAGE(HAVERM!C303:C305)/AVERAGE(HAVERM!C300:C302))-1)</f>
        <v>-6.5832784726804761E-2</v>
      </c>
      <c r="D13" s="2">
        <f>100*((AVERAGE(HAVERM!C291:C293)/AVERAGE(HAVERM!C288:C290))-1)</f>
        <v>-0.39787798408490449</v>
      </c>
      <c r="E13" s="2">
        <f>100*((AVERAGE(HAVERM!C279:C281)/AVERAGE(HAVERM!C276:C278))-1)</f>
        <v>0.26684456304202353</v>
      </c>
      <c r="G13" s="7">
        <v>44866</v>
      </c>
      <c r="H13" s="2">
        <f>100*((HAVERM!E281/HAVERM!E280)-1)*'Chart Data'!Q$3</f>
        <v>7.635258490044497E-2</v>
      </c>
      <c r="I13" s="2">
        <f>100*((HAVERM!F281/HAVERM!F280)-1)*'Chart Data'!R$3</f>
        <v>-0.27048515366267734</v>
      </c>
      <c r="J13" s="2">
        <f>100*((HAVERM!G281/HAVERM!G280)-1)*'Chart Data'!S$3</f>
        <v>-0.54413542747492305</v>
      </c>
      <c r="K13" s="2">
        <f>100*((HAVERM!H281/HAVERM!H280)-1)*'Chart Data'!T$3</f>
        <v>-0.2748479243627186</v>
      </c>
      <c r="L13" s="2">
        <f>HAVERM!D281</f>
        <v>-1</v>
      </c>
      <c r="M13" s="2"/>
      <c r="V13" s="7">
        <v>40483</v>
      </c>
      <c r="W13" s="11">
        <f>HAVERM!J137/SUM(HAVERM!J127:J138)</f>
        <v>8.107265224724465E-2</v>
      </c>
      <c r="X13" s="12">
        <f t="shared" si="1"/>
        <v>8.3333333333333329E-2</v>
      </c>
      <c r="Y13" s="12">
        <f t="shared" si="2"/>
        <v>-2.2606810860886783E-3</v>
      </c>
      <c r="AA13" t="s">
        <v>338</v>
      </c>
      <c r="AB13" s="12">
        <f t="shared" si="3"/>
        <v>-3.5818756203899265E-3</v>
      </c>
      <c r="AC13" s="12">
        <f t="shared" si="4"/>
        <v>-3.9671931702866259E-3</v>
      </c>
      <c r="AE13" s="7">
        <v>44136</v>
      </c>
      <c r="AF13" s="2">
        <f>100*((AVERAGE(HAVERM!M255:M257)/AVERAGE(HAVERM!M243:M245))-1)</f>
        <v>3.2579787234042534</v>
      </c>
      <c r="AG13" s="2">
        <f>100*((AVERAGE(HAVERM!O255:O257)/AVERAGE(HAVERM!O243:O245))-1)</f>
        <v>4.5105916727538498</v>
      </c>
      <c r="AH13" s="2" t="e">
        <f>HAVERM!Q257</f>
        <v>#N/A</v>
      </c>
      <c r="AI13" s="2">
        <f>HAVERM!S257</f>
        <v>3.2996835</v>
      </c>
      <c r="AJ13">
        <f>'[1]Manual Monthly DATA'!D585</f>
        <v>2</v>
      </c>
    </row>
    <row r="14" spans="1:36" x14ac:dyDescent="0.25">
      <c r="A14" t="s">
        <v>339</v>
      </c>
      <c r="C14" s="2">
        <f>100*((AVERAGE(HAVERM!C304:C306)/AVERAGE(HAVERM!C301:C303))-1)</f>
        <v>3.291639236340238E-2</v>
      </c>
      <c r="D14" s="2">
        <f>100*((AVERAGE(HAVERM!C292:C294)/AVERAGE(HAVERM!C289:C291))-1)</f>
        <v>-0.29890401859846705</v>
      </c>
      <c r="E14" s="2">
        <f>100*((AVERAGE(HAVERM!C280:C282)/AVERAGE(HAVERM!C277:C279))-1)</f>
        <v>0.40013337779261082</v>
      </c>
      <c r="G14" s="7">
        <v>44896</v>
      </c>
      <c r="H14" s="2">
        <f>100*((HAVERM!E282/HAVERM!E281)-1)*'Chart Data'!Q$3</f>
        <v>-0.19049427875770739</v>
      </c>
      <c r="I14" s="2">
        <f>100*((HAVERM!F282/HAVERM!F281)-1)*'Chart Data'!R$3</f>
        <v>-0.31132272363553315</v>
      </c>
      <c r="J14" s="2">
        <f>100*((HAVERM!G282/HAVERM!G281)-1)*'Chart Data'!S$3</f>
        <v>0.29811864188291309</v>
      </c>
      <c r="K14" s="2">
        <f>100*((HAVERM!H282/HAVERM!H281)-1)*'Chart Data'!T$3</f>
        <v>-3.3821408533595623E-2</v>
      </c>
      <c r="L14" s="2">
        <f>HAVERM!D282</f>
        <v>-0.2</v>
      </c>
      <c r="M14" s="2">
        <v>100</v>
      </c>
      <c r="V14" s="7">
        <v>40513</v>
      </c>
      <c r="W14" s="11">
        <f>HAVERM!J138/SUM(HAVERM!J127:J138)</f>
        <v>0.11048185992157362</v>
      </c>
      <c r="X14" s="12">
        <f t="shared" si="1"/>
        <v>8.3333333333333329E-2</v>
      </c>
      <c r="Y14" s="12">
        <f t="shared" si="2"/>
        <v>2.7148526588240296E-2</v>
      </c>
      <c r="AA14" t="s">
        <v>339</v>
      </c>
      <c r="AB14" s="12">
        <f t="shared" si="3"/>
        <v>2.8433549537197057E-2</v>
      </c>
      <c r="AC14" s="12">
        <f t="shared" si="4"/>
        <v>2.4883131248806381E-2</v>
      </c>
      <c r="AE14" s="7">
        <v>44166</v>
      </c>
      <c r="AF14" s="2">
        <f>100*((AVERAGE(HAVERM!M256:M258)/AVERAGE(HAVERM!M244:M246))-1)</f>
        <v>3.9176626826029182</v>
      </c>
      <c r="AG14" s="2">
        <f>100*((AVERAGE(HAVERM!O256:O258)/AVERAGE(HAVERM!O244:O246))-1)</f>
        <v>4.6803860863230851</v>
      </c>
      <c r="AH14" s="2" t="e">
        <f>HAVERM!Q258</f>
        <v>#N/A</v>
      </c>
      <c r="AI14" s="2">
        <f>HAVERM!S258</f>
        <v>3.3910825999999998</v>
      </c>
      <c r="AJ14">
        <f>'[1]Manual Monthly DATA'!D586</f>
        <v>1</v>
      </c>
    </row>
    <row r="15" spans="1:36" x14ac:dyDescent="0.25">
      <c r="G15" s="7">
        <v>44927</v>
      </c>
      <c r="H15" s="2">
        <f>100*((HAVERM!E283/HAVERM!E282)-1)*'Chart Data'!Q$3</f>
        <v>-0.19146519760968508</v>
      </c>
      <c r="I15" s="2">
        <f>100*((HAVERM!F283/HAVERM!F282)-1)*'Chart Data'!R$3</f>
        <v>3.9233992167472836E-2</v>
      </c>
      <c r="J15" s="2">
        <f>100*((HAVERM!G283/HAVERM!G282)-1)*'Chart Data'!S$3</f>
        <v>0.23593688955954698</v>
      </c>
      <c r="K15" s="2">
        <f>100*((HAVERM!H283/HAVERM!H282)-1)*'Chart Data'!T$3</f>
        <v>0.12439184711607137</v>
      </c>
      <c r="L15" s="2">
        <f>HAVERM!D283</f>
        <v>0.2</v>
      </c>
      <c r="M15" s="2">
        <v>100</v>
      </c>
      <c r="V15" s="7">
        <v>40544</v>
      </c>
      <c r="W15" s="11">
        <f>HAVERM!J139/SUM(HAVERM!J139:J150)</f>
        <v>6.9435668049847701E-2</v>
      </c>
      <c r="X15" s="12">
        <f t="shared" si="1"/>
        <v>8.3333333333333329E-2</v>
      </c>
      <c r="Y15" s="12">
        <f t="shared" si="2"/>
        <v>-1.3897665283485627E-2</v>
      </c>
      <c r="AE15" s="7">
        <v>44197</v>
      </c>
      <c r="AF15" s="2">
        <f>100*((AVERAGE(HAVERM!M257:M259)/AVERAGE(HAVERM!M245:M247))-1)</f>
        <v>4.1059602649006655</v>
      </c>
      <c r="AG15" s="2">
        <f>100*((AVERAGE(HAVERM!O257:O259)/AVERAGE(HAVERM!O245:O247))-1)</f>
        <v>4.5125045306270373</v>
      </c>
      <c r="AH15" s="2" t="e">
        <f>HAVERM!Q259</f>
        <v>#N/A</v>
      </c>
      <c r="AI15" s="2">
        <f>HAVERM!S259</f>
        <v>3.5588950000000001</v>
      </c>
      <c r="AJ15">
        <f>'[1]Manual Monthly DATA'!D587</f>
        <v>1</v>
      </c>
    </row>
    <row r="16" spans="1:36" x14ac:dyDescent="0.25">
      <c r="G16" s="7">
        <v>44958</v>
      </c>
      <c r="H16" s="2">
        <f>100*((HAVERM!E284/HAVERM!E283)-1)*'Chart Data'!Q$3</f>
        <v>0.11546763864043386</v>
      </c>
      <c r="I16" s="2">
        <f>100*((HAVERM!F284/HAVERM!F283)-1)*'Chart Data'!R$3</f>
        <v>0.6271020097770984</v>
      </c>
      <c r="J16" s="2">
        <f>100*((HAVERM!G284/HAVERM!G283)-1)*'Chart Data'!S$3</f>
        <v>6.8159223263725241E-2</v>
      </c>
      <c r="K16" s="2">
        <f>100*((HAVERM!H284/HAVERM!H283)-1)*'Chart Data'!T$3</f>
        <v>-0.19010592392587428</v>
      </c>
      <c r="L16" s="2">
        <f>HAVERM!D284</f>
        <v>0.6</v>
      </c>
      <c r="M16" s="2"/>
      <c r="V16" s="7">
        <v>40575</v>
      </c>
      <c r="W16" s="11">
        <f>HAVERM!J140/SUM(HAVERM!J139:J150)</f>
        <v>7.1818449330776121E-2</v>
      </c>
      <c r="X16" s="12">
        <f t="shared" si="1"/>
        <v>8.3333333333333329E-2</v>
      </c>
      <c r="Y16" s="12">
        <f t="shared" si="2"/>
        <v>-1.1514884002557207E-2</v>
      </c>
      <c r="AE16" s="7">
        <v>44228</v>
      </c>
      <c r="AF16" s="2">
        <f>100*((AVERAGE(HAVERM!M258:M260)/AVERAGE(HAVERM!M246:M248))-1)</f>
        <v>4.1666666666666741</v>
      </c>
      <c r="AG16" s="2">
        <f>100*((AVERAGE(HAVERM!O258:O260)/AVERAGE(HAVERM!O246:O248))-1)</f>
        <v>4.4692737430167551</v>
      </c>
      <c r="AH16" s="2" t="e">
        <f>HAVERM!Q260</f>
        <v>#N/A</v>
      </c>
      <c r="AI16" s="2">
        <f>HAVERM!S260</f>
        <v>3.6596001</v>
      </c>
      <c r="AJ16">
        <f>'[1]Manual Monthly DATA'!D588</f>
        <v>1</v>
      </c>
    </row>
    <row r="17" spans="7:36" x14ac:dyDescent="0.25">
      <c r="G17" s="7">
        <v>44986</v>
      </c>
      <c r="H17" s="2">
        <f>100*((HAVERM!E285/HAVERM!E284)-1)*'Chart Data'!Q$3</f>
        <v>-0.19185634203789911</v>
      </c>
      <c r="I17" s="2">
        <f>100*((HAVERM!F285/HAVERM!F284)-1)*'Chart Data'!R$3</f>
        <v>-0.57844482415933285</v>
      </c>
      <c r="J17" s="2">
        <f>100*((HAVERM!G285/HAVERM!G284)-1)*'Chart Data'!S$3</f>
        <v>4.0682758027131678E-2</v>
      </c>
      <c r="K17" s="2">
        <f>100*((HAVERM!H285/HAVERM!H284)-1)*'Chart Data'!T$3</f>
        <v>-7.9646578369283655E-2</v>
      </c>
      <c r="L17" s="2">
        <f>HAVERM!D285</f>
        <v>-0.8</v>
      </c>
      <c r="M17" s="2"/>
      <c r="V17" s="7">
        <v>40603</v>
      </c>
      <c r="W17" s="11">
        <f>HAVERM!J141/SUM(HAVERM!J139:J150)</f>
        <v>9.1703806911471716E-2</v>
      </c>
      <c r="X17" s="12">
        <f t="shared" si="1"/>
        <v>8.3333333333333329E-2</v>
      </c>
      <c r="Y17" s="12">
        <f t="shared" si="2"/>
        <v>8.3704735781383877E-3</v>
      </c>
      <c r="AE17" s="7">
        <v>44256</v>
      </c>
      <c r="AF17" s="2">
        <f>100*((AVERAGE(HAVERM!M259:M261)/AVERAGE(HAVERM!M247:M249))-1)</f>
        <v>4.2300066093853284</v>
      </c>
      <c r="AG17" s="2">
        <f>100*((AVERAGE(HAVERM!O259:O261)/AVERAGE(HAVERM!O247:O249))-1)</f>
        <v>4.7139258726160538</v>
      </c>
      <c r="AH17" s="2" t="e">
        <f>HAVERM!Q261</f>
        <v>#N/A</v>
      </c>
      <c r="AI17" s="2">
        <f>HAVERM!S261</f>
        <v>3.4812523</v>
      </c>
      <c r="AJ17">
        <f>'[1]Manual Monthly DATA'!D589</f>
        <v>1.2</v>
      </c>
    </row>
    <row r="18" spans="7:36" x14ac:dyDescent="0.25">
      <c r="G18" s="7">
        <v>45017</v>
      </c>
      <c r="H18" s="2">
        <f>100*((HAVERM!E286/HAVERM!E285)-1)*'Chart Data'!Q$3</f>
        <v>0.23140947702886941</v>
      </c>
      <c r="I18" s="2">
        <f>100*((HAVERM!F286/HAVERM!F285)-1)*'Chart Data'!R$3</f>
        <v>0.58730761513214791</v>
      </c>
      <c r="J18" s="2">
        <f>100*((HAVERM!G286/HAVERM!G285)-1)*'Chart Data'!S$3</f>
        <v>8.1112303867371532E-2</v>
      </c>
      <c r="K18" s="2">
        <f>100*((HAVERM!H286/HAVERM!H285)-1)*'Chart Data'!T$3</f>
        <v>-9.1684259986171815E-2</v>
      </c>
      <c r="L18" s="2">
        <f>HAVERM!D286</f>
        <v>0.8</v>
      </c>
      <c r="M18" s="2"/>
      <c r="V18" s="7">
        <v>40634</v>
      </c>
      <c r="W18" s="11">
        <f>HAVERM!J142/SUM(HAVERM!J139:J150)</f>
        <v>7.822064856752807E-2</v>
      </c>
      <c r="X18" s="12">
        <f t="shared" si="1"/>
        <v>8.3333333333333329E-2</v>
      </c>
      <c r="Y18" s="12">
        <f t="shared" si="2"/>
        <v>-5.1126847658052588E-3</v>
      </c>
      <c r="AE18" s="7">
        <v>44287</v>
      </c>
      <c r="AF18" s="2">
        <f>100*((AVERAGE(HAVERM!M260:M262)/AVERAGE(HAVERM!M248:M250))-1)</f>
        <v>5.6742323097463299</v>
      </c>
      <c r="AG18" s="2">
        <f>100*((AVERAGE(HAVERM!O260:O262)/AVERAGE(HAVERM!O248:O250))-1)</f>
        <v>6.4762597780607667</v>
      </c>
      <c r="AH18" s="2" t="e">
        <f>HAVERM!Q262</f>
        <v>#N/A</v>
      </c>
      <c r="AI18" s="2">
        <f>HAVERM!S262</f>
        <v>2.3222687</v>
      </c>
      <c r="AJ18">
        <f>'[1]Manual Monthly DATA'!D590</f>
        <v>2</v>
      </c>
    </row>
    <row r="19" spans="7:36" x14ac:dyDescent="0.25">
      <c r="G19" s="7">
        <v>45047</v>
      </c>
      <c r="H19" s="2">
        <f>100*((HAVERM!E287/HAVERM!E286)-1)*'Chart Data'!Q$3</f>
        <v>-0.3066569124164914</v>
      </c>
      <c r="I19" s="2">
        <f>100*((HAVERM!F287/HAVERM!F286)-1)*'Chart Data'!R$3</f>
        <v>-0.50131884760475909</v>
      </c>
      <c r="J19" s="2">
        <f>100*((HAVERM!G287/HAVERM!G286)-1)*'Chart Data'!S$3</f>
        <v>5.3740385517626221E-2</v>
      </c>
      <c r="K19" s="2">
        <f>100*((HAVERM!H287/HAVERM!H286)-1)*'Chart Data'!T$3</f>
        <v>9.2449890549730573E-2</v>
      </c>
      <c r="L19" s="2">
        <f>HAVERM!D287</f>
        <v>-0.7</v>
      </c>
      <c r="M19" s="2"/>
      <c r="V19" s="7">
        <v>40664</v>
      </c>
      <c r="W19" s="11">
        <f>HAVERM!J143/SUM(HAVERM!J139:J150)</f>
        <v>7.561700176379739E-2</v>
      </c>
      <c r="X19" s="12">
        <f t="shared" si="1"/>
        <v>8.3333333333333329E-2</v>
      </c>
      <c r="Y19" s="12">
        <f t="shared" si="2"/>
        <v>-7.7163315695359391E-3</v>
      </c>
      <c r="AE19" s="7">
        <v>44317</v>
      </c>
      <c r="AF19" s="2">
        <f>100*((AVERAGE(HAVERM!M261:M263)/AVERAGE(HAVERM!M249:M251))-1)</f>
        <v>7.1476736345245984</v>
      </c>
      <c r="AG19" s="2">
        <f>100*((AVERAGE(HAVERM!O261:O263)/AVERAGE(HAVERM!O249:O251))-1)</f>
        <v>8.0787633419212348</v>
      </c>
      <c r="AH19" s="2" t="e">
        <f>HAVERM!Q263</f>
        <v>#N/A</v>
      </c>
      <c r="AI19" s="2">
        <f>HAVERM!S263</f>
        <v>1.5915509999999999</v>
      </c>
      <c r="AJ19">
        <f>'[1]Manual Monthly DATA'!D591</f>
        <v>2</v>
      </c>
    </row>
    <row r="20" spans="7:36" x14ac:dyDescent="0.25">
      <c r="G20" s="7">
        <v>45078</v>
      </c>
      <c r="H20" s="2">
        <f>100*((HAVERM!E288/HAVERM!E287)-1)*'Chart Data'!Q$3</f>
        <v>0.38647604702695354</v>
      </c>
      <c r="I20" s="2">
        <f>100*((HAVERM!F288/HAVERM!F287)-1)*'Chart Data'!R$3</f>
        <v>0.39074016664245637</v>
      </c>
      <c r="J20" s="2">
        <f>100*((HAVERM!G288/HAVERM!G287)-1)*'Chart Data'!S$3</f>
        <v>-1.3379921445611556E-2</v>
      </c>
      <c r="K20" s="2">
        <f>100*((HAVERM!H288/HAVERM!H287)-1)*'Chart Data'!T$3</f>
        <v>-2.292106499654234E-2</v>
      </c>
      <c r="L20" s="2">
        <f>HAVERM!D288</f>
        <v>0.7</v>
      </c>
      <c r="M20" s="2"/>
      <c r="V20" s="7">
        <v>40695</v>
      </c>
      <c r="W20" s="11">
        <f>HAVERM!J144/SUM(HAVERM!J139:J150)</f>
        <v>9.535484980336284E-2</v>
      </c>
      <c r="X20" s="12">
        <f t="shared" si="1"/>
        <v>8.3333333333333329E-2</v>
      </c>
      <c r="Y20" s="12">
        <f t="shared" si="2"/>
        <v>1.2021516470029511E-2</v>
      </c>
      <c r="AE20" s="7">
        <v>44348</v>
      </c>
      <c r="AF20" s="2">
        <f>100*((AVERAGE(HAVERM!M262:M264)/AVERAGE(HAVERM!M250:M252))-1)</f>
        <v>8.3616587355540553</v>
      </c>
      <c r="AG20" s="2">
        <f>100*((AVERAGE(HAVERM!O262:O264)/AVERAGE(HAVERM!O250:O252))-1)</f>
        <v>8.8962716869693601</v>
      </c>
      <c r="AH20" s="2" t="e">
        <f>HAVERM!Q264</f>
        <v>#N/A</v>
      </c>
      <c r="AI20" s="2">
        <f>HAVERM!S264</f>
        <v>1.3784246</v>
      </c>
      <c r="AJ20">
        <f>'[1]Manual Monthly DATA'!D592</f>
        <v>2</v>
      </c>
    </row>
    <row r="21" spans="7:36" x14ac:dyDescent="0.25">
      <c r="G21" s="7">
        <v>45108</v>
      </c>
      <c r="H21" s="2">
        <f>100*((HAVERM!E289/HAVERM!E288)-1)*'Chart Data'!Q$3</f>
        <v>-0.87984302518682822</v>
      </c>
      <c r="I21" s="2">
        <f>100*((HAVERM!F289/HAVERM!F288)-1)*'Chart Data'!R$3</f>
        <v>-0.61887564637941184</v>
      </c>
      <c r="J21" s="2">
        <f>100*((HAVERM!G289/HAVERM!G288)-1)*'Chart Data'!S$3</f>
        <v>0.13393672649562471</v>
      </c>
      <c r="K21" s="2">
        <f>100*((HAVERM!H289/HAVERM!H288)-1)*'Chart Data'!T$3</f>
        <v>0.14929602397644576</v>
      </c>
      <c r="L21" s="2">
        <f>HAVERM!D289</f>
        <v>-1.2</v>
      </c>
      <c r="M21" s="2"/>
      <c r="V21" s="7">
        <v>40725</v>
      </c>
      <c r="W21" s="11">
        <f>HAVERM!J145/SUM(HAVERM!J139:J150)</f>
        <v>7.6519605721868209E-2</v>
      </c>
      <c r="X21" s="12">
        <f t="shared" si="1"/>
        <v>8.3333333333333329E-2</v>
      </c>
      <c r="Y21" s="12">
        <f t="shared" si="2"/>
        <v>-6.8137276114651202E-3</v>
      </c>
      <c r="AE21" s="7">
        <v>44378</v>
      </c>
      <c r="AF21" s="2">
        <f>100*((AVERAGE(HAVERM!M263:M265)/AVERAGE(HAVERM!M251:M253))-1)</f>
        <v>7.7650236326806121</v>
      </c>
      <c r="AG21" s="2">
        <f>100*((AVERAGE(HAVERM!O263:O265)/AVERAGE(HAVERM!O251:O253))-1)</f>
        <v>7.8381334305504868</v>
      </c>
      <c r="AH21" s="2" t="e">
        <f>HAVERM!Q265</f>
        <v>#N/A</v>
      </c>
      <c r="AI21" s="2">
        <f>HAVERM!S265</f>
        <v>2.3226757999999998</v>
      </c>
      <c r="AJ21">
        <f>'[1]Manual Monthly DATA'!D593</f>
        <v>2</v>
      </c>
    </row>
    <row r="22" spans="7:36" x14ac:dyDescent="0.25">
      <c r="G22" s="7">
        <v>45139</v>
      </c>
      <c r="H22" s="2">
        <f>100*((HAVERM!E290/HAVERM!E289)-1)*'Chart Data'!Q$3</f>
        <v>0.50922954434125001</v>
      </c>
      <c r="I22" s="2">
        <f>100*((HAVERM!F290/HAVERM!F289)-1)*'Chart Data'!R$3</f>
        <v>-0.15725788860564308</v>
      </c>
      <c r="J22" s="2">
        <f>100*((HAVERM!G290/HAVERM!G289)-1)*'Chart Data'!S$3</f>
        <v>2.6514839243184242E-2</v>
      </c>
      <c r="K22" s="2">
        <f>100*((HAVERM!H290/HAVERM!H289)-1)*'Chart Data'!T$3</f>
        <v>-0.12464648754005642</v>
      </c>
      <c r="L22" s="2">
        <f>HAVERM!D290</f>
        <v>0.2</v>
      </c>
      <c r="M22" s="2"/>
      <c r="V22" s="7">
        <v>40756</v>
      </c>
      <c r="W22" s="11">
        <f>HAVERM!J146/SUM(HAVERM!J139:J150)</f>
        <v>7.5726883984779933E-2</v>
      </c>
      <c r="X22" s="12">
        <f t="shared" si="1"/>
        <v>8.3333333333333329E-2</v>
      </c>
      <c r="Y22" s="12">
        <f t="shared" si="2"/>
        <v>-7.6064493485533957E-3</v>
      </c>
      <c r="AE22" s="7">
        <v>44409</v>
      </c>
      <c r="AF22" s="2">
        <f>100*((AVERAGE(HAVERM!M264:M266)/AVERAGE(HAVERM!M252:M254))-1)</f>
        <v>6.7378252168112107</v>
      </c>
      <c r="AG22" s="2">
        <f>100*((AVERAGE(HAVERM!O264:O266)/AVERAGE(HAVERM!O252:O254))-1)</f>
        <v>6.679834799784512</v>
      </c>
      <c r="AH22" s="2" t="e">
        <f>HAVERM!Q266</f>
        <v>#N/A</v>
      </c>
      <c r="AI22" s="2">
        <f>HAVERM!S266</f>
        <v>3.0648797999999999</v>
      </c>
      <c r="AJ22">
        <f>'[1]Manual Monthly DATA'!D594</f>
        <v>2</v>
      </c>
    </row>
    <row r="23" spans="7:36" x14ac:dyDescent="0.25">
      <c r="G23" s="7">
        <v>45170</v>
      </c>
      <c r="H23" s="2">
        <f>100*((HAVERM!E291/HAVERM!E290)-1)*'Chart Data'!Q$3</f>
        <v>0</v>
      </c>
      <c r="I23" s="2">
        <f>100*((HAVERM!F291/HAVERM!F290)-1)*'Chart Data'!R$3</f>
        <v>-0.94743424134191245</v>
      </c>
      <c r="J23" s="2">
        <f>100*((HAVERM!G291/HAVERM!G290)-1)*'Chart Data'!S$3</f>
        <v>-0.25137951905834011</v>
      </c>
      <c r="K23" s="2">
        <f>100*((HAVERM!H291/HAVERM!H290)-1)*'Chart Data'!T$3</f>
        <v>9.1684259986174271E-2</v>
      </c>
      <c r="L23" s="2">
        <f>HAVERM!D291</f>
        <v>-1.1000000000000001</v>
      </c>
      <c r="M23" s="2"/>
      <c r="V23" s="7">
        <v>40787</v>
      </c>
      <c r="W23" s="11">
        <f>HAVERM!J147/SUM(HAVERM!J139:J150)</f>
        <v>9.4451765886978387E-2</v>
      </c>
      <c r="X23" s="12">
        <f t="shared" si="1"/>
        <v>8.3333333333333329E-2</v>
      </c>
      <c r="Y23" s="12">
        <f t="shared" si="2"/>
        <v>1.1118432553645058E-2</v>
      </c>
      <c r="AE23" s="7">
        <v>44440</v>
      </c>
      <c r="AF23" s="2">
        <f>100*((AVERAGE(HAVERM!M265:M267)/AVERAGE(HAVERM!M253:M255))-1)</f>
        <v>5.5263157894736681</v>
      </c>
      <c r="AG23" s="2">
        <f>100*((AVERAGE(HAVERM!O265:O267)/AVERAGE(HAVERM!O253:O255))-1)</f>
        <v>5.9219858156028371</v>
      </c>
      <c r="AH23" s="2" t="e">
        <f>HAVERM!Q267</f>
        <v>#N/A</v>
      </c>
      <c r="AI23" s="2">
        <f>HAVERM!S267</f>
        <v>3.5096753000000001</v>
      </c>
      <c r="AJ23">
        <f>'[1]Manual Monthly DATA'!D595</f>
        <v>2</v>
      </c>
    </row>
    <row r="24" spans="7:36" x14ac:dyDescent="0.25">
      <c r="G24" s="7">
        <v>45200</v>
      </c>
      <c r="H24" s="2">
        <f>100*((HAVERM!E292/HAVERM!E291)-1)*'Chart Data'!Q$3</f>
        <v>0.11594281410808774</v>
      </c>
      <c r="I24" s="2">
        <f>100*((HAVERM!F292/HAVERM!F291)-1)*'Chart Data'!R$3</f>
        <v>0.20238442633381651</v>
      </c>
      <c r="J24" s="2">
        <f>100*((HAVERM!G292/HAVERM!G291)-1)*'Chart Data'!S$3</f>
        <v>8.0944369490836415E-2</v>
      </c>
      <c r="K24" s="2">
        <f>100*((HAVERM!H292/HAVERM!H291)-1)*'Chart Data'!T$3</f>
        <v>-0.26142721873367469</v>
      </c>
      <c r="L24" s="2">
        <f>HAVERM!D292</f>
        <v>0.1</v>
      </c>
      <c r="M24" s="2"/>
      <c r="V24" s="7">
        <v>40817</v>
      </c>
      <c r="W24" s="11">
        <f>HAVERM!J148/SUM(HAVERM!J139:J150)</f>
        <v>7.6735678719744516E-2</v>
      </c>
      <c r="X24" s="12">
        <f t="shared" si="1"/>
        <v>8.3333333333333329E-2</v>
      </c>
      <c r="Y24" s="12">
        <f t="shared" si="2"/>
        <v>-6.5976546135888131E-3</v>
      </c>
      <c r="AE24" s="7">
        <v>44470</v>
      </c>
      <c r="AF24" s="2">
        <f>100*((AVERAGE(HAVERM!M266:M268)/AVERAGE(HAVERM!M254:M256))-1)</f>
        <v>4.6814044213264072</v>
      </c>
      <c r="AG24" s="2">
        <f>100*((AVERAGE(HAVERM!O266:O268)/AVERAGE(HAVERM!O254:O256))-1)</f>
        <v>5.4813773717498293</v>
      </c>
      <c r="AH24" s="2" t="e">
        <f>HAVERM!Q268</f>
        <v>#N/A</v>
      </c>
      <c r="AI24" s="2">
        <f>HAVERM!S268</f>
        <v>3.7667383000000001</v>
      </c>
      <c r="AJ24">
        <f>'[1]Manual Monthly DATA'!D596</f>
        <v>2</v>
      </c>
    </row>
    <row r="25" spans="7:36" x14ac:dyDescent="0.25">
      <c r="G25" s="7">
        <v>45231</v>
      </c>
      <c r="H25" s="2">
        <f>100*((HAVERM!E293/HAVERM!E292)-1)*'Chart Data'!Q$3</f>
        <v>0.1155860669877509</v>
      </c>
      <c r="I25" s="2">
        <f>100*((HAVERM!F293/HAVERM!F292)-1)*'Chart Data'!R$3</f>
        <v>1.2079288975091873</v>
      </c>
      <c r="J25" s="2">
        <f>100*((HAVERM!G293/HAVERM!G292)-1)*'Chart Data'!S$3</f>
        <v>0.13407452148173124</v>
      </c>
      <c r="K25" s="2">
        <f>100*((HAVERM!H293/HAVERM!H292)-1)*'Chart Data'!T$3</f>
        <v>0.1513368739361679</v>
      </c>
      <c r="L25" s="2">
        <f>HAVERM!D293</f>
        <v>1.6</v>
      </c>
      <c r="M25" s="2"/>
      <c r="V25" s="7">
        <v>40848</v>
      </c>
      <c r="W25" s="11">
        <f>HAVERM!J149/SUM(HAVERM!J139:J150)</f>
        <v>8.0404091867663272E-2</v>
      </c>
      <c r="X25" s="12">
        <f t="shared" si="1"/>
        <v>8.3333333333333329E-2</v>
      </c>
      <c r="Y25" s="12">
        <f t="shared" si="2"/>
        <v>-2.9292414656700572E-3</v>
      </c>
      <c r="AE25" s="7">
        <v>44501</v>
      </c>
      <c r="AF25" s="2">
        <f>100*((AVERAGE(HAVERM!M267:M269)/AVERAGE(HAVERM!M255:M257))-1)</f>
        <v>4.1210560206052849</v>
      </c>
      <c r="AG25" s="2">
        <f>100*((AVERAGE(HAVERM!O267:O269)/AVERAGE(HAVERM!O255:O257))-1)</f>
        <v>5.3992661191682778</v>
      </c>
      <c r="AH25" s="2" t="e">
        <f>HAVERM!Q269</f>
        <v>#N/A</v>
      </c>
      <c r="AI25" s="2">
        <f>HAVERM!S269</f>
        <v>3.8531328</v>
      </c>
      <c r="AJ25">
        <f>'[1]Manual Monthly DATA'!D597</f>
        <v>2.5</v>
      </c>
    </row>
    <row r="26" spans="7:36" x14ac:dyDescent="0.25">
      <c r="G26" s="7">
        <v>45261</v>
      </c>
      <c r="H26" s="2">
        <f>100*((HAVERM!E294/HAVERM!E293)-1)*'Chart Data'!Q$3</f>
        <v>-1.4595991076674524</v>
      </c>
      <c r="I26" s="2">
        <f>100*((HAVERM!F294/HAVERM!F293)-1)*'Chart Data'!R$3</f>
        <v>-1.4833006040832468</v>
      </c>
      <c r="J26" s="2">
        <f>100*((HAVERM!G294/HAVERM!G293)-1)*'Chart Data'!S$3</f>
        <v>-0.22560564083137968</v>
      </c>
      <c r="K26" s="2">
        <f>100*((HAVERM!H294/HAVERM!H293)-1)*'Chart Data'!T$3</f>
        <v>-0.37898221470944171</v>
      </c>
      <c r="L26" s="2">
        <f>HAVERM!D294</f>
        <v>-3.6</v>
      </c>
      <c r="M26" s="2">
        <v>100</v>
      </c>
      <c r="V26" s="7">
        <v>40878</v>
      </c>
      <c r="W26" s="11">
        <f>HAVERM!J150/SUM(HAVERM!J139:J150)</f>
        <v>0.11401154939218185</v>
      </c>
      <c r="X26" s="12">
        <f t="shared" si="1"/>
        <v>8.3333333333333329E-2</v>
      </c>
      <c r="Y26" s="12">
        <f t="shared" si="2"/>
        <v>3.0678216058848518E-2</v>
      </c>
      <c r="AE26" s="7">
        <v>44531</v>
      </c>
      <c r="AF26" s="2">
        <f>100*((AVERAGE(HAVERM!M268:M270)/AVERAGE(HAVERM!M256:M258))-1)</f>
        <v>3.9616613418530511</v>
      </c>
      <c r="AG26" s="2">
        <f>100*((AVERAGE(HAVERM!O268:O270)/AVERAGE(HAVERM!O256:O258))-1)</f>
        <v>5.4279749478079342</v>
      </c>
      <c r="AH26" s="2" t="e">
        <f>HAVERM!Q270</f>
        <v>#N/A</v>
      </c>
      <c r="AI26" s="2">
        <f>HAVERM!S270</f>
        <v>3.9664769</v>
      </c>
      <c r="AJ26">
        <f>'[1]Manual Monthly DATA'!D598</f>
        <v>2.2999999999999998</v>
      </c>
    </row>
    <row r="27" spans="7:36" x14ac:dyDescent="0.25">
      <c r="G27" s="7">
        <v>45292</v>
      </c>
      <c r="H27" s="2">
        <f>100*((HAVERM!E295/HAVERM!E294)-1)*'Chart Data'!Q$3</f>
        <v>1.3987143744528787</v>
      </c>
      <c r="I27" s="2">
        <f>100*((HAVERM!F295/HAVERM!F294)-1)*'Chart Data'!R$3</f>
        <v>1.0557435053371309</v>
      </c>
      <c r="J27" s="2">
        <f>100*((HAVERM!G295/HAVERM!G294)-1)*'Chart Data'!S$3</f>
        <v>0.18906591588843707</v>
      </c>
      <c r="K27" s="2">
        <f>100*((HAVERM!H295/HAVERM!H294)-1)*'Chart Data'!T$3</f>
        <v>0.85617933009643787</v>
      </c>
      <c r="L27" s="2">
        <f>HAVERM!D295</f>
        <v>3.5</v>
      </c>
      <c r="M27" s="2">
        <v>100</v>
      </c>
      <c r="V27" s="7">
        <v>40909</v>
      </c>
      <c r="W27" s="11">
        <f>HAVERM!J151/SUM(HAVERM!J151:J162)</f>
        <v>6.9880969045608338E-2</v>
      </c>
      <c r="X27" s="12">
        <f t="shared" si="1"/>
        <v>8.3333333333333329E-2</v>
      </c>
      <c r="Y27" s="12">
        <f t="shared" si="2"/>
        <v>-1.3452364287724991E-2</v>
      </c>
      <c r="AE27" s="7">
        <v>44562</v>
      </c>
      <c r="AF27" s="2">
        <f>100*((AVERAGE(HAVERM!M269:M271)/AVERAGE(HAVERM!M257:M259))-1)</f>
        <v>4.2620865139949116</v>
      </c>
      <c r="AG27" s="2">
        <f>100*((AVERAGE(HAVERM!O269:O271)/AVERAGE(HAVERM!O257:O259))-1)</f>
        <v>5.7742327033119434</v>
      </c>
      <c r="AH27" s="2" t="e">
        <f>HAVERM!Q271</f>
        <v>#N/A</v>
      </c>
      <c r="AI27" s="2">
        <f>HAVERM!S271</f>
        <v>4.0191961000000003</v>
      </c>
      <c r="AJ27">
        <f>'[1]Manual Monthly DATA'!D599</f>
        <v>3.5</v>
      </c>
    </row>
    <row r="28" spans="7:36" x14ac:dyDescent="0.25">
      <c r="G28" s="7">
        <v>45323</v>
      </c>
      <c r="H28" s="2">
        <f>100*((HAVERM!E296/HAVERM!E295)-1)*'Chart Data'!Q$3</f>
        <v>-0.1541147559836748</v>
      </c>
      <c r="I28" s="2">
        <f>100*((HAVERM!F296/HAVERM!F295)-1)*'Chart Data'!R$3</f>
        <v>0.39517124069716364</v>
      </c>
      <c r="J28" s="2">
        <f>100*((HAVERM!G296/HAVERM!G295)-1)*'Chart Data'!S$3</f>
        <v>1.3311586811055574E-2</v>
      </c>
      <c r="K28" s="2">
        <f>100*((HAVERM!H296/HAVERM!H295)-1)*'Chart Data'!T$3</f>
        <v>-0.19867969998000523</v>
      </c>
      <c r="L28" s="2">
        <f>HAVERM!D296</f>
        <v>0</v>
      </c>
      <c r="M28" s="2"/>
      <c r="V28" s="7">
        <v>40940</v>
      </c>
      <c r="W28" s="11">
        <f>HAVERM!J152/SUM(HAVERM!J151:J162)</f>
        <v>7.3256024302550807E-2</v>
      </c>
      <c r="X28" s="12">
        <f t="shared" si="1"/>
        <v>8.3333333333333329E-2</v>
      </c>
      <c r="Y28" s="12">
        <f t="shared" si="2"/>
        <v>-1.0077309030782522E-2</v>
      </c>
      <c r="AE28" s="7">
        <v>44593</v>
      </c>
      <c r="AF28" s="2">
        <f>100*((AVERAGE(HAVERM!M270:M272)/AVERAGE(HAVERM!M258:M260))-1)</f>
        <v>4.6349206349206362</v>
      </c>
      <c r="AG28" s="2">
        <f>100*((AVERAGE(HAVERM!O270:O272)/AVERAGE(HAVERM!O258:O260))-1)</f>
        <v>5.9168535449370507</v>
      </c>
      <c r="AH28" s="2" t="e">
        <f>HAVERM!Q272</f>
        <v>#N/A</v>
      </c>
      <c r="AI28" s="2">
        <f>HAVERM!S272</f>
        <v>4.1673631000000002</v>
      </c>
      <c r="AJ28">
        <f>'[1]Manual Monthly DATA'!D600</f>
        <v>3.5</v>
      </c>
    </row>
    <row r="29" spans="7:36" x14ac:dyDescent="0.25">
      <c r="G29" s="7">
        <v>45352</v>
      </c>
      <c r="H29" s="2">
        <f>100*((HAVERM!E297/HAVERM!E296)-1)*'Chart Data'!Q$3</f>
        <v>-0.54162369185816939</v>
      </c>
      <c r="I29" s="2">
        <f>100*((HAVERM!F297/HAVERM!F296)-1)*'Chart Data'!R$3</f>
        <v>3.9113888109817654E-2</v>
      </c>
      <c r="J29" s="2">
        <f>100*((HAVERM!G297/HAVERM!G296)-1)*'Chart Data'!S$3</f>
        <v>-7.9788021355250968E-2</v>
      </c>
      <c r="K29" s="2">
        <f>100*((HAVERM!H297/HAVERM!H296)-1)*'Chart Data'!T$3</f>
        <v>0.33718399167503632</v>
      </c>
      <c r="L29" s="2">
        <f>HAVERM!D297</f>
        <v>-0.3</v>
      </c>
      <c r="M29" s="2"/>
      <c r="V29" s="7">
        <v>40969</v>
      </c>
      <c r="W29" s="11">
        <f>HAVERM!J153/SUM(HAVERM!J151:J162)</f>
        <v>9.325174311238818E-2</v>
      </c>
      <c r="X29" s="12">
        <f t="shared" si="1"/>
        <v>8.3333333333333329E-2</v>
      </c>
      <c r="Y29" s="12">
        <f t="shared" si="2"/>
        <v>9.9184097790548514E-3</v>
      </c>
      <c r="AE29" s="7">
        <v>44621</v>
      </c>
      <c r="AF29" s="2">
        <f>100*((AVERAGE(HAVERM!M271:M273)/AVERAGE(HAVERM!M259:M261))-1)</f>
        <v>5.0095117311350634</v>
      </c>
      <c r="AG29" s="2">
        <f>100*((AVERAGE(HAVERM!O271:O273)/AVERAGE(HAVERM!O259:O261))-1)</f>
        <v>6.1683848797250862</v>
      </c>
      <c r="AH29" s="2" t="e">
        <f>HAVERM!Q273</f>
        <v>#N/A</v>
      </c>
      <c r="AI29" s="2">
        <f>HAVERM!S273</f>
        <v>4.6858817000000004</v>
      </c>
      <c r="AJ29">
        <f>'[1]Manual Monthly DATA'!D601</f>
        <v>3.7</v>
      </c>
    </row>
    <row r="30" spans="7:36" x14ac:dyDescent="0.25">
      <c r="G30" s="7">
        <v>45383</v>
      </c>
      <c r="H30" s="2">
        <f>100*((HAVERM!E298/HAVERM!E297)-1)*'Chart Data'!Q$3</f>
        <v>-0.23552019919135497</v>
      </c>
      <c r="I30" s="2">
        <f>100*((HAVERM!F298/HAVERM!F297)-1)*'Chart Data'!R$3</f>
        <v>-0.93777639994189355</v>
      </c>
      <c r="J30" s="2">
        <f>100*((HAVERM!G298/HAVERM!G297)-1)*'Chart Data'!S$3</f>
        <v>5.3519685782440436E-2</v>
      </c>
      <c r="K30" s="2">
        <f>100*((HAVERM!H298/HAVERM!H297)-1)*'Chart Data'!T$3</f>
        <v>-0.55627053601955212</v>
      </c>
      <c r="L30" s="2">
        <f>HAVERM!D298</f>
        <v>-1.7</v>
      </c>
      <c r="M30" s="2"/>
      <c r="V30" s="7">
        <v>41000</v>
      </c>
      <c r="W30" s="11">
        <f>HAVERM!J154/SUM(HAVERM!J151:J162)</f>
        <v>7.5831686066009832E-2</v>
      </c>
      <c r="X30" s="12">
        <f t="shared" si="1"/>
        <v>8.3333333333333329E-2</v>
      </c>
      <c r="Y30" s="12">
        <f t="shared" si="2"/>
        <v>-7.5016472673234968E-3</v>
      </c>
      <c r="AE30" s="7">
        <v>44652</v>
      </c>
      <c r="AF30" s="2">
        <f>100*((AVERAGE(HAVERM!M272:M274)/AVERAGE(HAVERM!M260:M262))-1)</f>
        <v>4.9273531269740989</v>
      </c>
      <c r="AG30" s="2">
        <f>100*((AVERAGE(HAVERM!O272:O274)/AVERAGE(HAVERM!O260:O262))-1)</f>
        <v>6.0652656757218537</v>
      </c>
      <c r="AH30" s="2" t="e">
        <f>HAVERM!Q274</f>
        <v>#N/A</v>
      </c>
      <c r="AI30" s="2">
        <f>HAVERM!S274</f>
        <v>5.5117091</v>
      </c>
      <c r="AJ30">
        <f>'[1]Manual Monthly DATA'!D602</f>
        <v>4</v>
      </c>
    </row>
    <row r="31" spans="7:36" x14ac:dyDescent="0.25">
      <c r="G31" s="7">
        <v>45413</v>
      </c>
      <c r="H31" s="2">
        <f>100*((HAVERM!E299/HAVERM!E298)-1)*'Chart Data'!Q$3</f>
        <v>0.39501021841240824</v>
      </c>
      <c r="I31" s="2">
        <f>100*((HAVERM!F299/HAVERM!F298)-1)*'Chart Data'!R$3</f>
        <v>1.1615639499280297</v>
      </c>
      <c r="J31" s="2">
        <f>100*((HAVERM!G299/HAVERM!G298)-1)*'Chart Data'!S$3</f>
        <v>0.79951187043094629</v>
      </c>
      <c r="K31" s="2">
        <f>100*((HAVERM!H299/HAVERM!H298)-1)*'Chart Data'!T$3</f>
        <v>0.29859204795289152</v>
      </c>
      <c r="L31" s="2">
        <f>HAVERM!D299</f>
        <v>2.7</v>
      </c>
      <c r="M31" s="2"/>
      <c r="V31" s="7">
        <v>41030</v>
      </c>
      <c r="W31" s="11">
        <f>HAVERM!J155/SUM(HAVERM!J151:J162)</f>
        <v>7.6585775560322047E-2</v>
      </c>
      <c r="X31" s="12">
        <f t="shared" si="1"/>
        <v>8.3333333333333329E-2</v>
      </c>
      <c r="Y31" s="12">
        <f t="shared" si="2"/>
        <v>-6.7475577730112812E-3</v>
      </c>
      <c r="AE31" s="7">
        <v>44682</v>
      </c>
      <c r="AF31" s="2">
        <f>100*((AVERAGE(HAVERM!M273:M275)/AVERAGE(HAVERM!M261:M263))-1)</f>
        <v>5.2234109502832027</v>
      </c>
      <c r="AG31" s="2">
        <f>100*((AVERAGE(HAVERM!O273:O275)/AVERAGE(HAVERM!O261:O263))-1)</f>
        <v>6.1978545887961811</v>
      </c>
      <c r="AH31" s="2">
        <f>HAVERM!Q275</f>
        <v>5.4649999999999999</v>
      </c>
      <c r="AI31" s="2">
        <f>HAVERM!S275</f>
        <v>6.2663685999999998</v>
      </c>
      <c r="AJ31">
        <f>'[1]Manual Monthly DATA'!D603</f>
        <v>4</v>
      </c>
    </row>
    <row r="32" spans="7:36" x14ac:dyDescent="0.25">
      <c r="G32" s="7">
        <v>45444</v>
      </c>
      <c r="H32" s="2">
        <f>100*((HAVERM!E300/HAVERM!E299)-1)*'Chart Data'!Q$3</f>
        <v>-0.46907977237485832</v>
      </c>
      <c r="I32" s="2">
        <f>100*((HAVERM!F300/HAVERM!F299)-1)*'Chart Data'!R$3</f>
        <v>-0.69976570614325417</v>
      </c>
      <c r="J32" s="2">
        <f>100*((HAVERM!G300/HAVERM!G299)-1)*'Chart Data'!S$3</f>
        <v>-0.28876396938782373</v>
      </c>
      <c r="K32" s="2">
        <f>100*((HAVERM!H300/HAVERM!H299)-1)*'Chart Data'!T$3</f>
        <v>0.20128862533327749</v>
      </c>
      <c r="L32" s="2">
        <f>HAVERM!D300</f>
        <v>-1.3</v>
      </c>
      <c r="M32" s="2"/>
      <c r="V32" s="7">
        <v>41061</v>
      </c>
      <c r="W32" s="11">
        <f>HAVERM!J156/SUM(HAVERM!J151:J162)</f>
        <v>9.608474312481434E-2</v>
      </c>
      <c r="X32" s="12">
        <f t="shared" si="1"/>
        <v>8.3333333333333329E-2</v>
      </c>
      <c r="Y32" s="12">
        <f t="shared" si="2"/>
        <v>1.2751409791481011E-2</v>
      </c>
      <c r="AE32" s="7">
        <v>44713</v>
      </c>
      <c r="AF32" s="2">
        <f>100*((AVERAGE(HAVERM!M274:M276)/AVERAGE(HAVERM!M262:M264))-1)</f>
        <v>5.4579673776662396</v>
      </c>
      <c r="AG32" s="2">
        <f>100*((AVERAGE(HAVERM!O274:O276)/AVERAGE(HAVERM!O262:O264))-1)</f>
        <v>6.1864406779660985</v>
      </c>
      <c r="AH32" s="2">
        <f>HAVERM!Q276</f>
        <v>5.5780000000000003</v>
      </c>
      <c r="AI32" s="2">
        <f>HAVERM!S276</f>
        <v>6.6071350999999998</v>
      </c>
      <c r="AJ32">
        <f>'[1]Manual Monthly DATA'!D604</f>
        <v>4</v>
      </c>
    </row>
    <row r="33" spans="7:36" x14ac:dyDescent="0.25">
      <c r="G33" s="7">
        <v>45474</v>
      </c>
      <c r="H33" s="2">
        <f>100*((HAVERM!E301/HAVERM!E300)-1)*'Chart Data'!Q$3</f>
        <v>0.27708988661447692</v>
      </c>
      <c r="I33" s="2">
        <f>100*((HAVERM!F301/HAVERM!F300)-1)*'Chart Data'!R$3</f>
        <v>0.51478402326356054</v>
      </c>
      <c r="J33" s="2">
        <f>100*((HAVERM!G301/HAVERM!G300)-1)*'Chart Data'!S$3</f>
        <v>7.7036710274035219E-2</v>
      </c>
      <c r="K33" s="2">
        <f>100*((HAVERM!H301/HAVERM!H300)-1)*'Chart Data'!T$3</f>
        <v>-0.12081311341927892</v>
      </c>
      <c r="L33" s="2">
        <f>HAVERM!D301</f>
        <v>0.7</v>
      </c>
      <c r="M33" s="2"/>
      <c r="V33" s="7">
        <v>41091</v>
      </c>
      <c r="W33" s="11">
        <f>HAVERM!J157/SUM(HAVERM!J151:J162)</f>
        <v>7.6477716013882424E-2</v>
      </c>
      <c r="X33" s="12">
        <f t="shared" si="1"/>
        <v>8.3333333333333329E-2</v>
      </c>
      <c r="Y33" s="12">
        <f t="shared" si="2"/>
        <v>-6.8556173194509046E-3</v>
      </c>
      <c r="AE33" s="7">
        <v>44743</v>
      </c>
      <c r="AF33" s="2">
        <f>100*((AVERAGE(HAVERM!M275:M277)/AVERAGE(HAVERM!M263:M265))-1)</f>
        <v>6.0150375939849621</v>
      </c>
      <c r="AG33" s="2">
        <f>100*((AVERAGE(HAVERM!O275:O277)/AVERAGE(HAVERM!O263:O265))-1)</f>
        <v>6.4570655848546377</v>
      </c>
      <c r="AH33" s="2">
        <f>HAVERM!Q277</f>
        <v>5.5410000000000004</v>
      </c>
      <c r="AI33" s="2">
        <f>HAVERM!S277</f>
        <v>6.5019789000000001</v>
      </c>
      <c r="AJ33">
        <f>'[1]Manual Monthly DATA'!D605</f>
        <v>4.4000000000000004</v>
      </c>
    </row>
    <row r="34" spans="7:36" x14ac:dyDescent="0.25">
      <c r="G34" s="7">
        <v>45505</v>
      </c>
      <c r="H34" s="2">
        <f>100*((HAVERM!E302/HAVERM!E301)-1)*'Chart Data'!Q$3</f>
        <v>0.82518295731320612</v>
      </c>
      <c r="I34" s="2">
        <f>100*((HAVERM!F302/HAVERM!F301)-1)*'Chart Data'!R$3</f>
        <v>0.2344440999854755</v>
      </c>
      <c r="J34" s="2">
        <f>100*((HAVERM!G302/HAVERM!G301)-1)*'Chart Data'!S$3</f>
        <v>-0.15316799398265585</v>
      </c>
      <c r="K34" s="2">
        <f>100*((HAVERM!H302/HAVERM!H301)-1)*'Chart Data'!T$3</f>
        <v>6.662512172515743E-2</v>
      </c>
      <c r="L34" s="2">
        <f>HAVERM!D302</f>
        <v>1</v>
      </c>
      <c r="M34" s="2"/>
      <c r="V34" s="7">
        <v>41122</v>
      </c>
      <c r="W34" s="11">
        <f>HAVERM!J158/SUM(HAVERM!J151:J162)</f>
        <v>7.5876536956536511E-2</v>
      </c>
      <c r="X34" s="12">
        <f t="shared" si="1"/>
        <v>8.3333333333333329E-2</v>
      </c>
      <c r="Y34" s="12">
        <f t="shared" si="2"/>
        <v>-7.4567963767968176E-3</v>
      </c>
      <c r="AE34" s="7">
        <v>44774</v>
      </c>
      <c r="AF34" s="2">
        <f>100*((AVERAGE(HAVERM!M276:M278)/AVERAGE(HAVERM!M264:M266))-1)</f>
        <v>6.2499999999999778</v>
      </c>
      <c r="AG34" s="2">
        <f>100*((AVERAGE(HAVERM!O276:O278)/AVERAGE(HAVERM!O264:O266))-1)</f>
        <v>6.6150479717219435</v>
      </c>
      <c r="AH34" s="2">
        <f>HAVERM!Q278</f>
        <v>5.8440000000000003</v>
      </c>
      <c r="AI34" s="2">
        <f>HAVERM!S278</f>
        <v>6.4925227000000003</v>
      </c>
      <c r="AJ34">
        <f>'[1]Manual Monthly DATA'!D606</f>
        <v>4.4000000000000004</v>
      </c>
    </row>
    <row r="35" spans="7:36" x14ac:dyDescent="0.25">
      <c r="G35" s="7">
        <v>45536</v>
      </c>
      <c r="H35" s="2">
        <f>100*((HAVERM!E303/HAVERM!E302)-1)*'Chart Data'!Q$3</f>
        <v>-0.96124543938127427</v>
      </c>
      <c r="I35" s="2">
        <f>100*((HAVERM!F303/HAVERM!F302)-1)*'Chart Data'!R$3</f>
        <v>0.77672969296099181</v>
      </c>
      <c r="J35" s="2">
        <f>100*((HAVERM!G303/HAVERM!G302)-1)*'Chart Data'!S$3</f>
        <v>5.1663205106140531E-2</v>
      </c>
      <c r="K35" s="2">
        <f>100*((HAVERM!H303/HAVERM!H302)-1)*'Chart Data'!T$3</f>
        <v>-4.415104444000089E-2</v>
      </c>
      <c r="L35" s="2">
        <f>HAVERM!D303</f>
        <v>-0.1</v>
      </c>
      <c r="M35" s="2"/>
      <c r="V35" s="7">
        <v>41153</v>
      </c>
      <c r="W35" s="11">
        <f>HAVERM!J159/SUM(HAVERM!J151:J162)</f>
        <v>9.4385112003307972E-2</v>
      </c>
      <c r="X35" s="12">
        <f t="shared" si="1"/>
        <v>8.3333333333333329E-2</v>
      </c>
      <c r="Y35" s="12">
        <f t="shared" si="2"/>
        <v>1.1051778669974643E-2</v>
      </c>
      <c r="AE35" s="7">
        <v>44805</v>
      </c>
      <c r="AF35" s="2">
        <f>100*((AVERAGE(HAVERM!M277:M279)/AVERAGE(HAVERM!M265:M267))-1)</f>
        <v>6.6708229426434063</v>
      </c>
      <c r="AG35" s="2">
        <f>100*((AVERAGE(HAVERM!O277:O279)/AVERAGE(HAVERM!O265:O267))-1)</f>
        <v>6.7626380984265211</v>
      </c>
      <c r="AH35" s="2">
        <f>HAVERM!Q279</f>
        <v>6.0979999999999999</v>
      </c>
      <c r="AI35" s="2">
        <f>HAVERM!S279</f>
        <v>6.3844677000000001</v>
      </c>
      <c r="AJ35">
        <f>'[1]Manual Monthly DATA'!D607</f>
        <v>4.5</v>
      </c>
    </row>
    <row r="36" spans="7:36" x14ac:dyDescent="0.25">
      <c r="G36" s="7">
        <v>45566</v>
      </c>
      <c r="H36" s="2">
        <f>100*((HAVERM!E304/HAVERM!E303)-1)*'Chart Data'!Q$3</f>
        <v>-0.19729764585619813</v>
      </c>
      <c r="I36" s="2">
        <f>100*((HAVERM!F304/HAVERM!F303)-1)*'Chart Data'!R$3</f>
        <v>-0.60904246828401487</v>
      </c>
      <c r="J36" s="2">
        <f>100*((HAVERM!G304/HAVERM!G303)-1)*'Chart Data'!S$3</f>
        <v>-9.005360751843107E-2</v>
      </c>
      <c r="K36" s="2">
        <f>100*((HAVERM!H304/HAVERM!H303)-1)*'Chart Data'!T$3</f>
        <v>7.7573694447759522E-2</v>
      </c>
      <c r="L36" s="2">
        <f>HAVERM!D304</f>
        <v>-0.8</v>
      </c>
      <c r="M36" s="2"/>
      <c r="V36" s="7">
        <v>41183</v>
      </c>
      <c r="W36" s="11">
        <f>HAVERM!J160/SUM(HAVERM!J151:J162)</f>
        <v>7.5871909756136238E-2</v>
      </c>
      <c r="X36" s="12">
        <f t="shared" si="1"/>
        <v>8.3333333333333329E-2</v>
      </c>
      <c r="Y36" s="12">
        <f t="shared" si="2"/>
        <v>-7.4614235771970905E-3</v>
      </c>
      <c r="AE36" s="7">
        <v>44835</v>
      </c>
      <c r="AF36" s="2">
        <f>100*((AVERAGE(HAVERM!M278:M280)/AVERAGE(HAVERM!M266:M268))-1)</f>
        <v>6.956521739130439</v>
      </c>
      <c r="AG36" s="2">
        <f>100*((AVERAGE(HAVERM!O278:O280)/AVERAGE(HAVERM!O266:O268))-1)</f>
        <v>6.8121252498334339</v>
      </c>
      <c r="AH36" s="2">
        <f>HAVERM!Q280</f>
        <v>6.306</v>
      </c>
      <c r="AI36" s="2">
        <f>HAVERM!S280</f>
        <v>6.4100251999999998</v>
      </c>
      <c r="AJ36">
        <f>'[1]Manual Monthly DATA'!D608</f>
        <v>5</v>
      </c>
    </row>
    <row r="37" spans="7:36" x14ac:dyDescent="0.25">
      <c r="G37" s="7">
        <v>45597</v>
      </c>
      <c r="H37" s="2">
        <f>100*((HAVERM!E305/HAVERM!E304)-1)*'Chart Data'!Q$3</f>
        <v>-3.9667868818400037E-2</v>
      </c>
      <c r="I37" s="2">
        <f>100*((HAVERM!F305/HAVERM!F304)-1)*'Chart Data'!R$3</f>
        <v>-7.735945579742276E-2</v>
      </c>
      <c r="J37" s="2">
        <f>100*((HAVERM!G305/HAVERM!G304)-1)*'Chart Data'!S$3</f>
        <v>1.2954317582531566E-2</v>
      </c>
      <c r="K37" s="2">
        <f>100*((HAVERM!H305/HAVERM!H304)-1)*'Chart Data'!T$3</f>
        <v>-2.2009690642802879E-2</v>
      </c>
      <c r="L37" s="2">
        <f>HAVERM!D305</f>
        <v>-0.1</v>
      </c>
      <c r="M37" s="2"/>
      <c r="V37" s="7">
        <v>41214</v>
      </c>
      <c r="W37" s="11">
        <f>HAVERM!J161/SUM(HAVERM!J151:J162)</f>
        <v>7.9905881096190637E-2</v>
      </c>
      <c r="X37" s="12">
        <f t="shared" si="1"/>
        <v>8.3333333333333329E-2</v>
      </c>
      <c r="Y37" s="12">
        <f t="shared" si="2"/>
        <v>-3.4274522371426919E-3</v>
      </c>
      <c r="AE37" s="7">
        <v>44866</v>
      </c>
      <c r="AF37" s="2">
        <f>100*((AVERAGE(HAVERM!M279:M281)/AVERAGE(HAVERM!M267:M269))-1)</f>
        <v>7.2974644403215994</v>
      </c>
      <c r="AG37" s="2">
        <f>100*((AVERAGE(HAVERM!O279:O281)/AVERAGE(HAVERM!O267:O269))-1)</f>
        <v>7.4436339522546469</v>
      </c>
      <c r="AH37" s="2">
        <f>HAVERM!Q281</f>
        <v>6.2190000000000003</v>
      </c>
      <c r="AI37" s="2">
        <f>HAVERM!S281</f>
        <v>6.3297543999999997</v>
      </c>
      <c r="AJ37">
        <f>'[1]Manual Monthly DATA'!D609</f>
        <v>5</v>
      </c>
    </row>
    <row r="38" spans="7:36" x14ac:dyDescent="0.25">
      <c r="G38" s="7">
        <v>45627</v>
      </c>
      <c r="H38" s="2">
        <f>100*((HAVERM!E306/HAVERM!E305)-1)*'Chart Data'!Q$3</f>
        <v>-0.75448621950251704</v>
      </c>
      <c r="I38" s="2">
        <f>100*((HAVERM!F306/HAVERM!F305)-1)*'Chart Data'!R$3</f>
        <v>0.42633742550442527</v>
      </c>
      <c r="J38" s="2">
        <f>100*((HAVERM!G306/HAVERM!G305)-1)*'Chart Data'!S$3</f>
        <v>-0.4400094127039032</v>
      </c>
      <c r="K38" s="2">
        <f>100*((HAVERM!H306/HAVERM!H305)-1)*'Chart Data'!T$3</f>
        <v>0.12129444056437597</v>
      </c>
      <c r="L38" s="2">
        <f>HAVERM!D306</f>
        <v>-0.6</v>
      </c>
      <c r="M38" s="2">
        <v>100</v>
      </c>
      <c r="V38" s="7">
        <v>41244</v>
      </c>
      <c r="W38" s="11">
        <f>HAVERM!J162/SUM(HAVERM!J151:J162)</f>
        <v>0.11259190296225269</v>
      </c>
      <c r="X38" s="12">
        <f t="shared" si="1"/>
        <v>8.3333333333333329E-2</v>
      </c>
      <c r="Y38" s="12">
        <f t="shared" si="2"/>
        <v>2.9258569628919359E-2</v>
      </c>
      <c r="AE38" s="7">
        <v>44896</v>
      </c>
      <c r="AF38" s="2">
        <f>100*((AVERAGE(HAVERM!M280:M282)/AVERAGE(HAVERM!M268:M270))-1)</f>
        <v>7.3140749846342779</v>
      </c>
      <c r="AG38" s="2">
        <f>100*((AVERAGE(HAVERM!O280:O282)/AVERAGE(HAVERM!O268:O270))-1)</f>
        <v>7.6402640264026545</v>
      </c>
      <c r="AH38" s="2">
        <f>HAVERM!Q282</f>
        <v>6.26</v>
      </c>
      <c r="AI38" s="2">
        <f>HAVERM!S282</f>
        <v>6.3690214999999997</v>
      </c>
      <c r="AJ38">
        <f>'[1]Manual Monthly DATA'!D610</f>
        <v>5</v>
      </c>
    </row>
    <row r="39" spans="7:36" x14ac:dyDescent="0.25">
      <c r="G39" s="7">
        <v>45658</v>
      </c>
      <c r="H39" s="2">
        <f>100*((HAVERM!E307/HAVERM!E306)-1)*'Chart Data'!Q$3</f>
        <v>2.1072325049547476</v>
      </c>
      <c r="I39" s="2">
        <f>100*((HAVERM!F307/HAVERM!F306)-1)*'Chart Data'!R$3</f>
        <v>-0.49831093451912561</v>
      </c>
      <c r="J39" s="2">
        <f>100*((HAVERM!G307/HAVERM!G306)-1)*'Chart Data'!S$3</f>
        <v>0.30805447093993943</v>
      </c>
      <c r="K39" s="2">
        <f>100*((HAVERM!H307/HAVERM!H306)-1)*'Chart Data'!T$3</f>
        <v>-0.13088718494577734</v>
      </c>
      <c r="L39" s="2">
        <f>HAVERM!D307</f>
        <v>1.7</v>
      </c>
      <c r="M39" s="2">
        <v>100</v>
      </c>
      <c r="V39" s="7">
        <v>41275</v>
      </c>
      <c r="W39" s="11">
        <f>HAVERM!J163/SUM(HAVERM!J163:J174)</f>
        <v>6.9640757881452992E-2</v>
      </c>
      <c r="X39" s="12">
        <f t="shared" si="1"/>
        <v>8.3333333333333329E-2</v>
      </c>
      <c r="Y39" s="12">
        <f t="shared" si="2"/>
        <v>-1.3692575451880337E-2</v>
      </c>
      <c r="AE39" s="7">
        <v>44927</v>
      </c>
      <c r="AF39" s="2">
        <f>100*((AVERAGE(HAVERM!M281:M283)/AVERAGE(HAVERM!M269:M271))-1)</f>
        <v>7.0774862721171283</v>
      </c>
      <c r="AG39" s="2">
        <f>100*((AVERAGE(HAVERM!O281:O283)/AVERAGE(HAVERM!O269:O271))-1)</f>
        <v>7.7049180327868783</v>
      </c>
      <c r="AH39" s="2">
        <f>HAVERM!Q283</f>
        <v>6.3390000000000004</v>
      </c>
      <c r="AI39" s="2">
        <f>HAVERM!S283</f>
        <v>6.3690214999999997</v>
      </c>
      <c r="AJ39">
        <f>'[1]Manual Monthly DATA'!D611</f>
        <v>6</v>
      </c>
    </row>
    <row r="40" spans="7:36" x14ac:dyDescent="0.25">
      <c r="V40" s="7">
        <v>41306</v>
      </c>
      <c r="W40" s="11">
        <f>HAVERM!J164/SUM(HAVERM!J163:J174)</f>
        <v>7.2464107698575642E-2</v>
      </c>
      <c r="X40" s="12">
        <f t="shared" si="1"/>
        <v>8.3333333333333329E-2</v>
      </c>
      <c r="Y40" s="12">
        <f t="shared" si="2"/>
        <v>-1.0869225634757687E-2</v>
      </c>
      <c r="AE40" s="7">
        <v>44958</v>
      </c>
      <c r="AF40" s="2">
        <f>100*((AVERAGE(HAVERM!M282:M284)/AVERAGE(HAVERM!M270:M272))-1)</f>
        <v>7.0995145631068013</v>
      </c>
      <c r="AG40" s="2">
        <f>100*((AVERAGE(HAVERM!O282:O284)/AVERAGE(HAVERM!O270:O272))-1)</f>
        <v>7.3452768729641571</v>
      </c>
      <c r="AH40" s="2">
        <f>HAVERM!Q284</f>
        <v>6.51</v>
      </c>
      <c r="AI40" s="2">
        <f>HAVERM!S284</f>
        <v>6.4527479999999997</v>
      </c>
      <c r="AJ40">
        <f>'[1]Manual Monthly DATA'!D612</f>
        <v>6</v>
      </c>
    </row>
    <row r="41" spans="7:36" x14ac:dyDescent="0.25">
      <c r="V41" s="7">
        <v>41334</v>
      </c>
      <c r="W41" s="11">
        <f>HAVERM!J165/SUM(HAVERM!J163:J174)</f>
        <v>9.5021915539603638E-2</v>
      </c>
      <c r="X41" s="12">
        <f t="shared" si="1"/>
        <v>8.3333333333333329E-2</v>
      </c>
      <c r="Y41" s="12">
        <f t="shared" si="2"/>
        <v>1.1688582206270309E-2</v>
      </c>
      <c r="AE41" s="7">
        <v>44986</v>
      </c>
      <c r="AF41" s="2">
        <f>100*((AVERAGE(HAVERM!M283:M285)/AVERAGE(HAVERM!M271:M273))-1)</f>
        <v>7.1859903381642498</v>
      </c>
      <c r="AG41" s="2">
        <f>100*((AVERAGE(HAVERM!O283:O285)/AVERAGE(HAVERM!O271:O273))-1)</f>
        <v>7.0885256513999018</v>
      </c>
      <c r="AH41" s="2">
        <f>HAVERM!Q285</f>
        <v>6.4779999999999998</v>
      </c>
      <c r="AI41" s="2">
        <f>HAVERM!S285</f>
        <v>6.6569646999999996</v>
      </c>
      <c r="AJ41">
        <f>'[1]Manual Monthly DATA'!D613</f>
        <v>6</v>
      </c>
    </row>
    <row r="42" spans="7:36" x14ac:dyDescent="0.25">
      <c r="V42" s="7">
        <v>41365</v>
      </c>
      <c r="W42" s="11">
        <f>HAVERM!J166/SUM(HAVERM!J163:J174)</f>
        <v>7.2718817860076543E-2</v>
      </c>
      <c r="X42" s="12">
        <f t="shared" si="1"/>
        <v>8.3333333333333329E-2</v>
      </c>
      <c r="Y42" s="12">
        <f t="shared" si="2"/>
        <v>-1.0614515473256786E-2</v>
      </c>
      <c r="AE42" s="7">
        <v>45017</v>
      </c>
      <c r="AF42" s="2">
        <f>100*((AVERAGE(HAVERM!M284:M286)/AVERAGE(HAVERM!M272:M274))-1)</f>
        <v>7.6459963877182568</v>
      </c>
      <c r="AG42" s="2">
        <f>100*((AVERAGE(HAVERM!O284:O286)/AVERAGE(HAVERM!O272:O274))-1)</f>
        <v>7.135953608247414</v>
      </c>
      <c r="AH42" s="2">
        <f>HAVERM!Q286</f>
        <v>6.5640000000000001</v>
      </c>
      <c r="AI42" s="2">
        <f>HAVERM!S286</f>
        <v>7.0012052999999996</v>
      </c>
      <c r="AJ42">
        <f>'[1]Manual Monthly DATA'!D614</f>
        <v>6</v>
      </c>
    </row>
    <row r="43" spans="7:36" x14ac:dyDescent="0.25">
      <c r="V43" s="7">
        <v>41395</v>
      </c>
      <c r="W43" s="11">
        <f>HAVERM!J167/SUM(HAVERM!J163:J174)</f>
        <v>7.6743838357211852E-2</v>
      </c>
      <c r="X43" s="12">
        <f t="shared" si="1"/>
        <v>8.3333333333333329E-2</v>
      </c>
      <c r="Y43" s="12">
        <f t="shared" si="2"/>
        <v>-6.5894949761214766E-3</v>
      </c>
      <c r="AE43" s="7">
        <v>45047</v>
      </c>
      <c r="AF43" s="2">
        <f>100*((AVERAGE(HAVERM!M285:M287)/AVERAGE(HAVERM!M273:M275))-1)</f>
        <v>7.7751196172248571</v>
      </c>
      <c r="AG43" s="2">
        <f>100*((AVERAGE(HAVERM!O285:O287)/AVERAGE(HAVERM!O273:O275))-1)</f>
        <v>7.343274009940659</v>
      </c>
      <c r="AH43" s="2">
        <f>HAVERM!Q287</f>
        <v>6.609</v>
      </c>
      <c r="AI43" s="2">
        <f>HAVERM!S287</f>
        <v>7.2319933000000001</v>
      </c>
      <c r="AJ43">
        <f>'[1]Manual Monthly DATA'!D615</f>
        <v>5</v>
      </c>
    </row>
    <row r="44" spans="7:36" x14ac:dyDescent="0.25">
      <c r="V44" s="7">
        <v>41426</v>
      </c>
      <c r="W44" s="11">
        <f>HAVERM!J168/SUM(HAVERM!J163:J174)</f>
        <v>9.6109183293898476E-2</v>
      </c>
      <c r="X44" s="12">
        <f t="shared" si="1"/>
        <v>8.3333333333333329E-2</v>
      </c>
      <c r="Y44" s="12">
        <f t="shared" si="2"/>
        <v>1.2775849960565147E-2</v>
      </c>
      <c r="AE44" s="7">
        <v>45078</v>
      </c>
      <c r="AF44" s="2">
        <f>100*((AVERAGE(HAVERM!M286:M288)/AVERAGE(HAVERM!M274:M276))-1)</f>
        <v>8.0904223676383058</v>
      </c>
      <c r="AG44" s="2">
        <f>100*((AVERAGE(HAVERM!O286:O288)/AVERAGE(HAVERM!O274:O276))-1)</f>
        <v>8.268156424581008</v>
      </c>
      <c r="AH44" s="2">
        <f>HAVERM!Q288</f>
        <v>6.8250000000000002</v>
      </c>
      <c r="AI44" s="2">
        <f>HAVERM!S288</f>
        <v>7.3281144999999999</v>
      </c>
      <c r="AJ44">
        <f>'[1]Manual Monthly DATA'!D616</f>
        <v>6</v>
      </c>
    </row>
    <row r="45" spans="7:36" x14ac:dyDescent="0.25">
      <c r="V45" s="7">
        <v>41456</v>
      </c>
      <c r="W45" s="11">
        <f>HAVERM!J169/SUM(HAVERM!J163:J174)</f>
        <v>7.8711872651905282E-2</v>
      </c>
      <c r="X45" s="12">
        <f t="shared" si="1"/>
        <v>8.3333333333333329E-2</v>
      </c>
      <c r="Y45" s="12">
        <f t="shared" si="2"/>
        <v>-4.6214606814280468E-3</v>
      </c>
      <c r="AE45" s="7">
        <v>45108</v>
      </c>
      <c r="AF45" s="2">
        <f>100*((AVERAGE(HAVERM!M287:M289)/AVERAGE(HAVERM!M275:M277))-1)</f>
        <v>8.0969267139479939</v>
      </c>
      <c r="AG45" s="2">
        <f>100*((AVERAGE(HAVERM!O287:O289)/AVERAGE(HAVERM!O275:O277))-1)</f>
        <v>8.3677357891394077</v>
      </c>
      <c r="AH45" s="2">
        <f>HAVERM!Q289</f>
        <v>6.8490000000000002</v>
      </c>
      <c r="AI45" s="2">
        <f>HAVERM!S289</f>
        <v>7.2942163000000004</v>
      </c>
      <c r="AJ45">
        <f>'[1]Manual Monthly DATA'!D617</f>
        <v>5</v>
      </c>
    </row>
    <row r="46" spans="7:36" x14ac:dyDescent="0.25">
      <c r="V46" s="7">
        <v>41487</v>
      </c>
      <c r="W46" s="11">
        <f>HAVERM!J170/SUM(HAVERM!J163:J174)</f>
        <v>7.5726137607508057E-2</v>
      </c>
      <c r="X46" s="12">
        <f t="shared" si="1"/>
        <v>8.3333333333333329E-2</v>
      </c>
      <c r="Y46" s="12">
        <f t="shared" si="2"/>
        <v>-7.607195725825272E-3</v>
      </c>
      <c r="AE46" s="7">
        <v>45139</v>
      </c>
      <c r="AF46" s="2">
        <f>100*((AVERAGE(HAVERM!M288:M290)/AVERAGE(HAVERM!M276:M278))-1)</f>
        <v>8.1176470588235397</v>
      </c>
      <c r="AG46" s="2">
        <f>100*((AVERAGE(HAVERM!O288:O290)/AVERAGE(HAVERM!O276:O278))-1)</f>
        <v>8.1622987053994187</v>
      </c>
      <c r="AH46" s="2">
        <f>HAVERM!Q290</f>
        <v>6.8949999999999996</v>
      </c>
      <c r="AI46" s="2">
        <f>HAVERM!S290</f>
        <v>7.1877519999999997</v>
      </c>
      <c r="AJ46">
        <f>'[1]Manual Monthly DATA'!D618</f>
        <v>5</v>
      </c>
    </row>
    <row r="47" spans="7:36" x14ac:dyDescent="0.25">
      <c r="V47" s="7">
        <v>41518</v>
      </c>
      <c r="W47" s="11">
        <f>HAVERM!J171/SUM(HAVERM!J163:J174)</f>
        <v>9.4031638961698194E-2</v>
      </c>
      <c r="X47" s="12">
        <f t="shared" si="1"/>
        <v>8.3333333333333329E-2</v>
      </c>
      <c r="Y47" s="12">
        <f t="shared" si="2"/>
        <v>1.0698305628364865E-2</v>
      </c>
      <c r="AE47" s="7">
        <v>45170</v>
      </c>
      <c r="AF47" s="2">
        <f>100*((AVERAGE(HAVERM!M289:M291)/AVERAGE(HAVERM!M277:M279))-1)</f>
        <v>7.8316773816481611</v>
      </c>
      <c r="AG47" s="2">
        <f>100*((AVERAGE(HAVERM!O289:O291)/AVERAGE(HAVERM!O277:O279))-1)</f>
        <v>6.9771088115396784</v>
      </c>
      <c r="AH47" s="2">
        <f>HAVERM!Q291</f>
        <v>6.8689999999999998</v>
      </c>
      <c r="AI47" s="2">
        <f>HAVERM!S291</f>
        <v>7.0729322999999997</v>
      </c>
      <c r="AJ47">
        <f>'[1]Manual Monthly DATA'!D619</f>
        <v>5</v>
      </c>
    </row>
    <row r="48" spans="7:36" x14ac:dyDescent="0.25">
      <c r="V48" s="7">
        <v>41548</v>
      </c>
      <c r="W48" s="11">
        <f>HAVERM!J172/SUM(HAVERM!J163:J174)</f>
        <v>7.6043795375788675E-2</v>
      </c>
      <c r="X48" s="12">
        <f t="shared" si="1"/>
        <v>8.3333333333333329E-2</v>
      </c>
      <c r="Y48" s="12">
        <f t="shared" si="2"/>
        <v>-7.2895379575446534E-3</v>
      </c>
      <c r="AE48" s="7">
        <v>45200</v>
      </c>
      <c r="AF48" s="2">
        <f>100*((AVERAGE(HAVERM!M290:M292)/AVERAGE(HAVERM!M278:M280))-1)</f>
        <v>7.2590011614401817</v>
      </c>
      <c r="AG48" s="2">
        <f>100*((AVERAGE(HAVERM!O290:O292)/AVERAGE(HAVERM!O278:O280))-1)</f>
        <v>6.533603617651651</v>
      </c>
      <c r="AH48" s="2">
        <f>HAVERM!Q292</f>
        <v>6.9189999999999996</v>
      </c>
      <c r="AI48" s="2">
        <f>HAVERM!S292</f>
        <v>6.8341057999999997</v>
      </c>
      <c r="AJ48">
        <f>'[1]Manual Monthly DATA'!D620</f>
        <v>5.5</v>
      </c>
    </row>
    <row r="49" spans="22:36" x14ac:dyDescent="0.25">
      <c r="V49" s="7">
        <v>41579</v>
      </c>
      <c r="W49" s="11">
        <f>HAVERM!J173/SUM(HAVERM!J163:J174)</f>
        <v>7.9906117340818442E-2</v>
      </c>
      <c r="X49" s="12">
        <f t="shared" si="1"/>
        <v>8.3333333333333329E-2</v>
      </c>
      <c r="Y49" s="12">
        <f t="shared" si="2"/>
        <v>-3.4272159925148871E-3</v>
      </c>
      <c r="AE49" s="7">
        <v>45231</v>
      </c>
      <c r="AF49" s="2">
        <f>100*((AVERAGE(HAVERM!M291:M293)/AVERAGE(HAVERM!M279:M281))-1)</f>
        <v>6.6282420749279369</v>
      </c>
      <c r="AG49" s="2">
        <f>100*((AVERAGE(HAVERM!O291:O293)/AVERAGE(HAVERM!O279:O281))-1)</f>
        <v>6.1101681839222266</v>
      </c>
      <c r="AH49" s="2">
        <f>HAVERM!Q293</f>
        <v>6.9530000000000003</v>
      </c>
      <c r="AI49" s="2">
        <f>HAVERM!S293</f>
        <v>6.6824374999999998</v>
      </c>
      <c r="AJ49">
        <f>'[1]Manual Monthly DATA'!D621</f>
        <v>5.5</v>
      </c>
    </row>
    <row r="50" spans="22:36" x14ac:dyDescent="0.25">
      <c r="V50" s="7">
        <v>41609</v>
      </c>
      <c r="W50" s="11">
        <f>HAVERM!J174/SUM(HAVERM!J163:J174)</f>
        <v>0.11288181743146221</v>
      </c>
      <c r="X50" s="12">
        <f t="shared" si="1"/>
        <v>8.3333333333333329E-2</v>
      </c>
      <c r="Y50" s="12">
        <f t="shared" si="2"/>
        <v>2.954848409812888E-2</v>
      </c>
      <c r="AE50" s="7">
        <v>45261</v>
      </c>
      <c r="AF50" s="2">
        <f>100*((AVERAGE(HAVERM!M292:M294)/AVERAGE(HAVERM!M280:M282))-1)</f>
        <v>6.1855670103092786</v>
      </c>
      <c r="AG50" s="2">
        <f>100*((AVERAGE(HAVERM!O292:O294)/AVERAGE(HAVERM!O280:O282))-1)</f>
        <v>6.208799632071127</v>
      </c>
      <c r="AH50" s="2">
        <f>HAVERM!Q294</f>
        <v>6.944</v>
      </c>
      <c r="AI50" s="2">
        <f>HAVERM!S294</f>
        <v>6.5584848999999998</v>
      </c>
      <c r="AJ50">
        <f>'[1]Manual Monthly DATA'!D622</f>
        <v>5.8</v>
      </c>
    </row>
    <row r="51" spans="22:36" x14ac:dyDescent="0.25">
      <c r="V51" s="7">
        <v>41640</v>
      </c>
      <c r="W51" s="11">
        <f>HAVERM!J175/SUM(HAVERM!J175:J186)</f>
        <v>8.7377273282104803E-2</v>
      </c>
      <c r="X51" s="12">
        <f t="shared" si="1"/>
        <v>8.3333333333333329E-2</v>
      </c>
      <c r="Y51" s="12">
        <f t="shared" si="2"/>
        <v>4.0439399487714744E-3</v>
      </c>
      <c r="AE51" s="7">
        <v>45292</v>
      </c>
      <c r="AF51" s="2">
        <f>100*((AVERAGE(HAVERM!M293:M295)/AVERAGE(HAVERM!M281:M283))-1)</f>
        <v>6.0968660968660826</v>
      </c>
      <c r="AG51" s="2">
        <f>100*((AVERAGE(HAVERM!O293:O295)/AVERAGE(HAVERM!O281:O283))-1)</f>
        <v>6.2861491628614763</v>
      </c>
      <c r="AH51" s="2">
        <f>HAVERM!Q295</f>
        <v>6.8559999999999999</v>
      </c>
      <c r="AI51" s="2">
        <f>HAVERM!S295</f>
        <v>6.4994130999999999</v>
      </c>
      <c r="AJ51">
        <f>'[1]Manual Monthly DATA'!D623</f>
        <v>4.5999999999999996</v>
      </c>
    </row>
    <row r="52" spans="22:36" x14ac:dyDescent="0.25">
      <c r="V52" s="7">
        <v>41671</v>
      </c>
      <c r="W52" s="11">
        <f>HAVERM!J176/SUM(HAVERM!J175:J186)</f>
        <v>7.2504983810178739E-2</v>
      </c>
      <c r="X52" s="12">
        <f t="shared" si="1"/>
        <v>8.3333333333333329E-2</v>
      </c>
      <c r="Y52" s="12">
        <f t="shared" si="2"/>
        <v>-1.082834952315459E-2</v>
      </c>
      <c r="AE52" s="7">
        <v>45323</v>
      </c>
      <c r="AF52" s="2">
        <f>100*((AVERAGE(HAVERM!M294:M296)/AVERAGE(HAVERM!M282:M284))-1)</f>
        <v>5.9490084985835745</v>
      </c>
      <c r="AG52" s="2">
        <f>100*((AVERAGE(HAVERM!O294:O296)/AVERAGE(HAVERM!O282:O284))-1)</f>
        <v>6.2964648763465414</v>
      </c>
      <c r="AH52" s="2">
        <f>HAVERM!Q296</f>
        <v>6.6929999999999996</v>
      </c>
      <c r="AI52" s="2">
        <f>HAVERM!S296</f>
        <v>6.4388332999999998</v>
      </c>
      <c r="AJ52">
        <f>'[1]Manual Monthly DATA'!D624</f>
        <v>4.5999999999999996</v>
      </c>
    </row>
    <row r="53" spans="22:36" x14ac:dyDescent="0.25">
      <c r="V53" s="7">
        <v>41699</v>
      </c>
      <c r="W53" s="11">
        <f>HAVERM!J177/SUM(HAVERM!J175:J186)</f>
        <v>9.1079990717876355E-2</v>
      </c>
      <c r="X53" s="12">
        <f t="shared" si="1"/>
        <v>8.3333333333333329E-2</v>
      </c>
      <c r="Y53" s="12">
        <f t="shared" si="2"/>
        <v>7.7466573845430264E-3</v>
      </c>
      <c r="AE53" s="7">
        <v>45352</v>
      </c>
      <c r="AF53" s="2">
        <f>100*((AVERAGE(HAVERM!M295:M297)/AVERAGE(HAVERM!M283:M285))-1)</f>
        <v>5.915492957746471</v>
      </c>
      <c r="AG53" s="2">
        <f>100*((AVERAGE(HAVERM!O295:O297)/AVERAGE(HAVERM!O283:O285))-1)</f>
        <v>6.332174701526383</v>
      </c>
      <c r="AH53" s="2">
        <f>HAVERM!Q297</f>
        <v>6.3780000000000001</v>
      </c>
      <c r="AI53" s="2">
        <f>HAVERM!S297</f>
        <v>6.4273502000000002</v>
      </c>
      <c r="AJ53">
        <f>'[1]Manual Monthly DATA'!D625</f>
        <v>4.5</v>
      </c>
    </row>
    <row r="54" spans="22:36" x14ac:dyDescent="0.25">
      <c r="V54" s="7">
        <v>41730</v>
      </c>
      <c r="W54" s="11">
        <f>HAVERM!J178/SUM(HAVERM!J175:J186)</f>
        <v>7.682149092422412E-2</v>
      </c>
      <c r="X54" s="12">
        <f t="shared" si="1"/>
        <v>8.3333333333333329E-2</v>
      </c>
      <c r="Y54" s="12">
        <f t="shared" si="2"/>
        <v>-6.5118424091092086E-3</v>
      </c>
      <c r="AE54" s="7">
        <v>45383</v>
      </c>
      <c r="AF54" s="2">
        <f>100*((AVERAGE(HAVERM!M296:M298)/AVERAGE(HAVERM!M284:M286))-1)</f>
        <v>5.8724832214765099</v>
      </c>
      <c r="AG54" s="2">
        <f>100*((AVERAGE(HAVERM!O296:O298)/AVERAGE(HAVERM!O284:O286))-1)</f>
        <v>6.3900165388663277</v>
      </c>
      <c r="AH54" s="2">
        <f>HAVERM!Q298</f>
        <v>6.181</v>
      </c>
      <c r="AI54" s="2">
        <f>HAVERM!S298</f>
        <v>6.5606336000000001</v>
      </c>
      <c r="AJ54">
        <f>'[1]Manual Monthly DATA'!D626</f>
        <v>4.9000000000000004</v>
      </c>
    </row>
    <row r="55" spans="22:36" x14ac:dyDescent="0.25">
      <c r="V55" s="7">
        <v>41760</v>
      </c>
      <c r="W55" s="11">
        <f>HAVERM!J179/SUM(HAVERM!J175:J186)</f>
        <v>7.5394797256600116E-2</v>
      </c>
      <c r="X55" s="12">
        <f t="shared" si="1"/>
        <v>8.3333333333333329E-2</v>
      </c>
      <c r="Y55" s="12">
        <f t="shared" si="2"/>
        <v>-7.938536076733213E-3</v>
      </c>
      <c r="AE55" s="7">
        <v>45413</v>
      </c>
      <c r="AF55" s="2">
        <f>100*((AVERAGE(HAVERM!M297:M299)/AVERAGE(HAVERM!M285:M287))-1)</f>
        <v>5.6048834628191102</v>
      </c>
      <c r="AG55" s="2">
        <f>100*((AVERAGE(HAVERM!O297:O299)/AVERAGE(HAVERM!O285:O287))-1)</f>
        <v>6.2434652725914974</v>
      </c>
      <c r="AH55" s="2">
        <f>HAVERM!Q299</f>
        <v>6.0350000000000001</v>
      </c>
      <c r="AI55" s="2">
        <f>HAVERM!S299</f>
        <v>6.6978872999999997</v>
      </c>
      <c r="AJ55">
        <f>'[1]Manual Monthly DATA'!D627</f>
        <v>4.9000000000000004</v>
      </c>
    </row>
    <row r="56" spans="22:36" x14ac:dyDescent="0.25">
      <c r="V56" s="7">
        <v>41791</v>
      </c>
      <c r="W56" s="11">
        <f>HAVERM!J180/SUM(HAVERM!J175:J186)</f>
        <v>9.4887483365786646E-2</v>
      </c>
      <c r="X56" s="12">
        <f t="shared" si="1"/>
        <v>8.3333333333333329E-2</v>
      </c>
      <c r="Y56" s="12">
        <f t="shared" si="2"/>
        <v>1.1554150032453317E-2</v>
      </c>
      <c r="AE56" s="7">
        <v>45444</v>
      </c>
      <c r="AF56" s="2">
        <f>100*((AVERAGE(HAVERM!M298:M300)/AVERAGE(HAVERM!M286:M288))-1)</f>
        <v>5.2283984589983623</v>
      </c>
      <c r="AG56" s="2">
        <f>100*((AVERAGE(HAVERM!O298:O300)/AVERAGE(HAVERM!O286:O288))-1)</f>
        <v>5.3516143299425112</v>
      </c>
      <c r="AH56" s="2">
        <f>HAVERM!Q300</f>
        <v>5.9880000000000004</v>
      </c>
      <c r="AI56" s="2">
        <f>HAVERM!S300</f>
        <v>6.7878901000000003</v>
      </c>
      <c r="AJ56">
        <f>'[1]Manual Monthly DATA'!D628</f>
        <v>4.8</v>
      </c>
    </row>
    <row r="57" spans="22:36" x14ac:dyDescent="0.25">
      <c r="V57" s="7">
        <v>41821</v>
      </c>
      <c r="W57" s="11">
        <f>HAVERM!J181/SUM(HAVERM!J175:J186)</f>
        <v>7.5381274952452282E-2</v>
      </c>
      <c r="X57" s="12">
        <f t="shared" si="1"/>
        <v>8.3333333333333329E-2</v>
      </c>
      <c r="Y57" s="12">
        <f t="shared" si="2"/>
        <v>-7.9520583808810469E-3</v>
      </c>
      <c r="AE57" s="7">
        <v>45474</v>
      </c>
      <c r="AF57" s="2">
        <f>100*((AVERAGE(HAVERM!M299:M301)/AVERAGE(HAVERM!M287:M289))-1)</f>
        <v>4.920721705850184</v>
      </c>
      <c r="AG57" s="2">
        <f>100*((AVERAGE(HAVERM!O299:O301)/AVERAGE(HAVERM!O287:O289))-1)</f>
        <v>5.0989010989010985</v>
      </c>
      <c r="AH57" s="2">
        <f>HAVERM!Q301</f>
        <v>5.8869999999999996</v>
      </c>
      <c r="AI57" s="2">
        <f>HAVERM!S301</f>
        <v>6.6050725999999997</v>
      </c>
      <c r="AJ57">
        <f>'[1]Manual Monthly DATA'!D629</f>
        <v>4</v>
      </c>
    </row>
    <row r="58" spans="22:36" x14ac:dyDescent="0.25">
      <c r="V58" s="7">
        <v>41852</v>
      </c>
      <c r="W58" s="11">
        <f>HAVERM!J182/SUM(HAVERM!J175:J186)</f>
        <v>7.34100723878056E-2</v>
      </c>
      <c r="X58" s="12">
        <f t="shared" si="1"/>
        <v>8.3333333333333329E-2</v>
      </c>
      <c r="Y58" s="12">
        <f t="shared" si="2"/>
        <v>-9.9232609455277287E-3</v>
      </c>
      <c r="AE58" s="7">
        <v>45505</v>
      </c>
      <c r="AF58" s="2">
        <f>100*((AVERAGE(HAVERM!M300:M302)/AVERAGE(HAVERM!M288:M290))-1)</f>
        <v>4.787812840043526</v>
      </c>
      <c r="AG58" s="2">
        <f>100*((AVERAGE(HAVERM!O300:O302)/AVERAGE(HAVERM!O288:O290))-1)</f>
        <v>5.1233396584440261</v>
      </c>
      <c r="AH58" s="2">
        <f>HAVERM!Q302</f>
        <v>5.774</v>
      </c>
      <c r="AI58" s="2">
        <f>HAVERM!S302</f>
        <v>6.5972512999999999</v>
      </c>
      <c r="AJ58">
        <f>'[1]Manual Monthly DATA'!D630</f>
        <v>4</v>
      </c>
    </row>
    <row r="59" spans="22:36" x14ac:dyDescent="0.25">
      <c r="V59" s="7">
        <v>41883</v>
      </c>
      <c r="W59" s="11">
        <f>HAVERM!J183/SUM(HAVERM!J175:J186)</f>
        <v>9.1443501309379588E-2</v>
      </c>
      <c r="X59" s="12">
        <f t="shared" si="1"/>
        <v>8.3333333333333329E-2</v>
      </c>
      <c r="Y59" s="12">
        <f t="shared" si="2"/>
        <v>8.1101679760462592E-3</v>
      </c>
      <c r="AE59" s="7">
        <v>45536</v>
      </c>
      <c r="AF59" s="2">
        <f>100*((AVERAGE(HAVERM!M301:M303)/AVERAGE(HAVERM!M289:M291))-1)</f>
        <v>4.8238482384823866</v>
      </c>
      <c r="AG59" s="2">
        <f>100*((AVERAGE(HAVERM!O301:O303)/AVERAGE(HAVERM!O289:O291))-1)</f>
        <v>5.8478675069617569</v>
      </c>
      <c r="AH59" s="2">
        <f>HAVERM!Q303</f>
        <v>5.69</v>
      </c>
      <c r="AI59" s="2">
        <f>HAVERM!S303</f>
        <v>6.5743562999999998</v>
      </c>
      <c r="AJ59">
        <f>'[1]Manual Monthly DATA'!D631</f>
        <v>4</v>
      </c>
    </row>
    <row r="60" spans="22:36" x14ac:dyDescent="0.25">
      <c r="V60" s="7">
        <v>41913</v>
      </c>
      <c r="W60" s="11">
        <f>HAVERM!J184/SUM(HAVERM!J175:J186)</f>
        <v>7.4852585210281986E-2</v>
      </c>
      <c r="X60" s="12">
        <f t="shared" si="1"/>
        <v>8.3333333333333329E-2</v>
      </c>
      <c r="Y60" s="12">
        <f t="shared" si="2"/>
        <v>-8.4807481230513432E-3</v>
      </c>
      <c r="AE60" s="7">
        <v>45566</v>
      </c>
      <c r="AF60" s="2">
        <f>100*((AVERAGE(HAVERM!M302:M304)/AVERAGE(HAVERM!M290:M292))-1)</f>
        <v>5.4141851651326567</v>
      </c>
      <c r="AG60" s="2">
        <f>100*((AVERAGE(HAVERM!O302:O304)/AVERAGE(HAVERM!O290:O292))-1)</f>
        <v>6.5427400468384134</v>
      </c>
      <c r="AH60" s="2">
        <f>HAVERM!Q304</f>
        <v>5.6020000000000003</v>
      </c>
      <c r="AI60" s="2">
        <f>HAVERM!S304</f>
        <v>6.6948135999999998</v>
      </c>
      <c r="AJ60">
        <f>'[1]Manual Monthly DATA'!D632</f>
        <v>4</v>
      </c>
    </row>
    <row r="61" spans="22:36" x14ac:dyDescent="0.25">
      <c r="V61" s="7">
        <v>41944</v>
      </c>
      <c r="W61" s="11">
        <f>HAVERM!J185/SUM(HAVERM!J175:J186)</f>
        <v>7.8997799021784873E-2</v>
      </c>
      <c r="X61" s="12">
        <f t="shared" si="1"/>
        <v>8.3333333333333329E-2</v>
      </c>
      <c r="Y61" s="12">
        <f t="shared" si="2"/>
        <v>-4.3355343115484557E-3</v>
      </c>
      <c r="AE61" s="7">
        <v>45597</v>
      </c>
      <c r="AF61" s="2">
        <f>100*((AVERAGE(HAVERM!M303:M305)/AVERAGE(HAVERM!M291:M293))-1)</f>
        <v>5.8918918918918983</v>
      </c>
      <c r="AG61" s="2">
        <f>100*((AVERAGE(HAVERM!O303:O305)/AVERAGE(HAVERM!O291:O293))-1)</f>
        <v>6.7035044350734152</v>
      </c>
      <c r="AH61" s="2">
        <f>HAVERM!Q305</f>
        <v>5.5090000000000003</v>
      </c>
      <c r="AI61" s="2">
        <f>HAVERM!S305</f>
        <v>6.5353811000000004</v>
      </c>
      <c r="AJ61">
        <f>'[1]Manual Monthly DATA'!D633</f>
        <v>3.7</v>
      </c>
    </row>
    <row r="62" spans="22:36" x14ac:dyDescent="0.25">
      <c r="V62" s="7">
        <v>41974</v>
      </c>
      <c r="W62" s="11">
        <f>HAVERM!J186/SUM(HAVERM!J175:J186)</f>
        <v>0.10784874776152489</v>
      </c>
      <c r="X62" s="12">
        <f t="shared" si="1"/>
        <v>8.3333333333333329E-2</v>
      </c>
      <c r="Y62" s="12">
        <f t="shared" si="2"/>
        <v>2.4515414428191565E-2</v>
      </c>
      <c r="AE62" s="7">
        <v>45627</v>
      </c>
      <c r="AF62" s="2">
        <f>100*((AVERAGE(HAVERM!M304:M306)/AVERAGE(HAVERM!M292:M294))-1)</f>
        <v>6.256742179072261</v>
      </c>
      <c r="AG62" s="2">
        <f>100*((AVERAGE(HAVERM!O304:O306)/AVERAGE(HAVERM!O292:O294))-1)</f>
        <v>6.5675519630485013</v>
      </c>
      <c r="AH62" s="2">
        <f>HAVERM!Q306</f>
        <v>5.38</v>
      </c>
      <c r="AI62" s="2">
        <f>HAVERM!S306</f>
        <v>6.3351854999999997</v>
      </c>
      <c r="AJ62">
        <f>'[1]Manual Monthly DATA'!D634</f>
        <v>3</v>
      </c>
    </row>
    <row r="63" spans="22:36" x14ac:dyDescent="0.25">
      <c r="V63" s="7">
        <v>42005</v>
      </c>
      <c r="W63" s="11">
        <f>HAVERM!J187/SUM(HAVERM!J187:J198)</f>
        <v>7.1641990813712503E-2</v>
      </c>
      <c r="X63" s="12">
        <f t="shared" si="1"/>
        <v>8.3333333333333329E-2</v>
      </c>
      <c r="Y63" s="12">
        <f t="shared" si="2"/>
        <v>-1.1691342519620826E-2</v>
      </c>
      <c r="AE63" s="7">
        <v>45658</v>
      </c>
      <c r="AF63" s="2">
        <f>100*((AVERAGE(HAVERM!M305:M307)/AVERAGE(HAVERM!M293:M295))-1)</f>
        <v>6.1224489795918435</v>
      </c>
      <c r="AG63" s="2">
        <f>100*((AVERAGE(HAVERM!O305:O307)/AVERAGE(HAVERM!O293:O295))-1)</f>
        <v>5.9716454246026007</v>
      </c>
      <c r="AH63" s="2">
        <f>HAVERM!Q307</f>
        <v>5.2759999999999998</v>
      </c>
      <c r="AI63" s="2">
        <f>HAVERM!S307</f>
        <v>6.1649748000000004</v>
      </c>
      <c r="AJ63">
        <f>'[1]Manual Monthly DATA'!D635</f>
        <v>3</v>
      </c>
    </row>
    <row r="64" spans="22:36" x14ac:dyDescent="0.25">
      <c r="V64" s="7">
        <v>42036</v>
      </c>
      <c r="W64" s="11">
        <f>HAVERM!J188/SUM(HAVERM!J187:J198)</f>
        <v>7.3402895267129398E-2</v>
      </c>
      <c r="X64" s="12">
        <f t="shared" si="1"/>
        <v>8.3333333333333329E-2</v>
      </c>
      <c r="Y64" s="12">
        <f t="shared" si="2"/>
        <v>-9.930438066203931E-3</v>
      </c>
      <c r="AE64" s="7">
        <v>45689</v>
      </c>
      <c r="AF64" s="2"/>
      <c r="AG64" s="2">
        <f>100*((AVERAGE(HAVERM!O306:O308)/AVERAGE(HAVERM!O294:O296))-1)</f>
        <v>5.5238367113902287</v>
      </c>
      <c r="AH64" s="2">
        <f>HAVERM!Q308</f>
        <v>5.1749999999999998</v>
      </c>
      <c r="AI64" s="2">
        <f>HAVERM!S308</f>
        <v>5.9684339</v>
      </c>
      <c r="AJ64">
        <f>'[1]Manual Monthly DATA'!D636</f>
        <v>3</v>
      </c>
    </row>
    <row r="65" spans="22:35" x14ac:dyDescent="0.25">
      <c r="V65" s="7">
        <v>42064</v>
      </c>
      <c r="W65" s="11">
        <f>HAVERM!J189/SUM(HAVERM!J187:J198)</f>
        <v>9.6326990844191773E-2</v>
      </c>
      <c r="X65" s="12">
        <f t="shared" si="1"/>
        <v>8.3333333333333329E-2</v>
      </c>
      <c r="Y65" s="12">
        <f t="shared" si="2"/>
        <v>1.2993657510858445E-2</v>
      </c>
      <c r="AE65" s="7">
        <v>45717</v>
      </c>
      <c r="AF65" s="2"/>
      <c r="AG65" s="2"/>
      <c r="AH65" s="2"/>
      <c r="AI65" s="2"/>
    </row>
    <row r="66" spans="22:35" x14ac:dyDescent="0.25">
      <c r="V66" s="7">
        <v>42095</v>
      </c>
      <c r="W66" s="11">
        <f>HAVERM!J190/SUM(HAVERM!J187:J198)</f>
        <v>7.3948391839529434E-2</v>
      </c>
      <c r="X66" s="12">
        <f t="shared" si="1"/>
        <v>8.3333333333333329E-2</v>
      </c>
      <c r="Y66" s="12">
        <f t="shared" si="2"/>
        <v>-9.3849414938038944E-3</v>
      </c>
      <c r="AE66" s="7">
        <v>45748</v>
      </c>
      <c r="AF66" s="2"/>
      <c r="AG66" s="2"/>
      <c r="AH66" s="2"/>
      <c r="AI66" s="2"/>
    </row>
    <row r="67" spans="22:35" x14ac:dyDescent="0.25">
      <c r="V67" s="7">
        <v>42125</v>
      </c>
      <c r="W67" s="11">
        <f>HAVERM!J191/SUM(HAVERM!J187:J198)</f>
        <v>7.7416741752762364E-2</v>
      </c>
      <c r="X67" s="12">
        <f t="shared" ref="X67:X130" si="5">1/12</f>
        <v>8.3333333333333329E-2</v>
      </c>
      <c r="Y67" s="12">
        <f t="shared" ref="Y67:Y130" si="6">W67-X67</f>
        <v>-5.9165915805709651E-3</v>
      </c>
      <c r="AE67" s="7">
        <v>45778</v>
      </c>
      <c r="AF67" s="2"/>
      <c r="AG67" s="2"/>
      <c r="AH67" s="2"/>
      <c r="AI67" s="2"/>
    </row>
    <row r="68" spans="22:35" x14ac:dyDescent="0.25">
      <c r="V68" s="7">
        <v>42156</v>
      </c>
      <c r="W68" s="11">
        <f>HAVERM!J192/SUM(HAVERM!J187:J198)</f>
        <v>9.6568380079473465E-2</v>
      </c>
      <c r="X68" s="12">
        <f t="shared" si="5"/>
        <v>8.3333333333333329E-2</v>
      </c>
      <c r="Y68" s="12">
        <f t="shared" si="6"/>
        <v>1.3235046746140136E-2</v>
      </c>
      <c r="AE68" s="7">
        <v>45809</v>
      </c>
      <c r="AF68" s="2"/>
      <c r="AG68" s="2"/>
      <c r="AH68" s="2"/>
      <c r="AI68" s="2"/>
    </row>
    <row r="69" spans="22:35" x14ac:dyDescent="0.25">
      <c r="V69" s="7">
        <v>42186</v>
      </c>
      <c r="W69" s="11">
        <f>HAVERM!J193/SUM(HAVERM!J187:J198)</f>
        <v>7.6247405349095562E-2</v>
      </c>
      <c r="X69" s="12">
        <f t="shared" si="5"/>
        <v>8.3333333333333329E-2</v>
      </c>
      <c r="Y69" s="12">
        <f t="shared" si="6"/>
        <v>-7.0859279842377665E-3</v>
      </c>
    </row>
    <row r="70" spans="22:35" x14ac:dyDescent="0.25">
      <c r="V70" s="7">
        <v>42217</v>
      </c>
      <c r="W70" s="11">
        <f>HAVERM!J194/SUM(HAVERM!J187:J198)</f>
        <v>7.3983767564091724E-2</v>
      </c>
      <c r="X70" s="12">
        <f t="shared" si="5"/>
        <v>8.3333333333333329E-2</v>
      </c>
      <c r="Y70" s="12">
        <f t="shared" si="6"/>
        <v>-9.3495657692416051E-3</v>
      </c>
    </row>
    <row r="71" spans="22:35" x14ac:dyDescent="0.25">
      <c r="V71" s="7">
        <v>42248</v>
      </c>
      <c r="W71" s="11">
        <f>HAVERM!J195/SUM(HAVERM!J187:J198)</f>
        <v>9.4700722391670489E-2</v>
      </c>
      <c r="X71" s="12">
        <f t="shared" si="5"/>
        <v>8.3333333333333329E-2</v>
      </c>
      <c r="Y71" s="12">
        <f t="shared" si="6"/>
        <v>1.136738905833716E-2</v>
      </c>
    </row>
    <row r="72" spans="22:35" x14ac:dyDescent="0.25">
      <c r="V72" s="7">
        <v>42278</v>
      </c>
      <c r="W72" s="11">
        <f>HAVERM!J196/SUM(HAVERM!J187:J198)</f>
        <v>7.5483848540100582E-2</v>
      </c>
      <c r="X72" s="12">
        <f t="shared" si="5"/>
        <v>8.3333333333333329E-2</v>
      </c>
      <c r="Y72" s="12">
        <f t="shared" si="6"/>
        <v>-7.8494847932327472E-3</v>
      </c>
    </row>
    <row r="73" spans="22:35" x14ac:dyDescent="0.25">
      <c r="V73" s="7">
        <v>42309</v>
      </c>
      <c r="W73" s="11">
        <f>HAVERM!J197/SUM(HAVERM!J187:J198)</f>
        <v>7.9730793899335045E-2</v>
      </c>
      <c r="X73" s="12">
        <f t="shared" si="5"/>
        <v>8.3333333333333329E-2</v>
      </c>
      <c r="Y73" s="12">
        <f t="shared" si="6"/>
        <v>-3.6025394339982836E-3</v>
      </c>
    </row>
    <row r="74" spans="22:35" x14ac:dyDescent="0.25">
      <c r="V74" s="7">
        <v>42339</v>
      </c>
      <c r="W74" s="11">
        <f>HAVERM!J198/SUM(HAVERM!J187:J198)</f>
        <v>0.11054807165890763</v>
      </c>
      <c r="X74" s="12">
        <f t="shared" si="5"/>
        <v>8.3333333333333329E-2</v>
      </c>
      <c r="Y74" s="12">
        <f t="shared" si="6"/>
        <v>2.7214738325574306E-2</v>
      </c>
    </row>
    <row r="75" spans="22:35" x14ac:dyDescent="0.25">
      <c r="V75" s="7">
        <v>42370</v>
      </c>
      <c r="W75" s="11">
        <f>HAVERM!J199/SUM(HAVERM!J199:J210)</f>
        <v>7.0831353428018246E-2</v>
      </c>
      <c r="X75" s="12">
        <f t="shared" si="5"/>
        <v>8.3333333333333329E-2</v>
      </c>
      <c r="Y75" s="12">
        <f t="shared" si="6"/>
        <v>-1.2501979905315083E-2</v>
      </c>
    </row>
    <row r="76" spans="22:35" x14ac:dyDescent="0.25">
      <c r="V76" s="7">
        <v>42401</v>
      </c>
      <c r="W76" s="11">
        <f>HAVERM!J200/SUM(HAVERM!J199:J210)</f>
        <v>7.3243686315608625E-2</v>
      </c>
      <c r="X76" s="12">
        <f t="shared" si="5"/>
        <v>8.3333333333333329E-2</v>
      </c>
      <c r="Y76" s="12">
        <f t="shared" si="6"/>
        <v>-1.0089647017724704E-2</v>
      </c>
    </row>
    <row r="77" spans="22:35" x14ac:dyDescent="0.25">
      <c r="V77" s="7">
        <v>42430</v>
      </c>
      <c r="W77" s="11">
        <f>HAVERM!J201/SUM(HAVERM!J199:J210)</f>
        <v>9.4326914001654064E-2</v>
      </c>
      <c r="X77" s="12">
        <f t="shared" si="5"/>
        <v>8.3333333333333329E-2</v>
      </c>
      <c r="Y77" s="12">
        <f t="shared" si="6"/>
        <v>1.0993580668320735E-2</v>
      </c>
    </row>
    <row r="78" spans="22:35" x14ac:dyDescent="0.25">
      <c r="V78" s="7">
        <v>42461</v>
      </c>
      <c r="W78" s="11">
        <f>HAVERM!J202/SUM(HAVERM!J199:J210)</f>
        <v>7.4382825886749437E-2</v>
      </c>
      <c r="X78" s="12">
        <f t="shared" si="5"/>
        <v>8.3333333333333329E-2</v>
      </c>
      <c r="Y78" s="12">
        <f t="shared" si="6"/>
        <v>-8.9505074465838913E-3</v>
      </c>
    </row>
    <row r="79" spans="22:35" x14ac:dyDescent="0.25">
      <c r="V79" s="7">
        <v>42491</v>
      </c>
      <c r="W79" s="11">
        <f>HAVERM!J203/SUM(HAVERM!J199:J210)</f>
        <v>7.7040280813071446E-2</v>
      </c>
      <c r="X79" s="12">
        <f t="shared" si="5"/>
        <v>8.3333333333333329E-2</v>
      </c>
      <c r="Y79" s="12">
        <f t="shared" si="6"/>
        <v>-6.2930525202618826E-3</v>
      </c>
    </row>
    <row r="80" spans="22:35" x14ac:dyDescent="0.25">
      <c r="V80" s="7">
        <v>42522</v>
      </c>
      <c r="W80" s="11">
        <f>HAVERM!J204/SUM(HAVERM!J199:J210)</f>
        <v>9.5327441585759981E-2</v>
      </c>
      <c r="X80" s="12">
        <f t="shared" si="5"/>
        <v>8.3333333333333329E-2</v>
      </c>
      <c r="Y80" s="12">
        <f t="shared" si="6"/>
        <v>1.1994108252426652E-2</v>
      </c>
    </row>
    <row r="81" spans="22:25" x14ac:dyDescent="0.25">
      <c r="V81" s="7">
        <v>42552</v>
      </c>
      <c r="W81" s="11">
        <f>HAVERM!J205/SUM(HAVERM!J199:J210)</f>
        <v>7.6551597156426371E-2</v>
      </c>
      <c r="X81" s="12">
        <f t="shared" si="5"/>
        <v>8.3333333333333329E-2</v>
      </c>
      <c r="Y81" s="12">
        <f t="shared" si="6"/>
        <v>-6.7817361769069578E-3</v>
      </c>
    </row>
    <row r="82" spans="22:25" x14ac:dyDescent="0.25">
      <c r="V82" s="7">
        <v>42583</v>
      </c>
      <c r="W82" s="11">
        <f>HAVERM!J206/SUM(HAVERM!J199:J210)</f>
        <v>7.547954273091656E-2</v>
      </c>
      <c r="X82" s="12">
        <f t="shared" si="5"/>
        <v>8.3333333333333329E-2</v>
      </c>
      <c r="Y82" s="12">
        <f t="shared" si="6"/>
        <v>-7.8537906024167686E-3</v>
      </c>
    </row>
    <row r="83" spans="22:25" x14ac:dyDescent="0.25">
      <c r="V83" s="7">
        <v>42614</v>
      </c>
      <c r="W83" s="11">
        <f>HAVERM!J207/SUM(HAVERM!J199:J210)</f>
        <v>9.4018695278801787E-2</v>
      </c>
      <c r="X83" s="12">
        <f t="shared" si="5"/>
        <v>8.3333333333333329E-2</v>
      </c>
      <c r="Y83" s="12">
        <f t="shared" si="6"/>
        <v>1.0685361945468458E-2</v>
      </c>
    </row>
    <row r="84" spans="22:25" x14ac:dyDescent="0.25">
      <c r="V84" s="7">
        <v>42644</v>
      </c>
      <c r="W84" s="11">
        <f>HAVERM!J208/SUM(HAVERM!J199:J210)</f>
        <v>7.6809649321190721E-2</v>
      </c>
      <c r="X84" s="12">
        <f t="shared" si="5"/>
        <v>8.3333333333333329E-2</v>
      </c>
      <c r="Y84" s="12">
        <f t="shared" si="6"/>
        <v>-6.5236840121426082E-3</v>
      </c>
    </row>
    <row r="85" spans="22:25" x14ac:dyDescent="0.25">
      <c r="V85" s="7">
        <v>42675</v>
      </c>
      <c r="W85" s="11">
        <f>HAVERM!J209/SUM(HAVERM!J199:J210)</f>
        <v>7.9897061693283075E-2</v>
      </c>
      <c r="X85" s="12">
        <f t="shared" si="5"/>
        <v>8.3333333333333329E-2</v>
      </c>
      <c r="Y85" s="12">
        <f t="shared" si="6"/>
        <v>-3.4362716400502535E-3</v>
      </c>
    </row>
    <row r="86" spans="22:25" x14ac:dyDescent="0.25">
      <c r="V86" s="7">
        <v>42705</v>
      </c>
      <c r="W86" s="11">
        <f>HAVERM!J210/SUM(HAVERM!J199:J210)</f>
        <v>0.1120909517885197</v>
      </c>
      <c r="X86" s="12">
        <f t="shared" si="5"/>
        <v>8.3333333333333329E-2</v>
      </c>
      <c r="Y86" s="12">
        <f t="shared" si="6"/>
        <v>2.8757618455186373E-2</v>
      </c>
    </row>
    <row r="87" spans="22:25" x14ac:dyDescent="0.25">
      <c r="V87" s="7">
        <v>42736</v>
      </c>
      <c r="W87" s="11">
        <f>HAVERM!J211/SUM(HAVERM!J211:J222)</f>
        <v>6.9181888503874758E-2</v>
      </c>
      <c r="X87" s="12">
        <f t="shared" si="5"/>
        <v>8.3333333333333329E-2</v>
      </c>
      <c r="Y87" s="12">
        <f t="shared" si="6"/>
        <v>-1.415144482945857E-2</v>
      </c>
    </row>
    <row r="88" spans="22:25" x14ac:dyDescent="0.25">
      <c r="V88" s="7">
        <v>42767</v>
      </c>
      <c r="W88" s="11">
        <f>HAVERM!J212/SUM(HAVERM!J211:J222)</f>
        <v>7.2903946121052193E-2</v>
      </c>
      <c r="X88" s="12">
        <f t="shared" si="5"/>
        <v>8.3333333333333329E-2</v>
      </c>
      <c r="Y88" s="12">
        <f t="shared" si="6"/>
        <v>-1.0429387212281135E-2</v>
      </c>
    </row>
    <row r="89" spans="22:25" x14ac:dyDescent="0.25">
      <c r="V89" s="7">
        <v>42795</v>
      </c>
      <c r="W89" s="11">
        <f>HAVERM!J213/SUM(HAVERM!J211:J222)</f>
        <v>9.3101588167936775E-2</v>
      </c>
      <c r="X89" s="12">
        <f t="shared" si="5"/>
        <v>8.3333333333333329E-2</v>
      </c>
      <c r="Y89" s="12">
        <f t="shared" si="6"/>
        <v>9.7682548346034459E-3</v>
      </c>
    </row>
    <row r="90" spans="22:25" x14ac:dyDescent="0.25">
      <c r="V90" s="7">
        <v>42826</v>
      </c>
      <c r="W90" s="11">
        <f>HAVERM!J214/SUM(HAVERM!J211:J222)</f>
        <v>7.7329463488831865E-2</v>
      </c>
      <c r="X90" s="12">
        <f t="shared" si="5"/>
        <v>8.3333333333333329E-2</v>
      </c>
      <c r="Y90" s="12">
        <f t="shared" si="6"/>
        <v>-6.0038698445014638E-3</v>
      </c>
    </row>
    <row r="91" spans="22:25" x14ac:dyDescent="0.25">
      <c r="V91" s="7">
        <v>42856</v>
      </c>
      <c r="W91" s="11">
        <f>HAVERM!J215/SUM(HAVERM!J211:J222)</f>
        <v>7.7219092927022934E-2</v>
      </c>
      <c r="X91" s="12">
        <f t="shared" si="5"/>
        <v>8.3333333333333329E-2</v>
      </c>
      <c r="Y91" s="12">
        <f t="shared" si="6"/>
        <v>-6.114240406310395E-3</v>
      </c>
    </row>
    <row r="92" spans="22:25" x14ac:dyDescent="0.25">
      <c r="V92" s="7">
        <v>42887</v>
      </c>
      <c r="W92" s="11">
        <f>HAVERM!J216/SUM(HAVERM!J211:J222)</f>
        <v>9.4814770008550792E-2</v>
      </c>
      <c r="X92" s="12">
        <f t="shared" si="5"/>
        <v>8.3333333333333329E-2</v>
      </c>
      <c r="Y92" s="12">
        <f t="shared" si="6"/>
        <v>1.1481436675217463E-2</v>
      </c>
    </row>
    <row r="93" spans="22:25" x14ac:dyDescent="0.25">
      <c r="V93" s="7">
        <v>42917</v>
      </c>
      <c r="W93" s="11">
        <f>HAVERM!J217/SUM(HAVERM!J211:J222)</f>
        <v>7.6720733568885396E-2</v>
      </c>
      <c r="X93" s="12">
        <f t="shared" si="5"/>
        <v>8.3333333333333329E-2</v>
      </c>
      <c r="Y93" s="12">
        <f t="shared" si="6"/>
        <v>-6.6125997644479323E-3</v>
      </c>
    </row>
    <row r="94" spans="22:25" x14ac:dyDescent="0.25">
      <c r="V94" s="7">
        <v>42948</v>
      </c>
      <c r="W94" s="11">
        <f>HAVERM!J218/SUM(HAVERM!J211:J222)</f>
        <v>7.4994820312253879E-2</v>
      </c>
      <c r="X94" s="12">
        <f t="shared" si="5"/>
        <v>8.3333333333333329E-2</v>
      </c>
      <c r="Y94" s="12">
        <f t="shared" si="6"/>
        <v>-8.3385130210794495E-3</v>
      </c>
    </row>
    <row r="95" spans="22:25" x14ac:dyDescent="0.25">
      <c r="V95" s="7">
        <v>42979</v>
      </c>
      <c r="W95" s="11">
        <f>HAVERM!J219/SUM(HAVERM!J211:J222)</f>
        <v>9.3261107181743713E-2</v>
      </c>
      <c r="X95" s="12">
        <f t="shared" si="5"/>
        <v>8.3333333333333329E-2</v>
      </c>
      <c r="Y95" s="12">
        <f t="shared" si="6"/>
        <v>9.9277738484103845E-3</v>
      </c>
    </row>
    <row r="96" spans="22:25" x14ac:dyDescent="0.25">
      <c r="V96" s="7">
        <v>43009</v>
      </c>
      <c r="W96" s="11">
        <f>HAVERM!J220/SUM(HAVERM!J211:J222)</f>
        <v>7.6677953987195208E-2</v>
      </c>
      <c r="X96" s="12">
        <f t="shared" si="5"/>
        <v>8.3333333333333329E-2</v>
      </c>
      <c r="Y96" s="12">
        <f t="shared" si="6"/>
        <v>-6.6553793461381211E-3</v>
      </c>
    </row>
    <row r="97" spans="22:25" x14ac:dyDescent="0.25">
      <c r="V97" s="7">
        <v>43040</v>
      </c>
      <c r="W97" s="11">
        <f>HAVERM!J221/SUM(HAVERM!J211:J222)</f>
        <v>7.9837090748616307E-2</v>
      </c>
      <c r="X97" s="12">
        <f t="shared" si="5"/>
        <v>8.3333333333333329E-2</v>
      </c>
      <c r="Y97" s="12">
        <f t="shared" si="6"/>
        <v>-3.4962425847170214E-3</v>
      </c>
    </row>
    <row r="98" spans="22:25" x14ac:dyDescent="0.25">
      <c r="V98" s="7">
        <v>43070</v>
      </c>
      <c r="W98" s="11">
        <f>HAVERM!J222/SUM(HAVERM!J211:J222)</f>
        <v>0.11395754498403618</v>
      </c>
      <c r="X98" s="12">
        <f t="shared" si="5"/>
        <v>8.3333333333333329E-2</v>
      </c>
      <c r="Y98" s="12">
        <f t="shared" si="6"/>
        <v>3.0624211650702851E-2</v>
      </c>
    </row>
    <row r="99" spans="22:25" x14ac:dyDescent="0.25">
      <c r="V99" s="7">
        <v>43101</v>
      </c>
      <c r="W99" s="11">
        <f>HAVERM!J223/SUM(HAVERM!J223:J234)</f>
        <v>6.8560636302973849E-2</v>
      </c>
      <c r="X99" s="12">
        <f t="shared" si="5"/>
        <v>8.3333333333333329E-2</v>
      </c>
      <c r="Y99" s="12">
        <f t="shared" si="6"/>
        <v>-1.477269703035948E-2</v>
      </c>
    </row>
    <row r="100" spans="22:25" x14ac:dyDescent="0.25">
      <c r="V100" s="7">
        <v>43132</v>
      </c>
      <c r="W100" s="11">
        <f>HAVERM!J224/SUM(HAVERM!J223:J234)</f>
        <v>7.2597291888842522E-2</v>
      </c>
      <c r="X100" s="12">
        <f t="shared" si="5"/>
        <v>8.3333333333333329E-2</v>
      </c>
      <c r="Y100" s="12">
        <f t="shared" si="6"/>
        <v>-1.0736041444490807E-2</v>
      </c>
    </row>
    <row r="101" spans="22:25" x14ac:dyDescent="0.25">
      <c r="V101" s="7">
        <v>43160</v>
      </c>
      <c r="W101" s="11">
        <f>HAVERM!J225/SUM(HAVERM!J223:J234)</f>
        <v>9.5208835469725542E-2</v>
      </c>
      <c r="X101" s="12">
        <f t="shared" si="5"/>
        <v>8.3333333333333329E-2</v>
      </c>
      <c r="Y101" s="12">
        <f t="shared" si="6"/>
        <v>1.1875502136392213E-2</v>
      </c>
    </row>
    <row r="102" spans="22:25" x14ac:dyDescent="0.25">
      <c r="V102" s="7">
        <v>43191</v>
      </c>
      <c r="W102" s="11">
        <f>HAVERM!J226/SUM(HAVERM!J223:J234)</f>
        <v>7.3430242552879263E-2</v>
      </c>
      <c r="X102" s="12">
        <f t="shared" si="5"/>
        <v>8.3333333333333329E-2</v>
      </c>
      <c r="Y102" s="12">
        <f t="shared" si="6"/>
        <v>-9.9030907804540658E-3</v>
      </c>
    </row>
    <row r="103" spans="22:25" x14ac:dyDescent="0.25">
      <c r="V103" s="7">
        <v>43221</v>
      </c>
      <c r="W103" s="11">
        <f>HAVERM!J227/SUM(HAVERM!J223:J234)</f>
        <v>7.8425411160993858E-2</v>
      </c>
      <c r="X103" s="12">
        <f t="shared" si="5"/>
        <v>8.3333333333333329E-2</v>
      </c>
      <c r="Y103" s="12">
        <f t="shared" si="6"/>
        <v>-4.9079221723394711E-3</v>
      </c>
    </row>
    <row r="104" spans="22:25" x14ac:dyDescent="0.25">
      <c r="V104" s="7">
        <v>43252</v>
      </c>
      <c r="W104" s="11">
        <f>HAVERM!J228/SUM(HAVERM!J223:J234)</f>
        <v>9.678900556565885E-2</v>
      </c>
      <c r="X104" s="12">
        <f t="shared" si="5"/>
        <v>8.3333333333333329E-2</v>
      </c>
      <c r="Y104" s="12">
        <f t="shared" si="6"/>
        <v>1.3455672232325522E-2</v>
      </c>
    </row>
    <row r="105" spans="22:25" x14ac:dyDescent="0.25">
      <c r="V105" s="7">
        <v>43282</v>
      </c>
      <c r="W105" s="11">
        <f>HAVERM!J229/SUM(HAVERM!J223:J234)</f>
        <v>7.8531676489952809E-2</v>
      </c>
      <c r="X105" s="12">
        <f t="shared" si="5"/>
        <v>8.3333333333333329E-2</v>
      </c>
      <c r="Y105" s="12">
        <f t="shared" si="6"/>
        <v>-4.8016568433805196E-3</v>
      </c>
    </row>
    <row r="106" spans="22:25" x14ac:dyDescent="0.25">
      <c r="V106" s="7">
        <v>43313</v>
      </c>
      <c r="W106" s="11">
        <f>HAVERM!J230/SUM(HAVERM!J223:J234)</f>
        <v>7.5996539223863679E-2</v>
      </c>
      <c r="X106" s="12">
        <f t="shared" si="5"/>
        <v>8.3333333333333329E-2</v>
      </c>
      <c r="Y106" s="12">
        <f t="shared" si="6"/>
        <v>-7.3367941094696493E-3</v>
      </c>
    </row>
    <row r="107" spans="22:25" x14ac:dyDescent="0.25">
      <c r="V107" s="7">
        <v>43344</v>
      </c>
      <c r="W107" s="11">
        <f>HAVERM!J231/SUM(HAVERM!J223:J234)</f>
        <v>9.3116886846219507E-2</v>
      </c>
      <c r="X107" s="12">
        <f t="shared" si="5"/>
        <v>8.3333333333333329E-2</v>
      </c>
      <c r="Y107" s="12">
        <f t="shared" si="6"/>
        <v>9.7835535128861784E-3</v>
      </c>
    </row>
    <row r="108" spans="22:25" x14ac:dyDescent="0.25">
      <c r="V108" s="7">
        <v>43374</v>
      </c>
      <c r="W108" s="11">
        <f>HAVERM!J232/SUM(HAVERM!J223:J234)</f>
        <v>7.6081560060766468E-2</v>
      </c>
      <c r="X108" s="12">
        <f t="shared" si="5"/>
        <v>8.3333333333333329E-2</v>
      </c>
      <c r="Y108" s="12">
        <f t="shared" si="6"/>
        <v>-7.251773272566861E-3</v>
      </c>
    </row>
    <row r="109" spans="22:25" x14ac:dyDescent="0.25">
      <c r="V109" s="7">
        <v>43405</v>
      </c>
      <c r="W109" s="11">
        <f>HAVERM!J233/SUM(HAVERM!J223:J234)</f>
        <v>7.914511502563519E-2</v>
      </c>
      <c r="X109" s="12">
        <f t="shared" si="5"/>
        <v>8.3333333333333329E-2</v>
      </c>
      <c r="Y109" s="12">
        <f t="shared" si="6"/>
        <v>-4.1882183076981383E-3</v>
      </c>
    </row>
    <row r="110" spans="22:25" x14ac:dyDescent="0.25">
      <c r="V110" s="7">
        <v>43435</v>
      </c>
      <c r="W110" s="11">
        <f>HAVERM!J234/SUM(HAVERM!J223:J234)</f>
        <v>0.11211679941248844</v>
      </c>
      <c r="X110" s="12">
        <f t="shared" si="5"/>
        <v>8.3333333333333329E-2</v>
      </c>
      <c r="Y110" s="12">
        <f t="shared" si="6"/>
        <v>2.8783466079155107E-2</v>
      </c>
    </row>
    <row r="111" spans="22:25" x14ac:dyDescent="0.25">
      <c r="V111" s="7">
        <v>43466</v>
      </c>
      <c r="W111" s="11">
        <f>HAVERM!J235/SUM(HAVERM!J235:J246)</f>
        <v>6.9567276492969815E-2</v>
      </c>
      <c r="X111" s="12">
        <f t="shared" si="5"/>
        <v>8.3333333333333329E-2</v>
      </c>
      <c r="Y111" s="12">
        <f t="shared" si="6"/>
        <v>-1.3766056840363514E-2</v>
      </c>
    </row>
    <row r="112" spans="22:25" x14ac:dyDescent="0.25">
      <c r="V112" s="7">
        <v>43497</v>
      </c>
      <c r="W112" s="11">
        <f>HAVERM!J236/SUM(HAVERM!J235:J246)</f>
        <v>7.2740577521124616E-2</v>
      </c>
      <c r="X112" s="12">
        <f t="shared" si="5"/>
        <v>8.3333333333333329E-2</v>
      </c>
      <c r="Y112" s="12">
        <f t="shared" si="6"/>
        <v>-1.0592755812208712E-2</v>
      </c>
    </row>
    <row r="113" spans="22:25" x14ac:dyDescent="0.25">
      <c r="V113" s="7">
        <v>43525</v>
      </c>
      <c r="W113" s="11">
        <f>HAVERM!J237/SUM(HAVERM!J235:J246)</f>
        <v>9.363518776657663E-2</v>
      </c>
      <c r="X113" s="12">
        <f t="shared" si="5"/>
        <v>8.3333333333333329E-2</v>
      </c>
      <c r="Y113" s="12">
        <f t="shared" si="6"/>
        <v>1.0301854433243302E-2</v>
      </c>
    </row>
    <row r="114" spans="22:25" x14ac:dyDescent="0.25">
      <c r="V114" s="7">
        <v>43556</v>
      </c>
      <c r="W114" s="11">
        <f>HAVERM!J238/SUM(HAVERM!J235:J246)</f>
        <v>7.7051466119579151E-2</v>
      </c>
      <c r="X114" s="12">
        <f t="shared" si="5"/>
        <v>8.3333333333333329E-2</v>
      </c>
      <c r="Y114" s="12">
        <f t="shared" si="6"/>
        <v>-6.2818672137541776E-3</v>
      </c>
    </row>
    <row r="115" spans="22:25" x14ac:dyDescent="0.25">
      <c r="V115" s="7">
        <v>43586</v>
      </c>
      <c r="W115" s="11">
        <f>HAVERM!J239/SUM(HAVERM!J235:J246)</f>
        <v>7.7215127582370521E-2</v>
      </c>
      <c r="X115" s="12">
        <f t="shared" si="5"/>
        <v>8.3333333333333329E-2</v>
      </c>
      <c r="Y115" s="12">
        <f t="shared" si="6"/>
        <v>-6.1182057509628074E-3</v>
      </c>
    </row>
    <row r="116" spans="22:25" x14ac:dyDescent="0.25">
      <c r="V116" s="7">
        <v>43617</v>
      </c>
      <c r="W116" s="11">
        <f>HAVERM!J240/SUM(HAVERM!J235:J246)</f>
        <v>9.5925315475340472E-2</v>
      </c>
      <c r="X116" s="12">
        <f t="shared" si="5"/>
        <v>8.3333333333333329E-2</v>
      </c>
      <c r="Y116" s="12">
        <f t="shared" si="6"/>
        <v>1.2591982142007144E-2</v>
      </c>
    </row>
    <row r="117" spans="22:25" x14ac:dyDescent="0.25">
      <c r="V117" s="7">
        <v>43647</v>
      </c>
      <c r="W117" s="11">
        <f>HAVERM!J241/SUM(HAVERM!J235:J246)</f>
        <v>7.7890598521493881E-2</v>
      </c>
      <c r="X117" s="12">
        <f t="shared" si="5"/>
        <v>8.3333333333333329E-2</v>
      </c>
      <c r="Y117" s="12">
        <f t="shared" si="6"/>
        <v>-5.4427348118394475E-3</v>
      </c>
    </row>
    <row r="118" spans="22:25" x14ac:dyDescent="0.25">
      <c r="V118" s="7">
        <v>43678</v>
      </c>
      <c r="W118" s="11">
        <f>HAVERM!J242/SUM(HAVERM!J235:J246)</f>
        <v>7.5979889248927013E-2</v>
      </c>
      <c r="X118" s="12">
        <f t="shared" si="5"/>
        <v>8.3333333333333329E-2</v>
      </c>
      <c r="Y118" s="12">
        <f t="shared" si="6"/>
        <v>-7.3534440844063159E-3</v>
      </c>
    </row>
    <row r="119" spans="22:25" x14ac:dyDescent="0.25">
      <c r="V119" s="7">
        <v>43709</v>
      </c>
      <c r="W119" s="11">
        <f>HAVERM!J243/SUM(HAVERM!J235:J246)</f>
        <v>9.3843861944535936E-2</v>
      </c>
      <c r="X119" s="12">
        <f t="shared" si="5"/>
        <v>8.3333333333333329E-2</v>
      </c>
      <c r="Y119" s="12">
        <f t="shared" si="6"/>
        <v>1.0510528611202608E-2</v>
      </c>
    </row>
    <row r="120" spans="22:25" x14ac:dyDescent="0.25">
      <c r="V120" s="7">
        <v>43739</v>
      </c>
      <c r="W120" s="11">
        <f>HAVERM!J244/SUM(HAVERM!J235:J246)</f>
        <v>7.6393141745862814E-2</v>
      </c>
      <c r="X120" s="12">
        <f t="shared" si="5"/>
        <v>8.3333333333333329E-2</v>
      </c>
      <c r="Y120" s="12">
        <f t="shared" si="6"/>
        <v>-6.940191587470515E-3</v>
      </c>
    </row>
    <row r="121" spans="22:25" x14ac:dyDescent="0.25">
      <c r="V121" s="7">
        <v>43770</v>
      </c>
      <c r="W121" s="11">
        <f>HAVERM!J245/SUM(HAVERM!J235:J246)</f>
        <v>7.861797418886253E-2</v>
      </c>
      <c r="X121" s="12">
        <f t="shared" si="5"/>
        <v>8.3333333333333329E-2</v>
      </c>
      <c r="Y121" s="12">
        <f t="shared" si="6"/>
        <v>-4.7153591444707987E-3</v>
      </c>
    </row>
    <row r="122" spans="22:25" x14ac:dyDescent="0.25">
      <c r="V122" s="7">
        <v>43800</v>
      </c>
      <c r="W122" s="11">
        <f>HAVERM!J246/SUM(HAVERM!J235:J246)</f>
        <v>0.11113958339235663</v>
      </c>
      <c r="X122" s="12">
        <f t="shared" si="5"/>
        <v>8.3333333333333329E-2</v>
      </c>
      <c r="Y122" s="12">
        <f t="shared" si="6"/>
        <v>2.7806250059023305E-2</v>
      </c>
    </row>
    <row r="123" spans="22:25" x14ac:dyDescent="0.25">
      <c r="V123" s="7">
        <v>43831</v>
      </c>
      <c r="W123" s="11">
        <f>HAVERM!J247/SUM(HAVERM!J247:J258)</f>
        <v>8.4083419595114117E-2</v>
      </c>
      <c r="X123" s="12">
        <f t="shared" si="5"/>
        <v>8.3333333333333329E-2</v>
      </c>
      <c r="Y123" s="12">
        <f t="shared" si="6"/>
        <v>7.5008626178078852E-4</v>
      </c>
    </row>
    <row r="124" spans="22:25" x14ac:dyDescent="0.25">
      <c r="V124" s="7">
        <v>43862</v>
      </c>
      <c r="W124" s="11">
        <f>HAVERM!J248/SUM(HAVERM!J247:J258)</f>
        <v>7.0211149315444865E-2</v>
      </c>
      <c r="X124" s="12">
        <f t="shared" si="5"/>
        <v>8.3333333333333329E-2</v>
      </c>
      <c r="Y124" s="12">
        <f t="shared" si="6"/>
        <v>-1.3122184017888464E-2</v>
      </c>
    </row>
    <row r="125" spans="22:25" x14ac:dyDescent="0.25">
      <c r="V125" s="7">
        <v>43891</v>
      </c>
      <c r="W125" s="11">
        <f>HAVERM!J249/SUM(HAVERM!J247:J258)</f>
        <v>9.794390416089388E-2</v>
      </c>
      <c r="X125" s="12">
        <f t="shared" si="5"/>
        <v>8.3333333333333329E-2</v>
      </c>
      <c r="Y125" s="12">
        <f t="shared" si="6"/>
        <v>1.4610570827560551E-2</v>
      </c>
    </row>
    <row r="126" spans="22:25" x14ac:dyDescent="0.25">
      <c r="V126" s="7">
        <v>43922</v>
      </c>
      <c r="W126" s="11">
        <f>HAVERM!J250/SUM(HAVERM!J247:J258)</f>
        <v>7.5888239609785163E-2</v>
      </c>
      <c r="X126" s="12">
        <f t="shared" si="5"/>
        <v>8.3333333333333329E-2</v>
      </c>
      <c r="Y126" s="12">
        <f t="shared" si="6"/>
        <v>-7.4450937235481657E-3</v>
      </c>
    </row>
    <row r="127" spans="22:25" x14ac:dyDescent="0.25">
      <c r="V127" s="7">
        <v>43952</v>
      </c>
      <c r="W127" s="11">
        <f>HAVERM!J251/SUM(HAVERM!J247:J258)</f>
        <v>7.811172547907938E-2</v>
      </c>
      <c r="X127" s="12">
        <f t="shared" si="5"/>
        <v>8.3333333333333329E-2</v>
      </c>
      <c r="Y127" s="12">
        <f t="shared" si="6"/>
        <v>-5.2216078542539485E-3</v>
      </c>
    </row>
    <row r="128" spans="22:25" x14ac:dyDescent="0.25">
      <c r="V128" s="7">
        <v>43983</v>
      </c>
      <c r="W128" s="11">
        <f>HAVERM!J252/SUM(HAVERM!J247:J258)</f>
        <v>9.6269663779283837E-2</v>
      </c>
      <c r="X128" s="12">
        <f t="shared" si="5"/>
        <v>8.3333333333333329E-2</v>
      </c>
      <c r="Y128" s="12">
        <f t="shared" si="6"/>
        <v>1.2936330445950509E-2</v>
      </c>
    </row>
    <row r="129" spans="22:25" x14ac:dyDescent="0.25">
      <c r="V129" s="7">
        <v>44013</v>
      </c>
      <c r="W129" s="11">
        <f>HAVERM!J253/SUM(HAVERM!J247:J258)</f>
        <v>7.4492385149347098E-2</v>
      </c>
      <c r="X129" s="12">
        <f t="shared" si="5"/>
        <v>8.3333333333333329E-2</v>
      </c>
      <c r="Y129" s="12">
        <f t="shared" si="6"/>
        <v>-8.8409481839862303E-3</v>
      </c>
    </row>
    <row r="130" spans="22:25" x14ac:dyDescent="0.25">
      <c r="V130" s="7">
        <v>44044</v>
      </c>
      <c r="W130" s="11">
        <f>HAVERM!J254/SUM(HAVERM!J247:J258)</f>
        <v>7.3794948525950338E-2</v>
      </c>
      <c r="X130" s="12">
        <f t="shared" si="5"/>
        <v>8.3333333333333329E-2</v>
      </c>
      <c r="Y130" s="12">
        <f t="shared" si="6"/>
        <v>-9.5383848073829908E-3</v>
      </c>
    </row>
    <row r="131" spans="22:25" x14ac:dyDescent="0.25">
      <c r="V131" s="7">
        <v>44075</v>
      </c>
      <c r="W131" s="11">
        <f>HAVERM!J255/SUM(HAVERM!J247:J258)</f>
        <v>9.1461828422607139E-2</v>
      </c>
      <c r="X131" s="12">
        <f t="shared" ref="X131:X170" si="7">1/12</f>
        <v>8.3333333333333329E-2</v>
      </c>
      <c r="Y131" s="12">
        <f t="shared" ref="Y131:Y170" si="8">W131-X131</f>
        <v>8.12849508927381E-3</v>
      </c>
    </row>
    <row r="132" spans="22:25" x14ac:dyDescent="0.25">
      <c r="V132" s="7">
        <v>44105</v>
      </c>
      <c r="W132" s="11">
        <f>HAVERM!J256/SUM(HAVERM!J247:J258)</f>
        <v>7.4228639381757805E-2</v>
      </c>
      <c r="X132" s="12">
        <f t="shared" si="7"/>
        <v>8.3333333333333329E-2</v>
      </c>
      <c r="Y132" s="12">
        <f t="shared" si="8"/>
        <v>-9.1046939515755237E-3</v>
      </c>
    </row>
    <row r="133" spans="22:25" x14ac:dyDescent="0.25">
      <c r="V133" s="7">
        <v>44136</v>
      </c>
      <c r="W133" s="11">
        <f>HAVERM!J257/SUM(HAVERM!J247:J258)</f>
        <v>7.8944357732476142E-2</v>
      </c>
      <c r="X133" s="12">
        <f t="shared" si="7"/>
        <v>8.3333333333333329E-2</v>
      </c>
      <c r="Y133" s="12">
        <f t="shared" si="8"/>
        <v>-4.3889756008571867E-3</v>
      </c>
    </row>
    <row r="134" spans="22:25" x14ac:dyDescent="0.25">
      <c r="V134" s="7">
        <v>44166</v>
      </c>
      <c r="W134" s="11">
        <f>HAVERM!J258/SUM(HAVERM!J247:J258)</f>
        <v>0.10456973884826024</v>
      </c>
      <c r="X134" s="12">
        <f t="shared" si="7"/>
        <v>8.3333333333333329E-2</v>
      </c>
      <c r="Y134" s="12">
        <f t="shared" si="8"/>
        <v>2.1236405514926907E-2</v>
      </c>
    </row>
    <row r="135" spans="22:25" x14ac:dyDescent="0.25">
      <c r="V135" s="7">
        <v>44197</v>
      </c>
      <c r="W135" s="11">
        <f>HAVERM!J259/SUM(HAVERM!J259:J270)</f>
        <v>7.1305104453977627E-2</v>
      </c>
      <c r="X135" s="12">
        <f t="shared" si="7"/>
        <v>8.3333333333333329E-2</v>
      </c>
      <c r="Y135" s="12">
        <f t="shared" si="8"/>
        <v>-1.2028228879355701E-2</v>
      </c>
    </row>
    <row r="136" spans="22:25" x14ac:dyDescent="0.25">
      <c r="V136" s="7">
        <v>44228</v>
      </c>
      <c r="W136" s="11">
        <f>HAVERM!J260/SUM(HAVERM!J259:J270)</f>
        <v>7.5019750748371916E-2</v>
      </c>
      <c r="X136" s="12">
        <f t="shared" si="7"/>
        <v>8.3333333333333329E-2</v>
      </c>
      <c r="Y136" s="12">
        <f t="shared" si="8"/>
        <v>-8.3135825849614126E-3</v>
      </c>
    </row>
    <row r="137" spans="22:25" x14ac:dyDescent="0.25">
      <c r="V137" s="7">
        <v>44256</v>
      </c>
      <c r="W137" s="11">
        <f>HAVERM!J261/SUM(HAVERM!J259:J270)</f>
        <v>0.10021439203660276</v>
      </c>
      <c r="X137" s="12">
        <f t="shared" si="7"/>
        <v>8.3333333333333329E-2</v>
      </c>
      <c r="Y137" s="12">
        <f t="shared" si="8"/>
        <v>1.6881058703269433E-2</v>
      </c>
    </row>
    <row r="138" spans="22:25" x14ac:dyDescent="0.25">
      <c r="V138" s="7">
        <v>44287</v>
      </c>
      <c r="W138" s="11">
        <f>HAVERM!J262/SUM(HAVERM!J259:J270)</f>
        <v>7.5796164963725723E-2</v>
      </c>
      <c r="X138" s="12">
        <f t="shared" si="7"/>
        <v>8.3333333333333329E-2</v>
      </c>
      <c r="Y138" s="12">
        <f t="shared" si="8"/>
        <v>-7.5371683696076053E-3</v>
      </c>
    </row>
    <row r="139" spans="22:25" x14ac:dyDescent="0.25">
      <c r="V139" s="7">
        <v>44317</v>
      </c>
      <c r="W139" s="11">
        <f>HAVERM!J263/SUM(HAVERM!J259:J270)</f>
        <v>7.5263516229588767E-2</v>
      </c>
      <c r="X139" s="12">
        <f t="shared" si="7"/>
        <v>8.3333333333333329E-2</v>
      </c>
      <c r="Y139" s="12">
        <f t="shared" si="8"/>
        <v>-8.0698171037445615E-3</v>
      </c>
    </row>
    <row r="140" spans="22:25" x14ac:dyDescent="0.25">
      <c r="V140" s="7">
        <v>44348</v>
      </c>
      <c r="W140" s="11">
        <f>HAVERM!J264/SUM(HAVERM!J259:J270)</f>
        <v>9.708872190971414E-2</v>
      </c>
      <c r="X140" s="12">
        <f t="shared" si="7"/>
        <v>8.3333333333333329E-2</v>
      </c>
      <c r="Y140" s="12">
        <f t="shared" si="8"/>
        <v>1.3755388576380811E-2</v>
      </c>
    </row>
    <row r="141" spans="22:25" x14ac:dyDescent="0.25">
      <c r="V141" s="7">
        <v>44378</v>
      </c>
      <c r="W141" s="11">
        <f>HAVERM!J265/SUM(HAVERM!J259:J270)</f>
        <v>7.629318059506858E-2</v>
      </c>
      <c r="X141" s="12">
        <f t="shared" si="7"/>
        <v>8.3333333333333329E-2</v>
      </c>
      <c r="Y141" s="12">
        <f t="shared" si="8"/>
        <v>-7.0401527382647489E-3</v>
      </c>
    </row>
    <row r="142" spans="22:25" x14ac:dyDescent="0.25">
      <c r="V142" s="7">
        <v>44409</v>
      </c>
      <c r="W142" s="11">
        <f>HAVERM!J266/SUM(HAVERM!J259:J270)</f>
        <v>7.4251308344202516E-2</v>
      </c>
      <c r="X142" s="12">
        <f t="shared" si="7"/>
        <v>8.3333333333333329E-2</v>
      </c>
      <c r="Y142" s="12">
        <f t="shared" si="8"/>
        <v>-9.082024989130813E-3</v>
      </c>
    </row>
    <row r="143" spans="22:25" x14ac:dyDescent="0.25">
      <c r="V143" s="7">
        <v>44440</v>
      </c>
      <c r="W143" s="11">
        <f>HAVERM!J267/SUM(HAVERM!J259:J270)</f>
        <v>9.1173252818338102E-2</v>
      </c>
      <c r="X143" s="12">
        <f t="shared" si="7"/>
        <v>8.3333333333333329E-2</v>
      </c>
      <c r="Y143" s="12">
        <f t="shared" si="8"/>
        <v>7.8399194850047732E-3</v>
      </c>
    </row>
    <row r="144" spans="22:25" x14ac:dyDescent="0.25">
      <c r="V144" s="7">
        <v>44470</v>
      </c>
      <c r="W144" s="11">
        <f>HAVERM!J268/SUM(HAVERM!J259:J270)</f>
        <v>7.5343625116490745E-2</v>
      </c>
      <c r="X144" s="12">
        <f t="shared" si="7"/>
        <v>8.3333333333333329E-2</v>
      </c>
      <c r="Y144" s="12">
        <f t="shared" si="8"/>
        <v>-7.9897082168425837E-3</v>
      </c>
    </row>
    <row r="145" spans="22:25" x14ac:dyDescent="0.25">
      <c r="V145" s="7">
        <v>44501</v>
      </c>
      <c r="W145" s="11">
        <f>HAVERM!J269/SUM(HAVERM!J259:J270)</f>
        <v>7.8646718284739556E-2</v>
      </c>
      <c r="X145" s="12">
        <f t="shared" si="7"/>
        <v>8.3333333333333329E-2</v>
      </c>
      <c r="Y145" s="12">
        <f t="shared" si="8"/>
        <v>-4.686615048593773E-3</v>
      </c>
    </row>
    <row r="146" spans="22:25" x14ac:dyDescent="0.25">
      <c r="V146" s="7">
        <v>44531</v>
      </c>
      <c r="W146" s="11">
        <f>HAVERM!J270/SUM(HAVERM!J259:J270)</f>
        <v>0.10960426449917959</v>
      </c>
      <c r="X146" s="12">
        <f t="shared" si="7"/>
        <v>8.3333333333333329E-2</v>
      </c>
      <c r="Y146" s="12">
        <f t="shared" si="8"/>
        <v>2.6270931165846265E-2</v>
      </c>
    </row>
    <row r="147" spans="22:25" x14ac:dyDescent="0.25">
      <c r="V147" s="7">
        <v>44562</v>
      </c>
      <c r="W147" s="11">
        <f>HAVERM!J271/SUM(HAVERM!J271:J282)</f>
        <v>6.7880829876911297E-2</v>
      </c>
      <c r="X147" s="12">
        <f t="shared" si="7"/>
        <v>8.3333333333333329E-2</v>
      </c>
      <c r="Y147" s="12">
        <f t="shared" si="8"/>
        <v>-1.5452503456422031E-2</v>
      </c>
    </row>
    <row r="148" spans="22:25" x14ac:dyDescent="0.25">
      <c r="V148" s="7">
        <v>44593</v>
      </c>
      <c r="W148" s="11">
        <f>HAVERM!J272/SUM(HAVERM!J271:J282)</f>
        <v>7.0962844603235681E-2</v>
      </c>
      <c r="X148" s="12">
        <f t="shared" si="7"/>
        <v>8.3333333333333329E-2</v>
      </c>
      <c r="Y148" s="12">
        <f t="shared" si="8"/>
        <v>-1.2370488730097648E-2</v>
      </c>
    </row>
    <row r="149" spans="22:25" x14ac:dyDescent="0.25">
      <c r="V149" s="7">
        <v>44621</v>
      </c>
      <c r="W149" s="11">
        <f>HAVERM!J273/SUM(HAVERM!J271:J282)</f>
        <v>9.1230471884403003E-2</v>
      </c>
      <c r="X149" s="12">
        <f t="shared" si="7"/>
        <v>8.3333333333333329E-2</v>
      </c>
      <c r="Y149" s="12">
        <f t="shared" si="8"/>
        <v>7.897138551069674E-3</v>
      </c>
    </row>
    <row r="150" spans="22:25" x14ac:dyDescent="0.25">
      <c r="V150" s="7">
        <v>44652</v>
      </c>
      <c r="W150" s="11">
        <f>HAVERM!J274/SUM(HAVERM!J271:J282)</f>
        <v>7.5436727045595828E-2</v>
      </c>
      <c r="X150" s="12">
        <f t="shared" si="7"/>
        <v>8.3333333333333329E-2</v>
      </c>
      <c r="Y150" s="12">
        <f t="shared" si="8"/>
        <v>-7.896606287737501E-3</v>
      </c>
    </row>
    <row r="151" spans="22:25" x14ac:dyDescent="0.25">
      <c r="V151" s="7">
        <v>44682</v>
      </c>
      <c r="W151" s="11">
        <f>HAVERM!J275/SUM(HAVERM!J271:J282)</f>
        <v>7.4747199196687E-2</v>
      </c>
      <c r="X151" s="12">
        <f t="shared" si="7"/>
        <v>8.3333333333333329E-2</v>
      </c>
      <c r="Y151" s="12">
        <f t="shared" si="8"/>
        <v>-8.5861341366463284E-3</v>
      </c>
    </row>
    <row r="152" spans="22:25" x14ac:dyDescent="0.25">
      <c r="V152" s="7">
        <v>44713</v>
      </c>
      <c r="W152" s="11">
        <f>HAVERM!J276/SUM(HAVERM!J271:J282)</f>
        <v>9.6397334257924114E-2</v>
      </c>
      <c r="X152" s="12">
        <f t="shared" si="7"/>
        <v>8.3333333333333329E-2</v>
      </c>
      <c r="Y152" s="12">
        <f t="shared" si="8"/>
        <v>1.3064000924590785E-2</v>
      </c>
    </row>
    <row r="153" spans="22:25" x14ac:dyDescent="0.25">
      <c r="V153" s="7">
        <v>44743</v>
      </c>
      <c r="W153" s="11">
        <f>HAVERM!J277/SUM(HAVERM!J271:J282)</f>
        <v>7.8914998807846817E-2</v>
      </c>
      <c r="X153" s="12">
        <f t="shared" si="7"/>
        <v>8.3333333333333329E-2</v>
      </c>
      <c r="Y153" s="12">
        <f t="shared" si="8"/>
        <v>-4.4183345254865114E-3</v>
      </c>
    </row>
    <row r="154" spans="22:25" x14ac:dyDescent="0.25">
      <c r="V154" s="7">
        <v>44774</v>
      </c>
      <c r="W154" s="11">
        <f>HAVERM!J278/SUM(HAVERM!J271:J282)</f>
        <v>7.692218873582761E-2</v>
      </c>
      <c r="X154" s="12">
        <f t="shared" si="7"/>
        <v>8.3333333333333329E-2</v>
      </c>
      <c r="Y154" s="12">
        <f t="shared" si="8"/>
        <v>-6.4111445975057191E-3</v>
      </c>
    </row>
    <row r="155" spans="22:25" x14ac:dyDescent="0.25">
      <c r="V155" s="7">
        <v>44805</v>
      </c>
      <c r="W155" s="11">
        <f>HAVERM!J279/SUM(HAVERM!J271:J282)</f>
        <v>9.3714727063809469E-2</v>
      </c>
      <c r="X155" s="12">
        <f t="shared" si="7"/>
        <v>8.3333333333333329E-2</v>
      </c>
      <c r="Y155" s="12">
        <f t="shared" si="8"/>
        <v>1.0381393730476141E-2</v>
      </c>
    </row>
    <row r="156" spans="22:25" x14ac:dyDescent="0.25">
      <c r="V156" s="7">
        <v>44835</v>
      </c>
      <c r="W156" s="11">
        <f>HAVERM!J280/SUM(HAVERM!J271:J282)</f>
        <v>7.7703506428582286E-2</v>
      </c>
      <c r="X156" s="12">
        <f t="shared" si="7"/>
        <v>8.3333333333333329E-2</v>
      </c>
      <c r="Y156" s="12">
        <f t="shared" si="8"/>
        <v>-5.6298269047510424E-3</v>
      </c>
    </row>
    <row r="157" spans="22:25" x14ac:dyDescent="0.25">
      <c r="V157" s="7">
        <v>44866</v>
      </c>
      <c r="W157" s="11">
        <f>HAVERM!J281/SUM(HAVERM!J271:J282)</f>
        <v>8.1828378508335436E-2</v>
      </c>
      <c r="X157" s="12">
        <f t="shared" si="7"/>
        <v>8.3333333333333329E-2</v>
      </c>
      <c r="Y157" s="12">
        <f t="shared" si="8"/>
        <v>-1.5049548249978922E-3</v>
      </c>
    </row>
    <row r="158" spans="22:25" x14ac:dyDescent="0.25">
      <c r="V158" s="7">
        <v>44896</v>
      </c>
      <c r="W158" s="11">
        <f>HAVERM!J282/SUM(HAVERM!J271:J282)</f>
        <v>0.11426079359084147</v>
      </c>
      <c r="X158" s="12">
        <f t="shared" si="7"/>
        <v>8.3333333333333329E-2</v>
      </c>
      <c r="Y158" s="12">
        <f t="shared" si="8"/>
        <v>3.0927460257508144E-2</v>
      </c>
    </row>
    <row r="159" spans="22:25" x14ac:dyDescent="0.25">
      <c r="V159" s="7">
        <v>44927</v>
      </c>
      <c r="W159" s="11">
        <f>HAVERM!J283/SUM(HAVERM!J283:J294)</f>
        <v>6.8043692700810204E-2</v>
      </c>
      <c r="X159" s="12">
        <f t="shared" si="7"/>
        <v>8.3333333333333329E-2</v>
      </c>
      <c r="Y159" s="12">
        <f t="shared" si="8"/>
        <v>-1.5289640632523124E-2</v>
      </c>
    </row>
    <row r="160" spans="22:25" x14ac:dyDescent="0.25">
      <c r="V160" s="7">
        <v>44958</v>
      </c>
      <c r="W160" s="11">
        <f>HAVERM!J284/SUM(HAVERM!J283:J294)</f>
        <v>7.2754269405558777E-2</v>
      </c>
      <c r="X160" s="12">
        <f t="shared" si="7"/>
        <v>8.3333333333333329E-2</v>
      </c>
      <c r="Y160" s="12">
        <f t="shared" si="8"/>
        <v>-1.0579063927774551E-2</v>
      </c>
    </row>
    <row r="161" spans="22:25" x14ac:dyDescent="0.25">
      <c r="V161" s="7">
        <v>44986</v>
      </c>
      <c r="W161" s="11">
        <f>HAVERM!J285/SUM(HAVERM!J283:J294)</f>
        <v>9.3472714885388011E-2</v>
      </c>
      <c r="X161" s="12">
        <f t="shared" si="7"/>
        <v>8.3333333333333329E-2</v>
      </c>
      <c r="Y161" s="12">
        <f t="shared" si="8"/>
        <v>1.0139381552054683E-2</v>
      </c>
    </row>
    <row r="162" spans="22:25" x14ac:dyDescent="0.25">
      <c r="V162" s="7">
        <v>45017</v>
      </c>
      <c r="W162" s="11">
        <f>HAVERM!J286/SUM(HAVERM!J283:J294)</f>
        <v>7.6659221026918009E-2</v>
      </c>
      <c r="X162" s="12">
        <f t="shared" si="7"/>
        <v>8.3333333333333329E-2</v>
      </c>
      <c r="Y162" s="12">
        <f t="shared" si="8"/>
        <v>-6.6741123064153196E-3</v>
      </c>
    </row>
    <row r="163" spans="22:25" x14ac:dyDescent="0.25">
      <c r="V163" s="7">
        <v>45047</v>
      </c>
      <c r="W163" s="11">
        <f>HAVERM!J287/SUM(HAVERM!J283:J294)</f>
        <v>7.790970854535309E-2</v>
      </c>
      <c r="X163" s="12">
        <f t="shared" si="7"/>
        <v>8.3333333333333329E-2</v>
      </c>
      <c r="Y163" s="12">
        <f t="shared" si="8"/>
        <v>-5.4236247879802385E-3</v>
      </c>
    </row>
    <row r="164" spans="22:25" x14ac:dyDescent="0.25">
      <c r="V164" s="7">
        <v>45078</v>
      </c>
      <c r="W164" s="11">
        <f>HAVERM!J288/SUM(HAVERM!J283:J294)</f>
        <v>9.7749473213800619E-2</v>
      </c>
      <c r="X164" s="12">
        <f t="shared" si="7"/>
        <v>8.3333333333333329E-2</v>
      </c>
      <c r="Y164" s="12">
        <f t="shared" si="8"/>
        <v>1.4416139880467291E-2</v>
      </c>
    </row>
    <row r="165" spans="22:25" x14ac:dyDescent="0.25">
      <c r="V165" s="7">
        <v>45108</v>
      </c>
      <c r="W165" s="11">
        <f>HAVERM!J289/SUM(HAVERM!J283:J294)</f>
        <v>7.667858663233891E-2</v>
      </c>
      <c r="X165" s="12">
        <f t="shared" si="7"/>
        <v>8.3333333333333329E-2</v>
      </c>
      <c r="Y165" s="12">
        <f t="shared" si="8"/>
        <v>-6.6547467009944183E-3</v>
      </c>
    </row>
    <row r="166" spans="22:25" x14ac:dyDescent="0.25">
      <c r="V166" s="7">
        <v>45139</v>
      </c>
      <c r="W166" s="11">
        <f>HAVERM!J290/SUM(HAVERM!J283:J294)</f>
        <v>7.6078670183648736E-2</v>
      </c>
      <c r="X166" s="12">
        <f t="shared" si="7"/>
        <v>8.3333333333333329E-2</v>
      </c>
      <c r="Y166" s="12">
        <f t="shared" si="8"/>
        <v>-7.2546631496845926E-3</v>
      </c>
    </row>
    <row r="167" spans="22:25" x14ac:dyDescent="0.25">
      <c r="V167" s="7">
        <v>45170</v>
      </c>
      <c r="W167" s="11">
        <f>HAVERM!J291/SUM(HAVERM!J283:J294)</f>
        <v>9.423423328716457E-2</v>
      </c>
      <c r="X167" s="12">
        <f t="shared" si="7"/>
        <v>8.3333333333333329E-2</v>
      </c>
      <c r="Y167" s="12">
        <f t="shared" si="8"/>
        <v>1.0900899953831242E-2</v>
      </c>
    </row>
    <row r="168" spans="22:25" x14ac:dyDescent="0.25">
      <c r="V168" s="7">
        <v>45200</v>
      </c>
      <c r="W168" s="11">
        <f>HAVERM!J292/SUM(HAVERM!J283:J294)</f>
        <v>7.7331949767308686E-2</v>
      </c>
      <c r="X168" s="12">
        <f t="shared" si="7"/>
        <v>8.3333333333333329E-2</v>
      </c>
      <c r="Y168" s="12">
        <f t="shared" si="8"/>
        <v>-6.0013835660246428E-3</v>
      </c>
    </row>
    <row r="169" spans="22:25" x14ac:dyDescent="0.25">
      <c r="V169" s="7">
        <v>45231</v>
      </c>
      <c r="W169" s="11">
        <f>HAVERM!J293/SUM(HAVERM!J283:J294)</f>
        <v>8.0714934234245014E-2</v>
      </c>
      <c r="X169" s="12">
        <f t="shared" si="7"/>
        <v>8.3333333333333329E-2</v>
      </c>
      <c r="Y169" s="12">
        <f t="shared" si="8"/>
        <v>-2.6183990990883144E-3</v>
      </c>
    </row>
    <row r="170" spans="22:25" x14ac:dyDescent="0.25">
      <c r="V170" s="7">
        <v>45261</v>
      </c>
      <c r="W170" s="11">
        <f>HAVERM!J294/SUM(HAVERM!J283:J294)</f>
        <v>0.10837254611746538</v>
      </c>
      <c r="X170" s="12">
        <f t="shared" si="7"/>
        <v>8.3333333333333329E-2</v>
      </c>
      <c r="Y170" s="12">
        <f t="shared" si="8"/>
        <v>2.5039212784132056E-2</v>
      </c>
    </row>
    <row r="171" spans="22:25" x14ac:dyDescent="0.25">
      <c r="V171" s="7">
        <v>45292</v>
      </c>
      <c r="W171" s="11">
        <f>HAVERM!J295/SUM(HAVERM!J295:J306)</f>
        <v>7.1544183307780077E-2</v>
      </c>
      <c r="X171" s="12">
        <f>1/12</f>
        <v>8.3333333333333329E-2</v>
      </c>
      <c r="Y171" s="12">
        <f>W171-X171</f>
        <v>-1.1789150025553252E-2</v>
      </c>
    </row>
    <row r="172" spans="22:25" x14ac:dyDescent="0.25">
      <c r="V172" s="7">
        <v>45323</v>
      </c>
      <c r="W172" s="11">
        <f>HAVERM!J296/SUM(HAVERM!J295:J306)</f>
        <v>7.5211158857765636E-2</v>
      </c>
      <c r="X172" s="12">
        <f t="shared" ref="X172:X182" si="9">1/12</f>
        <v>8.3333333333333329E-2</v>
      </c>
      <c r="Y172" s="12">
        <f t="shared" ref="Y172:Y182" si="10">W172-X172</f>
        <v>-8.1221744755676922E-3</v>
      </c>
    </row>
    <row r="173" spans="22:25" x14ac:dyDescent="0.25">
      <c r="V173" s="7">
        <v>45352</v>
      </c>
      <c r="W173" s="11">
        <f>HAVERM!J297/SUM(HAVERM!J295:J306)</f>
        <v>9.7253389448120592E-2</v>
      </c>
      <c r="X173" s="12">
        <f t="shared" si="9"/>
        <v>8.3333333333333329E-2</v>
      </c>
      <c r="Y173" s="12">
        <f t="shared" si="10"/>
        <v>1.3920056114787263E-2</v>
      </c>
    </row>
    <row r="174" spans="22:25" x14ac:dyDescent="0.25">
      <c r="V174" s="7">
        <v>45383</v>
      </c>
      <c r="W174" s="11">
        <f>HAVERM!J298/SUM(HAVERM!J295:J306)</f>
        <v>7.3808033249940744E-2</v>
      </c>
      <c r="X174" s="12">
        <f t="shared" si="9"/>
        <v>8.3333333333333329E-2</v>
      </c>
      <c r="Y174" s="12">
        <f t="shared" si="10"/>
        <v>-9.5253000833925849E-3</v>
      </c>
    </row>
    <row r="175" spans="22:25" x14ac:dyDescent="0.25">
      <c r="V175" s="7">
        <v>45413</v>
      </c>
      <c r="W175" s="11">
        <f>HAVERM!J299/SUM(HAVERM!J295:J306)</f>
        <v>7.8147666700527682E-2</v>
      </c>
      <c r="X175" s="12">
        <f t="shared" si="9"/>
        <v>8.3333333333333329E-2</v>
      </c>
      <c r="Y175" s="12">
        <f t="shared" si="10"/>
        <v>-5.1856666328056467E-3</v>
      </c>
    </row>
    <row r="176" spans="22:25" x14ac:dyDescent="0.25">
      <c r="V176" s="7">
        <v>45444</v>
      </c>
      <c r="W176" s="11">
        <f>HAVERM!J300/SUM(HAVERM!J295:J306)</f>
        <v>9.5590749682848294E-2</v>
      </c>
      <c r="X176" s="12">
        <f t="shared" si="9"/>
        <v>8.3333333333333329E-2</v>
      </c>
      <c r="Y176" s="12">
        <f t="shared" si="10"/>
        <v>1.2257416349514966E-2</v>
      </c>
    </row>
    <row r="177" spans="22:25" x14ac:dyDescent="0.25">
      <c r="V177" s="7">
        <v>45474</v>
      </c>
      <c r="W177" s="11">
        <f>HAVERM!J301/SUM(HAVERM!J295:J306)</f>
        <v>7.7684469685336682E-2</v>
      </c>
      <c r="X177" s="12">
        <f t="shared" si="9"/>
        <v>8.3333333333333329E-2</v>
      </c>
      <c r="Y177" s="12">
        <f t="shared" si="10"/>
        <v>-5.6488636479966464E-3</v>
      </c>
    </row>
    <row r="178" spans="22:25" x14ac:dyDescent="0.25">
      <c r="V178" s="7">
        <v>45505</v>
      </c>
      <c r="W178" s="11">
        <f>HAVERM!J302/SUM(HAVERM!J295:J306)</f>
        <v>7.6753055562773995E-2</v>
      </c>
      <c r="X178" s="12">
        <f t="shared" si="9"/>
        <v>8.3333333333333329E-2</v>
      </c>
      <c r="Y178" s="12">
        <f t="shared" si="10"/>
        <v>-6.580277770559334E-3</v>
      </c>
    </row>
    <row r="179" spans="22:25" x14ac:dyDescent="0.25">
      <c r="V179" s="7">
        <v>45536</v>
      </c>
      <c r="W179" s="11">
        <f>HAVERM!J303/SUM(HAVERM!J295:J306)</f>
        <v>9.2607033286951621E-2</v>
      </c>
      <c r="X179" s="12">
        <f t="shared" si="9"/>
        <v>8.3333333333333329E-2</v>
      </c>
      <c r="Y179" s="12">
        <f t="shared" si="10"/>
        <v>9.2736999536182918E-3</v>
      </c>
    </row>
    <row r="180" spans="22:25" x14ac:dyDescent="0.25">
      <c r="V180" s="7">
        <v>45566</v>
      </c>
      <c r="W180" s="11">
        <f>HAVERM!J304/SUM(HAVERM!J295:J306)</f>
        <v>7.5322531079292251E-2</v>
      </c>
      <c r="X180" s="12">
        <f t="shared" si="9"/>
        <v>8.3333333333333329E-2</v>
      </c>
      <c r="Y180" s="12">
        <f t="shared" si="10"/>
        <v>-8.0108022540410773E-3</v>
      </c>
    </row>
    <row r="181" spans="22:25" x14ac:dyDescent="0.25">
      <c r="V181" s="7">
        <v>45597</v>
      </c>
      <c r="W181" s="11">
        <f>HAVERM!J305/SUM(HAVERM!J295:J306)</f>
        <v>7.8017346091848391E-2</v>
      </c>
      <c r="X181" s="12">
        <f t="shared" si="9"/>
        <v>8.3333333333333329E-2</v>
      </c>
      <c r="Y181" s="12">
        <f t="shared" si="10"/>
        <v>-5.3159872414849374E-3</v>
      </c>
    </row>
    <row r="182" spans="22:25" x14ac:dyDescent="0.25">
      <c r="V182" s="7">
        <v>45627</v>
      </c>
      <c r="W182" s="11">
        <f>HAVERM!J306/SUM(HAVERM!J295:J306)</f>
        <v>0.10806038304681403</v>
      </c>
      <c r="X182" s="12">
        <f t="shared" si="9"/>
        <v>8.3333333333333329E-2</v>
      </c>
      <c r="Y182" s="12">
        <f t="shared" si="10"/>
        <v>2.4727049713480706E-2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61DA-5723-4D06-BFD0-25DF23C869E6}">
  <dimension ref="A1:U308"/>
  <sheetViews>
    <sheetView workbookViewId="0">
      <pane xSplit="2" ySplit="6" topLeftCell="G297" activePane="bottomRight" state="frozen"/>
      <selection pane="topRight" activeCell="B1" sqref="B1"/>
      <selection pane="bottomLeft" activeCell="A7" sqref="A7"/>
      <selection pane="bottomRight" activeCell="L307" sqref="L307"/>
    </sheetView>
  </sheetViews>
  <sheetFormatPr defaultRowHeight="15" x14ac:dyDescent="0.25"/>
  <cols>
    <col min="1" max="1" width="10.42578125" bestFit="1" customWidth="1"/>
    <col min="3" max="21" width="16.7109375" customWidth="1"/>
  </cols>
  <sheetData>
    <row r="1" spans="1:21" x14ac:dyDescent="0.25">
      <c r="B1" s="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9" t="s">
        <v>348</v>
      </c>
      <c r="J1" s="9" t="s">
        <v>352</v>
      </c>
      <c r="K1" s="9" t="s">
        <v>361</v>
      </c>
      <c r="L1" s="9" t="s">
        <v>362</v>
      </c>
      <c r="M1" s="9" t="s">
        <v>363</v>
      </c>
      <c r="N1" s="9" t="s">
        <v>370</v>
      </c>
      <c r="O1" s="9" t="s">
        <v>371</v>
      </c>
      <c r="P1" s="9" t="s">
        <v>372</v>
      </c>
      <c r="Q1" s="9" t="s">
        <v>373</v>
      </c>
      <c r="R1" s="9" t="s">
        <v>368</v>
      </c>
      <c r="S1" s="9" t="s">
        <v>369</v>
      </c>
      <c r="T1" s="9"/>
      <c r="U1" s="9"/>
    </row>
    <row r="2" spans="1:21" s="3" customFormat="1" ht="90" x14ac:dyDescent="0.25">
      <c r="B2" s="3" t="s">
        <v>12</v>
      </c>
      <c r="C2" s="3" t="s">
        <v>17</v>
      </c>
      <c r="D2" s="3" t="s">
        <v>20</v>
      </c>
      <c r="E2" s="3" t="s">
        <v>22</v>
      </c>
      <c r="F2" s="3" t="s">
        <v>23</v>
      </c>
      <c r="G2" s="3" t="s">
        <v>24</v>
      </c>
      <c r="H2" s="3" t="s">
        <v>26</v>
      </c>
      <c r="I2" s="3" t="s">
        <v>351</v>
      </c>
      <c r="J2" s="3" t="s">
        <v>354</v>
      </c>
      <c r="K2" s="3" t="s">
        <v>366</v>
      </c>
      <c r="L2" s="3" t="s">
        <v>367</v>
      </c>
      <c r="M2" s="3" t="s">
        <v>374</v>
      </c>
      <c r="N2" s="3" t="s">
        <v>376</v>
      </c>
      <c r="O2" s="3" t="s">
        <v>378</v>
      </c>
      <c r="P2" s="3" t="s">
        <v>382</v>
      </c>
      <c r="Q2" s="3" t="s">
        <v>383</v>
      </c>
      <c r="R2" s="3" t="s">
        <v>387</v>
      </c>
      <c r="S2" s="3" t="s">
        <v>389</v>
      </c>
    </row>
    <row r="3" spans="1:21" x14ac:dyDescent="0.25">
      <c r="B3" t="s">
        <v>11</v>
      </c>
      <c r="C3" t="s">
        <v>16</v>
      </c>
      <c r="D3" t="s">
        <v>19</v>
      </c>
      <c r="E3" t="s">
        <v>21</v>
      </c>
      <c r="F3" t="s">
        <v>21</v>
      </c>
      <c r="G3" t="s">
        <v>21</v>
      </c>
      <c r="H3" t="s">
        <v>25</v>
      </c>
      <c r="I3" t="s">
        <v>350</v>
      </c>
      <c r="J3" t="s">
        <v>353</v>
      </c>
      <c r="K3" t="s">
        <v>365</v>
      </c>
      <c r="L3" t="s">
        <v>365</v>
      </c>
      <c r="M3" t="s">
        <v>365</v>
      </c>
      <c r="N3" t="s">
        <v>375</v>
      </c>
      <c r="O3" t="s">
        <v>375</v>
      </c>
      <c r="P3" t="s">
        <v>381</v>
      </c>
      <c r="Q3" t="s">
        <v>381</v>
      </c>
      <c r="R3" t="s">
        <v>386</v>
      </c>
      <c r="S3" t="s">
        <v>388</v>
      </c>
    </row>
    <row r="4" spans="1:21" x14ac:dyDescent="0.25">
      <c r="B4" t="s">
        <v>10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377</v>
      </c>
      <c r="P4" t="s">
        <v>377</v>
      </c>
      <c r="Q4" t="s">
        <v>377</v>
      </c>
      <c r="R4" t="s">
        <v>377</v>
      </c>
      <c r="S4" t="s">
        <v>377</v>
      </c>
    </row>
    <row r="5" spans="1:21" x14ac:dyDescent="0.25">
      <c r="B5" t="s">
        <v>9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380</v>
      </c>
      <c r="Q5" t="s">
        <v>380</v>
      </c>
      <c r="R5" t="s">
        <v>385</v>
      </c>
      <c r="S5" t="s">
        <v>385</v>
      </c>
    </row>
    <row r="6" spans="1:21" x14ac:dyDescent="0.25">
      <c r="B6" t="s">
        <v>8</v>
      </c>
      <c r="C6" t="s">
        <v>13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349</v>
      </c>
      <c r="J6" t="s">
        <v>349</v>
      </c>
      <c r="K6" t="s">
        <v>364</v>
      </c>
      <c r="L6" t="s">
        <v>364</v>
      </c>
      <c r="M6" t="s">
        <v>364</v>
      </c>
      <c r="N6" t="s">
        <v>364</v>
      </c>
      <c r="O6" t="s">
        <v>364</v>
      </c>
      <c r="P6" t="s">
        <v>379</v>
      </c>
      <c r="Q6" t="s">
        <v>379</v>
      </c>
      <c r="R6" t="s">
        <v>384</v>
      </c>
      <c r="S6" t="s">
        <v>384</v>
      </c>
    </row>
    <row r="7" spans="1:21" x14ac:dyDescent="0.25">
      <c r="A7" s="7">
        <v>36526</v>
      </c>
      <c r="B7" t="s">
        <v>7</v>
      </c>
      <c r="C7" s="2">
        <v>69.900000000000006</v>
      </c>
      <c r="D7" s="2">
        <v>2</v>
      </c>
      <c r="E7" s="2">
        <v>79.5</v>
      </c>
      <c r="F7" s="2">
        <v>63.5</v>
      </c>
      <c r="G7" s="2">
        <v>25.3</v>
      </c>
      <c r="H7" s="2">
        <v>89</v>
      </c>
      <c r="I7" s="8">
        <v>6950432</v>
      </c>
      <c r="J7" s="8">
        <v>6494866</v>
      </c>
      <c r="K7" s="8">
        <v>305</v>
      </c>
      <c r="L7" s="8">
        <v>293</v>
      </c>
      <c r="M7" s="8">
        <v>289</v>
      </c>
      <c r="N7" s="8" t="e">
        <v>#N/A</v>
      </c>
      <c r="O7" s="8" t="e">
        <v>#N/A</v>
      </c>
      <c r="P7" s="2" t="e">
        <v>#N/A</v>
      </c>
      <c r="Q7" s="12" t="e">
        <v>#N/A</v>
      </c>
      <c r="R7" s="13" t="e">
        <v>#N/A</v>
      </c>
      <c r="S7" s="13" t="e">
        <v>#N/A</v>
      </c>
      <c r="T7" s="8"/>
      <c r="U7" s="8"/>
    </row>
    <row r="8" spans="1:21" x14ac:dyDescent="0.25">
      <c r="A8" s="7">
        <v>36557</v>
      </c>
      <c r="B8" t="s">
        <v>27</v>
      </c>
      <c r="C8" s="2">
        <v>69.7</v>
      </c>
      <c r="D8" s="2">
        <v>-1.9</v>
      </c>
      <c r="E8" s="2">
        <v>78.599999999999994</v>
      </c>
      <c r="F8" s="2">
        <v>61.4</v>
      </c>
      <c r="G8" s="2">
        <v>25.9</v>
      </c>
      <c r="H8" s="2">
        <v>89.2</v>
      </c>
      <c r="I8" s="8">
        <v>6896586</v>
      </c>
      <c r="J8" s="8">
        <v>6657275</v>
      </c>
      <c r="K8" s="8">
        <v>300</v>
      </c>
      <c r="L8" s="8">
        <v>293</v>
      </c>
      <c r="M8" s="8">
        <v>289</v>
      </c>
      <c r="N8" s="8" t="e">
        <v>#N/A</v>
      </c>
      <c r="O8" s="8" t="e">
        <v>#N/A</v>
      </c>
      <c r="P8" s="2" t="e">
        <v>#N/A</v>
      </c>
      <c r="Q8" s="12" t="e">
        <v>#N/A</v>
      </c>
      <c r="R8" s="13" t="e">
        <v>#N/A</v>
      </c>
      <c r="S8" s="13" t="e">
        <v>#N/A</v>
      </c>
      <c r="T8" s="8"/>
      <c r="U8" s="8"/>
    </row>
    <row r="9" spans="1:21" x14ac:dyDescent="0.25">
      <c r="A9" s="7">
        <v>36586</v>
      </c>
      <c r="B9" t="s">
        <v>28</v>
      </c>
      <c r="C9" s="2">
        <v>69.5</v>
      </c>
      <c r="D9" s="2">
        <v>0.4</v>
      </c>
      <c r="E9" s="2">
        <v>78.900000000000006</v>
      </c>
      <c r="F9" s="2">
        <v>62.3</v>
      </c>
      <c r="G9" s="2">
        <v>25.7</v>
      </c>
      <c r="H9" s="2">
        <v>84.7</v>
      </c>
      <c r="I9" s="8">
        <v>8596415</v>
      </c>
      <c r="J9" s="8">
        <v>8422866</v>
      </c>
      <c r="K9" s="8">
        <v>311</v>
      </c>
      <c r="L9" s="8">
        <v>293</v>
      </c>
      <c r="M9" s="8">
        <v>289</v>
      </c>
      <c r="N9" s="8" t="e">
        <v>#N/A</v>
      </c>
      <c r="O9" s="8" t="e">
        <v>#N/A</v>
      </c>
      <c r="P9" s="2" t="e">
        <v>#N/A</v>
      </c>
      <c r="Q9" s="12" t="e">
        <v>#N/A</v>
      </c>
      <c r="R9" s="13" t="e">
        <v>#N/A</v>
      </c>
      <c r="S9" s="13" t="e">
        <v>#N/A</v>
      </c>
      <c r="T9" s="8"/>
      <c r="U9" s="8"/>
    </row>
    <row r="10" spans="1:21" x14ac:dyDescent="0.25">
      <c r="A10" s="7">
        <v>36617</v>
      </c>
      <c r="B10" t="s">
        <v>29</v>
      </c>
      <c r="C10" s="2">
        <v>69.900000000000006</v>
      </c>
      <c r="D10" s="2">
        <v>1.8</v>
      </c>
      <c r="E10" s="2">
        <v>80.099999999999994</v>
      </c>
      <c r="F10" s="2">
        <v>61.4</v>
      </c>
      <c r="G10" s="2">
        <v>25.2</v>
      </c>
      <c r="H10" s="2">
        <v>105.6</v>
      </c>
      <c r="I10" s="8">
        <v>6985467</v>
      </c>
      <c r="J10" s="8">
        <v>7028461</v>
      </c>
      <c r="K10" s="8">
        <v>309</v>
      </c>
      <c r="L10" s="8">
        <v>293</v>
      </c>
      <c r="M10" s="8">
        <v>289</v>
      </c>
      <c r="N10" s="8" t="e">
        <v>#N/A</v>
      </c>
      <c r="O10" s="8" t="e">
        <v>#N/A</v>
      </c>
      <c r="P10" s="2" t="e">
        <v>#N/A</v>
      </c>
      <c r="Q10" s="12" t="e">
        <v>#N/A</v>
      </c>
      <c r="R10" s="13" t="e">
        <v>#N/A</v>
      </c>
      <c r="S10" s="13" t="e">
        <v>#N/A</v>
      </c>
      <c r="T10" s="8"/>
      <c r="U10" s="8"/>
    </row>
    <row r="11" spans="1:21" x14ac:dyDescent="0.25">
      <c r="A11" s="7">
        <v>36647</v>
      </c>
      <c r="B11" t="s">
        <v>30</v>
      </c>
      <c r="C11" s="2">
        <v>70.400000000000006</v>
      </c>
      <c r="D11" s="2">
        <v>-1.4</v>
      </c>
      <c r="E11" s="2">
        <v>78</v>
      </c>
      <c r="F11" s="2">
        <v>62.3</v>
      </c>
      <c r="G11" s="2">
        <v>26</v>
      </c>
      <c r="H11" s="2">
        <v>93.1</v>
      </c>
      <c r="I11" s="8">
        <v>6830203</v>
      </c>
      <c r="J11" s="8">
        <v>6848854</v>
      </c>
      <c r="K11" s="8">
        <v>311</v>
      </c>
      <c r="L11" s="8">
        <v>294</v>
      </c>
      <c r="M11" s="8">
        <v>291</v>
      </c>
      <c r="N11" s="8" t="e">
        <v>#N/A</v>
      </c>
      <c r="O11" s="8" t="e">
        <v>#N/A</v>
      </c>
      <c r="P11" s="2" t="e">
        <v>#N/A</v>
      </c>
      <c r="Q11" s="12" t="e">
        <v>#N/A</v>
      </c>
      <c r="R11" s="13" t="e">
        <v>#N/A</v>
      </c>
      <c r="S11" s="13" t="e">
        <v>#N/A</v>
      </c>
      <c r="T11" s="8"/>
      <c r="U11" s="8"/>
    </row>
    <row r="12" spans="1:21" x14ac:dyDescent="0.25">
      <c r="A12" s="7">
        <v>36678</v>
      </c>
      <c r="B12" t="s">
        <v>31</v>
      </c>
      <c r="C12" s="2">
        <v>70.599999999999994</v>
      </c>
      <c r="D12" s="2">
        <v>0</v>
      </c>
      <c r="E12" s="2">
        <v>78.599999999999994</v>
      </c>
      <c r="F12" s="2">
        <v>62.6</v>
      </c>
      <c r="G12" s="2">
        <v>25</v>
      </c>
      <c r="H12" s="2">
        <v>89.5</v>
      </c>
      <c r="I12" s="8">
        <v>8634738</v>
      </c>
      <c r="J12" s="8">
        <v>8602626</v>
      </c>
      <c r="K12" s="8">
        <v>311</v>
      </c>
      <c r="L12" s="8">
        <v>295</v>
      </c>
      <c r="M12" s="8">
        <v>291</v>
      </c>
      <c r="N12" s="8" t="e">
        <v>#N/A</v>
      </c>
      <c r="O12" s="8" t="e">
        <v>#N/A</v>
      </c>
      <c r="P12" s="2" t="e">
        <v>#N/A</v>
      </c>
      <c r="Q12" s="12" t="e">
        <v>#N/A</v>
      </c>
      <c r="R12" s="13" t="e">
        <v>#N/A</v>
      </c>
      <c r="S12" s="13" t="e">
        <v>#N/A</v>
      </c>
      <c r="T12" s="8"/>
      <c r="U12" s="8"/>
    </row>
    <row r="13" spans="1:21" x14ac:dyDescent="0.25">
      <c r="A13" s="7">
        <v>36708</v>
      </c>
      <c r="B13" t="s">
        <v>32</v>
      </c>
      <c r="C13" s="2">
        <v>70.400000000000006</v>
      </c>
      <c r="D13" s="2">
        <v>-0.4</v>
      </c>
      <c r="E13" s="2">
        <v>78.099999999999994</v>
      </c>
      <c r="F13" s="2">
        <v>63.3</v>
      </c>
      <c r="G13" s="2">
        <v>25.1</v>
      </c>
      <c r="H13" s="2">
        <v>83.1</v>
      </c>
      <c r="I13" s="8">
        <v>6934980</v>
      </c>
      <c r="J13" s="8">
        <v>6904056</v>
      </c>
      <c r="K13" s="8">
        <v>313</v>
      </c>
      <c r="L13" s="8">
        <v>296</v>
      </c>
      <c r="M13" s="8">
        <v>292</v>
      </c>
      <c r="N13" s="8" t="e">
        <v>#N/A</v>
      </c>
      <c r="O13" s="8" t="e">
        <v>#N/A</v>
      </c>
      <c r="P13" s="2" t="e">
        <v>#N/A</v>
      </c>
      <c r="Q13" s="12" t="e">
        <v>#N/A</v>
      </c>
      <c r="R13" s="13" t="e">
        <v>#N/A</v>
      </c>
      <c r="S13" s="13" t="e">
        <v>#N/A</v>
      </c>
      <c r="T13" s="8"/>
      <c r="U13" s="8"/>
    </row>
    <row r="14" spans="1:21" x14ac:dyDescent="0.25">
      <c r="A14" s="7">
        <v>36739</v>
      </c>
      <c r="B14" t="s">
        <v>33</v>
      </c>
      <c r="C14" s="2">
        <v>71.099999999999994</v>
      </c>
      <c r="D14" s="2">
        <v>1.5</v>
      </c>
      <c r="E14" s="2">
        <v>79.3</v>
      </c>
      <c r="F14" s="2">
        <v>63.7</v>
      </c>
      <c r="G14" s="2">
        <v>25.7</v>
      </c>
      <c r="H14" s="2">
        <v>87.5</v>
      </c>
      <c r="I14" s="8">
        <v>7006450</v>
      </c>
      <c r="J14" s="8">
        <v>6888786</v>
      </c>
      <c r="K14" s="8">
        <v>315</v>
      </c>
      <c r="L14" s="8">
        <v>297</v>
      </c>
      <c r="M14" s="8">
        <v>293</v>
      </c>
      <c r="N14" s="8" t="e">
        <v>#N/A</v>
      </c>
      <c r="O14" s="8" t="e">
        <v>#N/A</v>
      </c>
      <c r="P14" s="2" t="e">
        <v>#N/A</v>
      </c>
      <c r="Q14" s="12" t="e">
        <v>#N/A</v>
      </c>
      <c r="R14" s="13" t="e">
        <v>#N/A</v>
      </c>
      <c r="S14" s="13" t="e">
        <v>#N/A</v>
      </c>
      <c r="T14" s="8"/>
      <c r="U14" s="8"/>
    </row>
    <row r="15" spans="1:21" x14ac:dyDescent="0.25">
      <c r="A15" s="7">
        <v>36770</v>
      </c>
      <c r="B15" t="s">
        <v>34</v>
      </c>
      <c r="C15" s="2">
        <v>70.900000000000006</v>
      </c>
      <c r="D15" s="2">
        <v>-0.1</v>
      </c>
      <c r="E15" s="2">
        <v>79.5</v>
      </c>
      <c r="F15" s="2">
        <v>63.4</v>
      </c>
      <c r="G15" s="2">
        <v>25.8</v>
      </c>
      <c r="H15" s="2">
        <v>87.6</v>
      </c>
      <c r="I15" s="8">
        <v>8787261</v>
      </c>
      <c r="J15" s="8">
        <v>8452164</v>
      </c>
      <c r="K15" s="8">
        <v>317</v>
      </c>
      <c r="L15" s="8">
        <v>299</v>
      </c>
      <c r="M15" s="8">
        <v>296</v>
      </c>
      <c r="N15" s="8" t="e">
        <v>#N/A</v>
      </c>
      <c r="O15" s="8" t="e">
        <v>#N/A</v>
      </c>
      <c r="P15" s="2" t="e">
        <v>#N/A</v>
      </c>
      <c r="Q15" s="12" t="e">
        <v>#N/A</v>
      </c>
      <c r="R15" s="13" t="e">
        <v>#N/A</v>
      </c>
      <c r="S15" s="13" t="e">
        <v>#N/A</v>
      </c>
      <c r="T15" s="8"/>
      <c r="U15" s="8"/>
    </row>
    <row r="16" spans="1:21" x14ac:dyDescent="0.25">
      <c r="A16" s="7">
        <v>36800</v>
      </c>
      <c r="B16" t="s">
        <v>35</v>
      </c>
      <c r="C16" s="2">
        <v>71</v>
      </c>
      <c r="D16" s="2">
        <v>0.7</v>
      </c>
      <c r="E16" s="2">
        <v>79.400000000000006</v>
      </c>
      <c r="F16" s="2">
        <v>64.3</v>
      </c>
      <c r="G16" s="2">
        <v>26.4</v>
      </c>
      <c r="H16" s="2">
        <v>87.3</v>
      </c>
      <c r="I16" s="8">
        <v>7030927</v>
      </c>
      <c r="J16" s="8">
        <v>6831758</v>
      </c>
      <c r="K16" s="8">
        <v>318</v>
      </c>
      <c r="L16" s="8">
        <v>300</v>
      </c>
      <c r="M16" s="8">
        <v>297</v>
      </c>
      <c r="N16" s="8" t="e">
        <v>#N/A</v>
      </c>
      <c r="O16" s="8" t="e">
        <v>#N/A</v>
      </c>
      <c r="P16" s="2" t="e">
        <v>#N/A</v>
      </c>
      <c r="Q16" s="12" t="e">
        <v>#N/A</v>
      </c>
      <c r="R16" s="13" t="e">
        <v>#N/A</v>
      </c>
      <c r="S16" s="13" t="e">
        <v>#N/A</v>
      </c>
      <c r="T16" s="8"/>
      <c r="U16" s="8"/>
    </row>
    <row r="17" spans="1:21" x14ac:dyDescent="0.25">
      <c r="A17" s="7">
        <v>36831</v>
      </c>
      <c r="B17" t="s">
        <v>36</v>
      </c>
      <c r="C17" s="2">
        <v>71.3</v>
      </c>
      <c r="D17" s="2">
        <v>0</v>
      </c>
      <c r="E17" s="2">
        <v>79.7</v>
      </c>
      <c r="F17" s="2">
        <v>64</v>
      </c>
      <c r="G17" s="2">
        <v>26.6</v>
      </c>
      <c r="H17" s="2">
        <v>87.8</v>
      </c>
      <c r="I17" s="8">
        <v>7091000</v>
      </c>
      <c r="J17" s="8">
        <v>7209019</v>
      </c>
      <c r="K17" s="8">
        <v>320</v>
      </c>
      <c r="L17" s="8">
        <v>302</v>
      </c>
      <c r="M17" s="8">
        <v>298</v>
      </c>
      <c r="N17" s="8" t="e">
        <v>#N/A</v>
      </c>
      <c r="O17" s="8" t="e">
        <v>#N/A</v>
      </c>
      <c r="P17" s="2" t="e">
        <v>#N/A</v>
      </c>
      <c r="Q17" s="12" t="e">
        <v>#N/A</v>
      </c>
      <c r="R17" s="13" t="e">
        <v>#N/A</v>
      </c>
      <c r="S17" s="13" t="e">
        <v>#N/A</v>
      </c>
      <c r="T17" s="8"/>
      <c r="U17" s="8"/>
    </row>
    <row r="18" spans="1:21" x14ac:dyDescent="0.25">
      <c r="A18" s="7">
        <v>36861</v>
      </c>
      <c r="B18" t="s">
        <v>37</v>
      </c>
      <c r="C18" s="2">
        <v>71.599999999999994</v>
      </c>
      <c r="D18" s="2">
        <v>0.1</v>
      </c>
      <c r="E18" s="2">
        <v>79.7</v>
      </c>
      <c r="F18" s="2">
        <v>64.2</v>
      </c>
      <c r="G18" s="2">
        <v>27.7</v>
      </c>
      <c r="H18" s="2">
        <v>85.1</v>
      </c>
      <c r="I18" s="8">
        <v>8885448</v>
      </c>
      <c r="J18" s="8">
        <v>10322477</v>
      </c>
      <c r="K18" s="8">
        <v>323</v>
      </c>
      <c r="L18" s="8">
        <v>303</v>
      </c>
      <c r="M18" s="8">
        <v>299</v>
      </c>
      <c r="N18" s="8" t="e">
        <v>#N/A</v>
      </c>
      <c r="O18" s="8" t="e">
        <v>#N/A</v>
      </c>
      <c r="P18" s="2" t="e">
        <v>#N/A</v>
      </c>
      <c r="Q18" s="12" t="e">
        <v>#N/A</v>
      </c>
      <c r="R18" s="13" t="e">
        <v>#N/A</v>
      </c>
      <c r="S18" s="13" t="e">
        <v>#N/A</v>
      </c>
      <c r="T18" s="8"/>
      <c r="U18" s="8"/>
    </row>
    <row r="19" spans="1:21" x14ac:dyDescent="0.25">
      <c r="A19" s="7">
        <v>36892</v>
      </c>
      <c r="B19" t="s">
        <v>38</v>
      </c>
      <c r="C19" s="2">
        <v>71.8</v>
      </c>
      <c r="D19" s="2">
        <v>1.6</v>
      </c>
      <c r="E19" s="2">
        <v>80.400000000000006</v>
      </c>
      <c r="F19" s="2">
        <v>66.2</v>
      </c>
      <c r="G19" s="2">
        <v>25.3</v>
      </c>
      <c r="H19" s="2">
        <v>86.6</v>
      </c>
      <c r="I19" s="8">
        <v>7127519</v>
      </c>
      <c r="J19" s="8">
        <v>6550381</v>
      </c>
      <c r="K19" s="8">
        <v>321</v>
      </c>
      <c r="L19" s="8">
        <v>304</v>
      </c>
      <c r="M19" s="8">
        <v>300</v>
      </c>
      <c r="N19" s="8" t="e">
        <v>#N/A</v>
      </c>
      <c r="O19" s="8" t="e">
        <v>#N/A</v>
      </c>
      <c r="P19" s="2" t="e">
        <v>#N/A</v>
      </c>
      <c r="Q19" s="12" t="e">
        <v>#N/A</v>
      </c>
      <c r="R19" s="13" t="e">
        <v>#N/A</v>
      </c>
      <c r="S19" s="13" t="e">
        <v>#N/A</v>
      </c>
      <c r="T19" s="8"/>
      <c r="U19" s="8"/>
    </row>
    <row r="20" spans="1:21" x14ac:dyDescent="0.25">
      <c r="A20" s="7">
        <v>36923</v>
      </c>
      <c r="B20" t="s">
        <v>39</v>
      </c>
      <c r="C20" s="2">
        <v>71.8</v>
      </c>
      <c r="D20" s="2">
        <v>3.8</v>
      </c>
      <c r="E20" s="2">
        <v>86.4</v>
      </c>
      <c r="F20" s="2">
        <v>67.8</v>
      </c>
      <c r="G20" s="2">
        <v>24</v>
      </c>
      <c r="H20" s="2">
        <v>87.3</v>
      </c>
      <c r="I20" s="8">
        <v>7225875</v>
      </c>
      <c r="J20" s="8">
        <v>6926233</v>
      </c>
      <c r="K20" s="8">
        <v>325</v>
      </c>
      <c r="L20" s="8">
        <v>304</v>
      </c>
      <c r="M20" s="8">
        <v>300</v>
      </c>
      <c r="N20" s="8" t="e">
        <v>#N/A</v>
      </c>
      <c r="O20" s="8" t="e">
        <v>#N/A</v>
      </c>
      <c r="P20" s="2" t="e">
        <v>#N/A</v>
      </c>
      <c r="Q20" s="12" t="e">
        <v>#N/A</v>
      </c>
      <c r="R20" s="13" t="e">
        <v>#N/A</v>
      </c>
      <c r="S20" s="13" t="e">
        <v>#N/A</v>
      </c>
      <c r="T20" s="8"/>
      <c r="U20" s="8"/>
    </row>
    <row r="21" spans="1:21" x14ac:dyDescent="0.25">
      <c r="A21" s="7">
        <v>36951</v>
      </c>
      <c r="B21" t="s">
        <v>40</v>
      </c>
      <c r="C21" s="2">
        <v>72.2</v>
      </c>
      <c r="D21" s="2">
        <v>-0.1</v>
      </c>
      <c r="E21" s="2">
        <v>86.8</v>
      </c>
      <c r="F21" s="2">
        <v>67.2</v>
      </c>
      <c r="G21" s="2">
        <v>24.8</v>
      </c>
      <c r="H21" s="2">
        <v>87.3</v>
      </c>
      <c r="I21" s="8">
        <v>9070184</v>
      </c>
      <c r="J21" s="8">
        <v>8881603</v>
      </c>
      <c r="K21" s="8">
        <v>326</v>
      </c>
      <c r="L21" s="8">
        <v>306</v>
      </c>
      <c r="M21" s="8">
        <v>302</v>
      </c>
      <c r="N21" s="8" t="e">
        <v>#N/A</v>
      </c>
      <c r="O21" s="8" t="e">
        <v>#N/A</v>
      </c>
      <c r="P21" s="2" t="e">
        <v>#N/A</v>
      </c>
      <c r="Q21" s="12" t="e">
        <v>#N/A</v>
      </c>
      <c r="R21" s="13" t="e">
        <v>#N/A</v>
      </c>
      <c r="S21" s="13" t="e">
        <v>#N/A</v>
      </c>
      <c r="T21" s="8"/>
      <c r="U21" s="8"/>
    </row>
    <row r="22" spans="1:21" x14ac:dyDescent="0.25">
      <c r="A22" s="7">
        <v>36982</v>
      </c>
      <c r="B22" t="s">
        <v>41</v>
      </c>
      <c r="C22" s="2">
        <v>72.099999999999994</v>
      </c>
      <c r="D22" s="2">
        <v>0.3</v>
      </c>
      <c r="E22" s="2">
        <v>86.2</v>
      </c>
      <c r="F22" s="2">
        <v>68</v>
      </c>
      <c r="G22" s="2">
        <v>26.2</v>
      </c>
      <c r="H22" s="2">
        <v>85.1</v>
      </c>
      <c r="I22" s="8">
        <v>7200226</v>
      </c>
      <c r="J22" s="8">
        <v>7244157</v>
      </c>
      <c r="K22" s="8">
        <v>326</v>
      </c>
      <c r="L22" s="8">
        <v>309</v>
      </c>
      <c r="M22" s="8">
        <v>304</v>
      </c>
      <c r="N22" s="8" t="e">
        <v>#N/A</v>
      </c>
      <c r="O22" s="8" t="e">
        <v>#N/A</v>
      </c>
      <c r="P22" s="2" t="e">
        <v>#N/A</v>
      </c>
      <c r="Q22" s="12" t="e">
        <v>#N/A</v>
      </c>
      <c r="R22" s="13" t="e">
        <v>#N/A</v>
      </c>
      <c r="S22" s="13" t="e">
        <v>#N/A</v>
      </c>
      <c r="T22" s="8"/>
      <c r="U22" s="8"/>
    </row>
    <row r="23" spans="1:21" x14ac:dyDescent="0.25">
      <c r="A23" s="7">
        <v>37012</v>
      </c>
      <c r="B23" t="s">
        <v>42</v>
      </c>
      <c r="C23" s="2">
        <v>72.099999999999994</v>
      </c>
      <c r="D23" s="2">
        <v>1.8</v>
      </c>
      <c r="E23" s="2">
        <v>87.7</v>
      </c>
      <c r="F23" s="2">
        <v>69.3</v>
      </c>
      <c r="G23" s="2">
        <v>26.2</v>
      </c>
      <c r="H23" s="2">
        <v>87.6</v>
      </c>
      <c r="I23" s="8">
        <v>7407646</v>
      </c>
      <c r="J23" s="8">
        <v>7426524</v>
      </c>
      <c r="K23" s="8">
        <v>327</v>
      </c>
      <c r="L23" s="8">
        <v>309</v>
      </c>
      <c r="M23" s="8">
        <v>304</v>
      </c>
      <c r="N23" s="8" t="e">
        <v>#N/A</v>
      </c>
      <c r="O23" s="8" t="e">
        <v>#N/A</v>
      </c>
      <c r="P23" s="2" t="e">
        <v>#N/A</v>
      </c>
      <c r="Q23" s="12" t="e">
        <v>#N/A</v>
      </c>
      <c r="R23" s="13" t="e">
        <v>#N/A</v>
      </c>
      <c r="S23" s="13" t="e">
        <v>#N/A</v>
      </c>
      <c r="T23" s="8"/>
      <c r="U23" s="8"/>
    </row>
    <row r="24" spans="1:21" x14ac:dyDescent="0.25">
      <c r="A24" s="7">
        <v>37043</v>
      </c>
      <c r="B24" t="s">
        <v>43</v>
      </c>
      <c r="C24" s="2">
        <v>72.400000000000006</v>
      </c>
      <c r="D24" s="2">
        <v>-0.3</v>
      </c>
      <c r="E24" s="2">
        <v>87</v>
      </c>
      <c r="F24" s="2">
        <v>68.900000000000006</v>
      </c>
      <c r="G24" s="2">
        <v>25.9</v>
      </c>
      <c r="H24" s="2">
        <v>90.1</v>
      </c>
      <c r="I24" s="8">
        <v>9257727</v>
      </c>
      <c r="J24" s="8">
        <v>9223156</v>
      </c>
      <c r="K24" s="8">
        <v>328</v>
      </c>
      <c r="L24" s="8">
        <v>310</v>
      </c>
      <c r="M24" s="8">
        <v>305</v>
      </c>
      <c r="N24" s="8" t="e">
        <v>#N/A</v>
      </c>
      <c r="O24" s="8" t="e">
        <v>#N/A</v>
      </c>
      <c r="P24" s="2" t="e">
        <v>#N/A</v>
      </c>
      <c r="Q24" s="12" t="e">
        <v>#N/A</v>
      </c>
      <c r="R24" s="13" t="e">
        <v>#N/A</v>
      </c>
      <c r="S24" s="13" t="e">
        <v>#N/A</v>
      </c>
      <c r="T24" s="8"/>
      <c r="U24" s="8"/>
    </row>
    <row r="25" spans="1:21" x14ac:dyDescent="0.25">
      <c r="A25" s="7">
        <v>37073</v>
      </c>
      <c r="B25" t="s">
        <v>44</v>
      </c>
      <c r="C25" s="2">
        <v>72.400000000000006</v>
      </c>
      <c r="D25" s="2">
        <v>0.9</v>
      </c>
      <c r="E25" s="2">
        <v>87.3</v>
      </c>
      <c r="F25" s="2">
        <v>69.7</v>
      </c>
      <c r="G25" s="2">
        <v>27.3</v>
      </c>
      <c r="H25" s="2">
        <v>89.4</v>
      </c>
      <c r="I25" s="8">
        <v>7397474</v>
      </c>
      <c r="J25" s="8">
        <v>7354456</v>
      </c>
      <c r="K25" s="8">
        <v>328</v>
      </c>
      <c r="L25" s="8">
        <v>311</v>
      </c>
      <c r="M25" s="8">
        <v>307</v>
      </c>
      <c r="N25" s="8" t="e">
        <v>#N/A</v>
      </c>
      <c r="O25" s="8" t="e">
        <v>#N/A</v>
      </c>
      <c r="P25" s="2" t="e">
        <v>#N/A</v>
      </c>
      <c r="Q25" s="12" t="e">
        <v>#N/A</v>
      </c>
      <c r="R25" s="13" t="e">
        <v>#N/A</v>
      </c>
      <c r="S25" s="13" t="e">
        <v>#N/A</v>
      </c>
      <c r="T25" s="8"/>
      <c r="U25" s="8"/>
    </row>
    <row r="26" spans="1:21" x14ac:dyDescent="0.25">
      <c r="A26" s="7">
        <v>37104</v>
      </c>
      <c r="B26" t="s">
        <v>45</v>
      </c>
      <c r="C26" s="2">
        <v>72.599999999999994</v>
      </c>
      <c r="D26" s="2">
        <v>-0.1</v>
      </c>
      <c r="E26" s="2">
        <v>87.6</v>
      </c>
      <c r="F26" s="2">
        <v>69.900000000000006</v>
      </c>
      <c r="G26" s="2">
        <v>25.6</v>
      </c>
      <c r="H26" s="2">
        <v>89.3</v>
      </c>
      <c r="I26" s="8">
        <v>7396276</v>
      </c>
      <c r="J26" s="8">
        <v>7268779</v>
      </c>
      <c r="K26" s="8">
        <v>331</v>
      </c>
      <c r="L26" s="8">
        <v>314</v>
      </c>
      <c r="M26" s="8">
        <v>309</v>
      </c>
      <c r="N26" s="8" t="e">
        <v>#N/A</v>
      </c>
      <c r="O26" s="8" t="e">
        <v>#N/A</v>
      </c>
      <c r="P26" s="2" t="e">
        <v>#N/A</v>
      </c>
      <c r="Q26" s="12" t="e">
        <v>#N/A</v>
      </c>
      <c r="R26" s="13" t="e">
        <v>#N/A</v>
      </c>
      <c r="S26" s="13" t="e">
        <v>#N/A</v>
      </c>
      <c r="T26" s="8"/>
      <c r="U26" s="8"/>
    </row>
    <row r="27" spans="1:21" x14ac:dyDescent="0.25">
      <c r="A27" s="7">
        <v>37135</v>
      </c>
      <c r="B27" t="s">
        <v>46</v>
      </c>
      <c r="C27" s="2">
        <v>72.5</v>
      </c>
      <c r="D27" s="2">
        <v>0.4</v>
      </c>
      <c r="E27" s="2">
        <v>87.6</v>
      </c>
      <c r="F27" s="2">
        <v>70.5</v>
      </c>
      <c r="G27" s="2">
        <v>26.3</v>
      </c>
      <c r="H27" s="2">
        <v>87.7</v>
      </c>
      <c r="I27" s="8">
        <v>9295028</v>
      </c>
      <c r="J27" s="8">
        <v>8947876</v>
      </c>
      <c r="K27" s="8">
        <v>331</v>
      </c>
      <c r="L27" s="8">
        <v>313</v>
      </c>
      <c r="M27" s="8">
        <v>309</v>
      </c>
      <c r="N27" s="8" t="e">
        <v>#N/A</v>
      </c>
      <c r="O27" s="8" t="e">
        <v>#N/A</v>
      </c>
      <c r="P27" s="2" t="e">
        <v>#N/A</v>
      </c>
      <c r="Q27" s="12" t="e">
        <v>#N/A</v>
      </c>
      <c r="R27" s="13" t="e">
        <v>#N/A</v>
      </c>
      <c r="S27" s="13" t="e">
        <v>#N/A</v>
      </c>
      <c r="T27" s="8"/>
      <c r="U27" s="8"/>
    </row>
    <row r="28" spans="1:21" x14ac:dyDescent="0.25">
      <c r="A28" s="7">
        <v>37165</v>
      </c>
      <c r="B28" t="s">
        <v>47</v>
      </c>
      <c r="C28" s="2">
        <v>72.7</v>
      </c>
      <c r="D28" s="2">
        <v>1</v>
      </c>
      <c r="E28" s="2">
        <v>88.8</v>
      </c>
      <c r="F28" s="2">
        <v>71</v>
      </c>
      <c r="G28" s="2">
        <v>26.5</v>
      </c>
      <c r="H28" s="2">
        <v>89.5</v>
      </c>
      <c r="I28" s="8">
        <v>7497078</v>
      </c>
      <c r="J28" s="8">
        <v>7285063</v>
      </c>
      <c r="K28" s="8">
        <v>333</v>
      </c>
      <c r="L28" s="8">
        <v>315</v>
      </c>
      <c r="M28" s="8">
        <v>310</v>
      </c>
      <c r="N28" s="8" t="e">
        <v>#N/A</v>
      </c>
      <c r="O28" s="8" t="e">
        <v>#N/A</v>
      </c>
      <c r="P28" s="2" t="e">
        <v>#N/A</v>
      </c>
      <c r="Q28" s="12" t="e">
        <v>#N/A</v>
      </c>
      <c r="R28" s="13" t="e">
        <v>#N/A</v>
      </c>
      <c r="S28" s="13" t="e">
        <v>#N/A</v>
      </c>
      <c r="T28" s="8"/>
      <c r="U28" s="8"/>
    </row>
    <row r="29" spans="1:21" x14ac:dyDescent="0.25">
      <c r="A29" s="7">
        <v>37196</v>
      </c>
      <c r="B29" t="s">
        <v>48</v>
      </c>
      <c r="C29" s="2">
        <v>72.7</v>
      </c>
      <c r="D29" s="2">
        <v>1</v>
      </c>
      <c r="E29" s="2">
        <v>89.5</v>
      </c>
      <c r="F29" s="2">
        <v>72</v>
      </c>
      <c r="G29" s="2">
        <v>26.3</v>
      </c>
      <c r="H29" s="2">
        <v>90.1</v>
      </c>
      <c r="I29" s="8">
        <v>7544650</v>
      </c>
      <c r="J29" s="8">
        <v>7682106</v>
      </c>
      <c r="K29" s="8">
        <v>334</v>
      </c>
      <c r="L29" s="8">
        <v>316</v>
      </c>
      <c r="M29" s="8">
        <v>312</v>
      </c>
      <c r="N29" s="8" t="e">
        <v>#N/A</v>
      </c>
      <c r="O29" s="8" t="e">
        <v>#N/A</v>
      </c>
      <c r="P29" s="2" t="e">
        <v>#N/A</v>
      </c>
      <c r="Q29" s="12" t="e">
        <v>#N/A</v>
      </c>
      <c r="R29" s="13" t="e">
        <v>#N/A</v>
      </c>
      <c r="S29" s="13" t="e">
        <v>#N/A</v>
      </c>
      <c r="T29" s="8"/>
      <c r="U29" s="8"/>
    </row>
    <row r="30" spans="1:21" x14ac:dyDescent="0.25">
      <c r="A30" s="7">
        <v>37226</v>
      </c>
      <c r="B30" t="s">
        <v>49</v>
      </c>
      <c r="C30" s="2">
        <v>72.599999999999994</v>
      </c>
      <c r="D30" s="2">
        <v>1.4</v>
      </c>
      <c r="E30" s="2">
        <v>89.8</v>
      </c>
      <c r="F30" s="2">
        <v>73.2</v>
      </c>
      <c r="G30" s="2">
        <v>26.8</v>
      </c>
      <c r="H30" s="2">
        <v>93.9</v>
      </c>
      <c r="I30" s="8">
        <v>9489945</v>
      </c>
      <c r="J30" s="8">
        <v>10909343</v>
      </c>
      <c r="K30" s="8">
        <v>334</v>
      </c>
      <c r="L30" s="8">
        <v>316</v>
      </c>
      <c r="M30" s="8">
        <v>312</v>
      </c>
      <c r="N30" s="8" t="e">
        <v>#N/A</v>
      </c>
      <c r="O30" s="8" t="e">
        <v>#N/A</v>
      </c>
      <c r="P30" s="2" t="e">
        <v>#N/A</v>
      </c>
      <c r="Q30" s="12" t="e">
        <v>#N/A</v>
      </c>
      <c r="R30" s="13" t="e">
        <v>#N/A</v>
      </c>
      <c r="S30" s="13" t="e">
        <v>#N/A</v>
      </c>
      <c r="T30" s="8"/>
      <c r="U30" s="8"/>
    </row>
    <row r="31" spans="1:21" x14ac:dyDescent="0.25">
      <c r="A31" s="7">
        <v>37257</v>
      </c>
      <c r="B31" t="s">
        <v>50</v>
      </c>
      <c r="C31" s="2">
        <v>72.8</v>
      </c>
      <c r="D31" s="2">
        <v>-0.8</v>
      </c>
      <c r="E31" s="2">
        <v>89.2</v>
      </c>
      <c r="F31" s="2">
        <v>72.8</v>
      </c>
      <c r="G31" s="2">
        <v>26.6</v>
      </c>
      <c r="H31" s="2">
        <v>91.6</v>
      </c>
      <c r="I31" s="8">
        <v>9457110</v>
      </c>
      <c r="J31" s="8">
        <v>8816859</v>
      </c>
      <c r="K31" s="8">
        <v>333</v>
      </c>
      <c r="L31" s="8">
        <v>318</v>
      </c>
      <c r="M31" s="8">
        <v>313</v>
      </c>
      <c r="N31" s="8" t="e">
        <v>#N/A</v>
      </c>
      <c r="O31" s="8" t="e">
        <v>#N/A</v>
      </c>
      <c r="P31" s="2" t="e">
        <v>#N/A</v>
      </c>
      <c r="Q31" s="12" t="e">
        <v>#N/A</v>
      </c>
      <c r="R31" s="13" t="e">
        <v>#N/A</v>
      </c>
      <c r="S31" s="13" t="e">
        <v>#N/A</v>
      </c>
      <c r="T31" s="8"/>
      <c r="U31" s="8"/>
    </row>
    <row r="32" spans="1:21" x14ac:dyDescent="0.25">
      <c r="A32" s="7">
        <v>37288</v>
      </c>
      <c r="B32" t="s">
        <v>51</v>
      </c>
      <c r="C32" s="2">
        <v>72.8</v>
      </c>
      <c r="D32" s="2">
        <v>1.4</v>
      </c>
      <c r="E32" s="2">
        <v>90.1</v>
      </c>
      <c r="F32" s="2">
        <v>74.3</v>
      </c>
      <c r="G32" s="2">
        <v>26.8</v>
      </c>
      <c r="H32" s="2">
        <v>91.4</v>
      </c>
      <c r="I32" s="8">
        <v>7580548</v>
      </c>
      <c r="J32" s="8">
        <v>7375286</v>
      </c>
      <c r="K32" s="8">
        <v>334</v>
      </c>
      <c r="L32" s="8">
        <v>320</v>
      </c>
      <c r="M32" s="8">
        <v>316</v>
      </c>
      <c r="N32" s="8" t="e">
        <v>#N/A</v>
      </c>
      <c r="O32" s="8" t="e">
        <v>#N/A</v>
      </c>
      <c r="P32" s="2" t="e">
        <v>#N/A</v>
      </c>
      <c r="Q32" s="12" t="e">
        <v>#N/A</v>
      </c>
      <c r="R32" s="13" t="e">
        <v>#N/A</v>
      </c>
      <c r="S32" s="13" t="e">
        <v>#N/A</v>
      </c>
      <c r="T32" s="8"/>
      <c r="U32" s="8"/>
    </row>
    <row r="33" spans="1:21" x14ac:dyDescent="0.25">
      <c r="A33" s="7">
        <v>37316</v>
      </c>
      <c r="B33" t="s">
        <v>52</v>
      </c>
      <c r="C33" s="2">
        <v>72.900000000000006</v>
      </c>
      <c r="D33" s="2">
        <v>0.4</v>
      </c>
      <c r="E33" s="2">
        <v>89.9</v>
      </c>
      <c r="F33" s="2">
        <v>74.900000000000006</v>
      </c>
      <c r="G33" s="2">
        <v>26.3</v>
      </c>
      <c r="H33" s="2">
        <v>93.2</v>
      </c>
      <c r="I33" s="8">
        <v>9534156</v>
      </c>
      <c r="J33" s="8">
        <v>9401049</v>
      </c>
      <c r="K33" s="8">
        <v>334</v>
      </c>
      <c r="L33" s="8">
        <v>321</v>
      </c>
      <c r="M33" s="8">
        <v>316</v>
      </c>
      <c r="N33" s="8" t="e">
        <v>#N/A</v>
      </c>
      <c r="O33" s="8" t="e">
        <v>#N/A</v>
      </c>
      <c r="P33" s="2" t="e">
        <v>#N/A</v>
      </c>
      <c r="Q33" s="12" t="e">
        <v>#N/A</v>
      </c>
      <c r="R33" s="13" t="e">
        <v>#N/A</v>
      </c>
      <c r="S33" s="13" t="e">
        <v>#N/A</v>
      </c>
      <c r="T33" s="8"/>
      <c r="U33" s="8"/>
    </row>
    <row r="34" spans="1:21" x14ac:dyDescent="0.25">
      <c r="A34" s="7">
        <v>37347</v>
      </c>
      <c r="B34" t="s">
        <v>53</v>
      </c>
      <c r="C34" s="2">
        <v>73.3</v>
      </c>
      <c r="D34" s="2">
        <v>1.5</v>
      </c>
      <c r="E34" s="2">
        <v>90.4</v>
      </c>
      <c r="F34" s="2">
        <v>76.900000000000006</v>
      </c>
      <c r="G34" s="2">
        <v>26.5</v>
      </c>
      <c r="H34" s="2">
        <v>93.2</v>
      </c>
      <c r="I34" s="8">
        <v>7630826</v>
      </c>
      <c r="J34" s="8">
        <v>7593880</v>
      </c>
      <c r="K34" s="8">
        <v>338</v>
      </c>
      <c r="L34" s="8">
        <v>321</v>
      </c>
      <c r="M34" s="8">
        <v>317</v>
      </c>
      <c r="N34" s="8" t="e">
        <v>#N/A</v>
      </c>
      <c r="O34" s="8" t="e">
        <v>#N/A</v>
      </c>
      <c r="P34" s="2" t="e">
        <v>#N/A</v>
      </c>
      <c r="Q34" s="12" t="e">
        <v>#N/A</v>
      </c>
      <c r="R34" s="13" t="e">
        <v>#N/A</v>
      </c>
      <c r="S34" s="13" t="e">
        <v>#N/A</v>
      </c>
      <c r="T34" s="8"/>
      <c r="U34" s="8"/>
    </row>
    <row r="35" spans="1:21" x14ac:dyDescent="0.25">
      <c r="A35" s="7">
        <v>37377</v>
      </c>
      <c r="B35" t="s">
        <v>54</v>
      </c>
      <c r="C35" s="2">
        <v>73.900000000000006</v>
      </c>
      <c r="D35" s="2">
        <v>-0.9</v>
      </c>
      <c r="E35" s="2">
        <v>90.7</v>
      </c>
      <c r="F35" s="2">
        <v>75.3</v>
      </c>
      <c r="G35" s="2">
        <v>26.7</v>
      </c>
      <c r="H35" s="2">
        <v>92</v>
      </c>
      <c r="I35" s="8">
        <v>7650866</v>
      </c>
      <c r="J35" s="8">
        <v>7660273</v>
      </c>
      <c r="K35" s="8">
        <v>339</v>
      </c>
      <c r="L35" s="8">
        <v>322</v>
      </c>
      <c r="M35" s="8">
        <v>317</v>
      </c>
      <c r="N35" s="8" t="e">
        <v>#N/A</v>
      </c>
      <c r="O35" s="8" t="e">
        <v>#N/A</v>
      </c>
      <c r="P35" s="2" t="e">
        <v>#N/A</v>
      </c>
      <c r="Q35" s="12" t="e">
        <v>#N/A</v>
      </c>
      <c r="R35" s="13" t="e">
        <v>#N/A</v>
      </c>
      <c r="S35" s="13" t="e">
        <v>#N/A</v>
      </c>
      <c r="T35" s="8"/>
      <c r="U35" s="8"/>
    </row>
    <row r="36" spans="1:21" x14ac:dyDescent="0.25">
      <c r="A36" s="7">
        <v>37408</v>
      </c>
      <c r="B36" t="s">
        <v>55</v>
      </c>
      <c r="C36" s="2">
        <v>72.099999999999994</v>
      </c>
      <c r="D36" s="2">
        <v>-1.6</v>
      </c>
      <c r="E36" s="2">
        <v>90.5</v>
      </c>
      <c r="F36" s="2">
        <v>73.599999999999994</v>
      </c>
      <c r="G36" s="2">
        <v>27.6</v>
      </c>
      <c r="H36" s="2">
        <v>86.4</v>
      </c>
      <c r="I36" s="8">
        <v>9527697</v>
      </c>
      <c r="J36" s="8">
        <v>9498354</v>
      </c>
      <c r="K36" s="8">
        <v>340</v>
      </c>
      <c r="L36" s="8">
        <v>324</v>
      </c>
      <c r="M36" s="8">
        <v>319</v>
      </c>
      <c r="N36" s="8" t="e">
        <v>#N/A</v>
      </c>
      <c r="O36" s="8" t="e">
        <v>#N/A</v>
      </c>
      <c r="P36" s="2" t="e">
        <v>#N/A</v>
      </c>
      <c r="Q36" s="12" t="e">
        <v>#N/A</v>
      </c>
      <c r="R36" s="13" t="e">
        <v>#N/A</v>
      </c>
      <c r="S36" s="13" t="e">
        <v>#N/A</v>
      </c>
      <c r="T36" s="8"/>
      <c r="U36" s="8"/>
    </row>
    <row r="37" spans="1:21" x14ac:dyDescent="0.25">
      <c r="A37" s="7">
        <v>37438</v>
      </c>
      <c r="B37" t="s">
        <v>56</v>
      </c>
      <c r="C37" s="2">
        <v>73.400000000000006</v>
      </c>
      <c r="D37" s="2">
        <v>1.4</v>
      </c>
      <c r="E37" s="2">
        <v>91.2</v>
      </c>
      <c r="F37" s="2">
        <v>75.3</v>
      </c>
      <c r="G37" s="2">
        <v>28.1</v>
      </c>
      <c r="H37" s="2">
        <v>85.3</v>
      </c>
      <c r="I37" s="8">
        <v>7722131</v>
      </c>
      <c r="J37" s="8">
        <v>7686866</v>
      </c>
      <c r="K37" s="8">
        <v>341</v>
      </c>
      <c r="L37" s="8">
        <v>324</v>
      </c>
      <c r="M37" s="8">
        <v>319</v>
      </c>
      <c r="N37" s="8" t="e">
        <v>#N/A</v>
      </c>
      <c r="O37" s="8" t="e">
        <v>#N/A</v>
      </c>
      <c r="P37" s="2" t="e">
        <v>#N/A</v>
      </c>
      <c r="Q37" s="12" t="e">
        <v>#N/A</v>
      </c>
      <c r="R37" s="13" t="e">
        <v>#N/A</v>
      </c>
      <c r="S37" s="13" t="e">
        <v>#N/A</v>
      </c>
      <c r="T37" s="8"/>
      <c r="U37" s="8"/>
    </row>
    <row r="38" spans="1:21" x14ac:dyDescent="0.25">
      <c r="A38" s="7">
        <v>37469</v>
      </c>
      <c r="B38" t="s">
        <v>57</v>
      </c>
      <c r="C38" s="2">
        <v>73.7</v>
      </c>
      <c r="D38" s="2">
        <v>0.2</v>
      </c>
      <c r="E38" s="2">
        <v>91</v>
      </c>
      <c r="F38" s="2">
        <v>75.3</v>
      </c>
      <c r="G38" s="2">
        <v>29.1</v>
      </c>
      <c r="H38" s="2">
        <v>86.3</v>
      </c>
      <c r="I38" s="8">
        <v>7679987</v>
      </c>
      <c r="J38" s="8">
        <v>7529537</v>
      </c>
      <c r="K38" s="8">
        <v>341</v>
      </c>
      <c r="L38" s="8">
        <v>323</v>
      </c>
      <c r="M38" s="8">
        <v>319</v>
      </c>
      <c r="N38" s="8" t="e">
        <v>#N/A</v>
      </c>
      <c r="O38" s="8" t="e">
        <v>#N/A</v>
      </c>
      <c r="P38" s="2" t="e">
        <v>#N/A</v>
      </c>
      <c r="Q38" s="12" t="e">
        <v>#N/A</v>
      </c>
      <c r="R38" s="13" t="e">
        <v>#N/A</v>
      </c>
      <c r="S38" s="13" t="e">
        <v>#N/A</v>
      </c>
      <c r="T38" s="8"/>
      <c r="U38" s="8"/>
    </row>
    <row r="39" spans="1:21" x14ac:dyDescent="0.25">
      <c r="A39" s="7">
        <v>37500</v>
      </c>
      <c r="B39" t="s">
        <v>58</v>
      </c>
      <c r="C39" s="2">
        <v>73.900000000000006</v>
      </c>
      <c r="D39" s="2">
        <v>-0.1</v>
      </c>
      <c r="E39" s="2">
        <v>91</v>
      </c>
      <c r="F39" s="2">
        <v>75.2</v>
      </c>
      <c r="G39" s="2">
        <v>27.3</v>
      </c>
      <c r="H39" s="2">
        <v>89</v>
      </c>
      <c r="I39" s="8">
        <v>9642660</v>
      </c>
      <c r="J39" s="8">
        <v>9302584</v>
      </c>
      <c r="K39" s="8">
        <v>342</v>
      </c>
      <c r="L39" s="8">
        <v>324</v>
      </c>
      <c r="M39" s="8">
        <v>319</v>
      </c>
      <c r="N39" s="8" t="e">
        <v>#N/A</v>
      </c>
      <c r="O39" s="8" t="e">
        <v>#N/A</v>
      </c>
      <c r="P39" s="2" t="e">
        <v>#N/A</v>
      </c>
      <c r="Q39" s="12" t="e">
        <v>#N/A</v>
      </c>
      <c r="R39" s="13" t="e">
        <v>#N/A</v>
      </c>
      <c r="S39" s="13" t="e">
        <v>#N/A</v>
      </c>
      <c r="T39" s="8"/>
      <c r="U39" s="8"/>
    </row>
    <row r="40" spans="1:21" x14ac:dyDescent="0.25">
      <c r="A40" s="7">
        <v>37530</v>
      </c>
      <c r="B40" t="s">
        <v>59</v>
      </c>
      <c r="C40" s="2">
        <v>74.099999999999994</v>
      </c>
      <c r="D40" s="2">
        <v>0.5</v>
      </c>
      <c r="E40" s="2">
        <v>91.1</v>
      </c>
      <c r="F40" s="2">
        <v>75.900000000000006</v>
      </c>
      <c r="G40" s="2">
        <v>27.3</v>
      </c>
      <c r="H40" s="2">
        <v>88.7</v>
      </c>
      <c r="I40" s="8">
        <v>7721207</v>
      </c>
      <c r="J40" s="8">
        <v>7602232</v>
      </c>
      <c r="K40" s="8">
        <v>342</v>
      </c>
      <c r="L40" s="8">
        <v>325</v>
      </c>
      <c r="M40" s="8">
        <v>319</v>
      </c>
      <c r="N40" s="8" t="e">
        <v>#N/A</v>
      </c>
      <c r="O40" s="8" t="e">
        <v>#N/A</v>
      </c>
      <c r="P40" s="2" t="e">
        <v>#N/A</v>
      </c>
      <c r="Q40" s="12" t="e">
        <v>#N/A</v>
      </c>
      <c r="R40" s="13" t="e">
        <v>#N/A</v>
      </c>
      <c r="S40" s="13" t="e">
        <v>#N/A</v>
      </c>
      <c r="T40" s="8"/>
      <c r="U40" s="8"/>
    </row>
    <row r="41" spans="1:21" x14ac:dyDescent="0.25">
      <c r="A41" s="7">
        <v>37561</v>
      </c>
      <c r="B41" t="s">
        <v>60</v>
      </c>
      <c r="C41" s="2">
        <v>74.400000000000006</v>
      </c>
      <c r="D41" s="2">
        <v>0.6</v>
      </c>
      <c r="E41" s="2">
        <v>91.5</v>
      </c>
      <c r="F41" s="2">
        <v>76.599999999999994</v>
      </c>
      <c r="G41" s="2">
        <v>27.3</v>
      </c>
      <c r="H41" s="2">
        <v>88.7</v>
      </c>
      <c r="I41" s="8">
        <v>7755949</v>
      </c>
      <c r="J41" s="8">
        <v>7999883</v>
      </c>
      <c r="K41" s="8">
        <v>343</v>
      </c>
      <c r="L41" s="8">
        <v>326</v>
      </c>
      <c r="M41" s="8">
        <v>320</v>
      </c>
      <c r="N41" s="8" t="e">
        <v>#N/A</v>
      </c>
      <c r="O41" s="8" t="e">
        <v>#N/A</v>
      </c>
      <c r="P41" s="2" t="e">
        <v>#N/A</v>
      </c>
      <c r="Q41" s="12" t="e">
        <v>#N/A</v>
      </c>
      <c r="R41" s="13" t="e">
        <v>#N/A</v>
      </c>
      <c r="S41" s="13" t="e">
        <v>#N/A</v>
      </c>
      <c r="T41" s="8"/>
      <c r="U41" s="8"/>
    </row>
    <row r="42" spans="1:21" x14ac:dyDescent="0.25">
      <c r="A42" s="7">
        <v>37591</v>
      </c>
      <c r="B42" t="s">
        <v>61</v>
      </c>
      <c r="C42" s="2">
        <v>74.3</v>
      </c>
      <c r="D42" s="2">
        <v>0.2</v>
      </c>
      <c r="E42" s="2">
        <v>92.9</v>
      </c>
      <c r="F42" s="2">
        <v>75.900000000000006</v>
      </c>
      <c r="G42" s="2">
        <v>25.3</v>
      </c>
      <c r="H42" s="2">
        <v>92.5</v>
      </c>
      <c r="I42" s="8">
        <v>9905026</v>
      </c>
      <c r="J42" s="8">
        <v>11092489</v>
      </c>
      <c r="K42" s="8">
        <v>343</v>
      </c>
      <c r="L42" s="8">
        <v>325</v>
      </c>
      <c r="M42" s="8">
        <v>319</v>
      </c>
      <c r="N42" s="8" t="e">
        <v>#N/A</v>
      </c>
      <c r="O42" s="8" t="e">
        <v>#N/A</v>
      </c>
      <c r="P42" s="2" t="e">
        <v>#N/A</v>
      </c>
      <c r="Q42" s="12" t="e">
        <v>#N/A</v>
      </c>
      <c r="R42" s="13" t="e">
        <v>#N/A</v>
      </c>
      <c r="S42" s="13" t="e">
        <v>#N/A</v>
      </c>
      <c r="T42" s="8"/>
      <c r="U42" s="8"/>
    </row>
    <row r="43" spans="1:21" x14ac:dyDescent="0.25">
      <c r="A43" s="7">
        <v>37622</v>
      </c>
      <c r="B43" t="s">
        <v>62</v>
      </c>
      <c r="C43" s="2">
        <v>74.599999999999994</v>
      </c>
      <c r="D43" s="2">
        <v>-0.9</v>
      </c>
      <c r="E43" s="2">
        <v>91</v>
      </c>
      <c r="F43" s="2">
        <v>75.5</v>
      </c>
      <c r="G43" s="2">
        <v>24.1</v>
      </c>
      <c r="H43" s="2">
        <v>96.5</v>
      </c>
      <c r="I43" s="8">
        <v>7721287</v>
      </c>
      <c r="J43" s="8">
        <v>7328551</v>
      </c>
      <c r="K43" s="8">
        <v>339</v>
      </c>
      <c r="L43" s="8">
        <v>328</v>
      </c>
      <c r="M43" s="8">
        <v>323</v>
      </c>
      <c r="N43" s="8" t="e">
        <v>#N/A</v>
      </c>
      <c r="O43" s="8" t="e">
        <v>#N/A</v>
      </c>
      <c r="P43" s="2" t="e">
        <v>#N/A</v>
      </c>
      <c r="Q43" s="12" t="e">
        <v>#N/A</v>
      </c>
      <c r="R43" s="13" t="e">
        <v>#N/A</v>
      </c>
      <c r="S43" s="13" t="e">
        <v>#N/A</v>
      </c>
      <c r="T43" s="8"/>
      <c r="U43" s="8"/>
    </row>
    <row r="44" spans="1:21" x14ac:dyDescent="0.25">
      <c r="A44" s="7">
        <v>37653</v>
      </c>
      <c r="B44" t="s">
        <v>63</v>
      </c>
      <c r="C44" s="2">
        <v>74.900000000000006</v>
      </c>
      <c r="D44" s="2">
        <v>-0.1</v>
      </c>
      <c r="E44" s="2">
        <v>91.5</v>
      </c>
      <c r="F44" s="2">
        <v>75.599999999999994</v>
      </c>
      <c r="G44" s="2">
        <v>23</v>
      </c>
      <c r="H44" s="2">
        <v>94.7</v>
      </c>
      <c r="I44" s="8">
        <v>7774840</v>
      </c>
      <c r="J44" s="8">
        <v>7549280</v>
      </c>
      <c r="K44" s="8">
        <v>341</v>
      </c>
      <c r="L44" s="8">
        <v>329</v>
      </c>
      <c r="M44" s="8">
        <v>324</v>
      </c>
      <c r="N44" s="8" t="e">
        <v>#N/A</v>
      </c>
      <c r="O44" s="8" t="e">
        <v>#N/A</v>
      </c>
      <c r="P44" s="2" t="e">
        <v>#N/A</v>
      </c>
      <c r="Q44" s="12" t="e">
        <v>#N/A</v>
      </c>
      <c r="R44" s="13" t="e">
        <v>#N/A</v>
      </c>
      <c r="S44" s="13" t="e">
        <v>#N/A</v>
      </c>
      <c r="T44" s="8"/>
      <c r="U44" s="8"/>
    </row>
    <row r="45" spans="1:21" x14ac:dyDescent="0.25">
      <c r="A45" s="7">
        <v>37681</v>
      </c>
      <c r="B45" t="s">
        <v>64</v>
      </c>
      <c r="C45" s="2">
        <v>74.7</v>
      </c>
      <c r="D45" s="2">
        <v>0.6</v>
      </c>
      <c r="E45" s="2">
        <v>92</v>
      </c>
      <c r="F45" s="2">
        <v>76.099999999999994</v>
      </c>
      <c r="G45" s="2">
        <v>22.7</v>
      </c>
      <c r="H45" s="2">
        <v>95.7</v>
      </c>
      <c r="I45" s="8">
        <v>9849133</v>
      </c>
      <c r="J45" s="8">
        <v>9621553</v>
      </c>
      <c r="K45" s="8">
        <v>349</v>
      </c>
      <c r="L45" s="8">
        <v>330</v>
      </c>
      <c r="M45" s="8">
        <v>324</v>
      </c>
      <c r="N45" s="8" t="e">
        <v>#N/A</v>
      </c>
      <c r="O45" s="8" t="e">
        <v>#N/A</v>
      </c>
      <c r="P45" s="2" t="e">
        <v>#N/A</v>
      </c>
      <c r="Q45" s="12" t="e">
        <v>#N/A</v>
      </c>
      <c r="R45" s="13" t="e">
        <v>#N/A</v>
      </c>
      <c r="S45" s="13" t="e">
        <v>#N/A</v>
      </c>
      <c r="T45" s="8"/>
      <c r="U45" s="8"/>
    </row>
    <row r="46" spans="1:21" x14ac:dyDescent="0.25">
      <c r="A46" s="7">
        <v>37712</v>
      </c>
      <c r="B46" t="s">
        <v>65</v>
      </c>
      <c r="C46" s="2">
        <v>75.400000000000006</v>
      </c>
      <c r="D46" s="2">
        <v>0.6</v>
      </c>
      <c r="E46" s="2">
        <v>93.4</v>
      </c>
      <c r="F46" s="2">
        <v>76.7</v>
      </c>
      <c r="G46" s="2">
        <v>24.3</v>
      </c>
      <c r="H46" s="2">
        <v>88.8</v>
      </c>
      <c r="I46" s="8">
        <v>7935321</v>
      </c>
      <c r="J46" s="8">
        <v>7988241</v>
      </c>
      <c r="K46" s="8">
        <v>347</v>
      </c>
      <c r="L46" s="8">
        <v>331</v>
      </c>
      <c r="M46" s="8">
        <v>325</v>
      </c>
      <c r="N46" s="8" t="e">
        <v>#N/A</v>
      </c>
      <c r="O46" s="8" t="e">
        <v>#N/A</v>
      </c>
      <c r="P46" s="2" t="e">
        <v>#N/A</v>
      </c>
      <c r="Q46" s="12" t="e">
        <v>#N/A</v>
      </c>
      <c r="R46" s="13" t="e">
        <v>#N/A</v>
      </c>
      <c r="S46" s="13" t="e">
        <v>#N/A</v>
      </c>
      <c r="T46" s="8"/>
      <c r="U46" s="8"/>
    </row>
    <row r="47" spans="1:21" x14ac:dyDescent="0.25">
      <c r="A47" s="7">
        <v>37742</v>
      </c>
      <c r="B47" t="s">
        <v>66</v>
      </c>
      <c r="C47" s="2">
        <v>75.2</v>
      </c>
      <c r="D47" s="2">
        <v>-0.5</v>
      </c>
      <c r="E47" s="2">
        <v>91.9</v>
      </c>
      <c r="F47" s="2">
        <v>76.400000000000006</v>
      </c>
      <c r="G47" s="2">
        <v>24.1</v>
      </c>
      <c r="H47" s="2">
        <v>92.9</v>
      </c>
      <c r="I47" s="8">
        <v>7825898</v>
      </c>
      <c r="J47" s="8">
        <v>7815308</v>
      </c>
      <c r="K47" s="8">
        <v>348</v>
      </c>
      <c r="L47" s="8">
        <v>332</v>
      </c>
      <c r="M47" s="8">
        <v>326</v>
      </c>
      <c r="N47" s="8" t="e">
        <v>#N/A</v>
      </c>
      <c r="O47" s="8" t="e">
        <v>#N/A</v>
      </c>
      <c r="P47" s="2" t="e">
        <v>#N/A</v>
      </c>
      <c r="Q47" s="12" t="e">
        <v>#N/A</v>
      </c>
      <c r="R47" s="13" t="e">
        <v>#N/A</v>
      </c>
      <c r="S47" s="13" t="e">
        <v>#N/A</v>
      </c>
      <c r="T47" s="8"/>
      <c r="U47" s="8"/>
    </row>
    <row r="48" spans="1:21" x14ac:dyDescent="0.25">
      <c r="A48" s="7">
        <v>37773</v>
      </c>
      <c r="B48" t="s">
        <v>67</v>
      </c>
      <c r="C48" s="2">
        <v>75.7</v>
      </c>
      <c r="D48" s="2">
        <v>1.5</v>
      </c>
      <c r="E48" s="2">
        <v>93.5</v>
      </c>
      <c r="F48" s="2">
        <v>77.3</v>
      </c>
      <c r="G48" s="2">
        <v>24</v>
      </c>
      <c r="H48" s="2">
        <v>95.9</v>
      </c>
      <c r="I48" s="8">
        <v>9949583</v>
      </c>
      <c r="J48" s="8">
        <v>9942578</v>
      </c>
      <c r="K48" s="8">
        <v>349</v>
      </c>
      <c r="L48" s="8">
        <v>333</v>
      </c>
      <c r="M48" s="8">
        <v>327</v>
      </c>
      <c r="N48" s="8" t="e">
        <v>#N/A</v>
      </c>
      <c r="O48" s="8" t="e">
        <v>#N/A</v>
      </c>
      <c r="P48" s="2" t="e">
        <v>#N/A</v>
      </c>
      <c r="Q48" s="12" t="e">
        <v>#N/A</v>
      </c>
      <c r="R48" s="13" t="e">
        <v>#N/A</v>
      </c>
      <c r="S48" s="13" t="e">
        <v>#N/A</v>
      </c>
      <c r="T48" s="8"/>
      <c r="U48" s="8"/>
    </row>
    <row r="49" spans="1:21" x14ac:dyDescent="0.25">
      <c r="A49" s="7">
        <v>37803</v>
      </c>
      <c r="B49" t="s">
        <v>68</v>
      </c>
      <c r="C49" s="2">
        <v>75.900000000000006</v>
      </c>
      <c r="D49" s="2">
        <v>0.1</v>
      </c>
      <c r="E49" s="2">
        <v>93.1</v>
      </c>
      <c r="F49" s="2">
        <v>77.400000000000006</v>
      </c>
      <c r="G49" s="2">
        <v>24.3</v>
      </c>
      <c r="H49" s="2">
        <v>97.3</v>
      </c>
      <c r="I49" s="8">
        <v>7973940</v>
      </c>
      <c r="J49" s="8">
        <v>7929688</v>
      </c>
      <c r="K49" s="8">
        <v>351</v>
      </c>
      <c r="L49" s="8">
        <v>334</v>
      </c>
      <c r="M49" s="8">
        <v>327</v>
      </c>
      <c r="N49" s="8" t="e">
        <v>#N/A</v>
      </c>
      <c r="O49" s="8" t="e">
        <v>#N/A</v>
      </c>
      <c r="P49" s="2" t="e">
        <v>#N/A</v>
      </c>
      <c r="Q49" s="12" t="e">
        <v>#N/A</v>
      </c>
      <c r="R49" s="13" t="e">
        <v>#N/A</v>
      </c>
      <c r="S49" s="13" t="e">
        <v>#N/A</v>
      </c>
      <c r="T49" s="8"/>
      <c r="U49" s="8"/>
    </row>
    <row r="50" spans="1:21" x14ac:dyDescent="0.25">
      <c r="A50" s="7">
        <v>37834</v>
      </c>
      <c r="B50" t="s">
        <v>69</v>
      </c>
      <c r="C50" s="2">
        <v>76</v>
      </c>
      <c r="D50" s="2">
        <v>0.3</v>
      </c>
      <c r="E50" s="2">
        <v>94.1</v>
      </c>
      <c r="F50" s="2">
        <v>76.900000000000006</v>
      </c>
      <c r="G50" s="2">
        <v>24.3</v>
      </c>
      <c r="H50" s="2">
        <v>98.8</v>
      </c>
      <c r="I50" s="8">
        <v>8059957</v>
      </c>
      <c r="J50" s="8">
        <v>7895131</v>
      </c>
      <c r="K50" s="8">
        <v>352</v>
      </c>
      <c r="L50" s="8">
        <v>335</v>
      </c>
      <c r="M50" s="8">
        <v>327</v>
      </c>
      <c r="N50" s="8" t="e">
        <v>#N/A</v>
      </c>
      <c r="O50" s="8" t="e">
        <v>#N/A</v>
      </c>
      <c r="P50" s="2" t="e">
        <v>#N/A</v>
      </c>
      <c r="Q50" s="12" t="e">
        <v>#N/A</v>
      </c>
      <c r="R50" s="13" t="e">
        <v>#N/A</v>
      </c>
      <c r="S50" s="13" t="e">
        <v>#N/A</v>
      </c>
      <c r="T50" s="8"/>
      <c r="U50" s="8"/>
    </row>
    <row r="51" spans="1:21" x14ac:dyDescent="0.25">
      <c r="A51" s="7">
        <v>37865</v>
      </c>
      <c r="B51" t="s">
        <v>70</v>
      </c>
      <c r="C51" s="2">
        <v>76.400000000000006</v>
      </c>
      <c r="D51" s="2">
        <v>0.6</v>
      </c>
      <c r="E51" s="2">
        <v>93.6</v>
      </c>
      <c r="F51" s="2">
        <v>78.2</v>
      </c>
      <c r="G51" s="2">
        <v>24.9</v>
      </c>
      <c r="H51" s="2">
        <v>97.9</v>
      </c>
      <c r="I51" s="8">
        <v>10060376</v>
      </c>
      <c r="J51" s="8">
        <v>9701714</v>
      </c>
      <c r="K51" s="8">
        <v>355</v>
      </c>
      <c r="L51" s="8">
        <v>336</v>
      </c>
      <c r="M51" s="8">
        <v>329</v>
      </c>
      <c r="N51" s="8" t="e">
        <v>#N/A</v>
      </c>
      <c r="O51" s="8" t="e">
        <v>#N/A</v>
      </c>
      <c r="P51" s="2" t="e">
        <v>#N/A</v>
      </c>
      <c r="Q51" s="12" t="e">
        <v>#N/A</v>
      </c>
      <c r="R51" s="13" t="e">
        <v>#N/A</v>
      </c>
      <c r="S51" s="13" t="e">
        <v>#N/A</v>
      </c>
      <c r="T51" s="8"/>
      <c r="U51" s="8"/>
    </row>
    <row r="52" spans="1:21" x14ac:dyDescent="0.25">
      <c r="A52" s="7">
        <v>37895</v>
      </c>
      <c r="B52" t="s">
        <v>71</v>
      </c>
      <c r="C52" s="2">
        <v>76.8</v>
      </c>
      <c r="D52" s="2">
        <v>0.2</v>
      </c>
      <c r="E52" s="2">
        <v>93.1</v>
      </c>
      <c r="F52" s="2">
        <v>78.8</v>
      </c>
      <c r="G52" s="2">
        <v>24.9</v>
      </c>
      <c r="H52" s="2">
        <v>97.4</v>
      </c>
      <c r="I52" s="8">
        <v>8088567</v>
      </c>
      <c r="J52" s="8">
        <v>7906469</v>
      </c>
      <c r="K52" s="8">
        <v>357</v>
      </c>
      <c r="L52" s="8">
        <v>337</v>
      </c>
      <c r="M52" s="8">
        <v>330</v>
      </c>
      <c r="N52" s="8" t="e">
        <v>#N/A</v>
      </c>
      <c r="O52" s="8" t="e">
        <v>#N/A</v>
      </c>
      <c r="P52" s="2" t="e">
        <v>#N/A</v>
      </c>
      <c r="Q52" s="12" t="e">
        <v>#N/A</v>
      </c>
      <c r="R52" s="13" t="e">
        <v>#N/A</v>
      </c>
      <c r="S52" s="13" t="e">
        <v>#N/A</v>
      </c>
      <c r="T52" s="8"/>
      <c r="U52" s="8"/>
    </row>
    <row r="53" spans="1:21" x14ac:dyDescent="0.25">
      <c r="A53" s="7">
        <v>37926</v>
      </c>
      <c r="B53" t="s">
        <v>72</v>
      </c>
      <c r="C53" s="2">
        <v>76.599999999999994</v>
      </c>
      <c r="D53" s="2">
        <v>-0.4</v>
      </c>
      <c r="E53" s="2">
        <v>92.5</v>
      </c>
      <c r="F53" s="2">
        <v>78.599999999999994</v>
      </c>
      <c r="G53" s="2">
        <v>25.7</v>
      </c>
      <c r="H53" s="2">
        <v>95.9</v>
      </c>
      <c r="I53" s="8">
        <v>8061629</v>
      </c>
      <c r="J53" s="8">
        <v>8264287</v>
      </c>
      <c r="K53" s="8">
        <v>357</v>
      </c>
      <c r="L53" s="8">
        <v>338</v>
      </c>
      <c r="M53" s="8">
        <v>331</v>
      </c>
      <c r="N53" s="8" t="e">
        <v>#N/A</v>
      </c>
      <c r="O53" s="8" t="e">
        <v>#N/A</v>
      </c>
      <c r="P53" s="2" t="e">
        <v>#N/A</v>
      </c>
      <c r="Q53" s="12" t="e">
        <v>#N/A</v>
      </c>
      <c r="R53" s="13" t="e">
        <v>#N/A</v>
      </c>
      <c r="S53" s="13" t="e">
        <v>#N/A</v>
      </c>
      <c r="T53" s="8"/>
      <c r="U53" s="8"/>
    </row>
    <row r="54" spans="1:21" x14ac:dyDescent="0.25">
      <c r="A54" s="7">
        <v>37956</v>
      </c>
      <c r="B54" t="s">
        <v>73</v>
      </c>
      <c r="C54" s="2">
        <v>76.900000000000006</v>
      </c>
      <c r="D54" s="2">
        <v>0.2</v>
      </c>
      <c r="E54" s="2">
        <v>93.9</v>
      </c>
      <c r="F54" s="2">
        <v>78.8</v>
      </c>
      <c r="G54" s="2">
        <v>24.8</v>
      </c>
      <c r="H54" s="2">
        <v>92.7</v>
      </c>
      <c r="I54" s="8">
        <v>10185702</v>
      </c>
      <c r="J54" s="8">
        <v>11446818</v>
      </c>
      <c r="K54" s="8">
        <v>357</v>
      </c>
      <c r="L54" s="8">
        <v>339</v>
      </c>
      <c r="M54" s="8">
        <v>332</v>
      </c>
      <c r="N54" s="8" t="e">
        <v>#N/A</v>
      </c>
      <c r="O54" s="8" t="e">
        <v>#N/A</v>
      </c>
      <c r="P54" s="2" t="e">
        <v>#N/A</v>
      </c>
      <c r="Q54" s="12" t="e">
        <v>#N/A</v>
      </c>
      <c r="R54" s="13" t="e">
        <v>#N/A</v>
      </c>
      <c r="S54" s="13" t="e">
        <v>#N/A</v>
      </c>
      <c r="T54" s="8"/>
      <c r="U54" s="8"/>
    </row>
    <row r="55" spans="1:21" x14ac:dyDescent="0.25">
      <c r="A55" s="7">
        <v>37987</v>
      </c>
      <c r="B55" t="s">
        <v>74</v>
      </c>
      <c r="C55" s="2">
        <v>76.900000000000006</v>
      </c>
      <c r="D55" s="2">
        <v>1.9</v>
      </c>
      <c r="E55" s="2">
        <v>94.8</v>
      </c>
      <c r="F55" s="2">
        <v>80.900000000000006</v>
      </c>
      <c r="G55" s="2">
        <v>25.9</v>
      </c>
      <c r="H55" s="2">
        <v>92.8</v>
      </c>
      <c r="I55" s="8">
        <v>8186598</v>
      </c>
      <c r="J55" s="8">
        <v>7673892</v>
      </c>
      <c r="K55" s="8">
        <v>364</v>
      </c>
      <c r="L55" s="8">
        <v>340</v>
      </c>
      <c r="M55" s="8">
        <v>333</v>
      </c>
      <c r="N55" s="8" t="e">
        <v>#N/A</v>
      </c>
      <c r="O55" s="8" t="e">
        <v>#N/A</v>
      </c>
      <c r="P55" s="2" t="e">
        <v>#N/A</v>
      </c>
      <c r="Q55" s="12" t="e">
        <v>#N/A</v>
      </c>
      <c r="R55" s="13" t="e">
        <v>#N/A</v>
      </c>
      <c r="S55" s="13" t="e">
        <v>#N/A</v>
      </c>
      <c r="T55" s="8"/>
      <c r="U55" s="8"/>
    </row>
    <row r="56" spans="1:21" x14ac:dyDescent="0.25">
      <c r="A56" s="7">
        <v>38018</v>
      </c>
      <c r="B56" t="s">
        <v>75</v>
      </c>
      <c r="C56" s="2">
        <v>76.900000000000006</v>
      </c>
      <c r="D56" s="2">
        <v>-0.5</v>
      </c>
      <c r="E56" s="2">
        <v>94.1</v>
      </c>
      <c r="F56" s="2">
        <v>80.7</v>
      </c>
      <c r="G56" s="2">
        <v>26</v>
      </c>
      <c r="H56" s="2">
        <v>92.1</v>
      </c>
      <c r="I56" s="8">
        <v>8147537</v>
      </c>
      <c r="J56" s="8">
        <v>7863643</v>
      </c>
      <c r="K56" s="8">
        <v>352</v>
      </c>
      <c r="L56" s="8">
        <v>340</v>
      </c>
      <c r="M56" s="8">
        <v>333</v>
      </c>
      <c r="N56" s="8" t="e">
        <v>#N/A</v>
      </c>
      <c r="O56" s="8" t="e">
        <v>#N/A</v>
      </c>
      <c r="P56" s="2" t="e">
        <v>#N/A</v>
      </c>
      <c r="Q56" s="12" t="e">
        <v>#N/A</v>
      </c>
      <c r="R56" s="13" t="e">
        <v>#N/A</v>
      </c>
      <c r="S56" s="13" t="e">
        <v>#N/A</v>
      </c>
      <c r="T56" s="8"/>
      <c r="U56" s="8"/>
    </row>
    <row r="57" spans="1:21" x14ac:dyDescent="0.25">
      <c r="A57" s="7">
        <v>38047</v>
      </c>
      <c r="B57" t="s">
        <v>76</v>
      </c>
      <c r="C57" s="2">
        <v>77.2</v>
      </c>
      <c r="D57" s="2">
        <v>1</v>
      </c>
      <c r="E57" s="2">
        <v>94.7</v>
      </c>
      <c r="F57" s="2">
        <v>81.7</v>
      </c>
      <c r="G57" s="2">
        <v>26.6</v>
      </c>
      <c r="H57" s="2">
        <v>92.6</v>
      </c>
      <c r="I57" s="8">
        <v>10197443</v>
      </c>
      <c r="J57" s="8">
        <v>10007223</v>
      </c>
      <c r="K57" s="8">
        <v>361</v>
      </c>
      <c r="L57" s="8">
        <v>341</v>
      </c>
      <c r="M57" s="8">
        <v>334</v>
      </c>
      <c r="N57" s="8" t="e">
        <v>#N/A</v>
      </c>
      <c r="O57" s="8" t="e">
        <v>#N/A</v>
      </c>
      <c r="P57" s="2" t="e">
        <v>#N/A</v>
      </c>
      <c r="Q57" s="12" t="e">
        <v>#N/A</v>
      </c>
      <c r="R57" s="13" t="e">
        <v>#N/A</v>
      </c>
      <c r="S57" s="13" t="e">
        <v>#N/A</v>
      </c>
      <c r="T57" s="8"/>
      <c r="U57" s="8"/>
    </row>
    <row r="58" spans="1:21" x14ac:dyDescent="0.25">
      <c r="A58" s="7">
        <v>38078</v>
      </c>
      <c r="B58" t="s">
        <v>77</v>
      </c>
      <c r="C58" s="2">
        <v>77.099999999999994</v>
      </c>
      <c r="D58" s="2">
        <v>0.2</v>
      </c>
      <c r="E58" s="2">
        <v>94.9</v>
      </c>
      <c r="F58" s="2">
        <v>81.5</v>
      </c>
      <c r="G58" s="2">
        <v>26.3</v>
      </c>
      <c r="H58" s="2">
        <v>96.1</v>
      </c>
      <c r="I58" s="8">
        <v>8206525</v>
      </c>
      <c r="J58" s="8">
        <v>8204288</v>
      </c>
      <c r="K58" s="8">
        <v>362</v>
      </c>
      <c r="L58" s="8">
        <v>343</v>
      </c>
      <c r="M58" s="8">
        <v>336</v>
      </c>
      <c r="N58" s="8" t="e">
        <v>#N/A</v>
      </c>
      <c r="O58" s="8" t="e">
        <v>#N/A</v>
      </c>
      <c r="P58" s="2" t="e">
        <v>#N/A</v>
      </c>
      <c r="Q58" s="12" t="e">
        <v>#N/A</v>
      </c>
      <c r="R58" s="13" t="e">
        <v>#N/A</v>
      </c>
      <c r="S58" s="13" t="e">
        <v>#N/A</v>
      </c>
      <c r="T58" s="8"/>
      <c r="U58" s="8"/>
    </row>
    <row r="59" spans="1:21" x14ac:dyDescent="0.25">
      <c r="A59" s="7">
        <v>38108</v>
      </c>
      <c r="B59" t="s">
        <v>78</v>
      </c>
      <c r="C59" s="2">
        <v>77.400000000000006</v>
      </c>
      <c r="D59" s="2">
        <v>0.2</v>
      </c>
      <c r="E59" s="2">
        <v>95.5</v>
      </c>
      <c r="F59" s="2">
        <v>82.2</v>
      </c>
      <c r="G59" s="2">
        <v>26.5</v>
      </c>
      <c r="H59" s="2">
        <v>91.2</v>
      </c>
      <c r="I59" s="8">
        <v>8269864</v>
      </c>
      <c r="J59" s="8">
        <v>8257084</v>
      </c>
      <c r="K59" s="8">
        <v>363</v>
      </c>
      <c r="L59" s="8">
        <v>344</v>
      </c>
      <c r="M59" s="8">
        <v>337</v>
      </c>
      <c r="N59" s="8" t="e">
        <v>#N/A</v>
      </c>
      <c r="O59" s="8" t="e">
        <v>#N/A</v>
      </c>
      <c r="P59" s="2" t="e">
        <v>#N/A</v>
      </c>
      <c r="Q59" s="12" t="e">
        <v>#N/A</v>
      </c>
      <c r="R59" s="13" t="e">
        <v>#N/A</v>
      </c>
      <c r="S59" s="13" t="e">
        <v>#N/A</v>
      </c>
      <c r="T59" s="8"/>
      <c r="U59" s="8"/>
    </row>
    <row r="60" spans="1:21" x14ac:dyDescent="0.25">
      <c r="A60" s="7">
        <v>38139</v>
      </c>
      <c r="B60" t="s">
        <v>79</v>
      </c>
      <c r="C60" s="2">
        <v>77.599999999999994</v>
      </c>
      <c r="D60" s="2">
        <v>0.7</v>
      </c>
      <c r="E60" s="2">
        <v>95.7</v>
      </c>
      <c r="F60" s="2">
        <v>82.4</v>
      </c>
      <c r="G60" s="2">
        <v>27.1</v>
      </c>
      <c r="H60" s="2">
        <v>95.6</v>
      </c>
      <c r="I60" s="8">
        <v>10325954</v>
      </c>
      <c r="J60" s="8">
        <v>10335928</v>
      </c>
      <c r="K60" s="8">
        <v>364</v>
      </c>
      <c r="L60" s="8">
        <v>345</v>
      </c>
      <c r="M60" s="8">
        <v>337</v>
      </c>
      <c r="N60" s="8" t="e">
        <v>#N/A</v>
      </c>
      <c r="O60" s="8" t="e">
        <v>#N/A</v>
      </c>
      <c r="P60" s="2" t="e">
        <v>#N/A</v>
      </c>
      <c r="Q60" s="12" t="e">
        <v>#N/A</v>
      </c>
      <c r="R60" s="13" t="e">
        <v>#N/A</v>
      </c>
      <c r="S60" s="13" t="e">
        <v>#N/A</v>
      </c>
      <c r="T60" s="8"/>
      <c r="U60" s="8"/>
    </row>
    <row r="61" spans="1:21" x14ac:dyDescent="0.25">
      <c r="A61" s="7">
        <v>38169</v>
      </c>
      <c r="B61" t="s">
        <v>80</v>
      </c>
      <c r="C61" s="2">
        <v>77.599999999999994</v>
      </c>
      <c r="D61" s="2">
        <v>0.1</v>
      </c>
      <c r="E61" s="2">
        <v>95.8</v>
      </c>
      <c r="F61" s="2">
        <v>82.6</v>
      </c>
      <c r="G61" s="2">
        <v>26.7</v>
      </c>
      <c r="H61" s="2">
        <v>96.4</v>
      </c>
      <c r="I61" s="8">
        <v>8263708</v>
      </c>
      <c r="J61" s="8">
        <v>8206159</v>
      </c>
      <c r="K61" s="8">
        <v>365</v>
      </c>
      <c r="L61" s="8">
        <v>346</v>
      </c>
      <c r="M61" s="8">
        <v>339</v>
      </c>
      <c r="N61" s="8" t="e">
        <v>#N/A</v>
      </c>
      <c r="O61" s="8" t="e">
        <v>#N/A</v>
      </c>
      <c r="P61" s="2" t="e">
        <v>#N/A</v>
      </c>
      <c r="Q61" s="12" t="e">
        <v>#N/A</v>
      </c>
      <c r="R61" s="13" t="e">
        <v>#N/A</v>
      </c>
      <c r="S61" s="13" t="e">
        <v>#N/A</v>
      </c>
      <c r="T61" s="8"/>
      <c r="U61" s="8"/>
    </row>
    <row r="62" spans="1:21" x14ac:dyDescent="0.25">
      <c r="A62" s="7">
        <v>38200</v>
      </c>
      <c r="B62" t="s">
        <v>81</v>
      </c>
      <c r="C62" s="2">
        <v>77.400000000000006</v>
      </c>
      <c r="D62" s="2">
        <v>0.2</v>
      </c>
      <c r="E62" s="2">
        <v>96.9</v>
      </c>
      <c r="F62" s="2">
        <v>82.2</v>
      </c>
      <c r="G62" s="2">
        <v>25.1</v>
      </c>
      <c r="H62" s="2">
        <v>98.8</v>
      </c>
      <c r="I62" s="8">
        <v>8364581</v>
      </c>
      <c r="J62" s="8">
        <v>8196634</v>
      </c>
      <c r="K62" s="8">
        <v>367</v>
      </c>
      <c r="L62" s="8">
        <v>348</v>
      </c>
      <c r="M62" s="8">
        <v>340</v>
      </c>
      <c r="N62" s="8" t="e">
        <v>#N/A</v>
      </c>
      <c r="O62" s="8" t="e">
        <v>#N/A</v>
      </c>
      <c r="P62" s="2" t="e">
        <v>#N/A</v>
      </c>
      <c r="Q62" s="12" t="e">
        <v>#N/A</v>
      </c>
      <c r="R62" s="13" t="e">
        <v>#N/A</v>
      </c>
      <c r="S62" s="13" t="e">
        <v>#N/A</v>
      </c>
      <c r="T62" s="8"/>
      <c r="U62" s="8"/>
    </row>
    <row r="63" spans="1:21" x14ac:dyDescent="0.25">
      <c r="A63" s="7">
        <v>38231</v>
      </c>
      <c r="B63" t="s">
        <v>82</v>
      </c>
      <c r="C63" s="2">
        <v>77.7</v>
      </c>
      <c r="D63" s="2">
        <v>0.4</v>
      </c>
      <c r="E63" s="2">
        <v>96.2</v>
      </c>
      <c r="F63" s="2">
        <v>83.1</v>
      </c>
      <c r="G63" s="2">
        <v>27</v>
      </c>
      <c r="H63" s="2">
        <v>96.8</v>
      </c>
      <c r="I63" s="8">
        <v>10417114</v>
      </c>
      <c r="J63" s="8">
        <v>10055791</v>
      </c>
      <c r="K63" s="8">
        <v>369</v>
      </c>
      <c r="L63" s="8">
        <v>348</v>
      </c>
      <c r="M63" s="8">
        <v>340</v>
      </c>
      <c r="N63" s="8" t="e">
        <v>#N/A</v>
      </c>
      <c r="O63" s="8" t="e">
        <v>#N/A</v>
      </c>
      <c r="P63" s="2" t="e">
        <v>#N/A</v>
      </c>
      <c r="Q63" s="12" t="e">
        <v>#N/A</v>
      </c>
      <c r="R63" s="13" t="e">
        <v>#N/A</v>
      </c>
      <c r="S63" s="13" t="e">
        <v>#N/A</v>
      </c>
      <c r="T63" s="8"/>
      <c r="U63" s="8"/>
    </row>
    <row r="64" spans="1:21" x14ac:dyDescent="0.25">
      <c r="A64" s="7">
        <v>38261</v>
      </c>
      <c r="B64" t="s">
        <v>83</v>
      </c>
      <c r="C64" s="2">
        <v>78</v>
      </c>
      <c r="D64" s="2">
        <v>-0.1</v>
      </c>
      <c r="E64" s="2">
        <v>96.5</v>
      </c>
      <c r="F64" s="2">
        <v>82</v>
      </c>
      <c r="G64" s="2">
        <v>25.8</v>
      </c>
      <c r="H64" s="2">
        <v>103.7</v>
      </c>
      <c r="I64" s="8">
        <v>8374217</v>
      </c>
      <c r="J64" s="8">
        <v>8197175</v>
      </c>
      <c r="K64" s="8">
        <v>372</v>
      </c>
      <c r="L64" s="8">
        <v>350</v>
      </c>
      <c r="M64" s="8">
        <v>342</v>
      </c>
      <c r="N64" s="8" t="e">
        <v>#N/A</v>
      </c>
      <c r="O64" s="8" t="e">
        <v>#N/A</v>
      </c>
      <c r="P64" s="2" t="e">
        <v>#N/A</v>
      </c>
      <c r="Q64" s="12" t="e">
        <v>#N/A</v>
      </c>
      <c r="R64" s="13" t="e">
        <v>#N/A</v>
      </c>
      <c r="S64" s="13" t="e">
        <v>#N/A</v>
      </c>
      <c r="T64" s="8"/>
      <c r="U64" s="8"/>
    </row>
    <row r="65" spans="1:21" x14ac:dyDescent="0.25">
      <c r="A65" s="7">
        <v>38292</v>
      </c>
      <c r="B65" t="s">
        <v>84</v>
      </c>
      <c r="C65" s="2">
        <v>78.099999999999994</v>
      </c>
      <c r="D65" s="2">
        <v>-0.5</v>
      </c>
      <c r="E65" s="2">
        <v>96.3</v>
      </c>
      <c r="F65" s="2">
        <v>82.6</v>
      </c>
      <c r="G65" s="2">
        <v>25.9</v>
      </c>
      <c r="H65" s="2">
        <v>95.1</v>
      </c>
      <c r="I65" s="8">
        <v>8379847</v>
      </c>
      <c r="J65" s="8">
        <v>8614690</v>
      </c>
      <c r="K65" s="8">
        <v>372</v>
      </c>
      <c r="L65" s="8">
        <v>350</v>
      </c>
      <c r="M65" s="8">
        <v>343</v>
      </c>
      <c r="N65" s="8" t="e">
        <v>#N/A</v>
      </c>
      <c r="O65" s="8" t="e">
        <v>#N/A</v>
      </c>
      <c r="P65" s="2" t="e">
        <v>#N/A</v>
      </c>
      <c r="Q65" s="12" t="e">
        <v>#N/A</v>
      </c>
      <c r="R65" s="13" t="e">
        <v>#N/A</v>
      </c>
      <c r="S65" s="13" t="e">
        <v>#N/A</v>
      </c>
      <c r="T65" s="8"/>
      <c r="U65" s="8"/>
    </row>
    <row r="66" spans="1:21" x14ac:dyDescent="0.25">
      <c r="A66" s="7">
        <v>38322</v>
      </c>
      <c r="B66" t="s">
        <v>85</v>
      </c>
      <c r="C66" s="2">
        <v>78.099999999999994</v>
      </c>
      <c r="D66" s="2">
        <v>-0.4</v>
      </c>
      <c r="E66" s="2">
        <v>96.3</v>
      </c>
      <c r="F66" s="2">
        <v>81.7</v>
      </c>
      <c r="G66" s="2">
        <v>27</v>
      </c>
      <c r="H66" s="2">
        <v>94.3</v>
      </c>
      <c r="I66" s="8">
        <v>10450028</v>
      </c>
      <c r="J66" s="8">
        <v>11904783</v>
      </c>
      <c r="K66" s="8">
        <v>373</v>
      </c>
      <c r="L66" s="8">
        <v>353</v>
      </c>
      <c r="M66" s="8">
        <v>346</v>
      </c>
      <c r="N66" s="8" t="e">
        <v>#N/A</v>
      </c>
      <c r="O66" s="8" t="e">
        <v>#N/A</v>
      </c>
      <c r="P66" s="2" t="e">
        <v>#N/A</v>
      </c>
      <c r="Q66" s="12" t="e">
        <v>#N/A</v>
      </c>
      <c r="R66" s="13" t="e">
        <v>#N/A</v>
      </c>
      <c r="S66" s="13" t="e">
        <v>#N/A</v>
      </c>
      <c r="T66" s="8"/>
      <c r="U66" s="8"/>
    </row>
    <row r="67" spans="1:21" x14ac:dyDescent="0.25">
      <c r="A67" s="7">
        <v>38353</v>
      </c>
      <c r="B67" t="s">
        <v>86</v>
      </c>
      <c r="C67" s="2">
        <v>78.8</v>
      </c>
      <c r="D67" s="2">
        <v>0.1</v>
      </c>
      <c r="E67" s="2">
        <v>97.7</v>
      </c>
      <c r="F67" s="2">
        <v>81.8</v>
      </c>
      <c r="G67" s="2">
        <v>26.6</v>
      </c>
      <c r="H67" s="2">
        <v>90</v>
      </c>
      <c r="I67" s="8">
        <v>8544308</v>
      </c>
      <c r="J67" s="8">
        <v>7905254</v>
      </c>
      <c r="K67" s="8">
        <v>379</v>
      </c>
      <c r="L67" s="8">
        <v>354</v>
      </c>
      <c r="M67" s="8">
        <v>346</v>
      </c>
      <c r="N67" s="8" t="e">
        <v>#N/A</v>
      </c>
      <c r="O67" s="8" t="e">
        <v>#N/A</v>
      </c>
      <c r="P67" s="2" t="e">
        <v>#N/A</v>
      </c>
      <c r="Q67" s="12" t="e">
        <v>#N/A</v>
      </c>
      <c r="R67" s="13" t="e">
        <v>#N/A</v>
      </c>
      <c r="S67" s="13" t="e">
        <v>#N/A</v>
      </c>
      <c r="T67" s="8"/>
      <c r="U67" s="8"/>
    </row>
    <row r="68" spans="1:21" x14ac:dyDescent="0.25">
      <c r="A68" s="7">
        <v>38384</v>
      </c>
      <c r="B68" t="s">
        <v>87</v>
      </c>
      <c r="C68" s="2">
        <v>78.8</v>
      </c>
      <c r="D68" s="2">
        <v>0</v>
      </c>
      <c r="E68" s="2">
        <v>96.1</v>
      </c>
      <c r="F68" s="2">
        <v>82.1</v>
      </c>
      <c r="G68" s="2">
        <v>27.2</v>
      </c>
      <c r="H68" s="2">
        <v>94.3</v>
      </c>
      <c r="I68" s="8">
        <v>8440214</v>
      </c>
      <c r="J68" s="8">
        <v>8121184</v>
      </c>
      <c r="K68" s="8">
        <v>371</v>
      </c>
      <c r="L68" s="8">
        <v>354</v>
      </c>
      <c r="M68" s="8">
        <v>347</v>
      </c>
      <c r="N68" s="8" t="e">
        <v>#N/A</v>
      </c>
      <c r="O68" s="8" t="e">
        <v>#N/A</v>
      </c>
      <c r="P68" s="2" t="e">
        <v>#N/A</v>
      </c>
      <c r="Q68" s="12" t="e">
        <v>#N/A</v>
      </c>
      <c r="R68" s="13" t="e">
        <v>#N/A</v>
      </c>
      <c r="S68" s="13" t="e">
        <v>#N/A</v>
      </c>
      <c r="T68" s="8"/>
      <c r="U68" s="8"/>
    </row>
    <row r="69" spans="1:21" x14ac:dyDescent="0.25">
      <c r="A69" s="7">
        <v>38412</v>
      </c>
      <c r="B69" t="s">
        <v>88</v>
      </c>
      <c r="C69" s="2">
        <v>78.5</v>
      </c>
      <c r="D69" s="2">
        <v>-1.1000000000000001</v>
      </c>
      <c r="E69" s="2">
        <v>95.7</v>
      </c>
      <c r="F69" s="2">
        <v>81.2</v>
      </c>
      <c r="G69" s="2">
        <v>25.9</v>
      </c>
      <c r="H69" s="2">
        <v>91.7</v>
      </c>
      <c r="I69" s="8">
        <v>10541537</v>
      </c>
      <c r="J69" s="8">
        <v>10413908</v>
      </c>
      <c r="K69" s="8">
        <v>376</v>
      </c>
      <c r="L69" s="8">
        <v>357</v>
      </c>
      <c r="M69" s="8">
        <v>348</v>
      </c>
      <c r="N69" s="8" t="e">
        <v>#N/A</v>
      </c>
      <c r="O69" s="8" t="e">
        <v>#N/A</v>
      </c>
      <c r="P69" s="2" t="e">
        <v>#N/A</v>
      </c>
      <c r="Q69" s="12" t="e">
        <v>#N/A</v>
      </c>
      <c r="R69" s="13" t="e">
        <v>#N/A</v>
      </c>
      <c r="S69" s="13" t="e">
        <v>#N/A</v>
      </c>
      <c r="T69" s="8"/>
      <c r="U69" s="8"/>
    </row>
    <row r="70" spans="1:21" x14ac:dyDescent="0.25">
      <c r="A70" s="7">
        <v>38443</v>
      </c>
      <c r="B70" t="s">
        <v>89</v>
      </c>
      <c r="C70" s="2">
        <v>79.5</v>
      </c>
      <c r="D70" s="2">
        <v>0.9</v>
      </c>
      <c r="E70" s="2">
        <v>96.7</v>
      </c>
      <c r="F70" s="2">
        <v>81.8</v>
      </c>
      <c r="G70" s="2">
        <v>25.9</v>
      </c>
      <c r="H70" s="2">
        <v>93</v>
      </c>
      <c r="I70" s="8">
        <v>8484060</v>
      </c>
      <c r="J70" s="8">
        <v>8391853</v>
      </c>
      <c r="K70" s="8">
        <v>379</v>
      </c>
      <c r="L70" s="8">
        <v>357</v>
      </c>
      <c r="M70" s="8">
        <v>349</v>
      </c>
      <c r="N70" s="8" t="e">
        <v>#N/A</v>
      </c>
      <c r="O70" s="8" t="e">
        <v>#N/A</v>
      </c>
      <c r="P70" s="2" t="e">
        <v>#N/A</v>
      </c>
      <c r="Q70" s="12" t="e">
        <v>#N/A</v>
      </c>
      <c r="R70" s="13" t="e">
        <v>#N/A</v>
      </c>
      <c r="S70" s="13" t="e">
        <v>#N/A</v>
      </c>
      <c r="T70" s="8"/>
      <c r="U70" s="8"/>
    </row>
    <row r="71" spans="1:21" x14ac:dyDescent="0.25">
      <c r="A71" s="7">
        <v>38473</v>
      </c>
      <c r="B71" t="s">
        <v>90</v>
      </c>
      <c r="C71" s="2">
        <v>79.2</v>
      </c>
      <c r="D71" s="2">
        <v>-0.5</v>
      </c>
      <c r="E71" s="2">
        <v>96.4</v>
      </c>
      <c r="F71" s="2">
        <v>81</v>
      </c>
      <c r="G71" s="2">
        <v>25.1</v>
      </c>
      <c r="H71" s="2">
        <v>95.2</v>
      </c>
      <c r="I71" s="8">
        <v>8487110</v>
      </c>
      <c r="J71" s="8">
        <v>8463178</v>
      </c>
      <c r="K71" s="8">
        <v>380</v>
      </c>
      <c r="L71" s="8">
        <v>358</v>
      </c>
      <c r="M71" s="8">
        <v>349</v>
      </c>
      <c r="N71" s="8" t="e">
        <v>#N/A</v>
      </c>
      <c r="O71" s="8" t="e">
        <v>#N/A</v>
      </c>
      <c r="P71" s="2" t="e">
        <v>#N/A</v>
      </c>
      <c r="Q71" s="12" t="e">
        <v>#N/A</v>
      </c>
      <c r="R71" s="13" t="e">
        <v>#N/A</v>
      </c>
      <c r="S71" s="13" t="e">
        <v>#N/A</v>
      </c>
      <c r="T71" s="8"/>
      <c r="U71" s="8"/>
    </row>
    <row r="72" spans="1:21" x14ac:dyDescent="0.25">
      <c r="A72" s="7">
        <v>38504</v>
      </c>
      <c r="B72" t="s">
        <v>91</v>
      </c>
      <c r="C72" s="2">
        <v>79.7</v>
      </c>
      <c r="D72" s="2">
        <v>0.6</v>
      </c>
      <c r="E72" s="2">
        <v>96.5</v>
      </c>
      <c r="F72" s="2">
        <v>81.7</v>
      </c>
      <c r="G72" s="2">
        <v>24.8</v>
      </c>
      <c r="H72" s="2">
        <v>97.2</v>
      </c>
      <c r="I72" s="8">
        <v>10676048</v>
      </c>
      <c r="J72" s="8">
        <v>10701916</v>
      </c>
      <c r="K72" s="8">
        <v>380</v>
      </c>
      <c r="L72" s="8">
        <v>359</v>
      </c>
      <c r="M72" s="8">
        <v>351</v>
      </c>
      <c r="N72" s="8" t="e">
        <v>#N/A</v>
      </c>
      <c r="O72" s="8" t="e">
        <v>#N/A</v>
      </c>
      <c r="P72" s="2" t="e">
        <v>#N/A</v>
      </c>
      <c r="Q72" s="12" t="e">
        <v>#N/A</v>
      </c>
      <c r="R72" s="13" t="e">
        <v>#N/A</v>
      </c>
      <c r="S72" s="13" t="e">
        <v>#N/A</v>
      </c>
      <c r="T72" s="8"/>
      <c r="U72" s="8"/>
    </row>
    <row r="73" spans="1:21" x14ac:dyDescent="0.25">
      <c r="A73" s="7">
        <v>38534</v>
      </c>
      <c r="B73" t="s">
        <v>92</v>
      </c>
      <c r="C73" s="2">
        <v>80.099999999999994</v>
      </c>
      <c r="D73" s="2">
        <v>-0.3</v>
      </c>
      <c r="E73" s="2">
        <v>97</v>
      </c>
      <c r="F73" s="2">
        <v>81.2</v>
      </c>
      <c r="G73" s="2">
        <v>24.5</v>
      </c>
      <c r="H73" s="2">
        <v>95.3</v>
      </c>
      <c r="I73" s="8">
        <v>8568239</v>
      </c>
      <c r="J73" s="8">
        <v>8522520</v>
      </c>
      <c r="K73" s="8">
        <v>383</v>
      </c>
      <c r="L73" s="8">
        <v>362</v>
      </c>
      <c r="M73" s="8">
        <v>353</v>
      </c>
      <c r="N73" s="8" t="e">
        <v>#N/A</v>
      </c>
      <c r="O73" s="8" t="e">
        <v>#N/A</v>
      </c>
      <c r="P73" s="2" t="e">
        <v>#N/A</v>
      </c>
      <c r="Q73" s="12" t="e">
        <v>#N/A</v>
      </c>
      <c r="R73" s="13" t="e">
        <v>#N/A</v>
      </c>
      <c r="S73" s="13" t="e">
        <v>#N/A</v>
      </c>
      <c r="T73" s="8"/>
      <c r="U73" s="8"/>
    </row>
    <row r="74" spans="1:21" x14ac:dyDescent="0.25">
      <c r="A74" s="7">
        <v>38565</v>
      </c>
      <c r="B74" t="s">
        <v>93</v>
      </c>
      <c r="C74" s="2">
        <v>80.099999999999994</v>
      </c>
      <c r="D74" s="2">
        <v>-0.8</v>
      </c>
      <c r="E74" s="2">
        <v>96.2</v>
      </c>
      <c r="F74" s="2">
        <v>81.5</v>
      </c>
      <c r="G74" s="2">
        <v>24.5</v>
      </c>
      <c r="H74" s="2">
        <v>88.6</v>
      </c>
      <c r="I74" s="8">
        <v>8509736</v>
      </c>
      <c r="J74" s="8">
        <v>8334221</v>
      </c>
      <c r="K74" s="8">
        <v>386</v>
      </c>
      <c r="L74" s="8">
        <v>363</v>
      </c>
      <c r="M74" s="8">
        <v>355</v>
      </c>
      <c r="N74" s="8" t="e">
        <v>#N/A</v>
      </c>
      <c r="O74" s="8" t="e">
        <v>#N/A</v>
      </c>
      <c r="P74" s="2" t="e">
        <v>#N/A</v>
      </c>
      <c r="Q74" s="12" t="e">
        <v>#N/A</v>
      </c>
      <c r="R74" s="13" t="e">
        <v>#N/A</v>
      </c>
      <c r="S74" s="13" t="e">
        <v>#N/A</v>
      </c>
      <c r="T74" s="8"/>
      <c r="U74" s="8"/>
    </row>
    <row r="75" spans="1:21" x14ac:dyDescent="0.25">
      <c r="A75" s="7">
        <v>38596</v>
      </c>
      <c r="B75" t="s">
        <v>94</v>
      </c>
      <c r="C75" s="2">
        <v>80.400000000000006</v>
      </c>
      <c r="D75" s="2">
        <v>0.2</v>
      </c>
      <c r="E75" s="2">
        <v>96.6</v>
      </c>
      <c r="F75" s="2">
        <v>81.900000000000006</v>
      </c>
      <c r="G75" s="2">
        <v>24.2</v>
      </c>
      <c r="H75" s="2">
        <v>87.1</v>
      </c>
      <c r="I75" s="8">
        <v>10691889</v>
      </c>
      <c r="J75" s="8">
        <v>10335391</v>
      </c>
      <c r="K75" s="8">
        <v>387</v>
      </c>
      <c r="L75" s="8">
        <v>364</v>
      </c>
      <c r="M75" s="8">
        <v>355</v>
      </c>
      <c r="N75" s="8" t="e">
        <v>#N/A</v>
      </c>
      <c r="O75" s="8" t="e">
        <v>#N/A</v>
      </c>
      <c r="P75" s="2" t="e">
        <v>#N/A</v>
      </c>
      <c r="Q75" s="12" t="e">
        <v>#N/A</v>
      </c>
      <c r="R75" s="13" t="e">
        <v>#N/A</v>
      </c>
      <c r="S75" s="13" t="e">
        <v>#N/A</v>
      </c>
      <c r="T75" s="8"/>
      <c r="U75" s="8"/>
    </row>
    <row r="76" spans="1:21" x14ac:dyDescent="0.25">
      <c r="A76" s="7">
        <v>38626</v>
      </c>
      <c r="B76" t="s">
        <v>95</v>
      </c>
      <c r="C76" s="2">
        <v>80.2</v>
      </c>
      <c r="D76" s="2">
        <v>0.4</v>
      </c>
      <c r="E76" s="2">
        <v>97.2</v>
      </c>
      <c r="F76" s="2">
        <v>82.2</v>
      </c>
      <c r="G76" s="2">
        <v>24.7</v>
      </c>
      <c r="H76" s="2">
        <v>85.3</v>
      </c>
      <c r="I76" s="8">
        <v>8598744</v>
      </c>
      <c r="J76" s="8">
        <v>8418509</v>
      </c>
      <c r="K76" s="8">
        <v>388</v>
      </c>
      <c r="L76" s="8">
        <v>365</v>
      </c>
      <c r="M76" s="8">
        <v>356</v>
      </c>
      <c r="N76" s="8" t="e">
        <v>#N/A</v>
      </c>
      <c r="O76" s="8" t="e">
        <v>#N/A</v>
      </c>
      <c r="P76" s="2" t="e">
        <v>#N/A</v>
      </c>
      <c r="Q76" s="12" t="e">
        <v>#N/A</v>
      </c>
      <c r="R76" s="13" t="e">
        <v>#N/A</v>
      </c>
      <c r="S76" s="13" t="e">
        <v>#N/A</v>
      </c>
      <c r="T76" s="8"/>
      <c r="U76" s="8"/>
    </row>
    <row r="77" spans="1:21" x14ac:dyDescent="0.25">
      <c r="A77" s="7">
        <v>38657</v>
      </c>
      <c r="B77" t="s">
        <v>96</v>
      </c>
      <c r="C77" s="2">
        <v>81</v>
      </c>
      <c r="D77" s="2">
        <v>0.9</v>
      </c>
      <c r="E77" s="2">
        <v>97.8</v>
      </c>
      <c r="F77" s="2">
        <v>83</v>
      </c>
      <c r="G77" s="2">
        <v>24.4</v>
      </c>
      <c r="H77" s="2">
        <v>87.1</v>
      </c>
      <c r="I77" s="8">
        <v>8672364</v>
      </c>
      <c r="J77" s="8">
        <v>8905252</v>
      </c>
      <c r="K77" s="8">
        <v>390</v>
      </c>
      <c r="L77" s="8">
        <v>365</v>
      </c>
      <c r="M77" s="8">
        <v>356</v>
      </c>
      <c r="N77" s="8" t="e">
        <v>#N/A</v>
      </c>
      <c r="O77" s="8" t="e">
        <v>#N/A</v>
      </c>
      <c r="P77" s="2" t="e">
        <v>#N/A</v>
      </c>
      <c r="Q77" s="12" t="e">
        <v>#N/A</v>
      </c>
      <c r="R77" s="13" t="e">
        <v>#N/A</v>
      </c>
      <c r="S77" s="13" t="e">
        <v>#N/A</v>
      </c>
      <c r="T77" s="8"/>
      <c r="U77" s="8"/>
    </row>
    <row r="78" spans="1:21" x14ac:dyDescent="0.25">
      <c r="A78" s="7">
        <v>38687</v>
      </c>
      <c r="B78" t="s">
        <v>97</v>
      </c>
      <c r="C78" s="2">
        <v>81.7</v>
      </c>
      <c r="D78" s="2">
        <v>-0.7</v>
      </c>
      <c r="E78" s="2">
        <v>96.6</v>
      </c>
      <c r="F78" s="2">
        <v>82.6</v>
      </c>
      <c r="G78" s="2">
        <v>24.8</v>
      </c>
      <c r="H78" s="2">
        <v>87</v>
      </c>
      <c r="I78" s="8">
        <v>10781982</v>
      </c>
      <c r="J78" s="8">
        <v>12479844</v>
      </c>
      <c r="K78" s="8">
        <v>390</v>
      </c>
      <c r="L78" s="8">
        <v>366</v>
      </c>
      <c r="M78" s="8">
        <v>357</v>
      </c>
      <c r="N78" s="8" t="e">
        <v>#N/A</v>
      </c>
      <c r="O78" s="8" t="e">
        <v>#N/A</v>
      </c>
      <c r="P78" s="2" t="e">
        <v>#N/A</v>
      </c>
      <c r="Q78" s="12" t="e">
        <v>#N/A</v>
      </c>
      <c r="R78" s="13" t="e">
        <v>#N/A</v>
      </c>
      <c r="S78" s="13" t="e">
        <v>#N/A</v>
      </c>
      <c r="T78" s="8"/>
      <c r="U78" s="8"/>
    </row>
    <row r="79" spans="1:21" x14ac:dyDescent="0.25">
      <c r="A79" s="7">
        <v>38718</v>
      </c>
      <c r="B79" t="s">
        <v>98</v>
      </c>
      <c r="C79" s="2">
        <v>81.400000000000006</v>
      </c>
      <c r="D79" s="2">
        <v>1.4</v>
      </c>
      <c r="E79" s="2">
        <v>96.4</v>
      </c>
      <c r="F79" s="2">
        <v>82.6</v>
      </c>
      <c r="G79" s="2">
        <v>24.6</v>
      </c>
      <c r="H79" s="2">
        <v>101.4</v>
      </c>
      <c r="I79" s="8">
        <v>8606551</v>
      </c>
      <c r="J79" s="8">
        <v>7906259</v>
      </c>
      <c r="K79" s="8">
        <v>391</v>
      </c>
      <c r="L79" s="8">
        <v>368</v>
      </c>
      <c r="M79" s="8">
        <v>360</v>
      </c>
      <c r="N79" s="8" t="e">
        <v>#N/A</v>
      </c>
      <c r="O79" s="8" t="e">
        <v>#N/A</v>
      </c>
      <c r="P79" s="2" t="e">
        <v>#N/A</v>
      </c>
      <c r="Q79" s="12" t="e">
        <v>#N/A</v>
      </c>
      <c r="R79" s="13" t="e">
        <v>#N/A</v>
      </c>
      <c r="S79" s="13" t="e">
        <v>#N/A</v>
      </c>
      <c r="T79" s="8"/>
      <c r="U79" s="8"/>
    </row>
    <row r="80" spans="1:21" x14ac:dyDescent="0.25">
      <c r="A80" s="7">
        <v>38749</v>
      </c>
      <c r="B80" t="s">
        <v>99</v>
      </c>
      <c r="C80" s="2">
        <v>81.3</v>
      </c>
      <c r="D80" s="2">
        <v>-0.1</v>
      </c>
      <c r="E80" s="2">
        <v>97.1</v>
      </c>
      <c r="F80" s="2">
        <v>82.2</v>
      </c>
      <c r="G80" s="2">
        <v>24.4</v>
      </c>
      <c r="H80" s="2">
        <v>100</v>
      </c>
      <c r="I80" s="8">
        <v>8679092</v>
      </c>
      <c r="J80" s="8">
        <v>8347931</v>
      </c>
      <c r="K80" s="8">
        <v>392</v>
      </c>
      <c r="L80" s="8">
        <v>369</v>
      </c>
      <c r="M80" s="8">
        <v>361</v>
      </c>
      <c r="N80" s="8" t="e">
        <v>#N/A</v>
      </c>
      <c r="O80" s="8" t="e">
        <v>#N/A</v>
      </c>
      <c r="P80" s="2" t="e">
        <v>#N/A</v>
      </c>
      <c r="Q80" s="12" t="e">
        <v>#N/A</v>
      </c>
      <c r="R80" s="13" t="e">
        <v>#N/A</v>
      </c>
      <c r="S80" s="13" t="e">
        <v>#N/A</v>
      </c>
      <c r="T80" s="8"/>
      <c r="U80" s="8"/>
    </row>
    <row r="81" spans="1:21" x14ac:dyDescent="0.25">
      <c r="A81" s="7">
        <v>38777</v>
      </c>
      <c r="B81" t="s">
        <v>100</v>
      </c>
      <c r="C81" s="2">
        <v>81.7</v>
      </c>
      <c r="D81" s="2">
        <v>0.9</v>
      </c>
      <c r="E81" s="2">
        <v>97.6</v>
      </c>
      <c r="F81" s="2">
        <v>82.3</v>
      </c>
      <c r="G81" s="2">
        <v>26.1</v>
      </c>
      <c r="H81" s="2">
        <v>104.2</v>
      </c>
      <c r="I81" s="8">
        <v>10895235</v>
      </c>
      <c r="J81" s="8">
        <v>10535311</v>
      </c>
      <c r="K81" s="8">
        <v>398</v>
      </c>
      <c r="L81" s="8">
        <v>370</v>
      </c>
      <c r="M81" s="8">
        <v>362</v>
      </c>
      <c r="N81" s="8" t="e">
        <v>#N/A</v>
      </c>
      <c r="O81" s="8" t="e">
        <v>#N/A</v>
      </c>
      <c r="P81" s="2" t="e">
        <v>#N/A</v>
      </c>
      <c r="Q81" s="12" t="e">
        <v>#N/A</v>
      </c>
      <c r="R81" s="13" t="e">
        <v>#N/A</v>
      </c>
      <c r="S81" s="13" t="e">
        <v>#N/A</v>
      </c>
      <c r="T81" s="8"/>
      <c r="U81" s="8"/>
    </row>
    <row r="82" spans="1:21" x14ac:dyDescent="0.25">
      <c r="A82" s="7">
        <v>38808</v>
      </c>
      <c r="B82" t="s">
        <v>101</v>
      </c>
      <c r="C82" s="2">
        <v>81.5</v>
      </c>
      <c r="D82" s="2">
        <v>-0.6</v>
      </c>
      <c r="E82" s="2">
        <v>96.4</v>
      </c>
      <c r="F82" s="2">
        <v>83.5</v>
      </c>
      <c r="G82" s="2">
        <v>24.7</v>
      </c>
      <c r="H82" s="2">
        <v>98.3</v>
      </c>
      <c r="I82" s="8">
        <v>8568650</v>
      </c>
      <c r="J82" s="8">
        <v>8684616</v>
      </c>
      <c r="K82" s="8">
        <v>395</v>
      </c>
      <c r="L82" s="8">
        <v>371</v>
      </c>
      <c r="M82" s="8">
        <v>363</v>
      </c>
      <c r="N82" s="8" t="e">
        <v>#N/A</v>
      </c>
      <c r="O82" s="8" t="e">
        <v>#N/A</v>
      </c>
      <c r="P82" s="2" t="e">
        <v>#N/A</v>
      </c>
      <c r="Q82" s="12" t="e">
        <v>#N/A</v>
      </c>
      <c r="R82" s="13" t="e">
        <v>#N/A</v>
      </c>
      <c r="S82" s="13" t="e">
        <v>#N/A</v>
      </c>
      <c r="T82" s="8"/>
      <c r="U82" s="8"/>
    </row>
    <row r="83" spans="1:21" x14ac:dyDescent="0.25">
      <c r="A83" s="7">
        <v>38838</v>
      </c>
      <c r="B83" t="s">
        <v>102</v>
      </c>
      <c r="C83" s="2">
        <v>81.8</v>
      </c>
      <c r="D83" s="2">
        <v>0.8</v>
      </c>
      <c r="E83" s="2">
        <v>96.9</v>
      </c>
      <c r="F83" s="2">
        <v>84</v>
      </c>
      <c r="G83" s="2">
        <v>25.1</v>
      </c>
      <c r="H83" s="2">
        <v>100.9</v>
      </c>
      <c r="I83" s="8">
        <v>8701537</v>
      </c>
      <c r="J83" s="8">
        <v>8671029</v>
      </c>
      <c r="K83" s="8">
        <v>397</v>
      </c>
      <c r="L83" s="8">
        <v>373</v>
      </c>
      <c r="M83" s="8">
        <v>365</v>
      </c>
      <c r="N83" s="8" t="e">
        <v>#N/A</v>
      </c>
      <c r="O83" s="8" t="e">
        <v>#N/A</v>
      </c>
      <c r="P83" s="2" t="e">
        <v>#N/A</v>
      </c>
      <c r="Q83" s="12" t="e">
        <v>#N/A</v>
      </c>
      <c r="R83" s="13" t="e">
        <v>#N/A</v>
      </c>
      <c r="S83" s="13" t="e">
        <v>#N/A</v>
      </c>
      <c r="T83" s="8"/>
      <c r="U83" s="8"/>
    </row>
    <row r="84" spans="1:21" x14ac:dyDescent="0.25">
      <c r="A84" s="7">
        <v>38869</v>
      </c>
      <c r="B84" t="s">
        <v>103</v>
      </c>
      <c r="C84" s="2">
        <v>82</v>
      </c>
      <c r="D84" s="2">
        <v>0.3</v>
      </c>
      <c r="E84" s="2">
        <v>98.4</v>
      </c>
      <c r="F84" s="2">
        <v>83.5</v>
      </c>
      <c r="G84" s="2">
        <v>25.4</v>
      </c>
      <c r="H84" s="2">
        <v>100.3</v>
      </c>
      <c r="I84" s="8">
        <v>11123254</v>
      </c>
      <c r="J84" s="8">
        <v>11167349</v>
      </c>
      <c r="K84" s="8">
        <v>401</v>
      </c>
      <c r="L84" s="8">
        <v>374</v>
      </c>
      <c r="M84" s="8">
        <v>366</v>
      </c>
      <c r="N84" s="8" t="e">
        <v>#N/A</v>
      </c>
      <c r="O84" s="8" t="e">
        <v>#N/A</v>
      </c>
      <c r="P84" s="2" t="e">
        <v>#N/A</v>
      </c>
      <c r="Q84" s="12" t="e">
        <v>#N/A</v>
      </c>
      <c r="R84" s="13" t="e">
        <v>#N/A</v>
      </c>
      <c r="S84" s="13" t="e">
        <v>#N/A</v>
      </c>
      <c r="T84" s="8"/>
      <c r="U84" s="8"/>
    </row>
    <row r="85" spans="1:21" x14ac:dyDescent="0.25">
      <c r="A85" s="7">
        <v>38899</v>
      </c>
      <c r="B85" t="s">
        <v>104</v>
      </c>
      <c r="C85" s="2">
        <v>81.599999999999994</v>
      </c>
      <c r="D85" s="2">
        <v>-0.1</v>
      </c>
      <c r="E85" s="2">
        <v>99.2</v>
      </c>
      <c r="F85" s="2">
        <v>83.2</v>
      </c>
      <c r="G85" s="2">
        <v>23.7</v>
      </c>
      <c r="H85" s="2">
        <v>100.4</v>
      </c>
      <c r="I85" s="8">
        <v>9009369</v>
      </c>
      <c r="J85" s="8">
        <v>8974872</v>
      </c>
      <c r="K85" s="8">
        <v>401</v>
      </c>
      <c r="L85" s="8">
        <v>375</v>
      </c>
      <c r="M85" s="8">
        <v>366</v>
      </c>
      <c r="N85" s="8" t="e">
        <v>#N/A</v>
      </c>
      <c r="O85" s="8" t="e">
        <v>#N/A</v>
      </c>
      <c r="P85" s="2" t="e">
        <v>#N/A</v>
      </c>
      <c r="Q85" s="12" t="e">
        <v>#N/A</v>
      </c>
      <c r="R85" s="13" t="e">
        <v>#N/A</v>
      </c>
      <c r="S85" s="13" t="e">
        <v>#N/A</v>
      </c>
      <c r="T85" s="8"/>
      <c r="U85" s="8"/>
    </row>
    <row r="86" spans="1:21" x14ac:dyDescent="0.25">
      <c r="A86" s="7">
        <v>38930</v>
      </c>
      <c r="B86" t="s">
        <v>105</v>
      </c>
      <c r="C86" s="2">
        <v>81.900000000000006</v>
      </c>
      <c r="D86" s="2">
        <v>0.1</v>
      </c>
      <c r="E86" s="2">
        <v>97.6</v>
      </c>
      <c r="F86" s="2">
        <v>84</v>
      </c>
      <c r="G86" s="2">
        <v>25.9</v>
      </c>
      <c r="H86" s="2">
        <v>99.4</v>
      </c>
      <c r="I86" s="8">
        <v>8878497</v>
      </c>
      <c r="J86" s="8">
        <v>8687390</v>
      </c>
      <c r="K86" s="8">
        <v>401</v>
      </c>
      <c r="L86" s="8">
        <v>375</v>
      </c>
      <c r="M86" s="8">
        <v>367</v>
      </c>
      <c r="N86" s="8" t="e">
        <v>#N/A</v>
      </c>
      <c r="O86" s="8" t="e">
        <v>#N/A</v>
      </c>
      <c r="P86" s="2" t="e">
        <v>#N/A</v>
      </c>
      <c r="Q86" s="12" t="e">
        <v>#N/A</v>
      </c>
      <c r="R86" s="13" t="e">
        <v>#N/A</v>
      </c>
      <c r="S86" s="13" t="e">
        <v>#N/A</v>
      </c>
      <c r="T86" s="8"/>
      <c r="U86" s="8"/>
    </row>
    <row r="87" spans="1:21" x14ac:dyDescent="0.25">
      <c r="A87" s="7">
        <v>38961</v>
      </c>
      <c r="B87" t="s">
        <v>106</v>
      </c>
      <c r="C87" s="2">
        <v>82.2</v>
      </c>
      <c r="D87" s="2">
        <v>-0.4</v>
      </c>
      <c r="E87" s="2">
        <v>97.8</v>
      </c>
      <c r="F87" s="2">
        <v>83</v>
      </c>
      <c r="G87" s="2">
        <v>25.3</v>
      </c>
      <c r="H87" s="2">
        <v>101.9</v>
      </c>
      <c r="I87" s="8">
        <v>11198344</v>
      </c>
      <c r="J87" s="8">
        <v>10833049</v>
      </c>
      <c r="K87" s="8">
        <v>402</v>
      </c>
      <c r="L87" s="8">
        <v>377</v>
      </c>
      <c r="M87" s="8">
        <v>369</v>
      </c>
      <c r="N87" s="8" t="e">
        <v>#N/A</v>
      </c>
      <c r="O87" s="8" t="e">
        <v>#N/A</v>
      </c>
      <c r="P87" s="2" t="e">
        <v>#N/A</v>
      </c>
      <c r="Q87" s="12" t="e">
        <v>#N/A</v>
      </c>
      <c r="R87" s="13" t="e">
        <v>#N/A</v>
      </c>
      <c r="S87" s="13" t="e">
        <v>#N/A</v>
      </c>
      <c r="T87" s="8"/>
      <c r="U87" s="8"/>
    </row>
    <row r="88" spans="1:21" x14ac:dyDescent="0.25">
      <c r="A88" s="7">
        <v>38991</v>
      </c>
      <c r="B88" t="s">
        <v>107</v>
      </c>
      <c r="C88" s="2">
        <v>81.8</v>
      </c>
      <c r="D88" s="2">
        <v>1.3</v>
      </c>
      <c r="E88" s="2">
        <v>98</v>
      </c>
      <c r="F88" s="2">
        <v>84.9</v>
      </c>
      <c r="G88" s="2">
        <v>25.6</v>
      </c>
      <c r="H88" s="2">
        <v>102.7</v>
      </c>
      <c r="I88" s="8">
        <v>8978807</v>
      </c>
      <c r="J88" s="8">
        <v>8789535</v>
      </c>
      <c r="K88" s="8">
        <v>405</v>
      </c>
      <c r="L88" s="8">
        <v>379</v>
      </c>
      <c r="M88" s="8">
        <v>372</v>
      </c>
      <c r="N88" s="8" t="e">
        <v>#N/A</v>
      </c>
      <c r="O88" s="8" t="e">
        <v>#N/A</v>
      </c>
      <c r="P88" s="2" t="e">
        <v>#N/A</v>
      </c>
      <c r="Q88" s="12" t="e">
        <v>#N/A</v>
      </c>
      <c r="R88" s="13" t="e">
        <v>#N/A</v>
      </c>
      <c r="S88" s="13" t="e">
        <v>#N/A</v>
      </c>
      <c r="T88" s="8"/>
      <c r="U88" s="8"/>
    </row>
    <row r="89" spans="1:21" x14ac:dyDescent="0.25">
      <c r="A89" s="7">
        <v>39022</v>
      </c>
      <c r="B89" t="s">
        <v>108</v>
      </c>
      <c r="C89" s="2">
        <v>82.2</v>
      </c>
      <c r="D89" s="2">
        <v>0.1</v>
      </c>
      <c r="E89" s="2">
        <v>98</v>
      </c>
      <c r="F89" s="2">
        <v>85.2</v>
      </c>
      <c r="G89" s="2">
        <v>25.6</v>
      </c>
      <c r="H89" s="2">
        <v>101.9</v>
      </c>
      <c r="I89" s="8">
        <v>8998261</v>
      </c>
      <c r="J89" s="8">
        <v>9231948</v>
      </c>
      <c r="K89" s="8">
        <v>407</v>
      </c>
      <c r="L89" s="8">
        <v>380</v>
      </c>
      <c r="M89" s="8">
        <v>372</v>
      </c>
      <c r="N89" s="8" t="e">
        <v>#N/A</v>
      </c>
      <c r="O89" s="8" t="e">
        <v>#N/A</v>
      </c>
      <c r="P89" s="2" t="e">
        <v>#N/A</v>
      </c>
      <c r="Q89" s="12" t="e">
        <v>#N/A</v>
      </c>
      <c r="R89" s="13" t="e">
        <v>#N/A</v>
      </c>
      <c r="S89" s="13" t="e">
        <v>#N/A</v>
      </c>
      <c r="T89" s="8"/>
      <c r="U89" s="8"/>
    </row>
    <row r="90" spans="1:21" x14ac:dyDescent="0.25">
      <c r="A90" s="7">
        <v>39052</v>
      </c>
      <c r="B90" t="s">
        <v>109</v>
      </c>
      <c r="C90" s="2">
        <v>82.9</v>
      </c>
      <c r="D90" s="2">
        <v>0.7</v>
      </c>
      <c r="E90" s="2">
        <v>98.9</v>
      </c>
      <c r="F90" s="2">
        <v>86.7</v>
      </c>
      <c r="G90" s="2">
        <v>25.6</v>
      </c>
      <c r="H90" s="2">
        <v>97.5</v>
      </c>
      <c r="I90" s="8">
        <v>11323166</v>
      </c>
      <c r="J90" s="8">
        <v>13168474</v>
      </c>
      <c r="K90" s="8">
        <v>412</v>
      </c>
      <c r="L90" s="8">
        <v>381</v>
      </c>
      <c r="M90" s="8">
        <v>373</v>
      </c>
      <c r="N90" s="8" t="e">
        <v>#N/A</v>
      </c>
      <c r="O90" s="8" t="e">
        <v>#N/A</v>
      </c>
      <c r="P90" s="2" t="e">
        <v>#N/A</v>
      </c>
      <c r="Q90" s="12" t="e">
        <v>#N/A</v>
      </c>
      <c r="R90" s="13" t="e">
        <v>#N/A</v>
      </c>
      <c r="S90" s="13" t="e">
        <v>#N/A</v>
      </c>
      <c r="T90" s="8"/>
      <c r="U90" s="8"/>
    </row>
    <row r="91" spans="1:21" x14ac:dyDescent="0.25">
      <c r="A91" s="7">
        <v>39083</v>
      </c>
      <c r="B91" t="s">
        <v>110</v>
      </c>
      <c r="C91" s="2">
        <v>82.9</v>
      </c>
      <c r="D91" s="2">
        <v>-0.7</v>
      </c>
      <c r="E91" s="2">
        <v>98.6</v>
      </c>
      <c r="F91" s="2">
        <v>84.5</v>
      </c>
      <c r="G91" s="2">
        <v>25.8</v>
      </c>
      <c r="H91" s="2">
        <v>103.1</v>
      </c>
      <c r="I91" s="8">
        <v>9051062</v>
      </c>
      <c r="J91" s="8">
        <v>8266742</v>
      </c>
      <c r="K91" s="8">
        <v>415</v>
      </c>
      <c r="L91" s="8">
        <v>382</v>
      </c>
      <c r="M91" s="8">
        <v>373</v>
      </c>
      <c r="N91" s="8" t="e">
        <v>#N/A</v>
      </c>
      <c r="O91" s="8" t="e">
        <v>#N/A</v>
      </c>
      <c r="P91" s="2" t="e">
        <v>#N/A</v>
      </c>
      <c r="Q91" s="12" t="e">
        <v>#N/A</v>
      </c>
      <c r="R91" s="13" t="e">
        <v>#N/A</v>
      </c>
      <c r="S91" s="13" t="e">
        <v>#N/A</v>
      </c>
      <c r="T91" s="8"/>
      <c r="U91" s="8"/>
    </row>
    <row r="92" spans="1:21" x14ac:dyDescent="0.25">
      <c r="A92" s="7">
        <v>39114</v>
      </c>
      <c r="B92" t="s">
        <v>111</v>
      </c>
      <c r="C92" s="2">
        <v>83.2</v>
      </c>
      <c r="D92" s="2">
        <v>1.2</v>
      </c>
      <c r="E92" s="2">
        <v>98.8</v>
      </c>
      <c r="F92" s="2">
        <v>86.5</v>
      </c>
      <c r="G92" s="2">
        <v>25.9</v>
      </c>
      <c r="H92" s="2">
        <v>103.1</v>
      </c>
      <c r="I92" s="8">
        <v>9112167</v>
      </c>
      <c r="J92" s="8">
        <v>8754103</v>
      </c>
      <c r="K92" s="8">
        <v>419</v>
      </c>
      <c r="L92" s="8">
        <v>384</v>
      </c>
      <c r="M92" s="8">
        <v>376</v>
      </c>
      <c r="N92" s="8" t="e">
        <v>#N/A</v>
      </c>
      <c r="O92" s="8" t="e">
        <v>#N/A</v>
      </c>
      <c r="P92" s="2" t="e">
        <v>#N/A</v>
      </c>
      <c r="Q92" s="12" t="e">
        <v>#N/A</v>
      </c>
      <c r="R92" s="13" t="e">
        <v>#N/A</v>
      </c>
      <c r="S92" s="13" t="e">
        <v>#N/A</v>
      </c>
      <c r="T92" s="8"/>
      <c r="U92" s="8"/>
    </row>
    <row r="93" spans="1:21" x14ac:dyDescent="0.25">
      <c r="A93" s="7">
        <v>39142</v>
      </c>
      <c r="B93" t="s">
        <v>112</v>
      </c>
      <c r="C93" s="2">
        <v>83.3</v>
      </c>
      <c r="D93" s="2">
        <v>0.4</v>
      </c>
      <c r="E93" s="2">
        <v>98.6</v>
      </c>
      <c r="F93" s="2">
        <v>87.1</v>
      </c>
      <c r="G93" s="2">
        <v>25.6</v>
      </c>
      <c r="H93" s="2">
        <v>104.8</v>
      </c>
      <c r="I93" s="8">
        <v>11461352</v>
      </c>
      <c r="J93" s="8">
        <v>11203786</v>
      </c>
      <c r="K93" s="8">
        <v>417</v>
      </c>
      <c r="L93" s="8">
        <v>385</v>
      </c>
      <c r="M93" s="8">
        <v>378</v>
      </c>
      <c r="N93" s="8" t="e">
        <v>#N/A</v>
      </c>
      <c r="O93" s="8" t="e">
        <v>#N/A</v>
      </c>
      <c r="P93" s="2" t="e">
        <v>#N/A</v>
      </c>
      <c r="Q93" s="12" t="e">
        <v>#N/A</v>
      </c>
      <c r="R93" s="13" t="e">
        <v>#N/A</v>
      </c>
      <c r="S93" s="13" t="e">
        <v>#N/A</v>
      </c>
      <c r="T93" s="8"/>
      <c r="U93" s="8"/>
    </row>
    <row r="94" spans="1:21" x14ac:dyDescent="0.25">
      <c r="A94" s="7">
        <v>39173</v>
      </c>
      <c r="B94" t="s">
        <v>113</v>
      </c>
      <c r="C94" s="2">
        <v>83.5</v>
      </c>
      <c r="D94" s="2">
        <v>0.5</v>
      </c>
      <c r="E94" s="2">
        <v>98.8</v>
      </c>
      <c r="F94" s="2">
        <v>86.9</v>
      </c>
      <c r="G94" s="2">
        <v>26</v>
      </c>
      <c r="H94" s="2">
        <v>109.8</v>
      </c>
      <c r="I94" s="8">
        <v>9200594</v>
      </c>
      <c r="J94" s="8">
        <v>9176930</v>
      </c>
      <c r="K94" s="8">
        <v>412</v>
      </c>
      <c r="L94" s="8">
        <v>386</v>
      </c>
      <c r="M94" s="8">
        <v>378</v>
      </c>
      <c r="N94" s="8" t="e">
        <v>#N/A</v>
      </c>
      <c r="O94" s="8" t="e">
        <v>#N/A</v>
      </c>
      <c r="P94" s="2" t="e">
        <v>#N/A</v>
      </c>
      <c r="Q94" s="12" t="e">
        <v>#N/A</v>
      </c>
      <c r="R94" s="13" t="e">
        <v>#N/A</v>
      </c>
      <c r="S94" s="13" t="e">
        <v>#N/A</v>
      </c>
      <c r="T94" s="8"/>
      <c r="U94" s="8"/>
    </row>
    <row r="95" spans="1:21" x14ac:dyDescent="0.25">
      <c r="A95" s="7">
        <v>39203</v>
      </c>
      <c r="B95" t="s">
        <v>114</v>
      </c>
      <c r="C95" s="2">
        <v>83.9</v>
      </c>
      <c r="D95" s="2">
        <v>-0.8</v>
      </c>
      <c r="E95" s="2">
        <v>98.6</v>
      </c>
      <c r="F95" s="2">
        <v>86.7</v>
      </c>
      <c r="G95" s="2">
        <v>26.1</v>
      </c>
      <c r="H95" s="2">
        <v>103.8</v>
      </c>
      <c r="I95" s="8">
        <v>9180013</v>
      </c>
      <c r="J95" s="8">
        <v>9149533</v>
      </c>
      <c r="K95" s="8">
        <v>416</v>
      </c>
      <c r="L95" s="8">
        <v>388</v>
      </c>
      <c r="M95" s="8">
        <v>381</v>
      </c>
      <c r="N95" s="8" t="e">
        <v>#N/A</v>
      </c>
      <c r="O95" s="8" t="e">
        <v>#N/A</v>
      </c>
      <c r="P95" s="2" t="e">
        <v>#N/A</v>
      </c>
      <c r="Q95" s="12" t="e">
        <v>#N/A</v>
      </c>
      <c r="R95" s="13" t="e">
        <v>#N/A</v>
      </c>
      <c r="S95" s="13" t="e">
        <v>#N/A</v>
      </c>
      <c r="T95" s="8"/>
      <c r="U95" s="8"/>
    </row>
    <row r="96" spans="1:21" x14ac:dyDescent="0.25">
      <c r="A96" s="7">
        <v>39234</v>
      </c>
      <c r="B96" t="s">
        <v>115</v>
      </c>
      <c r="C96" s="2">
        <v>84</v>
      </c>
      <c r="D96" s="2">
        <v>0</v>
      </c>
      <c r="E96" s="2">
        <v>97.6</v>
      </c>
      <c r="F96" s="2">
        <v>87.3</v>
      </c>
      <c r="G96" s="2">
        <v>26.4</v>
      </c>
      <c r="H96" s="2">
        <v>104.6</v>
      </c>
      <c r="I96" s="8">
        <v>11407795</v>
      </c>
      <c r="J96" s="8">
        <v>11467680</v>
      </c>
      <c r="K96" s="8">
        <v>418</v>
      </c>
      <c r="L96" s="8">
        <v>390</v>
      </c>
      <c r="M96" s="8">
        <v>383</v>
      </c>
      <c r="N96" s="8" t="e">
        <v>#N/A</v>
      </c>
      <c r="O96" s="8" t="e">
        <v>#N/A</v>
      </c>
      <c r="P96" s="2" t="e">
        <v>#N/A</v>
      </c>
      <c r="Q96" s="12" t="e">
        <v>#N/A</v>
      </c>
      <c r="R96" s="13" t="e">
        <v>#N/A</v>
      </c>
      <c r="S96" s="13" t="e">
        <v>#N/A</v>
      </c>
      <c r="T96" s="8"/>
      <c r="U96" s="8"/>
    </row>
    <row r="97" spans="1:21" x14ac:dyDescent="0.25">
      <c r="A97" s="7">
        <v>39264</v>
      </c>
      <c r="B97" t="s">
        <v>116</v>
      </c>
      <c r="C97" s="2">
        <v>84</v>
      </c>
      <c r="D97" s="2">
        <v>0</v>
      </c>
      <c r="E97" s="2">
        <v>97.9</v>
      </c>
      <c r="F97" s="2">
        <v>87.4</v>
      </c>
      <c r="G97" s="2">
        <v>26.2</v>
      </c>
      <c r="H97" s="2">
        <v>103.4</v>
      </c>
      <c r="I97" s="8">
        <v>9103540</v>
      </c>
      <c r="J97" s="8">
        <v>9085613</v>
      </c>
      <c r="K97" s="8">
        <v>420</v>
      </c>
      <c r="L97" s="8">
        <v>392</v>
      </c>
      <c r="M97" s="8">
        <v>385</v>
      </c>
      <c r="N97" s="8" t="e">
        <v>#N/A</v>
      </c>
      <c r="O97" s="8" t="e">
        <v>#N/A</v>
      </c>
      <c r="P97" s="2" t="e">
        <v>#N/A</v>
      </c>
      <c r="Q97" s="12" t="e">
        <v>#N/A</v>
      </c>
      <c r="R97" s="13" t="e">
        <v>#N/A</v>
      </c>
      <c r="S97" s="13" t="e">
        <v>#N/A</v>
      </c>
      <c r="T97" s="8"/>
      <c r="U97" s="8"/>
    </row>
    <row r="98" spans="1:21" x14ac:dyDescent="0.25">
      <c r="A98" s="7">
        <v>39295</v>
      </c>
      <c r="B98" t="s">
        <v>117</v>
      </c>
      <c r="C98" s="2">
        <v>84.5</v>
      </c>
      <c r="D98" s="2">
        <v>0.8</v>
      </c>
      <c r="E98" s="2">
        <v>99.9</v>
      </c>
      <c r="F98" s="2">
        <v>87.3</v>
      </c>
      <c r="G98" s="2">
        <v>26</v>
      </c>
      <c r="H98" s="2">
        <v>104.6</v>
      </c>
      <c r="I98" s="8">
        <v>9288209</v>
      </c>
      <c r="J98" s="8">
        <v>9078798</v>
      </c>
      <c r="K98" s="8">
        <v>422</v>
      </c>
      <c r="L98" s="8">
        <v>393</v>
      </c>
      <c r="M98" s="8">
        <v>386</v>
      </c>
      <c r="N98" s="8" t="e">
        <v>#N/A</v>
      </c>
      <c r="O98" s="8" t="e">
        <v>#N/A</v>
      </c>
      <c r="P98" s="2" t="e">
        <v>#N/A</v>
      </c>
      <c r="Q98" s="12" t="e">
        <v>#N/A</v>
      </c>
      <c r="R98" s="13" t="e">
        <v>#N/A</v>
      </c>
      <c r="S98" s="13" t="e">
        <v>#N/A</v>
      </c>
      <c r="T98" s="8"/>
      <c r="U98" s="8"/>
    </row>
    <row r="99" spans="1:21" x14ac:dyDescent="0.25">
      <c r="A99" s="7">
        <v>39326</v>
      </c>
      <c r="B99" t="s">
        <v>118</v>
      </c>
      <c r="C99" s="2">
        <v>84.6</v>
      </c>
      <c r="D99" s="2">
        <v>-0.1</v>
      </c>
      <c r="E99" s="2">
        <v>98.9</v>
      </c>
      <c r="F99" s="2">
        <v>87.7</v>
      </c>
      <c r="G99" s="2">
        <v>25.8</v>
      </c>
      <c r="H99" s="2">
        <v>105.3</v>
      </c>
      <c r="I99" s="8">
        <v>11666793</v>
      </c>
      <c r="J99" s="8">
        <v>11290424</v>
      </c>
      <c r="K99" s="8">
        <v>424</v>
      </c>
      <c r="L99" s="8">
        <v>394</v>
      </c>
      <c r="M99" s="8">
        <v>387</v>
      </c>
      <c r="N99" s="8" t="e">
        <v>#N/A</v>
      </c>
      <c r="O99" s="8" t="e">
        <v>#N/A</v>
      </c>
      <c r="P99" s="2" t="e">
        <v>#N/A</v>
      </c>
      <c r="Q99" s="12" t="e">
        <v>#N/A</v>
      </c>
      <c r="R99" s="13" t="e">
        <v>#N/A</v>
      </c>
      <c r="S99" s="13" t="e">
        <v>#N/A</v>
      </c>
      <c r="T99" s="8"/>
      <c r="U99" s="8"/>
    </row>
    <row r="100" spans="1:21" x14ac:dyDescent="0.25">
      <c r="A100" s="7">
        <v>39356</v>
      </c>
      <c r="B100" t="s">
        <v>119</v>
      </c>
      <c r="C100" s="2">
        <v>84.3</v>
      </c>
      <c r="D100" s="2">
        <v>-0.7</v>
      </c>
      <c r="E100" s="2">
        <v>98.2</v>
      </c>
      <c r="F100" s="2">
        <v>87</v>
      </c>
      <c r="G100" s="2">
        <v>26</v>
      </c>
      <c r="H100" s="2">
        <v>104.7</v>
      </c>
      <c r="I100" s="8">
        <v>9341715</v>
      </c>
      <c r="J100" s="8">
        <v>9136980</v>
      </c>
      <c r="K100" s="8">
        <v>423</v>
      </c>
      <c r="L100" s="8">
        <v>394</v>
      </c>
      <c r="M100" s="8">
        <v>387</v>
      </c>
      <c r="N100" s="8" t="e">
        <v>#N/A</v>
      </c>
      <c r="O100" s="8" t="e">
        <v>#N/A</v>
      </c>
      <c r="P100" s="2" t="e">
        <v>#N/A</v>
      </c>
      <c r="Q100" s="12" t="e">
        <v>#N/A</v>
      </c>
      <c r="R100" s="13" t="e">
        <v>#N/A</v>
      </c>
      <c r="S100" s="13" t="e">
        <v>#N/A</v>
      </c>
      <c r="T100" s="8"/>
      <c r="U100" s="8"/>
    </row>
    <row r="101" spans="1:21" x14ac:dyDescent="0.25">
      <c r="A101" s="7">
        <v>39387</v>
      </c>
      <c r="B101" t="s">
        <v>120</v>
      </c>
      <c r="C101" s="2">
        <v>84.8</v>
      </c>
      <c r="D101" s="2">
        <v>-0.1</v>
      </c>
      <c r="E101" s="2">
        <v>98.5</v>
      </c>
      <c r="F101" s="2">
        <v>86.6</v>
      </c>
      <c r="G101" s="2">
        <v>26.3</v>
      </c>
      <c r="H101" s="2">
        <v>104.3</v>
      </c>
      <c r="I101" s="8">
        <v>9412942</v>
      </c>
      <c r="J101" s="8">
        <v>9647787</v>
      </c>
      <c r="K101" s="8">
        <v>426</v>
      </c>
      <c r="L101" s="8">
        <v>396</v>
      </c>
      <c r="M101" s="8">
        <v>389</v>
      </c>
      <c r="N101" s="8" t="e">
        <v>#N/A</v>
      </c>
      <c r="O101" s="8" t="e">
        <v>#N/A</v>
      </c>
      <c r="P101" s="2" t="e">
        <v>#N/A</v>
      </c>
      <c r="Q101" s="12" t="e">
        <v>#N/A</v>
      </c>
      <c r="R101" s="13" t="e">
        <v>#N/A</v>
      </c>
      <c r="S101" s="13" t="e">
        <v>#N/A</v>
      </c>
      <c r="T101" s="8"/>
      <c r="U101" s="8"/>
    </row>
    <row r="102" spans="1:21" x14ac:dyDescent="0.25">
      <c r="A102" s="7">
        <v>39417</v>
      </c>
      <c r="B102" t="s">
        <v>121</v>
      </c>
      <c r="C102" s="2">
        <v>85.2</v>
      </c>
      <c r="D102" s="2">
        <v>0.3</v>
      </c>
      <c r="E102" s="2">
        <v>98.5</v>
      </c>
      <c r="F102" s="2">
        <v>87</v>
      </c>
      <c r="G102" s="2">
        <v>25.4</v>
      </c>
      <c r="H102" s="2">
        <v>106.2</v>
      </c>
      <c r="I102" s="8">
        <v>11819848</v>
      </c>
      <c r="J102" s="8">
        <v>13568409</v>
      </c>
      <c r="K102" s="8">
        <v>426</v>
      </c>
      <c r="L102" s="8">
        <v>396</v>
      </c>
      <c r="M102" s="8">
        <v>389</v>
      </c>
      <c r="N102" s="8" t="e">
        <v>#N/A</v>
      </c>
      <c r="O102" s="8" t="e">
        <v>#N/A</v>
      </c>
      <c r="P102" s="2" t="e">
        <v>#N/A</v>
      </c>
      <c r="Q102" s="12" t="e">
        <v>#N/A</v>
      </c>
      <c r="R102" s="13" t="e">
        <v>#N/A</v>
      </c>
      <c r="S102" s="13" t="e">
        <v>#N/A</v>
      </c>
      <c r="T102" s="8"/>
      <c r="U102" s="8"/>
    </row>
    <row r="103" spans="1:21" x14ac:dyDescent="0.25">
      <c r="A103" s="7">
        <v>39448</v>
      </c>
      <c r="B103" t="s">
        <v>122</v>
      </c>
      <c r="C103" s="2">
        <v>85.2</v>
      </c>
      <c r="D103" s="2">
        <v>-0.3</v>
      </c>
      <c r="E103" s="2">
        <v>98.9</v>
      </c>
      <c r="F103" s="2">
        <v>86.5</v>
      </c>
      <c r="G103" s="2">
        <v>26.1</v>
      </c>
      <c r="H103" s="2">
        <v>103.4</v>
      </c>
      <c r="I103" s="8">
        <v>11933089</v>
      </c>
      <c r="J103" s="8">
        <v>11065007</v>
      </c>
      <c r="K103" s="8">
        <v>429</v>
      </c>
      <c r="L103" s="8">
        <v>398</v>
      </c>
      <c r="M103" s="8">
        <v>390</v>
      </c>
      <c r="N103" s="8" t="e">
        <v>#N/A</v>
      </c>
      <c r="O103" s="8" t="e">
        <v>#N/A</v>
      </c>
      <c r="P103" s="2" t="e">
        <v>#N/A</v>
      </c>
      <c r="Q103" s="12" t="e">
        <v>#N/A</v>
      </c>
      <c r="R103" s="13" t="e">
        <v>#N/A</v>
      </c>
      <c r="S103" s="13" t="e">
        <v>#N/A</v>
      </c>
      <c r="T103" s="8"/>
      <c r="U103" s="8"/>
    </row>
    <row r="104" spans="1:21" x14ac:dyDescent="0.25">
      <c r="A104" s="7">
        <v>39479</v>
      </c>
      <c r="B104" t="s">
        <v>123</v>
      </c>
      <c r="C104" s="2">
        <v>85.7</v>
      </c>
      <c r="D104" s="2">
        <v>1.4</v>
      </c>
      <c r="E104" s="2">
        <v>99.5</v>
      </c>
      <c r="F104" s="2">
        <v>88.9</v>
      </c>
      <c r="G104" s="2">
        <v>26.6</v>
      </c>
      <c r="H104" s="2">
        <v>102.5</v>
      </c>
      <c r="I104" s="8">
        <v>9619291</v>
      </c>
      <c r="J104" s="8">
        <v>9351766</v>
      </c>
      <c r="K104" s="8">
        <v>435</v>
      </c>
      <c r="L104" s="8">
        <v>400</v>
      </c>
      <c r="M104" s="8">
        <v>392</v>
      </c>
      <c r="N104" s="8" t="e">
        <v>#N/A</v>
      </c>
      <c r="O104" s="8" t="e">
        <v>#N/A</v>
      </c>
      <c r="P104" s="2" t="e">
        <v>#N/A</v>
      </c>
      <c r="Q104" s="12" t="e">
        <v>#N/A</v>
      </c>
      <c r="R104" s="13" t="e">
        <v>#N/A</v>
      </c>
      <c r="S104" s="13" t="e">
        <v>#N/A</v>
      </c>
      <c r="T104" s="8"/>
      <c r="U104" s="8"/>
    </row>
    <row r="105" spans="1:21" x14ac:dyDescent="0.25">
      <c r="A105" s="7">
        <v>39508</v>
      </c>
      <c r="B105" t="s">
        <v>124</v>
      </c>
      <c r="C105" s="2">
        <v>85</v>
      </c>
      <c r="D105" s="2">
        <v>-1.9</v>
      </c>
      <c r="E105" s="2">
        <v>98</v>
      </c>
      <c r="F105" s="2">
        <v>86.5</v>
      </c>
      <c r="G105" s="2">
        <v>26</v>
      </c>
      <c r="H105" s="2">
        <v>102.2</v>
      </c>
      <c r="I105" s="8">
        <v>11940177</v>
      </c>
      <c r="J105" s="8">
        <v>11763369</v>
      </c>
      <c r="K105" s="8">
        <v>437</v>
      </c>
      <c r="L105" s="8">
        <v>402</v>
      </c>
      <c r="M105" s="8">
        <v>393</v>
      </c>
      <c r="N105" s="8" t="e">
        <v>#N/A</v>
      </c>
      <c r="O105" s="8" t="e">
        <v>#N/A</v>
      </c>
      <c r="P105" s="2" t="e">
        <v>#N/A</v>
      </c>
      <c r="Q105" s="12" t="e">
        <v>#N/A</v>
      </c>
      <c r="R105" s="13" t="e">
        <v>#N/A</v>
      </c>
      <c r="S105" s="13" t="e">
        <v>#N/A</v>
      </c>
      <c r="T105" s="8"/>
      <c r="U105" s="8"/>
    </row>
    <row r="106" spans="1:21" x14ac:dyDescent="0.25">
      <c r="A106" s="7">
        <v>39539</v>
      </c>
      <c r="B106" t="s">
        <v>125</v>
      </c>
      <c r="C106" s="2">
        <v>85.6</v>
      </c>
      <c r="D106" s="2">
        <v>-0.1</v>
      </c>
      <c r="E106" s="2">
        <v>97.3</v>
      </c>
      <c r="F106" s="2">
        <v>87</v>
      </c>
      <c r="G106" s="2">
        <v>25.6</v>
      </c>
      <c r="H106" s="2">
        <v>102.7</v>
      </c>
      <c r="I106" s="8">
        <v>9589106</v>
      </c>
      <c r="J106" s="8">
        <v>9464152</v>
      </c>
      <c r="K106" s="8">
        <v>432</v>
      </c>
      <c r="L106" s="8">
        <v>404</v>
      </c>
      <c r="M106" s="8">
        <v>396</v>
      </c>
      <c r="N106" s="8" t="e">
        <v>#N/A</v>
      </c>
      <c r="O106" s="8" t="e">
        <v>#N/A</v>
      </c>
      <c r="P106" s="2" t="e">
        <v>#N/A</v>
      </c>
      <c r="Q106" s="12" t="e">
        <v>#N/A</v>
      </c>
      <c r="R106" s="13" t="e">
        <v>#N/A</v>
      </c>
      <c r="S106" s="13" t="e">
        <v>#N/A</v>
      </c>
      <c r="T106" s="8"/>
      <c r="U106" s="8"/>
    </row>
    <row r="107" spans="1:21" x14ac:dyDescent="0.25">
      <c r="A107" s="7">
        <v>39569</v>
      </c>
      <c r="B107" t="s">
        <v>126</v>
      </c>
      <c r="C107" s="2">
        <v>84.8</v>
      </c>
      <c r="D107" s="2">
        <v>2.2000000000000002</v>
      </c>
      <c r="E107" s="2">
        <v>99.1</v>
      </c>
      <c r="F107" s="2">
        <v>90</v>
      </c>
      <c r="G107" s="2">
        <v>25.4</v>
      </c>
      <c r="H107" s="2">
        <v>101.4</v>
      </c>
      <c r="I107" s="8">
        <v>9891190</v>
      </c>
      <c r="J107" s="8">
        <v>9860938</v>
      </c>
      <c r="K107" s="8">
        <v>434</v>
      </c>
      <c r="L107" s="8">
        <v>403</v>
      </c>
      <c r="M107" s="8">
        <v>395</v>
      </c>
      <c r="N107" s="8" t="e">
        <v>#N/A</v>
      </c>
      <c r="O107" s="8" t="e">
        <v>#N/A</v>
      </c>
      <c r="P107" s="2" t="e">
        <v>#N/A</v>
      </c>
      <c r="Q107" s="12" t="e">
        <v>#N/A</v>
      </c>
      <c r="R107" s="13" t="e">
        <v>#N/A</v>
      </c>
      <c r="S107" s="13" t="e">
        <v>#N/A</v>
      </c>
      <c r="T107" s="8"/>
      <c r="U107" s="8"/>
    </row>
    <row r="108" spans="1:21" x14ac:dyDescent="0.25">
      <c r="A108" s="7">
        <v>39600</v>
      </c>
      <c r="B108" t="s">
        <v>127</v>
      </c>
      <c r="C108" s="2">
        <v>84.6</v>
      </c>
      <c r="D108" s="2">
        <v>-3.4</v>
      </c>
      <c r="E108" s="2">
        <v>96.2</v>
      </c>
      <c r="F108" s="2">
        <v>86.1</v>
      </c>
      <c r="G108" s="2">
        <v>25.3</v>
      </c>
      <c r="H108" s="2">
        <v>98.7</v>
      </c>
      <c r="I108" s="8">
        <v>12163898</v>
      </c>
      <c r="J108" s="8">
        <v>12230826</v>
      </c>
      <c r="K108" s="8">
        <v>433</v>
      </c>
      <c r="L108" s="8">
        <v>404</v>
      </c>
      <c r="M108" s="8">
        <v>397</v>
      </c>
      <c r="N108" s="8" t="e">
        <v>#N/A</v>
      </c>
      <c r="O108" s="8" t="e">
        <v>#N/A</v>
      </c>
      <c r="P108" s="2" t="e">
        <v>#N/A</v>
      </c>
      <c r="Q108" s="12" t="e">
        <v>#N/A</v>
      </c>
      <c r="R108" s="13" t="e">
        <v>#N/A</v>
      </c>
      <c r="S108" s="13" t="e">
        <v>#N/A</v>
      </c>
      <c r="T108" s="8"/>
      <c r="U108" s="8"/>
    </row>
    <row r="109" spans="1:21" x14ac:dyDescent="0.25">
      <c r="A109" s="7">
        <v>39630</v>
      </c>
      <c r="B109" t="s">
        <v>128</v>
      </c>
      <c r="C109" s="2">
        <v>84.2</v>
      </c>
      <c r="D109" s="2">
        <v>0.1</v>
      </c>
      <c r="E109" s="2">
        <v>96.6</v>
      </c>
      <c r="F109" s="2">
        <v>85.7</v>
      </c>
      <c r="G109" s="2">
        <v>24.3</v>
      </c>
      <c r="H109" s="2">
        <v>101.6</v>
      </c>
      <c r="I109" s="8">
        <v>9846318</v>
      </c>
      <c r="J109" s="8">
        <v>9719656</v>
      </c>
      <c r="K109" s="8">
        <v>434</v>
      </c>
      <c r="L109" s="8">
        <v>405</v>
      </c>
      <c r="M109" s="8">
        <v>397</v>
      </c>
      <c r="N109" s="8" t="e">
        <v>#N/A</v>
      </c>
      <c r="O109" s="8" t="e">
        <v>#N/A</v>
      </c>
      <c r="P109" s="2" t="e">
        <v>#N/A</v>
      </c>
      <c r="Q109" s="12" t="e">
        <v>#N/A</v>
      </c>
      <c r="R109" s="13" t="e">
        <v>#N/A</v>
      </c>
      <c r="S109" s="13" t="e">
        <v>#N/A</v>
      </c>
      <c r="T109" s="8"/>
      <c r="U109" s="8"/>
    </row>
    <row r="110" spans="1:21" x14ac:dyDescent="0.25">
      <c r="A110" s="7">
        <v>39661</v>
      </c>
      <c r="B110" t="s">
        <v>129</v>
      </c>
      <c r="C110" s="2">
        <v>83.9</v>
      </c>
      <c r="D110" s="2">
        <v>0.1</v>
      </c>
      <c r="E110" s="2">
        <v>95.9</v>
      </c>
      <c r="F110" s="2">
        <v>86.3</v>
      </c>
      <c r="G110" s="2">
        <v>25.1</v>
      </c>
      <c r="H110" s="2">
        <v>100.8</v>
      </c>
      <c r="I110" s="8">
        <v>9840035</v>
      </c>
      <c r="J110" s="8">
        <v>9618334</v>
      </c>
      <c r="K110" s="8">
        <v>435</v>
      </c>
      <c r="L110" s="8">
        <v>406</v>
      </c>
      <c r="M110" s="8">
        <v>398</v>
      </c>
      <c r="N110" s="8" t="e">
        <v>#N/A</v>
      </c>
      <c r="O110" s="8" t="e">
        <v>#N/A</v>
      </c>
      <c r="P110" s="2" t="e">
        <v>#N/A</v>
      </c>
      <c r="Q110" s="12" t="e">
        <v>#N/A</v>
      </c>
      <c r="R110" s="13" t="e">
        <v>#N/A</v>
      </c>
      <c r="S110" s="13" t="e">
        <v>#N/A</v>
      </c>
      <c r="T110" s="8"/>
      <c r="U110" s="8"/>
    </row>
    <row r="111" spans="1:21" x14ac:dyDescent="0.25">
      <c r="A111" s="7">
        <v>39692</v>
      </c>
      <c r="B111" t="s">
        <v>130</v>
      </c>
      <c r="C111" s="2">
        <v>82.9</v>
      </c>
      <c r="D111" s="2">
        <v>0.2</v>
      </c>
      <c r="E111" s="2">
        <v>96.1</v>
      </c>
      <c r="F111" s="2">
        <v>86.3</v>
      </c>
      <c r="G111" s="2">
        <v>25.7</v>
      </c>
      <c r="H111" s="2">
        <v>100.9</v>
      </c>
      <c r="I111" s="8">
        <v>12378716</v>
      </c>
      <c r="J111" s="8">
        <v>11984160</v>
      </c>
      <c r="K111" s="8">
        <v>435</v>
      </c>
      <c r="L111" s="8">
        <v>407</v>
      </c>
      <c r="M111" s="8">
        <v>399</v>
      </c>
      <c r="N111" s="8" t="e">
        <v>#N/A</v>
      </c>
      <c r="O111" s="8" t="e">
        <v>#N/A</v>
      </c>
      <c r="P111" s="2" t="e">
        <v>#N/A</v>
      </c>
      <c r="Q111" s="12" t="e">
        <v>#N/A</v>
      </c>
      <c r="R111" s="13" t="e">
        <v>#N/A</v>
      </c>
      <c r="S111" s="13" t="e">
        <v>#N/A</v>
      </c>
      <c r="T111" s="8"/>
      <c r="U111" s="8"/>
    </row>
    <row r="112" spans="1:21" x14ac:dyDescent="0.25">
      <c r="A112" s="7">
        <v>39722</v>
      </c>
      <c r="B112" t="s">
        <v>131</v>
      </c>
      <c r="C112" s="2">
        <v>82.7</v>
      </c>
      <c r="D112" s="2">
        <v>-0.7</v>
      </c>
      <c r="E112" s="2">
        <v>97</v>
      </c>
      <c r="F112" s="2">
        <v>84.5</v>
      </c>
      <c r="G112" s="2">
        <v>25.7</v>
      </c>
      <c r="H112" s="2">
        <v>99.4</v>
      </c>
      <c r="I112" s="8">
        <v>9991781</v>
      </c>
      <c r="J112" s="8">
        <v>9802809</v>
      </c>
      <c r="K112" s="8">
        <v>437</v>
      </c>
      <c r="L112" s="8">
        <v>409</v>
      </c>
      <c r="M112" s="8">
        <v>401</v>
      </c>
      <c r="N112" s="8" t="e">
        <v>#N/A</v>
      </c>
      <c r="O112" s="8" t="e">
        <v>#N/A</v>
      </c>
      <c r="P112" s="2" t="e">
        <v>#N/A</v>
      </c>
      <c r="Q112" s="12" t="e">
        <v>#N/A</v>
      </c>
      <c r="R112" s="13" t="e">
        <v>#N/A</v>
      </c>
      <c r="S112" s="13" t="e">
        <v>#N/A</v>
      </c>
      <c r="T112" s="8"/>
      <c r="U112" s="8"/>
    </row>
    <row r="113" spans="1:21" x14ac:dyDescent="0.25">
      <c r="A113" s="7">
        <v>39753</v>
      </c>
      <c r="B113" t="s">
        <v>132</v>
      </c>
      <c r="C113" s="2">
        <v>81.599999999999994</v>
      </c>
      <c r="D113" s="2">
        <v>0.4</v>
      </c>
      <c r="E113" s="2">
        <v>96.6</v>
      </c>
      <c r="F113" s="2">
        <v>85</v>
      </c>
      <c r="G113" s="2">
        <v>26.9</v>
      </c>
      <c r="H113" s="2">
        <v>100.6</v>
      </c>
      <c r="I113" s="8">
        <v>9992319</v>
      </c>
      <c r="J113" s="8">
        <v>10348041</v>
      </c>
      <c r="K113" s="8">
        <v>436</v>
      </c>
      <c r="L113" s="8">
        <v>409</v>
      </c>
      <c r="M113" s="8">
        <v>401</v>
      </c>
      <c r="N113" s="8" t="e">
        <v>#N/A</v>
      </c>
      <c r="O113" s="8" t="e">
        <v>#N/A</v>
      </c>
      <c r="P113" s="2" t="e">
        <v>#N/A</v>
      </c>
      <c r="Q113" s="12" t="e">
        <v>#N/A</v>
      </c>
      <c r="R113" s="13" t="e">
        <v>#N/A</v>
      </c>
      <c r="S113" s="13" t="e">
        <v>#N/A</v>
      </c>
      <c r="T113" s="8"/>
      <c r="U113" s="8"/>
    </row>
    <row r="114" spans="1:21" x14ac:dyDescent="0.25">
      <c r="A114" s="7">
        <v>39783</v>
      </c>
      <c r="B114" t="s">
        <v>133</v>
      </c>
      <c r="C114" s="2">
        <v>81.3</v>
      </c>
      <c r="D114" s="2">
        <v>-0.2</v>
      </c>
      <c r="E114" s="2">
        <v>95.8</v>
      </c>
      <c r="F114" s="2">
        <v>85.8</v>
      </c>
      <c r="G114" s="2">
        <v>27.2</v>
      </c>
      <c r="H114" s="2">
        <v>97.3</v>
      </c>
      <c r="I114" s="8">
        <v>12330288</v>
      </c>
      <c r="J114" s="8">
        <v>13953077</v>
      </c>
      <c r="K114" s="8">
        <v>436</v>
      </c>
      <c r="L114" s="8">
        <v>409</v>
      </c>
      <c r="M114" s="8">
        <v>401</v>
      </c>
      <c r="N114" s="8" t="e">
        <v>#N/A</v>
      </c>
      <c r="O114" s="8" t="e">
        <v>#N/A</v>
      </c>
      <c r="P114" s="2" t="e">
        <v>#N/A</v>
      </c>
      <c r="Q114" s="12" t="e">
        <v>#N/A</v>
      </c>
      <c r="R114" s="13" t="e">
        <v>#N/A</v>
      </c>
      <c r="S114" s="13" t="e">
        <v>#N/A</v>
      </c>
      <c r="T114" s="8"/>
      <c r="U114" s="8"/>
    </row>
    <row r="115" spans="1:21" x14ac:dyDescent="0.25">
      <c r="A115" s="7">
        <v>39814</v>
      </c>
      <c r="B115" t="s">
        <v>134</v>
      </c>
      <c r="C115" s="2">
        <v>80.5</v>
      </c>
      <c r="D115" s="2">
        <v>1.5</v>
      </c>
      <c r="E115" s="2">
        <v>97.1</v>
      </c>
      <c r="F115" s="2">
        <v>86.2</v>
      </c>
      <c r="G115" s="2">
        <v>26.4</v>
      </c>
      <c r="H115" s="2">
        <v>104.9</v>
      </c>
      <c r="I115" s="8">
        <v>10039176</v>
      </c>
      <c r="J115" s="8">
        <v>9393800</v>
      </c>
      <c r="K115" s="8">
        <v>421</v>
      </c>
      <c r="L115" s="8">
        <v>409</v>
      </c>
      <c r="M115" s="8">
        <v>401</v>
      </c>
      <c r="N115" s="8" t="e">
        <v>#N/A</v>
      </c>
      <c r="O115" s="8" t="e">
        <v>#N/A</v>
      </c>
      <c r="P115" s="2" t="e">
        <v>#N/A</v>
      </c>
      <c r="Q115" s="12" t="e">
        <v>#N/A</v>
      </c>
      <c r="R115" s="13" t="e">
        <v>#N/A</v>
      </c>
      <c r="S115" s="13" t="e">
        <v>#N/A</v>
      </c>
      <c r="T115" s="8"/>
      <c r="U115" s="8"/>
    </row>
    <row r="116" spans="1:21" x14ac:dyDescent="0.25">
      <c r="A116" s="7">
        <v>39845</v>
      </c>
      <c r="B116" t="s">
        <v>135</v>
      </c>
      <c r="C116" s="2">
        <v>80.5</v>
      </c>
      <c r="D116" s="2">
        <v>-1.9</v>
      </c>
      <c r="E116" s="2">
        <v>97.4</v>
      </c>
      <c r="F116" s="2">
        <v>83.9</v>
      </c>
      <c r="G116" s="2">
        <v>24.9</v>
      </c>
      <c r="H116" s="2">
        <v>99.6</v>
      </c>
      <c r="I116" s="8">
        <v>10175243</v>
      </c>
      <c r="J116" s="8">
        <v>9840013</v>
      </c>
      <c r="K116" s="8">
        <v>409</v>
      </c>
      <c r="L116" s="8">
        <v>410</v>
      </c>
      <c r="M116" s="8">
        <v>402</v>
      </c>
      <c r="N116" s="8" t="e">
        <v>#N/A</v>
      </c>
      <c r="O116" s="8" t="e">
        <v>#N/A</v>
      </c>
      <c r="P116" s="2" t="e">
        <v>#N/A</v>
      </c>
      <c r="Q116" s="12" t="e">
        <v>#N/A</v>
      </c>
      <c r="R116" s="13" t="e">
        <v>#N/A</v>
      </c>
      <c r="S116" s="13" t="e">
        <v>#N/A</v>
      </c>
      <c r="T116" s="8"/>
      <c r="U116" s="8"/>
    </row>
    <row r="117" spans="1:21" x14ac:dyDescent="0.25">
      <c r="A117" s="7">
        <v>39873</v>
      </c>
      <c r="B117" t="s">
        <v>136</v>
      </c>
      <c r="C117" s="2">
        <v>79.7</v>
      </c>
      <c r="D117" s="2">
        <v>1</v>
      </c>
      <c r="E117" s="2">
        <v>97.8</v>
      </c>
      <c r="F117" s="2">
        <v>85</v>
      </c>
      <c r="G117" s="2">
        <v>27</v>
      </c>
      <c r="H117" s="2">
        <v>98.9</v>
      </c>
      <c r="I117" s="8">
        <v>12780313</v>
      </c>
      <c r="J117" s="8">
        <v>12479194</v>
      </c>
      <c r="K117" s="8">
        <v>433</v>
      </c>
      <c r="L117" s="8">
        <v>410</v>
      </c>
      <c r="M117" s="8">
        <v>402</v>
      </c>
      <c r="N117" s="8" t="e">
        <v>#N/A</v>
      </c>
      <c r="O117" s="8" t="e">
        <v>#N/A</v>
      </c>
      <c r="P117" s="2" t="e">
        <v>#N/A</v>
      </c>
      <c r="Q117" s="12" t="e">
        <v>#N/A</v>
      </c>
      <c r="R117" s="13" t="e">
        <v>#N/A</v>
      </c>
      <c r="S117" s="13" t="e">
        <v>#N/A</v>
      </c>
      <c r="T117" s="8"/>
      <c r="U117" s="8"/>
    </row>
    <row r="118" spans="1:21" x14ac:dyDescent="0.25">
      <c r="A118" s="7">
        <v>39904</v>
      </c>
      <c r="B118" t="s">
        <v>137</v>
      </c>
      <c r="C118" s="2">
        <v>80.400000000000006</v>
      </c>
      <c r="D118" s="2">
        <v>0.6</v>
      </c>
      <c r="E118" s="2">
        <v>98.7</v>
      </c>
      <c r="F118" s="2">
        <v>85.1</v>
      </c>
      <c r="G118" s="2">
        <v>27.6</v>
      </c>
      <c r="H118" s="2">
        <v>99.1</v>
      </c>
      <c r="I118" s="8">
        <v>10281019</v>
      </c>
      <c r="J118" s="8">
        <v>10241499</v>
      </c>
      <c r="K118" s="8">
        <v>438</v>
      </c>
      <c r="L118" s="8">
        <v>411</v>
      </c>
      <c r="M118" s="8">
        <v>402</v>
      </c>
      <c r="N118" s="8" t="e">
        <v>#N/A</v>
      </c>
      <c r="O118" s="8" t="e">
        <v>#N/A</v>
      </c>
      <c r="P118" s="2" t="e">
        <v>#N/A</v>
      </c>
      <c r="Q118" s="12" t="e">
        <v>#N/A</v>
      </c>
      <c r="R118" s="13" t="e">
        <v>#N/A</v>
      </c>
      <c r="S118" s="13" t="e">
        <v>#N/A</v>
      </c>
      <c r="T118" s="8"/>
      <c r="U118" s="8"/>
    </row>
    <row r="119" spans="1:21" x14ac:dyDescent="0.25">
      <c r="A119" s="7">
        <v>39934</v>
      </c>
      <c r="B119" t="s">
        <v>138</v>
      </c>
      <c r="C119" s="2">
        <v>79.5</v>
      </c>
      <c r="D119" s="2">
        <v>-0.4</v>
      </c>
      <c r="E119" s="2">
        <v>98.1</v>
      </c>
      <c r="F119" s="2">
        <v>84.6</v>
      </c>
      <c r="G119" s="2">
        <v>27.6</v>
      </c>
      <c r="H119" s="2">
        <v>100.2</v>
      </c>
      <c r="I119" s="8">
        <v>10285219</v>
      </c>
      <c r="J119" s="8">
        <v>10263302</v>
      </c>
      <c r="K119" s="8">
        <v>437</v>
      </c>
      <c r="L119" s="8">
        <v>412</v>
      </c>
      <c r="M119" s="8">
        <v>402</v>
      </c>
      <c r="N119" s="8" t="e">
        <v>#N/A</v>
      </c>
      <c r="O119" s="8" t="e">
        <v>#N/A</v>
      </c>
      <c r="P119" s="2" t="e">
        <v>#N/A</v>
      </c>
      <c r="Q119" s="12" t="e">
        <v>#N/A</v>
      </c>
      <c r="R119" s="13" t="e">
        <v>#N/A</v>
      </c>
      <c r="S119" s="13" t="e">
        <v>#N/A</v>
      </c>
      <c r="T119" s="8"/>
      <c r="U119" s="8"/>
    </row>
    <row r="120" spans="1:21" x14ac:dyDescent="0.25">
      <c r="A120" s="7">
        <v>39965</v>
      </c>
      <c r="B120" t="s">
        <v>139</v>
      </c>
      <c r="C120" s="2">
        <v>79.7</v>
      </c>
      <c r="D120" s="2">
        <v>1.2</v>
      </c>
      <c r="E120" s="2">
        <v>99.5</v>
      </c>
      <c r="F120" s="2">
        <v>85.5</v>
      </c>
      <c r="G120" s="2">
        <v>27.4</v>
      </c>
      <c r="H120" s="2">
        <v>101.5</v>
      </c>
      <c r="I120" s="8">
        <v>13025521</v>
      </c>
      <c r="J120" s="8">
        <v>13092436</v>
      </c>
      <c r="K120" s="8">
        <v>438</v>
      </c>
      <c r="L120" s="8">
        <v>412</v>
      </c>
      <c r="M120" s="8">
        <v>402</v>
      </c>
      <c r="N120" s="8" t="e">
        <v>#N/A</v>
      </c>
      <c r="O120" s="8" t="e">
        <v>#N/A</v>
      </c>
      <c r="P120" s="2" t="e">
        <v>#N/A</v>
      </c>
      <c r="Q120" s="12" t="e">
        <v>#N/A</v>
      </c>
      <c r="R120" s="13" t="e">
        <v>#N/A</v>
      </c>
      <c r="S120" s="13" t="e">
        <v>#N/A</v>
      </c>
      <c r="T120" s="8"/>
      <c r="U120" s="8"/>
    </row>
    <row r="121" spans="1:21" x14ac:dyDescent="0.25">
      <c r="A121" s="7">
        <v>39995</v>
      </c>
      <c r="B121" t="s">
        <v>140</v>
      </c>
      <c r="C121" s="2">
        <v>80.2</v>
      </c>
      <c r="D121" s="2">
        <v>0.1</v>
      </c>
      <c r="E121" s="2">
        <v>98.7</v>
      </c>
      <c r="F121" s="2">
        <v>86.4</v>
      </c>
      <c r="G121" s="2">
        <v>28.6</v>
      </c>
      <c r="H121" s="2">
        <v>98.9</v>
      </c>
      <c r="I121" s="8">
        <v>10329669</v>
      </c>
      <c r="J121" s="8">
        <v>10211465</v>
      </c>
      <c r="K121" s="8">
        <v>437</v>
      </c>
      <c r="L121" s="8">
        <v>411</v>
      </c>
      <c r="M121" s="8">
        <v>400</v>
      </c>
      <c r="N121" s="8" t="e">
        <v>#N/A</v>
      </c>
      <c r="O121" s="8" t="e">
        <v>#N/A</v>
      </c>
      <c r="P121" s="2" t="e">
        <v>#N/A</v>
      </c>
      <c r="Q121" s="12" t="e">
        <v>#N/A</v>
      </c>
      <c r="R121" s="13" t="e">
        <v>#N/A</v>
      </c>
      <c r="S121" s="13" t="e">
        <v>#N/A</v>
      </c>
      <c r="T121" s="8"/>
      <c r="U121" s="8"/>
    </row>
    <row r="122" spans="1:21" x14ac:dyDescent="0.25">
      <c r="A122" s="7">
        <v>40026</v>
      </c>
      <c r="B122" t="s">
        <v>141</v>
      </c>
      <c r="C122" s="2">
        <v>79.8</v>
      </c>
      <c r="D122" s="2">
        <v>0.1</v>
      </c>
      <c r="E122" s="2">
        <v>99.1</v>
      </c>
      <c r="F122" s="2">
        <v>85.9</v>
      </c>
      <c r="G122" s="2">
        <v>29.1</v>
      </c>
      <c r="H122" s="2">
        <v>100.2</v>
      </c>
      <c r="I122" s="8">
        <v>10372008</v>
      </c>
      <c r="J122" s="8">
        <v>10138807</v>
      </c>
      <c r="K122" s="8">
        <v>438</v>
      </c>
      <c r="L122" s="8">
        <v>411</v>
      </c>
      <c r="M122" s="8">
        <v>400</v>
      </c>
      <c r="N122" s="8" t="e">
        <v>#N/A</v>
      </c>
      <c r="O122" s="8" t="e">
        <v>#N/A</v>
      </c>
      <c r="P122" s="2" t="e">
        <v>#N/A</v>
      </c>
      <c r="Q122" s="12" t="e">
        <v>#N/A</v>
      </c>
      <c r="R122" s="13" t="e">
        <v>#N/A</v>
      </c>
      <c r="S122" s="13" t="e">
        <v>#N/A</v>
      </c>
      <c r="T122" s="8"/>
      <c r="U122" s="8"/>
    </row>
    <row r="123" spans="1:21" x14ac:dyDescent="0.25">
      <c r="A123" s="7">
        <v>40057</v>
      </c>
      <c r="B123" t="s">
        <v>142</v>
      </c>
      <c r="C123" s="2">
        <v>79.900000000000006</v>
      </c>
      <c r="D123" s="2">
        <v>-0.3</v>
      </c>
      <c r="E123" s="2">
        <v>98.7</v>
      </c>
      <c r="F123" s="2">
        <v>85.8</v>
      </c>
      <c r="G123" s="2">
        <v>29.8</v>
      </c>
      <c r="H123" s="2">
        <v>99</v>
      </c>
      <c r="I123" s="8">
        <v>12900641</v>
      </c>
      <c r="J123" s="8">
        <v>12493777</v>
      </c>
      <c r="K123" s="8">
        <v>439</v>
      </c>
      <c r="L123" s="8">
        <v>413</v>
      </c>
      <c r="M123" s="8">
        <v>401</v>
      </c>
      <c r="N123" s="8" t="e">
        <v>#N/A</v>
      </c>
      <c r="O123" s="8" t="e">
        <v>#N/A</v>
      </c>
      <c r="P123" s="2" t="e">
        <v>#N/A</v>
      </c>
      <c r="Q123" s="12" t="e">
        <v>#N/A</v>
      </c>
      <c r="R123" s="13" t="e">
        <v>#N/A</v>
      </c>
      <c r="S123" s="13" t="e">
        <v>#N/A</v>
      </c>
      <c r="T123" s="8"/>
      <c r="U123" s="8"/>
    </row>
    <row r="124" spans="1:21" x14ac:dyDescent="0.25">
      <c r="A124" s="7">
        <v>40087</v>
      </c>
      <c r="B124" t="s">
        <v>143</v>
      </c>
      <c r="C124" s="2">
        <v>80.099999999999994</v>
      </c>
      <c r="D124" s="2">
        <v>0.3</v>
      </c>
      <c r="E124" s="2">
        <v>97.8</v>
      </c>
      <c r="F124" s="2">
        <v>86.9</v>
      </c>
      <c r="G124" s="2">
        <v>29.1</v>
      </c>
      <c r="H124" s="2">
        <v>101</v>
      </c>
      <c r="I124" s="8">
        <v>10314872</v>
      </c>
      <c r="J124" s="8">
        <v>10116503</v>
      </c>
      <c r="K124" s="8">
        <v>439</v>
      </c>
      <c r="L124" s="8">
        <v>413</v>
      </c>
      <c r="M124" s="8">
        <v>401</v>
      </c>
      <c r="N124" s="8" t="e">
        <v>#N/A</v>
      </c>
      <c r="O124" s="8" t="e">
        <v>#N/A</v>
      </c>
      <c r="P124" s="2" t="e">
        <v>#N/A</v>
      </c>
      <c r="Q124" s="12" t="e">
        <v>#N/A</v>
      </c>
      <c r="R124" s="13" t="e">
        <v>#N/A</v>
      </c>
      <c r="S124" s="13" t="e">
        <v>#N/A</v>
      </c>
      <c r="T124" s="8"/>
      <c r="U124" s="8"/>
    </row>
    <row r="125" spans="1:21" x14ac:dyDescent="0.25">
      <c r="A125" s="7">
        <v>40118</v>
      </c>
      <c r="B125" t="s">
        <v>144</v>
      </c>
      <c r="C125" s="2">
        <v>80.099999999999994</v>
      </c>
      <c r="D125" s="2">
        <v>-0.5</v>
      </c>
      <c r="E125" s="2">
        <v>97.8</v>
      </c>
      <c r="F125" s="2">
        <v>86.9</v>
      </c>
      <c r="G125" s="2">
        <v>30.1</v>
      </c>
      <c r="H125" s="2">
        <v>94.9</v>
      </c>
      <c r="I125" s="8">
        <v>10307311</v>
      </c>
      <c r="J125" s="8">
        <v>10660567</v>
      </c>
      <c r="K125" s="8">
        <v>440</v>
      </c>
      <c r="L125" s="8">
        <v>413</v>
      </c>
      <c r="M125" s="8">
        <v>401</v>
      </c>
      <c r="N125" s="8" t="e">
        <v>#N/A</v>
      </c>
      <c r="O125" s="8" t="e">
        <v>#N/A</v>
      </c>
      <c r="P125" s="2" t="e">
        <v>#N/A</v>
      </c>
      <c r="Q125" s="12" t="e">
        <v>#N/A</v>
      </c>
      <c r="R125" s="13" t="e">
        <v>#N/A</v>
      </c>
      <c r="S125" s="13" t="e">
        <v>#N/A</v>
      </c>
      <c r="T125" s="8"/>
      <c r="U125" s="8"/>
    </row>
    <row r="126" spans="1:21" x14ac:dyDescent="0.25">
      <c r="A126" s="7">
        <v>40148</v>
      </c>
      <c r="B126" t="s">
        <v>145</v>
      </c>
      <c r="C126" s="2">
        <v>80.5</v>
      </c>
      <c r="D126" s="2">
        <v>-1.2</v>
      </c>
      <c r="E126" s="2">
        <v>98</v>
      </c>
      <c r="F126" s="2">
        <v>85.7</v>
      </c>
      <c r="G126" s="2">
        <v>29.8</v>
      </c>
      <c r="H126" s="2">
        <v>89.2</v>
      </c>
      <c r="I126" s="8">
        <v>12949204</v>
      </c>
      <c r="J126" s="8">
        <v>14701354</v>
      </c>
      <c r="K126" s="8">
        <v>440</v>
      </c>
      <c r="L126" s="8">
        <v>414</v>
      </c>
      <c r="M126" s="8">
        <v>402</v>
      </c>
      <c r="N126" s="8" t="e">
        <v>#N/A</v>
      </c>
      <c r="O126" s="8" t="e">
        <v>#N/A</v>
      </c>
      <c r="P126" s="2" t="e">
        <v>#N/A</v>
      </c>
      <c r="Q126" s="12" t="e">
        <v>#N/A</v>
      </c>
      <c r="R126" s="13" t="e">
        <v>#N/A</v>
      </c>
      <c r="S126" s="13" t="e">
        <v>#N/A</v>
      </c>
      <c r="T126" s="8"/>
      <c r="U126" s="8"/>
    </row>
    <row r="127" spans="1:21" x14ac:dyDescent="0.25">
      <c r="A127" s="7">
        <v>40179</v>
      </c>
      <c r="B127" t="s">
        <v>146</v>
      </c>
      <c r="C127" s="2">
        <v>80</v>
      </c>
      <c r="D127" s="2">
        <v>-2.9</v>
      </c>
      <c r="E127" s="2">
        <v>97</v>
      </c>
      <c r="F127" s="2">
        <v>82</v>
      </c>
      <c r="G127" s="2">
        <v>27.6</v>
      </c>
      <c r="H127" s="2">
        <v>86.6</v>
      </c>
      <c r="I127" s="8">
        <v>10355592</v>
      </c>
      <c r="J127" s="8">
        <v>9642206</v>
      </c>
      <c r="K127" s="8">
        <v>439</v>
      </c>
      <c r="L127" s="8">
        <v>417</v>
      </c>
      <c r="M127" s="8">
        <v>405</v>
      </c>
      <c r="N127" s="8" t="e">
        <v>#N/A</v>
      </c>
      <c r="O127" s="8" t="e">
        <v>#N/A</v>
      </c>
      <c r="P127" s="2" t="e">
        <v>#N/A</v>
      </c>
      <c r="Q127" s="12" t="e">
        <v>#N/A</v>
      </c>
      <c r="R127" s="13" t="e">
        <v>#N/A</v>
      </c>
      <c r="S127" s="13" t="e">
        <v>#N/A</v>
      </c>
      <c r="T127" s="8"/>
      <c r="U127" s="8"/>
    </row>
    <row r="128" spans="1:21" x14ac:dyDescent="0.25">
      <c r="A128" s="7">
        <v>40210</v>
      </c>
      <c r="B128" t="s">
        <v>147</v>
      </c>
      <c r="C128" s="2">
        <v>81.3</v>
      </c>
      <c r="D128" s="2">
        <v>3.1</v>
      </c>
      <c r="E128" s="2">
        <v>96.5</v>
      </c>
      <c r="F128" s="2">
        <v>87.4</v>
      </c>
      <c r="G128" s="2">
        <v>28.8</v>
      </c>
      <c r="H128" s="2">
        <v>88.7</v>
      </c>
      <c r="I128" s="8">
        <v>10286078</v>
      </c>
      <c r="J128" s="8">
        <v>9905476</v>
      </c>
      <c r="K128" s="8">
        <v>446</v>
      </c>
      <c r="L128" s="8">
        <v>416</v>
      </c>
      <c r="M128" s="8">
        <v>404</v>
      </c>
      <c r="N128" s="8" t="e">
        <v>#N/A</v>
      </c>
      <c r="O128" s="8" t="e">
        <v>#N/A</v>
      </c>
      <c r="P128" s="2" t="e">
        <v>#N/A</v>
      </c>
      <c r="Q128" s="12" t="e">
        <v>#N/A</v>
      </c>
      <c r="R128" s="13" t="e">
        <v>#N/A</v>
      </c>
      <c r="S128" s="13" t="e">
        <v>#N/A</v>
      </c>
      <c r="T128" s="8"/>
      <c r="U128" s="8"/>
    </row>
    <row r="129" spans="1:21" x14ac:dyDescent="0.25">
      <c r="A129" s="7">
        <v>40238</v>
      </c>
      <c r="B129" t="s">
        <v>148</v>
      </c>
      <c r="C129" s="2">
        <v>81.900000000000006</v>
      </c>
      <c r="D129" s="2">
        <v>-0.5</v>
      </c>
      <c r="E129" s="2">
        <v>95.7</v>
      </c>
      <c r="F129" s="2">
        <v>86.8</v>
      </c>
      <c r="G129" s="2">
        <v>29.3</v>
      </c>
      <c r="H129" s="2">
        <v>89.6</v>
      </c>
      <c r="I129" s="8">
        <v>12903688</v>
      </c>
      <c r="J129" s="8">
        <v>12865362</v>
      </c>
      <c r="K129" s="8">
        <v>441</v>
      </c>
      <c r="L129" s="8">
        <v>418</v>
      </c>
      <c r="M129" s="8">
        <v>407</v>
      </c>
      <c r="N129" s="8" t="e">
        <v>#N/A</v>
      </c>
      <c r="O129" s="8" t="e">
        <v>#N/A</v>
      </c>
      <c r="P129" s="2" t="e">
        <v>#N/A</v>
      </c>
      <c r="Q129" s="12" t="e">
        <v>#N/A</v>
      </c>
      <c r="R129" s="13" t="e">
        <v>#N/A</v>
      </c>
      <c r="S129" s="13" t="e">
        <v>#N/A</v>
      </c>
      <c r="T129" s="8"/>
      <c r="U129" s="8"/>
    </row>
    <row r="130" spans="1:21" x14ac:dyDescent="0.25">
      <c r="A130" s="7">
        <v>40269</v>
      </c>
      <c r="B130" t="s">
        <v>149</v>
      </c>
      <c r="C130" s="2">
        <v>81.599999999999994</v>
      </c>
      <c r="D130" s="2">
        <v>0.5</v>
      </c>
      <c r="E130" s="2">
        <v>96.9</v>
      </c>
      <c r="F130" s="2">
        <v>86.7</v>
      </c>
      <c r="G130" s="2">
        <v>29.4</v>
      </c>
      <c r="H130" s="2">
        <v>89.5</v>
      </c>
      <c r="I130" s="8">
        <v>10435321</v>
      </c>
      <c r="J130" s="8">
        <v>10117011</v>
      </c>
      <c r="K130" s="8">
        <v>441</v>
      </c>
      <c r="L130" s="8">
        <v>417</v>
      </c>
      <c r="M130" s="8">
        <v>405</v>
      </c>
      <c r="N130" s="8" t="e">
        <v>#N/A</v>
      </c>
      <c r="O130" s="8" t="e">
        <v>#N/A</v>
      </c>
      <c r="P130" s="2" t="e">
        <v>#N/A</v>
      </c>
      <c r="Q130" s="12" t="e">
        <v>#N/A</v>
      </c>
      <c r="R130" s="13" t="e">
        <v>#N/A</v>
      </c>
      <c r="S130" s="13" t="e">
        <v>#N/A</v>
      </c>
      <c r="T130" s="8"/>
      <c r="U130" s="8"/>
    </row>
    <row r="131" spans="1:21" x14ac:dyDescent="0.25">
      <c r="A131" s="7">
        <v>40299</v>
      </c>
      <c r="B131" t="s">
        <v>150</v>
      </c>
      <c r="C131" s="2">
        <v>82.2</v>
      </c>
      <c r="D131" s="2">
        <v>0.2</v>
      </c>
      <c r="E131" s="2">
        <v>97.4</v>
      </c>
      <c r="F131" s="2">
        <v>86.7</v>
      </c>
      <c r="G131" s="2">
        <v>29.1</v>
      </c>
      <c r="H131" s="2">
        <v>90.5</v>
      </c>
      <c r="I131" s="8">
        <v>10509872</v>
      </c>
      <c r="J131" s="8">
        <v>10491387</v>
      </c>
      <c r="K131" s="8">
        <v>443</v>
      </c>
      <c r="L131" s="8">
        <v>417</v>
      </c>
      <c r="M131" s="8">
        <v>404</v>
      </c>
      <c r="N131" s="8" t="e">
        <v>#N/A</v>
      </c>
      <c r="O131" s="8" t="e">
        <v>#N/A</v>
      </c>
      <c r="P131" s="2" t="e">
        <v>#N/A</v>
      </c>
      <c r="Q131" s="12" t="e">
        <v>#N/A</v>
      </c>
      <c r="R131" s="13" t="e">
        <v>#N/A</v>
      </c>
      <c r="S131" s="13" t="e">
        <v>#N/A</v>
      </c>
      <c r="T131" s="8"/>
      <c r="U131" s="8"/>
    </row>
    <row r="132" spans="1:21" x14ac:dyDescent="0.25">
      <c r="A132" s="7">
        <v>40330</v>
      </c>
      <c r="B132" t="s">
        <v>151</v>
      </c>
      <c r="C132" s="2">
        <v>82.2</v>
      </c>
      <c r="D132" s="2">
        <v>0</v>
      </c>
      <c r="E132" s="2">
        <v>98.1</v>
      </c>
      <c r="F132" s="2">
        <v>86.2</v>
      </c>
      <c r="G132" s="2">
        <v>28.9</v>
      </c>
      <c r="H132" s="2">
        <v>90.3</v>
      </c>
      <c r="I132" s="8">
        <v>13210419</v>
      </c>
      <c r="J132" s="8">
        <v>13266796</v>
      </c>
      <c r="K132" s="8">
        <v>442</v>
      </c>
      <c r="L132" s="8">
        <v>418</v>
      </c>
      <c r="M132" s="8">
        <v>405</v>
      </c>
      <c r="N132" s="8" t="e">
        <v>#N/A</v>
      </c>
      <c r="O132" s="8" t="e">
        <v>#N/A</v>
      </c>
      <c r="P132" s="2" t="e">
        <v>#N/A</v>
      </c>
      <c r="Q132" s="12" t="e">
        <v>#N/A</v>
      </c>
      <c r="R132" s="13" t="e">
        <v>#N/A</v>
      </c>
      <c r="S132" s="13" t="e">
        <v>#N/A</v>
      </c>
      <c r="T132" s="8"/>
      <c r="U132" s="8"/>
    </row>
    <row r="133" spans="1:21" x14ac:dyDescent="0.25">
      <c r="A133" s="7">
        <v>40360</v>
      </c>
      <c r="B133" t="s">
        <v>152</v>
      </c>
      <c r="C133" s="2">
        <v>82.3</v>
      </c>
      <c r="D133" s="2">
        <v>0.3</v>
      </c>
      <c r="E133" s="2">
        <v>96.1</v>
      </c>
      <c r="F133" s="2">
        <v>87.7</v>
      </c>
      <c r="G133" s="2">
        <v>30.5</v>
      </c>
      <c r="H133" s="2">
        <v>91.1</v>
      </c>
      <c r="I133" s="8">
        <v>10439663</v>
      </c>
      <c r="J133" s="8">
        <v>10336230</v>
      </c>
      <c r="K133" s="8">
        <v>443</v>
      </c>
      <c r="L133" s="8">
        <v>420</v>
      </c>
      <c r="M133" s="8">
        <v>407</v>
      </c>
      <c r="N133" s="8" t="e">
        <v>#N/A</v>
      </c>
      <c r="O133" s="8" t="e">
        <v>#N/A</v>
      </c>
      <c r="P133" s="2" t="e">
        <v>#N/A</v>
      </c>
      <c r="Q133" s="12" t="e">
        <v>#N/A</v>
      </c>
      <c r="R133" s="13" t="e">
        <v>#N/A</v>
      </c>
      <c r="S133" s="13" t="e">
        <v>#N/A</v>
      </c>
      <c r="T133" s="8"/>
      <c r="U133" s="8"/>
    </row>
    <row r="134" spans="1:21" x14ac:dyDescent="0.25">
      <c r="A134" s="7">
        <v>40391</v>
      </c>
      <c r="B134" t="s">
        <v>153</v>
      </c>
      <c r="C134" s="2">
        <v>82.4</v>
      </c>
      <c r="D134" s="2">
        <v>0.1</v>
      </c>
      <c r="E134" s="2">
        <v>95.6</v>
      </c>
      <c r="F134" s="2">
        <v>88.1</v>
      </c>
      <c r="G134" s="2">
        <v>31.6</v>
      </c>
      <c r="H134" s="2">
        <v>90.5</v>
      </c>
      <c r="I134" s="8">
        <v>10410522</v>
      </c>
      <c r="J134" s="8">
        <v>10177957</v>
      </c>
      <c r="K134" s="8">
        <v>445</v>
      </c>
      <c r="L134" s="8">
        <v>421</v>
      </c>
      <c r="M134" s="8">
        <v>408</v>
      </c>
      <c r="N134" s="8" t="e">
        <v>#N/A</v>
      </c>
      <c r="O134" s="8" t="e">
        <v>#N/A</v>
      </c>
      <c r="P134" s="2" t="e">
        <v>#N/A</v>
      </c>
      <c r="Q134" s="12" t="e">
        <v>#N/A</v>
      </c>
      <c r="R134" s="13" t="e">
        <v>#N/A</v>
      </c>
      <c r="S134" s="13" t="e">
        <v>#N/A</v>
      </c>
      <c r="T134" s="8"/>
      <c r="U134" s="8"/>
    </row>
    <row r="135" spans="1:21" x14ac:dyDescent="0.25">
      <c r="A135" s="7">
        <v>40422</v>
      </c>
      <c r="B135" t="s">
        <v>154</v>
      </c>
      <c r="C135" s="2">
        <v>82.6</v>
      </c>
      <c r="D135" s="2">
        <v>-1.1000000000000001</v>
      </c>
      <c r="E135" s="2">
        <v>95.2</v>
      </c>
      <c r="F135" s="2">
        <v>86.5</v>
      </c>
      <c r="G135" s="2">
        <v>30.8</v>
      </c>
      <c r="H135" s="2">
        <v>89.8</v>
      </c>
      <c r="I135" s="8">
        <v>13044218</v>
      </c>
      <c r="J135" s="8">
        <v>12637868</v>
      </c>
      <c r="K135" s="8">
        <v>446</v>
      </c>
      <c r="L135" s="8">
        <v>422</v>
      </c>
      <c r="M135" s="8">
        <v>409</v>
      </c>
      <c r="N135" s="8" t="e">
        <v>#N/A</v>
      </c>
      <c r="O135" s="8" t="e">
        <v>#N/A</v>
      </c>
      <c r="P135" s="2" t="e">
        <v>#N/A</v>
      </c>
      <c r="Q135" s="12" t="e">
        <v>#N/A</v>
      </c>
      <c r="R135" s="13" t="e">
        <v>#N/A</v>
      </c>
      <c r="S135" s="13" t="e">
        <v>#N/A</v>
      </c>
      <c r="T135" s="8"/>
      <c r="U135" s="8"/>
    </row>
    <row r="136" spans="1:21" x14ac:dyDescent="0.25">
      <c r="A136" s="7">
        <v>40452</v>
      </c>
      <c r="B136" t="s">
        <v>155</v>
      </c>
      <c r="C136" s="2">
        <v>82.9</v>
      </c>
      <c r="D136" s="2">
        <v>0.4</v>
      </c>
      <c r="E136" s="2">
        <v>95.2</v>
      </c>
      <c r="F136" s="2">
        <v>86.7</v>
      </c>
      <c r="G136" s="2">
        <v>31</v>
      </c>
      <c r="H136" s="2">
        <v>91.7</v>
      </c>
      <c r="I136" s="8">
        <v>10510890</v>
      </c>
      <c r="J136" s="8">
        <v>10306376</v>
      </c>
      <c r="K136" s="8">
        <v>447</v>
      </c>
      <c r="L136" s="8">
        <v>422</v>
      </c>
      <c r="M136" s="8">
        <v>409</v>
      </c>
      <c r="N136" s="8" t="e">
        <v>#N/A</v>
      </c>
      <c r="O136" s="8" t="e">
        <v>#N/A</v>
      </c>
      <c r="P136" s="2" t="e">
        <v>#N/A</v>
      </c>
      <c r="Q136" s="12" t="e">
        <v>#N/A</v>
      </c>
      <c r="R136" s="13" t="e">
        <v>#N/A</v>
      </c>
      <c r="S136" s="13" t="e">
        <v>#N/A</v>
      </c>
      <c r="T136" s="8"/>
      <c r="U136" s="8"/>
    </row>
    <row r="137" spans="1:21" x14ac:dyDescent="0.25">
      <c r="A137" s="7">
        <v>40483</v>
      </c>
      <c r="B137" t="s">
        <v>156</v>
      </c>
      <c r="C137" s="2">
        <v>82.7</v>
      </c>
      <c r="D137" s="2">
        <v>0</v>
      </c>
      <c r="E137" s="2">
        <v>95.9</v>
      </c>
      <c r="F137" s="2">
        <v>86.2</v>
      </c>
      <c r="G137" s="2">
        <v>30.2</v>
      </c>
      <c r="H137" s="2">
        <v>92.1</v>
      </c>
      <c r="I137" s="8">
        <v>10653283</v>
      </c>
      <c r="J137" s="8">
        <v>11005632</v>
      </c>
      <c r="K137" s="8">
        <v>448</v>
      </c>
      <c r="L137" s="8">
        <v>423</v>
      </c>
      <c r="M137" s="8">
        <v>409</v>
      </c>
      <c r="N137" s="8" t="e">
        <v>#N/A</v>
      </c>
      <c r="O137" s="8" t="e">
        <v>#N/A</v>
      </c>
      <c r="P137" s="2" t="e">
        <v>#N/A</v>
      </c>
      <c r="Q137" s="12" t="e">
        <v>#N/A</v>
      </c>
      <c r="R137" s="13" t="e">
        <v>#N/A</v>
      </c>
      <c r="S137" s="13" t="e">
        <v>#N/A</v>
      </c>
      <c r="T137" s="8"/>
      <c r="U137" s="8"/>
    </row>
    <row r="138" spans="1:21" x14ac:dyDescent="0.25">
      <c r="A138" s="7">
        <v>40513</v>
      </c>
      <c r="B138" t="s">
        <v>157</v>
      </c>
      <c r="C138" s="2">
        <v>82</v>
      </c>
      <c r="D138" s="2">
        <v>-2.7</v>
      </c>
      <c r="E138" s="2">
        <v>94.1</v>
      </c>
      <c r="F138" s="2">
        <v>84</v>
      </c>
      <c r="G138" s="2">
        <v>31.5</v>
      </c>
      <c r="H138" s="2">
        <v>83.3</v>
      </c>
      <c r="I138" s="8">
        <v>13124897</v>
      </c>
      <c r="J138" s="8">
        <v>14997939</v>
      </c>
      <c r="K138" s="8">
        <v>449</v>
      </c>
      <c r="L138" s="8">
        <v>423</v>
      </c>
      <c r="M138" s="8">
        <v>409</v>
      </c>
      <c r="N138" s="8" t="e">
        <v>#N/A</v>
      </c>
      <c r="O138" s="8" t="e">
        <v>#N/A</v>
      </c>
      <c r="P138" s="2" t="e">
        <v>#N/A</v>
      </c>
      <c r="Q138" s="12" t="e">
        <v>#N/A</v>
      </c>
      <c r="R138" s="13" t="e">
        <v>#N/A</v>
      </c>
      <c r="S138" s="13" t="e">
        <v>#N/A</v>
      </c>
      <c r="T138" s="8"/>
      <c r="U138" s="8"/>
    </row>
    <row r="139" spans="1:21" x14ac:dyDescent="0.25">
      <c r="A139" s="7">
        <v>40544</v>
      </c>
      <c r="B139" t="s">
        <v>158</v>
      </c>
      <c r="C139" s="2">
        <v>82.4</v>
      </c>
      <c r="D139" s="2">
        <v>2.5</v>
      </c>
      <c r="E139" s="2">
        <v>94</v>
      </c>
      <c r="F139" s="2">
        <v>86.6</v>
      </c>
      <c r="G139" s="2">
        <v>31.6</v>
      </c>
      <c r="H139" s="2">
        <v>93.7</v>
      </c>
      <c r="I139" s="8">
        <v>10627265</v>
      </c>
      <c r="J139" s="8">
        <v>9837574</v>
      </c>
      <c r="K139" s="8">
        <v>458</v>
      </c>
      <c r="L139" s="8">
        <v>426</v>
      </c>
      <c r="M139" s="8">
        <v>413</v>
      </c>
      <c r="N139" s="8" t="e">
        <v>#N/A</v>
      </c>
      <c r="O139" s="8" t="e">
        <v>#N/A</v>
      </c>
      <c r="P139" s="2" t="e">
        <v>#N/A</v>
      </c>
      <c r="Q139" s="12" t="e">
        <v>#N/A</v>
      </c>
      <c r="R139" s="13" t="e">
        <v>#N/A</v>
      </c>
      <c r="S139" s="13" t="e">
        <v>#N/A</v>
      </c>
      <c r="T139" s="8"/>
      <c r="U139" s="8"/>
    </row>
    <row r="140" spans="1:21" x14ac:dyDescent="0.25">
      <c r="A140" s="7">
        <v>40575</v>
      </c>
      <c r="B140" t="s">
        <v>159</v>
      </c>
      <c r="C140" s="2">
        <v>82.8</v>
      </c>
      <c r="D140" s="2">
        <v>-0.6</v>
      </c>
      <c r="E140" s="2">
        <v>93.8</v>
      </c>
      <c r="F140" s="2">
        <v>85.7</v>
      </c>
      <c r="G140" s="2">
        <v>31.8</v>
      </c>
      <c r="H140" s="2">
        <v>93</v>
      </c>
      <c r="I140" s="8">
        <v>10611430</v>
      </c>
      <c r="J140" s="8">
        <v>10175164</v>
      </c>
      <c r="K140" s="8">
        <v>453</v>
      </c>
      <c r="L140" s="8">
        <v>425</v>
      </c>
      <c r="M140" s="8">
        <v>412</v>
      </c>
      <c r="N140" s="8" t="e">
        <v>#N/A</v>
      </c>
      <c r="O140" s="8" t="e">
        <v>#N/A</v>
      </c>
      <c r="P140" s="2" t="e">
        <v>#N/A</v>
      </c>
      <c r="Q140" s="12" t="e">
        <v>#N/A</v>
      </c>
      <c r="R140" s="13" t="e">
        <v>#N/A</v>
      </c>
      <c r="S140" s="13" t="e">
        <v>#N/A</v>
      </c>
      <c r="T140" s="8"/>
      <c r="U140" s="8"/>
    </row>
    <row r="141" spans="1:21" x14ac:dyDescent="0.25">
      <c r="A141" s="7">
        <v>40603</v>
      </c>
      <c r="B141" t="s">
        <v>160</v>
      </c>
      <c r="C141" s="2">
        <v>83</v>
      </c>
      <c r="D141" s="2">
        <v>-0.1</v>
      </c>
      <c r="E141" s="2">
        <v>95.3</v>
      </c>
      <c r="F141" s="2">
        <v>84.8</v>
      </c>
      <c r="G141" s="2">
        <v>31.1</v>
      </c>
      <c r="H141" s="2">
        <v>91.2</v>
      </c>
      <c r="I141" s="8">
        <v>13479775</v>
      </c>
      <c r="J141" s="8">
        <v>12992501</v>
      </c>
      <c r="K141" s="8">
        <v>453</v>
      </c>
      <c r="L141" s="8">
        <v>425</v>
      </c>
      <c r="M141" s="8">
        <v>412</v>
      </c>
      <c r="N141" s="8" t="e">
        <v>#N/A</v>
      </c>
      <c r="O141" s="8" t="e">
        <v>#N/A</v>
      </c>
      <c r="P141" s="2" t="e">
        <v>#N/A</v>
      </c>
      <c r="Q141" s="12" t="e">
        <v>#N/A</v>
      </c>
      <c r="R141" s="13" t="e">
        <v>#N/A</v>
      </c>
      <c r="S141" s="13" t="e">
        <v>#N/A</v>
      </c>
      <c r="T141" s="8"/>
      <c r="U141" s="8"/>
    </row>
    <row r="142" spans="1:21" x14ac:dyDescent="0.25">
      <c r="A142" s="7">
        <v>40634</v>
      </c>
      <c r="B142" t="s">
        <v>161</v>
      </c>
      <c r="C142" s="2">
        <v>82.2</v>
      </c>
      <c r="D142" s="2">
        <v>1.5</v>
      </c>
      <c r="E142" s="2">
        <v>96.4</v>
      </c>
      <c r="F142" s="2">
        <v>86.1</v>
      </c>
      <c r="G142" s="2">
        <v>31.2</v>
      </c>
      <c r="H142" s="2">
        <v>94.3</v>
      </c>
      <c r="I142" s="8">
        <v>10973236</v>
      </c>
      <c r="J142" s="8">
        <v>11082221</v>
      </c>
      <c r="K142" s="8">
        <v>451</v>
      </c>
      <c r="L142" s="8">
        <v>426</v>
      </c>
      <c r="M142" s="8">
        <v>412</v>
      </c>
      <c r="N142" s="8" t="e">
        <v>#N/A</v>
      </c>
      <c r="O142" s="8" t="e">
        <v>#N/A</v>
      </c>
      <c r="P142" s="2" t="e">
        <v>#N/A</v>
      </c>
      <c r="Q142" s="12" t="e">
        <v>#N/A</v>
      </c>
      <c r="R142" s="13" t="e">
        <v>#N/A</v>
      </c>
      <c r="S142" s="13" t="e">
        <v>#N/A</v>
      </c>
      <c r="T142" s="8"/>
      <c r="U142" s="8"/>
    </row>
    <row r="143" spans="1:21" x14ac:dyDescent="0.25">
      <c r="A143" s="7">
        <v>40664</v>
      </c>
      <c r="B143" t="s">
        <v>162</v>
      </c>
      <c r="C143" s="2">
        <v>83.1</v>
      </c>
      <c r="D143" s="2">
        <v>-2.1</v>
      </c>
      <c r="E143" s="2">
        <v>93.3</v>
      </c>
      <c r="F143" s="2">
        <v>84.7</v>
      </c>
      <c r="G143" s="2">
        <v>32.1</v>
      </c>
      <c r="H143" s="2">
        <v>92.6</v>
      </c>
      <c r="I143" s="8">
        <v>10729440</v>
      </c>
      <c r="J143" s="8">
        <v>10713339</v>
      </c>
      <c r="K143" s="8">
        <v>453</v>
      </c>
      <c r="L143" s="8">
        <v>427</v>
      </c>
      <c r="M143" s="8">
        <v>413</v>
      </c>
      <c r="N143" s="8" t="e">
        <v>#N/A</v>
      </c>
      <c r="O143" s="8" t="e">
        <v>#N/A</v>
      </c>
      <c r="P143" s="2" t="e">
        <v>#N/A</v>
      </c>
      <c r="Q143" s="12" t="e">
        <v>#N/A</v>
      </c>
      <c r="R143" s="13" t="e">
        <v>#N/A</v>
      </c>
      <c r="S143" s="13" t="e">
        <v>#N/A</v>
      </c>
      <c r="T143" s="8"/>
      <c r="U143" s="8"/>
    </row>
    <row r="144" spans="1:21" x14ac:dyDescent="0.25">
      <c r="A144" s="7">
        <v>40695</v>
      </c>
      <c r="B144" t="s">
        <v>163</v>
      </c>
      <c r="C144" s="2">
        <v>83.1</v>
      </c>
      <c r="D144" s="2">
        <v>-0.3</v>
      </c>
      <c r="E144" s="2">
        <v>93</v>
      </c>
      <c r="F144" s="2">
        <v>84</v>
      </c>
      <c r="G144" s="2">
        <v>32.9</v>
      </c>
      <c r="H144" s="2">
        <v>92.9</v>
      </c>
      <c r="I144" s="8">
        <v>13464488</v>
      </c>
      <c r="J144" s="8">
        <v>13509777</v>
      </c>
      <c r="K144" s="8">
        <v>456</v>
      </c>
      <c r="L144" s="8">
        <v>426</v>
      </c>
      <c r="M144" s="8">
        <v>413</v>
      </c>
      <c r="N144" s="8" t="e">
        <v>#N/A</v>
      </c>
      <c r="O144" s="8" t="e">
        <v>#N/A</v>
      </c>
      <c r="P144" s="2" t="e">
        <v>#N/A</v>
      </c>
      <c r="Q144" s="12" t="e">
        <v>#N/A</v>
      </c>
      <c r="R144" s="13" t="e">
        <v>#N/A</v>
      </c>
      <c r="S144" s="13" t="e">
        <v>#N/A</v>
      </c>
      <c r="T144" s="8"/>
      <c r="U144" s="8"/>
    </row>
    <row r="145" spans="1:21" x14ac:dyDescent="0.25">
      <c r="A145" s="7">
        <v>40725</v>
      </c>
      <c r="B145" t="s">
        <v>164</v>
      </c>
      <c r="C145" s="2">
        <v>83.2</v>
      </c>
      <c r="D145" s="2">
        <v>0.3</v>
      </c>
      <c r="E145" s="2">
        <v>93.8</v>
      </c>
      <c r="F145" s="2">
        <v>84.1</v>
      </c>
      <c r="G145" s="2">
        <v>32.5</v>
      </c>
      <c r="H145" s="2">
        <v>92.3</v>
      </c>
      <c r="I145" s="8">
        <v>10922060</v>
      </c>
      <c r="J145" s="8">
        <v>10841219</v>
      </c>
      <c r="K145" s="8">
        <v>456</v>
      </c>
      <c r="L145" s="8">
        <v>427</v>
      </c>
      <c r="M145" s="8">
        <v>414</v>
      </c>
      <c r="N145" s="8" t="e">
        <v>#N/A</v>
      </c>
      <c r="O145" s="8" t="e">
        <v>#N/A</v>
      </c>
      <c r="P145" s="2" t="e">
        <v>#N/A</v>
      </c>
      <c r="Q145" s="12" t="e">
        <v>#N/A</v>
      </c>
      <c r="R145" s="13" t="e">
        <v>#N/A</v>
      </c>
      <c r="S145" s="13" t="e">
        <v>#N/A</v>
      </c>
      <c r="T145" s="8"/>
      <c r="U145" s="8"/>
    </row>
    <row r="146" spans="1:21" x14ac:dyDescent="0.25">
      <c r="A146" s="7">
        <v>40756</v>
      </c>
      <c r="B146" t="s">
        <v>165</v>
      </c>
      <c r="C146" s="2">
        <v>83</v>
      </c>
      <c r="D146" s="2">
        <v>-0.1</v>
      </c>
      <c r="E146" s="2">
        <v>94.2</v>
      </c>
      <c r="F146" s="2">
        <v>83.3</v>
      </c>
      <c r="G146" s="2">
        <v>33.6</v>
      </c>
      <c r="H146" s="2">
        <v>92</v>
      </c>
      <c r="I146" s="8">
        <v>10978438</v>
      </c>
      <c r="J146" s="8">
        <v>10728907</v>
      </c>
      <c r="K146" s="8">
        <v>454</v>
      </c>
      <c r="L146" s="8">
        <v>427</v>
      </c>
      <c r="M146" s="8">
        <v>414</v>
      </c>
      <c r="N146" s="8" t="e">
        <v>#N/A</v>
      </c>
      <c r="O146" s="8" t="e">
        <v>#N/A</v>
      </c>
      <c r="P146" s="2" t="e">
        <v>#N/A</v>
      </c>
      <c r="Q146" s="12" t="e">
        <v>#N/A</v>
      </c>
      <c r="R146" s="13" t="e">
        <v>#N/A</v>
      </c>
      <c r="S146" s="13" t="e">
        <v>#N/A</v>
      </c>
      <c r="T146" s="8"/>
      <c r="U146" s="8"/>
    </row>
    <row r="147" spans="1:21" x14ac:dyDescent="0.25">
      <c r="A147" s="7">
        <v>40787</v>
      </c>
      <c r="B147" t="s">
        <v>166</v>
      </c>
      <c r="C147" s="2">
        <v>83.1</v>
      </c>
      <c r="D147" s="2">
        <v>0.3</v>
      </c>
      <c r="E147" s="2">
        <v>94.1</v>
      </c>
      <c r="F147" s="2">
        <v>83.8</v>
      </c>
      <c r="G147" s="2">
        <v>33.299999999999997</v>
      </c>
      <c r="H147" s="2">
        <v>92.7</v>
      </c>
      <c r="I147" s="8">
        <v>13800918</v>
      </c>
      <c r="J147" s="8">
        <v>13381829</v>
      </c>
      <c r="K147" s="8">
        <v>454</v>
      </c>
      <c r="L147" s="8">
        <v>429</v>
      </c>
      <c r="M147" s="8">
        <v>416</v>
      </c>
      <c r="N147" s="8" t="e">
        <v>#N/A</v>
      </c>
      <c r="O147" s="8" t="e">
        <v>#N/A</v>
      </c>
      <c r="P147" s="2" t="e">
        <v>#N/A</v>
      </c>
      <c r="Q147" s="12" t="e">
        <v>#N/A</v>
      </c>
      <c r="R147" s="13" t="e">
        <v>#N/A</v>
      </c>
      <c r="S147" s="13" t="e">
        <v>#N/A</v>
      </c>
      <c r="T147" s="8"/>
      <c r="U147" s="8"/>
    </row>
    <row r="148" spans="1:21" x14ac:dyDescent="0.25">
      <c r="A148" s="7">
        <v>40817</v>
      </c>
      <c r="B148" t="s">
        <v>167</v>
      </c>
      <c r="C148" s="2">
        <v>82.4</v>
      </c>
      <c r="D148" s="2">
        <v>1</v>
      </c>
      <c r="E148" s="2">
        <v>94.9</v>
      </c>
      <c r="F148" s="2">
        <v>84.6</v>
      </c>
      <c r="G148" s="2">
        <v>33.299999999999997</v>
      </c>
      <c r="H148" s="2">
        <v>94.5</v>
      </c>
      <c r="I148" s="8">
        <v>11086715</v>
      </c>
      <c r="J148" s="8">
        <v>10871832</v>
      </c>
      <c r="K148" s="8">
        <v>456</v>
      </c>
      <c r="L148" s="8">
        <v>430</v>
      </c>
      <c r="M148" s="8">
        <v>417</v>
      </c>
      <c r="N148" s="8" t="e">
        <v>#N/A</v>
      </c>
      <c r="O148" s="8" t="e">
        <v>#N/A</v>
      </c>
      <c r="P148" s="2" t="e">
        <v>#N/A</v>
      </c>
      <c r="Q148" s="12" t="e">
        <v>#N/A</v>
      </c>
      <c r="R148" s="13" t="e">
        <v>#N/A</v>
      </c>
      <c r="S148" s="13" t="e">
        <v>#N/A</v>
      </c>
      <c r="T148" s="8"/>
      <c r="U148" s="8"/>
    </row>
    <row r="149" spans="1:21" x14ac:dyDescent="0.25">
      <c r="A149" s="7">
        <v>40848</v>
      </c>
      <c r="B149" t="s">
        <v>168</v>
      </c>
      <c r="C149" s="2">
        <v>83.4</v>
      </c>
      <c r="D149" s="2">
        <v>-0.6</v>
      </c>
      <c r="E149" s="2">
        <v>94.2</v>
      </c>
      <c r="F149" s="2">
        <v>83.1</v>
      </c>
      <c r="G149" s="2">
        <v>34.1</v>
      </c>
      <c r="H149" s="2">
        <v>96.8</v>
      </c>
      <c r="I149" s="8">
        <v>11041276</v>
      </c>
      <c r="J149" s="8">
        <v>11391569</v>
      </c>
      <c r="K149" s="8">
        <v>457</v>
      </c>
      <c r="L149" s="8">
        <v>430</v>
      </c>
      <c r="M149" s="8">
        <v>418</v>
      </c>
      <c r="N149" s="8" t="e">
        <v>#N/A</v>
      </c>
      <c r="O149" s="8" t="e">
        <v>#N/A</v>
      </c>
      <c r="P149" s="2" t="e">
        <v>#N/A</v>
      </c>
      <c r="Q149" s="12" t="e">
        <v>#N/A</v>
      </c>
      <c r="R149" s="13" t="e">
        <v>#N/A</v>
      </c>
      <c r="S149" s="13" t="e">
        <v>#N/A</v>
      </c>
      <c r="T149" s="8"/>
      <c r="U149" s="8"/>
    </row>
    <row r="150" spans="1:21" x14ac:dyDescent="0.25">
      <c r="A150" s="7">
        <v>40878</v>
      </c>
      <c r="B150" t="s">
        <v>169</v>
      </c>
      <c r="C150" s="2">
        <v>84.1</v>
      </c>
      <c r="D150" s="2">
        <v>0.2</v>
      </c>
      <c r="E150" s="2">
        <v>94.5</v>
      </c>
      <c r="F150" s="2">
        <v>84</v>
      </c>
      <c r="G150" s="2">
        <v>33.6</v>
      </c>
      <c r="H150" s="2">
        <v>94.9</v>
      </c>
      <c r="I150" s="8">
        <v>13903340</v>
      </c>
      <c r="J150" s="8">
        <v>16153039</v>
      </c>
      <c r="K150" s="8">
        <v>457</v>
      </c>
      <c r="L150" s="8">
        <v>431</v>
      </c>
      <c r="M150" s="8">
        <v>418</v>
      </c>
      <c r="N150" s="8" t="e">
        <v>#N/A</v>
      </c>
      <c r="O150" s="8" t="e">
        <v>#N/A</v>
      </c>
      <c r="P150" s="2" t="e">
        <v>#N/A</v>
      </c>
      <c r="Q150" s="12" t="e">
        <v>#N/A</v>
      </c>
      <c r="R150" s="13" t="e">
        <v>#N/A</v>
      </c>
      <c r="S150" s="13" t="e">
        <v>#N/A</v>
      </c>
      <c r="T150" s="8"/>
      <c r="U150" s="8"/>
    </row>
    <row r="151" spans="1:21" x14ac:dyDescent="0.25">
      <c r="A151" s="7">
        <v>40909</v>
      </c>
      <c r="B151" t="s">
        <v>170</v>
      </c>
      <c r="C151" s="2">
        <v>84.5</v>
      </c>
      <c r="D151" s="2">
        <v>0.3</v>
      </c>
      <c r="E151" s="2">
        <v>94.1</v>
      </c>
      <c r="F151" s="2">
        <v>84.6</v>
      </c>
      <c r="G151" s="2">
        <v>34.1</v>
      </c>
      <c r="H151" s="2">
        <v>95.3</v>
      </c>
      <c r="I151" s="8">
        <v>11059053</v>
      </c>
      <c r="J151" s="8">
        <v>10178892</v>
      </c>
      <c r="K151" s="8">
        <v>457</v>
      </c>
      <c r="L151" s="8">
        <v>430</v>
      </c>
      <c r="M151" s="8">
        <v>418</v>
      </c>
      <c r="N151" s="8" t="e">
        <v>#N/A</v>
      </c>
      <c r="O151" s="8" t="e">
        <v>#N/A</v>
      </c>
      <c r="P151" s="2" t="e">
        <v>#N/A</v>
      </c>
      <c r="Q151" s="12" t="e">
        <v>#N/A</v>
      </c>
      <c r="R151" s="13" t="e">
        <v>#N/A</v>
      </c>
      <c r="S151" s="13" t="e">
        <v>#N/A</v>
      </c>
      <c r="T151" s="8"/>
      <c r="U151" s="8"/>
    </row>
    <row r="152" spans="1:21" x14ac:dyDescent="0.25">
      <c r="A152" s="7">
        <v>40940</v>
      </c>
      <c r="B152" t="s">
        <v>171</v>
      </c>
      <c r="C152" s="2">
        <v>83.7</v>
      </c>
      <c r="D152" s="2">
        <v>-0.7</v>
      </c>
      <c r="E152" s="2">
        <v>94.6</v>
      </c>
      <c r="F152" s="2">
        <v>83.3</v>
      </c>
      <c r="G152" s="2">
        <v>33.700000000000003</v>
      </c>
      <c r="H152" s="2">
        <v>93.4</v>
      </c>
      <c r="I152" s="8">
        <v>11175046</v>
      </c>
      <c r="J152" s="8">
        <v>10670504</v>
      </c>
      <c r="K152" s="8">
        <v>457</v>
      </c>
      <c r="L152" s="8">
        <v>432</v>
      </c>
      <c r="M152" s="8">
        <v>419</v>
      </c>
      <c r="N152" s="8" t="e">
        <v>#N/A</v>
      </c>
      <c r="O152" s="8" t="e">
        <v>#N/A</v>
      </c>
      <c r="P152" s="2" t="e">
        <v>#N/A</v>
      </c>
      <c r="Q152" s="12" t="e">
        <v>#N/A</v>
      </c>
      <c r="R152" s="13" t="e">
        <v>#N/A</v>
      </c>
      <c r="S152" s="13" t="e">
        <v>#N/A</v>
      </c>
      <c r="T152" s="8"/>
      <c r="U152" s="8"/>
    </row>
    <row r="153" spans="1:21" x14ac:dyDescent="0.25">
      <c r="A153" s="7">
        <v>40969</v>
      </c>
      <c r="B153" t="s">
        <v>172</v>
      </c>
      <c r="C153" s="2">
        <v>84.1</v>
      </c>
      <c r="D153" s="2">
        <v>2.1</v>
      </c>
      <c r="E153" s="2">
        <v>94.1</v>
      </c>
      <c r="F153" s="2">
        <v>86.6</v>
      </c>
      <c r="G153" s="2">
        <v>34.4</v>
      </c>
      <c r="H153" s="2">
        <v>98.2</v>
      </c>
      <c r="I153" s="8">
        <v>13910717</v>
      </c>
      <c r="J153" s="8">
        <v>13583089</v>
      </c>
      <c r="K153" s="8">
        <v>457</v>
      </c>
      <c r="L153" s="8">
        <v>433</v>
      </c>
      <c r="M153" s="8">
        <v>421</v>
      </c>
      <c r="N153" s="8" t="e">
        <v>#N/A</v>
      </c>
      <c r="O153" s="8" t="e">
        <v>#N/A</v>
      </c>
      <c r="P153" s="2" t="e">
        <v>#N/A</v>
      </c>
      <c r="Q153" s="12" t="e">
        <v>#N/A</v>
      </c>
      <c r="R153" s="13" t="e">
        <v>#N/A</v>
      </c>
      <c r="S153" s="13" t="e">
        <v>#N/A</v>
      </c>
      <c r="T153" s="8"/>
      <c r="U153" s="8"/>
    </row>
    <row r="154" spans="1:21" x14ac:dyDescent="0.25">
      <c r="A154" s="7">
        <v>41000</v>
      </c>
      <c r="B154" t="s">
        <v>173</v>
      </c>
      <c r="C154" s="2">
        <v>83.5</v>
      </c>
      <c r="D154" s="2">
        <v>-3</v>
      </c>
      <c r="E154" s="2">
        <v>93.5</v>
      </c>
      <c r="F154" s="2">
        <v>83.8</v>
      </c>
      <c r="G154" s="2">
        <v>34.5</v>
      </c>
      <c r="H154" s="2">
        <v>87.2</v>
      </c>
      <c r="I154" s="8">
        <v>11118585</v>
      </c>
      <c r="J154" s="8">
        <v>11045676</v>
      </c>
      <c r="K154" s="8">
        <v>460</v>
      </c>
      <c r="L154" s="8">
        <v>433</v>
      </c>
      <c r="M154" s="8">
        <v>420</v>
      </c>
      <c r="N154" s="8" t="e">
        <v>#N/A</v>
      </c>
      <c r="O154" s="8" t="e">
        <v>#N/A</v>
      </c>
      <c r="P154" s="2" t="e">
        <v>#N/A</v>
      </c>
      <c r="Q154" s="12" t="e">
        <v>#N/A</v>
      </c>
      <c r="R154" s="13" t="e">
        <v>#N/A</v>
      </c>
      <c r="S154" s="13" t="e">
        <v>#N/A</v>
      </c>
      <c r="T154" s="8"/>
      <c r="U154" s="8"/>
    </row>
    <row r="155" spans="1:21" x14ac:dyDescent="0.25">
      <c r="A155" s="7">
        <v>41030</v>
      </c>
      <c r="B155" t="s">
        <v>174</v>
      </c>
      <c r="C155" s="2">
        <v>84.8</v>
      </c>
      <c r="D155" s="2">
        <v>1.3</v>
      </c>
      <c r="E155" s="2">
        <v>94</v>
      </c>
      <c r="F155" s="2">
        <v>84.8</v>
      </c>
      <c r="G155" s="2">
        <v>35.4</v>
      </c>
      <c r="H155" s="2">
        <v>90.8</v>
      </c>
      <c r="I155" s="8">
        <v>11170884</v>
      </c>
      <c r="J155" s="8">
        <v>11155517</v>
      </c>
      <c r="K155" s="8">
        <v>460</v>
      </c>
      <c r="L155" s="8">
        <v>434</v>
      </c>
      <c r="M155" s="8">
        <v>421</v>
      </c>
      <c r="N155" s="8" t="e">
        <v>#N/A</v>
      </c>
      <c r="O155" s="8" t="e">
        <v>#N/A</v>
      </c>
      <c r="P155" s="2" t="e">
        <v>#N/A</v>
      </c>
      <c r="Q155" s="12" t="e">
        <v>#N/A</v>
      </c>
      <c r="R155" s="13" t="e">
        <v>#N/A</v>
      </c>
      <c r="S155" s="13" t="e">
        <v>#N/A</v>
      </c>
      <c r="T155" s="8"/>
      <c r="U155" s="8"/>
    </row>
    <row r="156" spans="1:21" x14ac:dyDescent="0.25">
      <c r="A156" s="7">
        <v>41061</v>
      </c>
      <c r="B156" t="s">
        <v>175</v>
      </c>
      <c r="C156" s="2">
        <v>83.7</v>
      </c>
      <c r="D156" s="2">
        <v>0.2</v>
      </c>
      <c r="E156" s="2">
        <v>94.2</v>
      </c>
      <c r="F156" s="2">
        <v>86</v>
      </c>
      <c r="G156" s="2">
        <v>34.700000000000003</v>
      </c>
      <c r="H156" s="2">
        <v>87.8</v>
      </c>
      <c r="I156" s="8">
        <v>13964665</v>
      </c>
      <c r="J156" s="8">
        <v>13995745</v>
      </c>
      <c r="K156" s="8">
        <v>462</v>
      </c>
      <c r="L156" s="8">
        <v>435</v>
      </c>
      <c r="M156" s="8">
        <v>422</v>
      </c>
      <c r="N156" s="8" t="e">
        <v>#N/A</v>
      </c>
      <c r="O156" s="8" t="e">
        <v>#N/A</v>
      </c>
      <c r="P156" s="2" t="e">
        <v>#N/A</v>
      </c>
      <c r="Q156" s="12" t="e">
        <v>#N/A</v>
      </c>
      <c r="R156" s="13" t="e">
        <v>#N/A</v>
      </c>
      <c r="S156" s="13" t="e">
        <v>#N/A</v>
      </c>
      <c r="T156" s="8"/>
      <c r="U156" s="8"/>
    </row>
    <row r="157" spans="1:21" x14ac:dyDescent="0.25">
      <c r="A157" s="7">
        <v>41091</v>
      </c>
      <c r="B157" t="s">
        <v>176</v>
      </c>
      <c r="C157" s="2">
        <v>84.8</v>
      </c>
      <c r="D157" s="2">
        <v>0</v>
      </c>
      <c r="E157" s="2">
        <v>93.7</v>
      </c>
      <c r="F157" s="2">
        <v>85.2</v>
      </c>
      <c r="G157" s="2">
        <v>36.5</v>
      </c>
      <c r="H157" s="2">
        <v>90.7</v>
      </c>
      <c r="I157" s="8">
        <v>11165627</v>
      </c>
      <c r="J157" s="8">
        <v>11139777</v>
      </c>
      <c r="K157" s="8">
        <v>463</v>
      </c>
      <c r="L157" s="8">
        <v>435</v>
      </c>
      <c r="M157" s="8">
        <v>422</v>
      </c>
      <c r="N157" s="8" t="e">
        <v>#N/A</v>
      </c>
      <c r="O157" s="8" t="e">
        <v>#N/A</v>
      </c>
      <c r="P157" s="2" t="e">
        <v>#N/A</v>
      </c>
      <c r="Q157" s="12" t="e">
        <v>#N/A</v>
      </c>
      <c r="R157" s="13" t="e">
        <v>#N/A</v>
      </c>
      <c r="S157" s="13" t="e">
        <v>#N/A</v>
      </c>
      <c r="T157" s="8"/>
      <c r="U157" s="8"/>
    </row>
    <row r="158" spans="1:21" x14ac:dyDescent="0.25">
      <c r="A158" s="7">
        <v>41122</v>
      </c>
      <c r="B158" t="s">
        <v>177</v>
      </c>
      <c r="C158" s="2">
        <v>85.3</v>
      </c>
      <c r="D158" s="2">
        <v>0.2</v>
      </c>
      <c r="E158" s="2">
        <v>94.6</v>
      </c>
      <c r="F158" s="2">
        <v>85.4</v>
      </c>
      <c r="G158" s="2">
        <v>34.4</v>
      </c>
      <c r="H158" s="2">
        <v>91</v>
      </c>
      <c r="I158" s="8">
        <v>11314739</v>
      </c>
      <c r="J158" s="8">
        <v>11052209</v>
      </c>
      <c r="K158" s="8">
        <v>464</v>
      </c>
      <c r="L158" s="8">
        <v>436</v>
      </c>
      <c r="M158" s="8">
        <v>423</v>
      </c>
      <c r="N158" s="8" t="e">
        <v>#N/A</v>
      </c>
      <c r="O158" s="8" t="e">
        <v>#N/A</v>
      </c>
      <c r="P158" s="2" t="e">
        <v>#N/A</v>
      </c>
      <c r="Q158" s="12" t="e">
        <v>#N/A</v>
      </c>
      <c r="R158" s="13" t="e">
        <v>#N/A</v>
      </c>
      <c r="S158" s="13" t="e">
        <v>#N/A</v>
      </c>
      <c r="T158" s="8"/>
      <c r="U158" s="8"/>
    </row>
    <row r="159" spans="1:21" x14ac:dyDescent="0.25">
      <c r="A159" s="7">
        <v>41153</v>
      </c>
      <c r="B159" t="s">
        <v>178</v>
      </c>
      <c r="C159" s="2">
        <v>84.4</v>
      </c>
      <c r="D159" s="2">
        <v>0.3</v>
      </c>
      <c r="E159" s="2">
        <v>94.5</v>
      </c>
      <c r="F159" s="2">
        <v>85.5</v>
      </c>
      <c r="G159" s="2">
        <v>35.700000000000003</v>
      </c>
      <c r="H159" s="2">
        <v>91.7</v>
      </c>
      <c r="I159" s="8">
        <v>14173730</v>
      </c>
      <c r="J159" s="8">
        <v>13748176</v>
      </c>
      <c r="K159" s="8">
        <v>462</v>
      </c>
      <c r="L159" s="8">
        <v>435</v>
      </c>
      <c r="M159" s="8">
        <v>422</v>
      </c>
      <c r="N159" s="8" t="e">
        <v>#N/A</v>
      </c>
      <c r="O159" s="8" t="e">
        <v>#N/A</v>
      </c>
      <c r="P159" s="2" t="e">
        <v>#N/A</v>
      </c>
      <c r="Q159" s="12" t="e">
        <v>#N/A</v>
      </c>
      <c r="R159" s="13" t="e">
        <v>#N/A</v>
      </c>
      <c r="S159" s="13" t="e">
        <v>#N/A</v>
      </c>
      <c r="T159" s="8"/>
      <c r="U159" s="8"/>
    </row>
    <row r="160" spans="1:21" x14ac:dyDescent="0.25">
      <c r="A160" s="7">
        <v>41183</v>
      </c>
      <c r="B160" t="s">
        <v>179</v>
      </c>
      <c r="C160" s="2">
        <v>84.7</v>
      </c>
      <c r="D160" s="2">
        <v>-0.6</v>
      </c>
      <c r="E160" s="2">
        <v>93.6</v>
      </c>
      <c r="F160" s="2">
        <v>85.3</v>
      </c>
      <c r="G160" s="2">
        <v>36.5</v>
      </c>
      <c r="H160" s="2">
        <v>89.6</v>
      </c>
      <c r="I160" s="8">
        <v>11274320</v>
      </c>
      <c r="J160" s="8">
        <v>11051535</v>
      </c>
      <c r="K160" s="8">
        <v>462</v>
      </c>
      <c r="L160" s="8">
        <v>435</v>
      </c>
      <c r="M160" s="8">
        <v>422</v>
      </c>
      <c r="N160" s="8" t="e">
        <v>#N/A</v>
      </c>
      <c r="O160" s="8" t="e">
        <v>#N/A</v>
      </c>
      <c r="P160" s="2" t="e">
        <v>#N/A</v>
      </c>
      <c r="Q160" s="12" t="e">
        <v>#N/A</v>
      </c>
      <c r="R160" s="13" t="e">
        <v>#N/A</v>
      </c>
      <c r="S160" s="13" t="e">
        <v>#N/A</v>
      </c>
      <c r="T160" s="8"/>
      <c r="U160" s="8"/>
    </row>
    <row r="161" spans="1:21" x14ac:dyDescent="0.25">
      <c r="A161" s="7">
        <v>41214</v>
      </c>
      <c r="B161" t="s">
        <v>180</v>
      </c>
      <c r="C161" s="2">
        <v>85</v>
      </c>
      <c r="D161" s="2">
        <v>-0.5</v>
      </c>
      <c r="E161" s="2">
        <v>93.7</v>
      </c>
      <c r="F161" s="2">
        <v>84.6</v>
      </c>
      <c r="G161" s="2">
        <v>36.5</v>
      </c>
      <c r="H161" s="2">
        <v>88.1</v>
      </c>
      <c r="I161" s="8">
        <v>11320129</v>
      </c>
      <c r="J161" s="8">
        <v>11639125</v>
      </c>
      <c r="K161" s="8">
        <v>463</v>
      </c>
      <c r="L161" s="8">
        <v>436</v>
      </c>
      <c r="M161" s="8">
        <v>424</v>
      </c>
      <c r="N161" s="8" t="e">
        <v>#N/A</v>
      </c>
      <c r="O161" s="8" t="e">
        <v>#N/A</v>
      </c>
      <c r="P161" s="2" t="e">
        <v>#N/A</v>
      </c>
      <c r="Q161" s="12" t="e">
        <v>#N/A</v>
      </c>
      <c r="R161" s="13" t="e">
        <v>#N/A</v>
      </c>
      <c r="S161" s="13" t="e">
        <v>#N/A</v>
      </c>
      <c r="T161" s="8"/>
      <c r="U161" s="8"/>
    </row>
    <row r="162" spans="1:21" x14ac:dyDescent="0.25">
      <c r="A162" s="7">
        <v>41244</v>
      </c>
      <c r="B162" t="s">
        <v>181</v>
      </c>
      <c r="C162" s="2">
        <v>84.6</v>
      </c>
      <c r="D162" s="2">
        <v>1.1000000000000001</v>
      </c>
      <c r="E162" s="2">
        <v>93.7</v>
      </c>
      <c r="F162" s="2">
        <v>85.7</v>
      </c>
      <c r="G162" s="2">
        <v>37.799999999999997</v>
      </c>
      <c r="H162" s="2">
        <v>90.4</v>
      </c>
      <c r="I162" s="8">
        <v>14208000</v>
      </c>
      <c r="J162" s="8">
        <v>16400185</v>
      </c>
      <c r="K162" s="8">
        <v>461</v>
      </c>
      <c r="L162" s="8">
        <v>436</v>
      </c>
      <c r="M162" s="8">
        <v>423</v>
      </c>
      <c r="N162" s="8" t="e">
        <v>#N/A</v>
      </c>
      <c r="O162" s="8" t="e">
        <v>#N/A</v>
      </c>
      <c r="P162" s="2" t="e">
        <v>#N/A</v>
      </c>
      <c r="Q162" s="12" t="e">
        <v>#N/A</v>
      </c>
      <c r="R162" s="13" t="e">
        <v>#N/A</v>
      </c>
      <c r="S162" s="13" t="e">
        <v>#N/A</v>
      </c>
      <c r="T162" s="8"/>
      <c r="U162" s="8"/>
    </row>
    <row r="163" spans="1:21" x14ac:dyDescent="0.25">
      <c r="A163" s="7">
        <v>41275</v>
      </c>
      <c r="B163" t="s">
        <v>182</v>
      </c>
      <c r="C163" s="2">
        <v>84.4</v>
      </c>
      <c r="D163" s="2">
        <v>-0.9</v>
      </c>
      <c r="E163" s="2">
        <v>93.9</v>
      </c>
      <c r="F163" s="2">
        <v>83.9</v>
      </c>
      <c r="G163" s="2">
        <v>39.200000000000003</v>
      </c>
      <c r="H163" s="2">
        <v>87.9</v>
      </c>
      <c r="I163" s="8">
        <v>11491265</v>
      </c>
      <c r="J163" s="8">
        <v>10447064</v>
      </c>
      <c r="K163" s="8">
        <v>462</v>
      </c>
      <c r="L163" s="8">
        <v>434</v>
      </c>
      <c r="M163" s="8">
        <v>422</v>
      </c>
      <c r="N163" s="8" t="e">
        <v>#N/A</v>
      </c>
      <c r="O163" s="8" t="e">
        <v>#N/A</v>
      </c>
      <c r="P163" s="2" t="e">
        <v>#N/A</v>
      </c>
      <c r="Q163" s="12" t="e">
        <v>#N/A</v>
      </c>
      <c r="R163" s="13" t="e">
        <v>#N/A</v>
      </c>
      <c r="S163" s="13" t="e">
        <v>#N/A</v>
      </c>
      <c r="T163" s="8"/>
      <c r="U163" s="8"/>
    </row>
    <row r="164" spans="1:21" x14ac:dyDescent="0.25">
      <c r="A164" s="7">
        <v>41306</v>
      </c>
      <c r="B164" t="s">
        <v>183</v>
      </c>
      <c r="C164" s="2">
        <v>85.2</v>
      </c>
      <c r="D164" s="2">
        <v>1.6</v>
      </c>
      <c r="E164" s="2">
        <v>93.5</v>
      </c>
      <c r="F164" s="2">
        <v>87.1</v>
      </c>
      <c r="G164" s="2">
        <v>39.700000000000003</v>
      </c>
      <c r="H164" s="2">
        <v>89.3</v>
      </c>
      <c r="I164" s="8">
        <v>11446705</v>
      </c>
      <c r="J164" s="8">
        <v>10870605</v>
      </c>
      <c r="K164" s="8">
        <v>462</v>
      </c>
      <c r="L164" s="8">
        <v>435</v>
      </c>
      <c r="M164" s="8">
        <v>423</v>
      </c>
      <c r="N164" s="8" t="e">
        <v>#N/A</v>
      </c>
      <c r="O164" s="8" t="e">
        <v>#N/A</v>
      </c>
      <c r="P164" s="2" t="e">
        <v>#N/A</v>
      </c>
      <c r="Q164" s="12" t="e">
        <v>#N/A</v>
      </c>
      <c r="R164" s="13" t="e">
        <v>#N/A</v>
      </c>
      <c r="S164" s="13" t="e">
        <v>#N/A</v>
      </c>
      <c r="T164" s="8"/>
      <c r="U164" s="8"/>
    </row>
    <row r="165" spans="1:21" x14ac:dyDescent="0.25">
      <c r="A165" s="7">
        <v>41334</v>
      </c>
      <c r="B165" t="s">
        <v>184</v>
      </c>
      <c r="C165" s="2">
        <v>85.3</v>
      </c>
      <c r="D165" s="2">
        <v>-1.7</v>
      </c>
      <c r="E165" s="2">
        <v>93.2</v>
      </c>
      <c r="F165" s="2">
        <v>83.5</v>
      </c>
      <c r="G165" s="2">
        <v>39.700000000000003</v>
      </c>
      <c r="H165" s="2">
        <v>90.8</v>
      </c>
      <c r="I165" s="8">
        <v>14286203</v>
      </c>
      <c r="J165" s="8">
        <v>14254584</v>
      </c>
      <c r="K165" s="8">
        <v>454</v>
      </c>
      <c r="L165" s="8">
        <v>436</v>
      </c>
      <c r="M165" s="8">
        <v>424</v>
      </c>
      <c r="N165" s="8" t="e">
        <v>#N/A</v>
      </c>
      <c r="O165" s="8" t="e">
        <v>#N/A</v>
      </c>
      <c r="P165" s="2" t="e">
        <v>#N/A</v>
      </c>
      <c r="Q165" s="12" t="e">
        <v>#N/A</v>
      </c>
      <c r="R165" s="13" t="e">
        <v>#N/A</v>
      </c>
      <c r="S165" s="13" t="e">
        <v>#N/A</v>
      </c>
      <c r="T165" s="8"/>
      <c r="U165" s="8"/>
    </row>
    <row r="166" spans="1:21" x14ac:dyDescent="0.25">
      <c r="A166" s="7">
        <v>41365</v>
      </c>
      <c r="B166" t="s">
        <v>185</v>
      </c>
      <c r="C166" s="2">
        <v>85.3</v>
      </c>
      <c r="D166" s="2">
        <v>-0.6</v>
      </c>
      <c r="E166" s="2">
        <v>91.9</v>
      </c>
      <c r="F166" s="2">
        <v>84.7</v>
      </c>
      <c r="G166" s="2">
        <v>39.299999999999997</v>
      </c>
      <c r="H166" s="2">
        <v>86.7</v>
      </c>
      <c r="I166" s="8">
        <v>11292369</v>
      </c>
      <c r="J166" s="8">
        <v>10908815</v>
      </c>
      <c r="K166" s="8">
        <v>477</v>
      </c>
      <c r="L166" s="8">
        <v>438</v>
      </c>
      <c r="M166" s="8">
        <v>426</v>
      </c>
      <c r="N166" s="8" t="e">
        <v>#N/A</v>
      </c>
      <c r="O166" s="8" t="e">
        <v>#N/A</v>
      </c>
      <c r="P166" s="2" t="e">
        <v>#N/A</v>
      </c>
      <c r="Q166" s="12" t="e">
        <v>#N/A</v>
      </c>
      <c r="R166" s="13" t="e">
        <v>#N/A</v>
      </c>
      <c r="S166" s="13" t="e">
        <v>#N/A</v>
      </c>
      <c r="T166" s="8"/>
      <c r="U166" s="8"/>
    </row>
    <row r="167" spans="1:21" x14ac:dyDescent="0.25">
      <c r="A167" s="7">
        <v>41395</v>
      </c>
      <c r="B167" t="s">
        <v>186</v>
      </c>
      <c r="C167" s="2">
        <v>85.7</v>
      </c>
      <c r="D167" s="2">
        <v>1.9</v>
      </c>
      <c r="E167" s="2">
        <v>93.3</v>
      </c>
      <c r="F167" s="2">
        <v>86</v>
      </c>
      <c r="G167" s="2">
        <v>40.5</v>
      </c>
      <c r="H167" s="2">
        <v>90.2</v>
      </c>
      <c r="I167" s="8">
        <v>11516403</v>
      </c>
      <c r="J167" s="8">
        <v>11512623</v>
      </c>
      <c r="K167" s="8">
        <v>468</v>
      </c>
      <c r="L167" s="8">
        <v>438</v>
      </c>
      <c r="M167" s="8">
        <v>426</v>
      </c>
      <c r="N167" s="8" t="e">
        <v>#N/A</v>
      </c>
      <c r="O167" s="8" t="e">
        <v>#N/A</v>
      </c>
      <c r="P167" s="2" t="e">
        <v>#N/A</v>
      </c>
      <c r="Q167" s="12" t="e">
        <v>#N/A</v>
      </c>
      <c r="R167" s="13" t="e">
        <v>#N/A</v>
      </c>
      <c r="S167" s="13" t="e">
        <v>#N/A</v>
      </c>
      <c r="T167" s="8"/>
      <c r="U167" s="8"/>
    </row>
    <row r="168" spans="1:21" x14ac:dyDescent="0.25">
      <c r="A168" s="7">
        <v>41426</v>
      </c>
      <c r="B168" t="s">
        <v>187</v>
      </c>
      <c r="C168" s="2">
        <v>85.8</v>
      </c>
      <c r="D168" s="2">
        <v>0.5</v>
      </c>
      <c r="E168" s="2">
        <v>93.5</v>
      </c>
      <c r="F168" s="2">
        <v>86.8</v>
      </c>
      <c r="G168" s="2">
        <v>41.3</v>
      </c>
      <c r="H168" s="2">
        <v>89.3</v>
      </c>
      <c r="I168" s="8">
        <v>14401660</v>
      </c>
      <c r="J168" s="8">
        <v>14417689</v>
      </c>
      <c r="K168" s="8">
        <v>466</v>
      </c>
      <c r="L168" s="8">
        <v>438</v>
      </c>
      <c r="M168" s="8">
        <v>426</v>
      </c>
      <c r="N168" s="8" t="e">
        <v>#N/A</v>
      </c>
      <c r="O168" s="8" t="e">
        <v>#N/A</v>
      </c>
      <c r="P168" s="2" t="e">
        <v>#N/A</v>
      </c>
      <c r="Q168" s="12" t="e">
        <v>#N/A</v>
      </c>
      <c r="R168" s="13" t="e">
        <v>#N/A</v>
      </c>
      <c r="S168" s="13" t="e">
        <v>#N/A</v>
      </c>
      <c r="T168" s="8"/>
      <c r="U168" s="8"/>
    </row>
    <row r="169" spans="1:21" x14ac:dyDescent="0.25">
      <c r="A169" s="7">
        <v>41456</v>
      </c>
      <c r="B169" t="s">
        <v>188</v>
      </c>
      <c r="C169" s="2">
        <v>86</v>
      </c>
      <c r="D169" s="2">
        <v>0.4</v>
      </c>
      <c r="E169" s="2">
        <v>95.2</v>
      </c>
      <c r="F169" s="2">
        <v>85.6</v>
      </c>
      <c r="G169" s="2">
        <v>41.7</v>
      </c>
      <c r="H169" s="2">
        <v>91.1</v>
      </c>
      <c r="I169" s="8">
        <v>11796176</v>
      </c>
      <c r="J169" s="8">
        <v>11807855</v>
      </c>
      <c r="K169" s="8">
        <v>466</v>
      </c>
      <c r="L169" s="8">
        <v>439</v>
      </c>
      <c r="M169" s="8">
        <v>427</v>
      </c>
      <c r="N169" s="8" t="e">
        <v>#N/A</v>
      </c>
      <c r="O169" s="8" t="e">
        <v>#N/A</v>
      </c>
      <c r="P169" s="2" t="e">
        <v>#N/A</v>
      </c>
      <c r="Q169" s="12" t="e">
        <v>#N/A</v>
      </c>
      <c r="R169" s="13" t="e">
        <v>#N/A</v>
      </c>
      <c r="S169" s="13" t="e">
        <v>#N/A</v>
      </c>
      <c r="T169" s="8"/>
      <c r="U169" s="8"/>
    </row>
    <row r="170" spans="1:21" x14ac:dyDescent="0.25">
      <c r="A170" s="7">
        <v>41487</v>
      </c>
      <c r="B170" t="s">
        <v>189</v>
      </c>
      <c r="C170" s="2">
        <v>86.3</v>
      </c>
      <c r="D170" s="2">
        <v>-0.5</v>
      </c>
      <c r="E170" s="2">
        <v>93.7</v>
      </c>
      <c r="F170" s="2">
        <v>85.2</v>
      </c>
      <c r="G170" s="2">
        <v>43.9</v>
      </c>
      <c r="H170" s="2">
        <v>90.4</v>
      </c>
      <c r="I170" s="8">
        <v>11636309</v>
      </c>
      <c r="J170" s="8">
        <v>11359954</v>
      </c>
      <c r="K170" s="8">
        <v>466</v>
      </c>
      <c r="L170" s="8">
        <v>438</v>
      </c>
      <c r="M170" s="8">
        <v>427</v>
      </c>
      <c r="N170" s="8" t="e">
        <v>#N/A</v>
      </c>
      <c r="O170" s="8" t="e">
        <v>#N/A</v>
      </c>
      <c r="P170" s="2" t="e">
        <v>#N/A</v>
      </c>
      <c r="Q170" s="12" t="e">
        <v>#N/A</v>
      </c>
      <c r="R170" s="13" t="e">
        <v>#N/A</v>
      </c>
      <c r="S170" s="13" t="e">
        <v>#N/A</v>
      </c>
      <c r="T170" s="8"/>
      <c r="U170" s="8"/>
    </row>
    <row r="171" spans="1:21" x14ac:dyDescent="0.25">
      <c r="A171" s="7">
        <v>41518</v>
      </c>
      <c r="B171" t="s">
        <v>190</v>
      </c>
      <c r="C171" s="2">
        <v>86.3</v>
      </c>
      <c r="D171" s="2">
        <v>0.9</v>
      </c>
      <c r="E171" s="2">
        <v>93.6</v>
      </c>
      <c r="F171" s="2">
        <v>88.4</v>
      </c>
      <c r="G171" s="2">
        <v>41.4</v>
      </c>
      <c r="H171" s="2">
        <v>89.1</v>
      </c>
      <c r="I171" s="8">
        <v>14540371</v>
      </c>
      <c r="J171" s="8">
        <v>14106029</v>
      </c>
      <c r="K171" s="8">
        <v>466</v>
      </c>
      <c r="L171" s="8">
        <v>438</v>
      </c>
      <c r="M171" s="8">
        <v>426</v>
      </c>
      <c r="N171" s="8" t="e">
        <v>#N/A</v>
      </c>
      <c r="O171" s="8" t="e">
        <v>#N/A</v>
      </c>
      <c r="P171" s="2" t="e">
        <v>#N/A</v>
      </c>
      <c r="Q171" s="12" t="e">
        <v>#N/A</v>
      </c>
      <c r="R171" s="13" t="e">
        <v>#N/A</v>
      </c>
      <c r="S171" s="13" t="e">
        <v>#N/A</v>
      </c>
      <c r="T171" s="8"/>
      <c r="U171" s="8"/>
    </row>
    <row r="172" spans="1:21" x14ac:dyDescent="0.25">
      <c r="A172" s="7">
        <v>41548</v>
      </c>
      <c r="B172" t="s">
        <v>191</v>
      </c>
      <c r="C172" s="2">
        <v>86.8</v>
      </c>
      <c r="D172" s="2">
        <v>-0.8</v>
      </c>
      <c r="E172" s="2">
        <v>93.4</v>
      </c>
      <c r="F172" s="2">
        <v>87.2</v>
      </c>
      <c r="G172" s="2">
        <v>42</v>
      </c>
      <c r="H172" s="2">
        <v>87.2</v>
      </c>
      <c r="I172" s="8">
        <v>11631544</v>
      </c>
      <c r="J172" s="8">
        <v>11407607</v>
      </c>
      <c r="K172" s="8">
        <v>466</v>
      </c>
      <c r="L172" s="8">
        <v>439</v>
      </c>
      <c r="M172" s="8">
        <v>427</v>
      </c>
      <c r="N172" s="8" t="e">
        <v>#N/A</v>
      </c>
      <c r="O172" s="8" t="e">
        <v>#N/A</v>
      </c>
      <c r="P172" s="2" t="e">
        <v>#N/A</v>
      </c>
      <c r="Q172" s="12" t="e">
        <v>#N/A</v>
      </c>
      <c r="R172" s="13" t="e">
        <v>#N/A</v>
      </c>
      <c r="S172" s="13" t="e">
        <v>#N/A</v>
      </c>
      <c r="T172" s="8"/>
      <c r="U172" s="8"/>
    </row>
    <row r="173" spans="1:21" x14ac:dyDescent="0.25">
      <c r="A173" s="7">
        <v>41579</v>
      </c>
      <c r="B173" t="s">
        <v>192</v>
      </c>
      <c r="C173" s="2">
        <v>86.8</v>
      </c>
      <c r="D173" s="2">
        <v>0.7</v>
      </c>
      <c r="E173" s="2">
        <v>94.2</v>
      </c>
      <c r="F173" s="2">
        <v>87.5</v>
      </c>
      <c r="G173" s="2">
        <v>43.2</v>
      </c>
      <c r="H173" s="2">
        <v>87</v>
      </c>
      <c r="I173" s="8">
        <v>11710821</v>
      </c>
      <c r="J173" s="8">
        <v>11987008</v>
      </c>
      <c r="K173" s="8">
        <v>466</v>
      </c>
      <c r="L173" s="8">
        <v>438</v>
      </c>
      <c r="M173" s="8">
        <v>427</v>
      </c>
      <c r="N173" s="8" t="e">
        <v>#N/A</v>
      </c>
      <c r="O173" s="8" t="e">
        <v>#N/A</v>
      </c>
      <c r="P173" s="2" t="e">
        <v>#N/A</v>
      </c>
      <c r="Q173" s="12" t="e">
        <v>#N/A</v>
      </c>
      <c r="R173" s="13" t="e">
        <v>#N/A</v>
      </c>
      <c r="S173" s="13" t="e">
        <v>#N/A</v>
      </c>
      <c r="T173" s="8"/>
      <c r="U173" s="8"/>
    </row>
    <row r="174" spans="1:21" x14ac:dyDescent="0.25">
      <c r="A174" s="7">
        <v>41609</v>
      </c>
      <c r="B174" t="s">
        <v>193</v>
      </c>
      <c r="C174" s="2">
        <v>86.5</v>
      </c>
      <c r="D174" s="2">
        <v>-0.1</v>
      </c>
      <c r="E174" s="2">
        <v>93.3</v>
      </c>
      <c r="F174" s="2">
        <v>88.5</v>
      </c>
      <c r="G174" s="2">
        <v>41.1</v>
      </c>
      <c r="H174" s="2">
        <v>88.1</v>
      </c>
      <c r="I174" s="8">
        <v>14443536</v>
      </c>
      <c r="J174" s="8">
        <v>16933813</v>
      </c>
      <c r="K174" s="8">
        <v>468</v>
      </c>
      <c r="L174" s="8">
        <v>441</v>
      </c>
      <c r="M174" s="8">
        <v>430</v>
      </c>
      <c r="N174" s="8" t="e">
        <v>#N/A</v>
      </c>
      <c r="O174" s="8" t="e">
        <v>#N/A</v>
      </c>
      <c r="P174" s="2" t="e">
        <v>#N/A</v>
      </c>
      <c r="Q174" s="12" t="e">
        <v>#N/A</v>
      </c>
      <c r="R174" s="13" t="e">
        <v>#N/A</v>
      </c>
      <c r="S174" s="13" t="e">
        <v>#N/A</v>
      </c>
      <c r="T174" s="8"/>
      <c r="U174" s="8"/>
    </row>
    <row r="175" spans="1:21" x14ac:dyDescent="0.25">
      <c r="A175" s="7">
        <v>41640</v>
      </c>
      <c r="B175" t="s">
        <v>194</v>
      </c>
      <c r="C175" s="2">
        <v>87</v>
      </c>
      <c r="D175" s="2">
        <v>0.4</v>
      </c>
      <c r="E175" s="2">
        <v>93.9</v>
      </c>
      <c r="F175" s="2">
        <v>89</v>
      </c>
      <c r="G175" s="2">
        <v>40.799999999999997</v>
      </c>
      <c r="H175" s="2">
        <v>87.8</v>
      </c>
      <c r="I175" s="8">
        <v>14648261</v>
      </c>
      <c r="J175" s="8">
        <v>13504984</v>
      </c>
      <c r="K175" s="8">
        <v>469</v>
      </c>
      <c r="L175" s="8">
        <v>441</v>
      </c>
      <c r="M175" s="8">
        <v>431</v>
      </c>
      <c r="N175" s="8" t="e">
        <v>#N/A</v>
      </c>
      <c r="O175" s="8" t="e">
        <v>#N/A</v>
      </c>
      <c r="P175" s="2" t="e">
        <v>#N/A</v>
      </c>
      <c r="Q175" s="12" t="e">
        <v>#N/A</v>
      </c>
      <c r="R175" s="13" t="e">
        <v>#N/A</v>
      </c>
      <c r="S175" s="13" t="e">
        <v>#N/A</v>
      </c>
      <c r="T175" s="8"/>
      <c r="U175" s="8"/>
    </row>
    <row r="176" spans="1:21" x14ac:dyDescent="0.25">
      <c r="A176" s="7">
        <v>41671</v>
      </c>
      <c r="B176" t="s">
        <v>195</v>
      </c>
      <c r="C176" s="2">
        <v>87.5</v>
      </c>
      <c r="D176" s="2">
        <v>0.4</v>
      </c>
      <c r="E176" s="2">
        <v>93.4</v>
      </c>
      <c r="F176" s="2">
        <v>88.4</v>
      </c>
      <c r="G176" s="2">
        <v>45.9</v>
      </c>
      <c r="H176" s="2">
        <v>88.3</v>
      </c>
      <c r="I176" s="8">
        <v>11660880</v>
      </c>
      <c r="J176" s="8">
        <v>11206331</v>
      </c>
      <c r="K176" s="8">
        <v>472</v>
      </c>
      <c r="L176" s="8">
        <v>440</v>
      </c>
      <c r="M176" s="8">
        <v>428</v>
      </c>
      <c r="N176" s="8" t="e">
        <v>#N/A</v>
      </c>
      <c r="O176" s="8" t="e">
        <v>#N/A</v>
      </c>
      <c r="P176" s="2" t="e">
        <v>#N/A</v>
      </c>
      <c r="Q176" s="12" t="e">
        <v>#N/A</v>
      </c>
      <c r="R176" s="13" t="e">
        <v>#N/A</v>
      </c>
      <c r="S176" s="13" t="e">
        <v>#N/A</v>
      </c>
      <c r="T176" s="8"/>
      <c r="U176" s="8"/>
    </row>
    <row r="177" spans="1:21" x14ac:dyDescent="0.25">
      <c r="A177" s="7">
        <v>41699</v>
      </c>
      <c r="B177" t="s">
        <v>196</v>
      </c>
      <c r="C177" s="2">
        <v>88</v>
      </c>
      <c r="D177" s="2">
        <v>1.4</v>
      </c>
      <c r="E177" s="2">
        <v>93.4</v>
      </c>
      <c r="F177" s="2">
        <v>90.7</v>
      </c>
      <c r="G177" s="2">
        <v>44.2</v>
      </c>
      <c r="H177" s="2">
        <v>93.7</v>
      </c>
      <c r="I177" s="8">
        <v>14572020</v>
      </c>
      <c r="J177" s="8">
        <v>14077274</v>
      </c>
      <c r="K177" s="8">
        <v>461</v>
      </c>
      <c r="L177" s="8">
        <v>439</v>
      </c>
      <c r="M177" s="8">
        <v>428</v>
      </c>
      <c r="N177" s="8" t="e">
        <v>#N/A</v>
      </c>
      <c r="O177" s="8" t="e">
        <v>#N/A</v>
      </c>
      <c r="P177" s="2" t="e">
        <v>#N/A</v>
      </c>
      <c r="Q177" s="12" t="e">
        <v>#N/A</v>
      </c>
      <c r="R177" s="13" t="e">
        <v>#N/A</v>
      </c>
      <c r="S177" s="13" t="e">
        <v>#N/A</v>
      </c>
      <c r="T177" s="8"/>
      <c r="U177" s="8"/>
    </row>
    <row r="178" spans="1:21" x14ac:dyDescent="0.25">
      <c r="A178" s="7">
        <v>41730</v>
      </c>
      <c r="B178" t="s">
        <v>197</v>
      </c>
      <c r="C178" s="2">
        <v>88.1</v>
      </c>
      <c r="D178" s="2">
        <v>-0.1</v>
      </c>
      <c r="E178" s="2">
        <v>94.9</v>
      </c>
      <c r="F178" s="2">
        <v>89.7</v>
      </c>
      <c r="G178" s="2">
        <v>45.7</v>
      </c>
      <c r="H178" s="2">
        <v>89.7</v>
      </c>
      <c r="I178" s="8">
        <v>11799847</v>
      </c>
      <c r="J178" s="8">
        <v>11873488</v>
      </c>
      <c r="K178" s="8">
        <v>469</v>
      </c>
      <c r="L178" s="8">
        <v>440</v>
      </c>
      <c r="M178" s="8">
        <v>429</v>
      </c>
      <c r="N178" s="8" t="e">
        <v>#N/A</v>
      </c>
      <c r="O178" s="8" t="e">
        <v>#N/A</v>
      </c>
      <c r="P178" s="2" t="e">
        <v>#N/A</v>
      </c>
      <c r="Q178" s="12" t="e">
        <v>#N/A</v>
      </c>
      <c r="R178" s="13" t="e">
        <v>#N/A</v>
      </c>
      <c r="S178" s="13" t="e">
        <v>#N/A</v>
      </c>
      <c r="T178" s="8"/>
      <c r="U178" s="8"/>
    </row>
    <row r="179" spans="1:21" x14ac:dyDescent="0.25">
      <c r="A179" s="7">
        <v>41760</v>
      </c>
      <c r="B179" t="s">
        <v>198</v>
      </c>
      <c r="C179" s="2">
        <v>88.3</v>
      </c>
      <c r="D179" s="2">
        <v>0</v>
      </c>
      <c r="E179" s="2">
        <v>93.7</v>
      </c>
      <c r="F179" s="2">
        <v>90.3</v>
      </c>
      <c r="G179" s="2">
        <v>48.2</v>
      </c>
      <c r="H179" s="2">
        <v>88</v>
      </c>
      <c r="I179" s="8">
        <v>11637100</v>
      </c>
      <c r="J179" s="8">
        <v>11652979</v>
      </c>
      <c r="K179" s="8">
        <v>469</v>
      </c>
      <c r="L179" s="8">
        <v>441</v>
      </c>
      <c r="M179" s="8">
        <v>430</v>
      </c>
      <c r="N179" s="8" t="e">
        <v>#N/A</v>
      </c>
      <c r="O179" s="8" t="e">
        <v>#N/A</v>
      </c>
      <c r="P179" s="2" t="e">
        <v>#N/A</v>
      </c>
      <c r="Q179" s="12" t="e">
        <v>#N/A</v>
      </c>
      <c r="R179" s="13" t="e">
        <v>#N/A</v>
      </c>
      <c r="S179" s="13" t="e">
        <v>#N/A</v>
      </c>
      <c r="T179" s="8"/>
      <c r="U179" s="8"/>
    </row>
    <row r="180" spans="1:21" x14ac:dyDescent="0.25">
      <c r="A180" s="7">
        <v>41791</v>
      </c>
      <c r="B180" t="s">
        <v>199</v>
      </c>
      <c r="C180" s="2">
        <v>88.6</v>
      </c>
      <c r="D180" s="2">
        <v>0.7</v>
      </c>
      <c r="E180" s="2">
        <v>94.2</v>
      </c>
      <c r="F180" s="2">
        <v>91.3</v>
      </c>
      <c r="G180" s="2">
        <v>46.1</v>
      </c>
      <c r="H180" s="2">
        <v>91.3</v>
      </c>
      <c r="I180" s="8">
        <v>14664916</v>
      </c>
      <c r="J180" s="8">
        <v>14665758</v>
      </c>
      <c r="K180" s="8">
        <v>470</v>
      </c>
      <c r="L180" s="8">
        <v>441</v>
      </c>
      <c r="M180" s="8">
        <v>430</v>
      </c>
      <c r="N180" s="8" t="e">
        <v>#N/A</v>
      </c>
      <c r="O180" s="8" t="e">
        <v>#N/A</v>
      </c>
      <c r="P180" s="2" t="e">
        <v>#N/A</v>
      </c>
      <c r="Q180" s="12" t="e">
        <v>#N/A</v>
      </c>
      <c r="R180" s="13" t="e">
        <v>#N/A</v>
      </c>
      <c r="S180" s="13" t="e">
        <v>#N/A</v>
      </c>
      <c r="T180" s="8"/>
      <c r="U180" s="8"/>
    </row>
    <row r="181" spans="1:21" x14ac:dyDescent="0.25">
      <c r="A181" s="7">
        <v>41821</v>
      </c>
      <c r="B181" t="s">
        <v>200</v>
      </c>
      <c r="C181" s="2">
        <v>89.1</v>
      </c>
      <c r="D181" s="2">
        <v>-0.2</v>
      </c>
      <c r="E181" s="2">
        <v>94.9</v>
      </c>
      <c r="F181" s="2">
        <v>90.8</v>
      </c>
      <c r="G181" s="2">
        <v>46.4</v>
      </c>
      <c r="H181" s="2">
        <v>89.1</v>
      </c>
      <c r="I181" s="8">
        <v>11774952</v>
      </c>
      <c r="J181" s="8">
        <v>11650889</v>
      </c>
      <c r="K181" s="8">
        <v>468</v>
      </c>
      <c r="L181" s="8">
        <v>442</v>
      </c>
      <c r="M181" s="8">
        <v>430</v>
      </c>
      <c r="N181" s="8">
        <v>2188</v>
      </c>
      <c r="O181" s="8">
        <v>1598</v>
      </c>
      <c r="P181" s="2" t="e">
        <v>#N/A</v>
      </c>
      <c r="Q181" s="12" t="e">
        <v>#N/A</v>
      </c>
      <c r="R181" s="13" t="e">
        <v>#N/A</v>
      </c>
      <c r="S181" s="13" t="e">
        <v>#N/A</v>
      </c>
      <c r="T181" s="8"/>
      <c r="U181" s="8"/>
    </row>
    <row r="182" spans="1:21" x14ac:dyDescent="0.25">
      <c r="A182" s="7">
        <v>41852</v>
      </c>
      <c r="B182" t="s">
        <v>201</v>
      </c>
      <c r="C182" s="2">
        <v>89</v>
      </c>
      <c r="D182" s="2">
        <v>-0.1</v>
      </c>
      <c r="E182" s="2">
        <v>93.6</v>
      </c>
      <c r="F182" s="2">
        <v>91.8</v>
      </c>
      <c r="G182" s="2">
        <v>45.8</v>
      </c>
      <c r="H182" s="2">
        <v>89.9</v>
      </c>
      <c r="I182" s="8">
        <v>11626347</v>
      </c>
      <c r="J182" s="8">
        <v>11346221</v>
      </c>
      <c r="K182" s="8">
        <v>469</v>
      </c>
      <c r="L182" s="8">
        <v>443</v>
      </c>
      <c r="M182" s="8">
        <v>432</v>
      </c>
      <c r="N182" s="8">
        <v>2195</v>
      </c>
      <c r="O182" s="8">
        <v>1602</v>
      </c>
      <c r="P182" s="2" t="e">
        <v>#N/A</v>
      </c>
      <c r="Q182" s="12" t="e">
        <v>#N/A</v>
      </c>
      <c r="R182" s="13" t="e">
        <v>#N/A</v>
      </c>
      <c r="S182" s="13" t="e">
        <v>#N/A</v>
      </c>
      <c r="T182" s="8"/>
      <c r="U182" s="8"/>
    </row>
    <row r="183" spans="1:21" x14ac:dyDescent="0.25">
      <c r="A183" s="7">
        <v>41883</v>
      </c>
      <c r="B183" t="s">
        <v>202</v>
      </c>
      <c r="C183" s="2">
        <v>89.2</v>
      </c>
      <c r="D183" s="2">
        <v>-0.2</v>
      </c>
      <c r="E183" s="2">
        <v>94</v>
      </c>
      <c r="F183" s="2">
        <v>91.1</v>
      </c>
      <c r="G183" s="2">
        <v>46.5</v>
      </c>
      <c r="H183" s="2">
        <v>88.6</v>
      </c>
      <c r="I183" s="8">
        <v>14575190</v>
      </c>
      <c r="J183" s="8">
        <v>14133458</v>
      </c>
      <c r="K183" s="8">
        <v>473</v>
      </c>
      <c r="L183" s="8">
        <v>445</v>
      </c>
      <c r="M183" s="8">
        <v>435</v>
      </c>
      <c r="N183" s="8">
        <v>2199</v>
      </c>
      <c r="O183" s="8">
        <v>1601</v>
      </c>
      <c r="P183" s="2" t="e">
        <v>#N/A</v>
      </c>
      <c r="Q183" s="12" t="e">
        <v>#N/A</v>
      </c>
      <c r="R183" s="13" t="e">
        <v>#N/A</v>
      </c>
      <c r="S183" s="13" t="e">
        <v>#N/A</v>
      </c>
      <c r="T183" s="8"/>
      <c r="U183" s="8"/>
    </row>
    <row r="184" spans="1:21" x14ac:dyDescent="0.25">
      <c r="A184" s="7">
        <v>41913</v>
      </c>
      <c r="B184" t="s">
        <v>203</v>
      </c>
      <c r="C184" s="2">
        <v>89.6</v>
      </c>
      <c r="D184" s="2">
        <v>0.8</v>
      </c>
      <c r="E184" s="2">
        <v>94.5</v>
      </c>
      <c r="F184" s="2">
        <v>92.4</v>
      </c>
      <c r="G184" s="2">
        <v>46.3</v>
      </c>
      <c r="H184" s="2">
        <v>89.1</v>
      </c>
      <c r="I184" s="8">
        <v>11737193</v>
      </c>
      <c r="J184" s="8">
        <v>11569175</v>
      </c>
      <c r="K184" s="8">
        <v>475</v>
      </c>
      <c r="L184" s="8">
        <v>447</v>
      </c>
      <c r="M184" s="8">
        <v>437</v>
      </c>
      <c r="N184" s="8">
        <v>2198</v>
      </c>
      <c r="O184" s="8">
        <v>1605</v>
      </c>
      <c r="P184" s="2" t="e">
        <v>#N/A</v>
      </c>
      <c r="Q184" s="12" t="e">
        <v>#N/A</v>
      </c>
      <c r="R184" s="13" t="e">
        <v>#N/A</v>
      </c>
      <c r="S184" s="13" t="e">
        <v>#N/A</v>
      </c>
      <c r="T184" s="8"/>
      <c r="U184" s="8"/>
    </row>
    <row r="185" spans="1:21" x14ac:dyDescent="0.25">
      <c r="A185" s="7">
        <v>41944</v>
      </c>
      <c r="B185" t="s">
        <v>204</v>
      </c>
      <c r="C185" s="2">
        <v>89.7</v>
      </c>
      <c r="D185" s="2">
        <v>0.7</v>
      </c>
      <c r="E185" s="2">
        <v>95.1</v>
      </c>
      <c r="F185" s="2">
        <v>93.1</v>
      </c>
      <c r="G185" s="2">
        <v>46.9</v>
      </c>
      <c r="H185" s="2">
        <v>89.5</v>
      </c>
      <c r="I185" s="8">
        <v>11763600</v>
      </c>
      <c r="J185" s="8">
        <v>12209857</v>
      </c>
      <c r="K185" s="8">
        <v>475</v>
      </c>
      <c r="L185" s="8">
        <v>445</v>
      </c>
      <c r="M185" s="8">
        <v>436</v>
      </c>
      <c r="N185" s="8">
        <v>2215</v>
      </c>
      <c r="O185" s="8">
        <v>1607</v>
      </c>
      <c r="P185" s="2" t="e">
        <v>#N/A</v>
      </c>
      <c r="Q185" s="12" t="e">
        <v>#N/A</v>
      </c>
      <c r="R185" s="13" t="e">
        <v>#N/A</v>
      </c>
      <c r="S185" s="13" t="e">
        <v>#N/A</v>
      </c>
      <c r="T185" s="8"/>
      <c r="U185" s="8"/>
    </row>
    <row r="186" spans="1:21" x14ac:dyDescent="0.25">
      <c r="A186" s="7">
        <v>41974</v>
      </c>
      <c r="B186" t="s">
        <v>205</v>
      </c>
      <c r="C186" s="2">
        <v>89.7</v>
      </c>
      <c r="D186" s="2">
        <v>1.4</v>
      </c>
      <c r="E186" s="2">
        <v>95.3</v>
      </c>
      <c r="F186" s="2">
        <v>94.9</v>
      </c>
      <c r="G186" s="2">
        <v>48.8</v>
      </c>
      <c r="H186" s="2">
        <v>91.3</v>
      </c>
      <c r="I186" s="8">
        <v>14700695</v>
      </c>
      <c r="J186" s="8">
        <v>16669044</v>
      </c>
      <c r="K186" s="8">
        <v>478</v>
      </c>
      <c r="L186" s="8">
        <v>447</v>
      </c>
      <c r="M186" s="8">
        <v>437</v>
      </c>
      <c r="N186" s="8">
        <v>2237</v>
      </c>
      <c r="O186" s="8">
        <v>1616</v>
      </c>
      <c r="P186" s="2" t="e">
        <v>#N/A</v>
      </c>
      <c r="Q186" s="12" t="e">
        <v>#N/A</v>
      </c>
      <c r="R186" s="13" t="e">
        <v>#N/A</v>
      </c>
      <c r="S186" s="13" t="e">
        <v>#N/A</v>
      </c>
      <c r="T186" s="8"/>
      <c r="U186" s="8"/>
    </row>
    <row r="187" spans="1:21" x14ac:dyDescent="0.25">
      <c r="A187" s="7">
        <v>42005</v>
      </c>
      <c r="B187" t="s">
        <v>206</v>
      </c>
      <c r="C187" s="2">
        <v>89.6</v>
      </c>
      <c r="D187" s="2">
        <v>0</v>
      </c>
      <c r="E187" s="2">
        <v>94.9</v>
      </c>
      <c r="F187" s="2">
        <v>93</v>
      </c>
      <c r="G187" s="2">
        <v>48.9</v>
      </c>
      <c r="H187" s="2">
        <v>101.2</v>
      </c>
      <c r="I187" s="8">
        <v>11630099</v>
      </c>
      <c r="J187" s="8">
        <v>10871133</v>
      </c>
      <c r="K187" s="8">
        <v>476</v>
      </c>
      <c r="L187" s="8">
        <v>448</v>
      </c>
      <c r="M187" s="8">
        <v>439</v>
      </c>
      <c r="N187" s="8">
        <v>2236</v>
      </c>
      <c r="O187" s="8">
        <v>1620</v>
      </c>
      <c r="P187" s="2" t="e">
        <v>#N/A</v>
      </c>
      <c r="Q187" s="12" t="e">
        <v>#N/A</v>
      </c>
      <c r="R187" s="13" t="e">
        <v>#N/A</v>
      </c>
      <c r="S187" s="13" t="e">
        <v>#N/A</v>
      </c>
      <c r="T187" s="8"/>
      <c r="U187" s="8"/>
    </row>
    <row r="188" spans="1:21" x14ac:dyDescent="0.25">
      <c r="A188" s="7">
        <v>42036</v>
      </c>
      <c r="B188" t="s">
        <v>207</v>
      </c>
      <c r="C188" s="2">
        <v>89.9</v>
      </c>
      <c r="D188" s="2">
        <v>0.3</v>
      </c>
      <c r="E188" s="2">
        <v>95</v>
      </c>
      <c r="F188" s="2">
        <v>95</v>
      </c>
      <c r="G188" s="2">
        <v>49.9</v>
      </c>
      <c r="H188" s="2">
        <v>93.9</v>
      </c>
      <c r="I188" s="8">
        <v>11610747</v>
      </c>
      <c r="J188" s="8">
        <v>11138337</v>
      </c>
      <c r="K188" s="8">
        <v>478</v>
      </c>
      <c r="L188" s="8">
        <v>450</v>
      </c>
      <c r="M188" s="8">
        <v>440</v>
      </c>
      <c r="N188" s="8">
        <v>2234</v>
      </c>
      <c r="O188" s="8">
        <v>1620</v>
      </c>
      <c r="P188" s="2" t="e">
        <v>#N/A</v>
      </c>
      <c r="Q188" s="12" t="e">
        <v>#N/A</v>
      </c>
      <c r="R188" s="13" t="e">
        <v>#N/A</v>
      </c>
      <c r="S188" s="13" t="e">
        <v>#N/A</v>
      </c>
      <c r="T188" s="8"/>
      <c r="U188" s="8"/>
    </row>
    <row r="189" spans="1:21" x14ac:dyDescent="0.25">
      <c r="A189" s="7">
        <v>42064</v>
      </c>
      <c r="B189" t="s">
        <v>208</v>
      </c>
      <c r="C189" s="2">
        <v>89.9</v>
      </c>
      <c r="D189" s="2">
        <v>0.3</v>
      </c>
      <c r="E189" s="2">
        <v>95.6</v>
      </c>
      <c r="F189" s="2">
        <v>95.1</v>
      </c>
      <c r="G189" s="2">
        <v>50.8</v>
      </c>
      <c r="H189" s="2">
        <v>92.2</v>
      </c>
      <c r="I189" s="8">
        <v>14601769</v>
      </c>
      <c r="J189" s="8">
        <v>14616896</v>
      </c>
      <c r="K189" s="8">
        <v>480</v>
      </c>
      <c r="L189" s="8">
        <v>452</v>
      </c>
      <c r="M189" s="8">
        <v>443</v>
      </c>
      <c r="N189" s="8">
        <v>2219</v>
      </c>
      <c r="O189" s="8">
        <v>1618</v>
      </c>
      <c r="P189" s="2" t="e">
        <v>#N/A</v>
      </c>
      <c r="Q189" s="12" t="e">
        <v>#N/A</v>
      </c>
      <c r="R189" s="13" t="e">
        <v>#N/A</v>
      </c>
      <c r="S189" s="13" t="e">
        <v>#N/A</v>
      </c>
      <c r="T189" s="8"/>
      <c r="U189" s="8"/>
    </row>
    <row r="190" spans="1:21" x14ac:dyDescent="0.25">
      <c r="A190" s="7">
        <v>42095</v>
      </c>
      <c r="B190" t="s">
        <v>209</v>
      </c>
      <c r="C190" s="2">
        <v>90.4</v>
      </c>
      <c r="D190" s="2">
        <v>0.7</v>
      </c>
      <c r="E190" s="2">
        <v>95.7</v>
      </c>
      <c r="F190" s="2">
        <v>95.6</v>
      </c>
      <c r="G190" s="2">
        <v>51.4</v>
      </c>
      <c r="H190" s="2">
        <v>95.5</v>
      </c>
      <c r="I190" s="8">
        <v>11640310</v>
      </c>
      <c r="J190" s="8">
        <v>11221112</v>
      </c>
      <c r="K190" s="8">
        <v>481</v>
      </c>
      <c r="L190" s="8">
        <v>452</v>
      </c>
      <c r="M190" s="8">
        <v>442</v>
      </c>
      <c r="N190" s="8">
        <v>2228</v>
      </c>
      <c r="O190" s="8">
        <v>1613</v>
      </c>
      <c r="P190" s="2" t="e">
        <v>#N/A</v>
      </c>
      <c r="Q190" s="12" t="e">
        <v>#N/A</v>
      </c>
      <c r="R190" s="13" t="e">
        <v>#N/A</v>
      </c>
      <c r="S190" s="13" t="e">
        <v>#N/A</v>
      </c>
      <c r="T190" s="8"/>
      <c r="U190" s="8"/>
    </row>
    <row r="191" spans="1:21" x14ac:dyDescent="0.25">
      <c r="A191" s="7">
        <v>42125</v>
      </c>
      <c r="B191" t="s">
        <v>210</v>
      </c>
      <c r="C191" s="2">
        <v>90.3</v>
      </c>
      <c r="D191" s="2">
        <v>-0.5</v>
      </c>
      <c r="E191" s="2">
        <v>95.9</v>
      </c>
      <c r="F191" s="2">
        <v>95.1</v>
      </c>
      <c r="G191" s="2">
        <v>51.1</v>
      </c>
      <c r="H191" s="2">
        <v>92.6</v>
      </c>
      <c r="I191" s="8">
        <v>11700266</v>
      </c>
      <c r="J191" s="8">
        <v>11747408</v>
      </c>
      <c r="K191" s="8">
        <v>482</v>
      </c>
      <c r="L191" s="8">
        <v>453</v>
      </c>
      <c r="M191" s="8">
        <v>443</v>
      </c>
      <c r="N191" s="8">
        <v>2222</v>
      </c>
      <c r="O191" s="8">
        <v>1615</v>
      </c>
      <c r="P191" s="2" t="e">
        <v>#N/A</v>
      </c>
      <c r="Q191" s="12" t="e">
        <v>#N/A</v>
      </c>
      <c r="R191" s="13" t="e">
        <v>#N/A</v>
      </c>
      <c r="S191" s="13" t="e">
        <v>#N/A</v>
      </c>
      <c r="T191" s="8"/>
      <c r="U191" s="8"/>
    </row>
    <row r="192" spans="1:21" x14ac:dyDescent="0.25">
      <c r="A192" s="7">
        <v>42156</v>
      </c>
      <c r="B192" t="s">
        <v>211</v>
      </c>
      <c r="C192" s="2">
        <v>90.2</v>
      </c>
      <c r="D192" s="2">
        <v>0.7</v>
      </c>
      <c r="E192" s="2">
        <v>96</v>
      </c>
      <c r="F192" s="2">
        <v>95.3</v>
      </c>
      <c r="G192" s="2">
        <v>52.7</v>
      </c>
      <c r="H192" s="2">
        <v>95.6</v>
      </c>
      <c r="I192" s="8">
        <v>14662580</v>
      </c>
      <c r="J192" s="8">
        <v>14653525</v>
      </c>
      <c r="K192" s="8">
        <v>481</v>
      </c>
      <c r="L192" s="8">
        <v>453</v>
      </c>
      <c r="M192" s="8">
        <v>444</v>
      </c>
      <c r="N192" s="8">
        <v>2222</v>
      </c>
      <c r="O192" s="8">
        <v>1617</v>
      </c>
      <c r="P192" s="2" t="e">
        <v>#N/A</v>
      </c>
      <c r="Q192" s="12" t="e">
        <v>#N/A</v>
      </c>
      <c r="R192" s="13" t="e">
        <v>#N/A</v>
      </c>
      <c r="S192" s="13" t="e">
        <v>#N/A</v>
      </c>
      <c r="T192" s="8"/>
      <c r="U192" s="8"/>
    </row>
    <row r="193" spans="1:21" x14ac:dyDescent="0.25">
      <c r="A193" s="7">
        <v>42186</v>
      </c>
      <c r="B193" t="s">
        <v>212</v>
      </c>
      <c r="C193" s="2">
        <v>90.5</v>
      </c>
      <c r="D193" s="2">
        <v>-0.2</v>
      </c>
      <c r="E193" s="2">
        <v>95.9</v>
      </c>
      <c r="F193" s="2">
        <v>95</v>
      </c>
      <c r="G193" s="2">
        <v>55.2</v>
      </c>
      <c r="H193" s="2">
        <v>92.1</v>
      </c>
      <c r="I193" s="8">
        <v>11652406</v>
      </c>
      <c r="J193" s="8">
        <v>11569970</v>
      </c>
      <c r="K193" s="8">
        <v>484</v>
      </c>
      <c r="L193" s="8">
        <v>454</v>
      </c>
      <c r="M193" s="8">
        <v>445</v>
      </c>
      <c r="N193" s="8">
        <v>2228</v>
      </c>
      <c r="O193" s="8">
        <v>1620</v>
      </c>
      <c r="P193" s="2" t="e">
        <v>#N/A</v>
      </c>
      <c r="Q193" s="12" t="e">
        <v>#N/A</v>
      </c>
      <c r="R193" s="13" t="e">
        <v>#N/A</v>
      </c>
      <c r="S193" s="13" t="e">
        <v>#N/A</v>
      </c>
      <c r="T193" s="8"/>
      <c r="U193" s="8"/>
    </row>
    <row r="194" spans="1:21" x14ac:dyDescent="0.25">
      <c r="A194" s="7">
        <v>42217</v>
      </c>
      <c r="B194" t="s">
        <v>213</v>
      </c>
      <c r="C194" s="2">
        <v>90.5</v>
      </c>
      <c r="D194" s="2">
        <v>-0.7</v>
      </c>
      <c r="E194" s="2">
        <v>94.7</v>
      </c>
      <c r="F194" s="2">
        <v>95</v>
      </c>
      <c r="G194" s="2">
        <v>52.4</v>
      </c>
      <c r="H194" s="2">
        <v>94.8</v>
      </c>
      <c r="I194" s="8">
        <v>11508672</v>
      </c>
      <c r="J194" s="8">
        <v>11226480</v>
      </c>
      <c r="K194" s="8">
        <v>484</v>
      </c>
      <c r="L194" s="8">
        <v>454</v>
      </c>
      <c r="M194" s="8">
        <v>445</v>
      </c>
      <c r="N194" s="8">
        <v>2228</v>
      </c>
      <c r="O194" s="8">
        <v>1617</v>
      </c>
      <c r="P194" s="2" t="e">
        <v>#N/A</v>
      </c>
      <c r="Q194" s="12" t="e">
        <v>#N/A</v>
      </c>
      <c r="R194" s="13" t="e">
        <v>#N/A</v>
      </c>
      <c r="S194" s="13" t="e">
        <v>#N/A</v>
      </c>
      <c r="T194" s="8"/>
      <c r="U194" s="8"/>
    </row>
    <row r="195" spans="1:21" x14ac:dyDescent="0.25">
      <c r="A195" s="7">
        <v>42248</v>
      </c>
      <c r="B195" t="s">
        <v>214</v>
      </c>
      <c r="C195" s="2">
        <v>90.6</v>
      </c>
      <c r="D195" s="2">
        <v>2.2000000000000002</v>
      </c>
      <c r="E195" s="2">
        <v>97.9</v>
      </c>
      <c r="F195" s="2">
        <v>95.6</v>
      </c>
      <c r="G195" s="2">
        <v>53.7</v>
      </c>
      <c r="H195" s="2">
        <v>98.5</v>
      </c>
      <c r="I195" s="8">
        <v>14840747</v>
      </c>
      <c r="J195" s="8">
        <v>14370122</v>
      </c>
      <c r="K195" s="8">
        <v>483</v>
      </c>
      <c r="L195" s="8">
        <v>454</v>
      </c>
      <c r="M195" s="8">
        <v>444</v>
      </c>
      <c r="N195" s="8">
        <v>2225</v>
      </c>
      <c r="O195" s="8">
        <v>1619</v>
      </c>
      <c r="P195" s="2" t="e">
        <v>#N/A</v>
      </c>
      <c r="Q195" s="12" t="e">
        <v>#N/A</v>
      </c>
      <c r="R195" s="13" t="e">
        <v>#N/A</v>
      </c>
      <c r="S195" s="13" t="e">
        <v>#N/A</v>
      </c>
      <c r="T195" s="8"/>
      <c r="U195" s="8"/>
    </row>
    <row r="196" spans="1:21" x14ac:dyDescent="0.25">
      <c r="A196" s="7">
        <v>42278</v>
      </c>
      <c r="B196" t="s">
        <v>215</v>
      </c>
      <c r="C196" s="2">
        <v>91</v>
      </c>
      <c r="D196" s="2">
        <v>-1</v>
      </c>
      <c r="E196" s="2">
        <v>96.2</v>
      </c>
      <c r="F196" s="2">
        <v>95</v>
      </c>
      <c r="G196" s="2">
        <v>53.1</v>
      </c>
      <c r="H196" s="2">
        <v>98.9</v>
      </c>
      <c r="I196" s="8">
        <v>11617757</v>
      </c>
      <c r="J196" s="8">
        <v>11454106</v>
      </c>
      <c r="K196" s="8">
        <v>484</v>
      </c>
      <c r="L196" s="8">
        <v>454</v>
      </c>
      <c r="M196" s="8">
        <v>445</v>
      </c>
      <c r="N196" s="8">
        <v>2230</v>
      </c>
      <c r="O196" s="8">
        <v>1626</v>
      </c>
      <c r="P196" s="2" t="e">
        <v>#N/A</v>
      </c>
      <c r="Q196" s="12" t="e">
        <v>#N/A</v>
      </c>
      <c r="R196" s="13" t="e">
        <v>#N/A</v>
      </c>
      <c r="S196" s="13" t="e">
        <v>#N/A</v>
      </c>
      <c r="T196" s="8"/>
      <c r="U196" s="8"/>
    </row>
    <row r="197" spans="1:21" x14ac:dyDescent="0.25">
      <c r="A197" s="7">
        <v>42309</v>
      </c>
      <c r="B197" t="s">
        <v>216</v>
      </c>
      <c r="C197" s="2">
        <v>90.8</v>
      </c>
      <c r="D197" s="2">
        <v>0.7</v>
      </c>
      <c r="E197" s="2">
        <v>97</v>
      </c>
      <c r="F197" s="2">
        <v>95.4</v>
      </c>
      <c r="G197" s="2">
        <v>53.7</v>
      </c>
      <c r="H197" s="2">
        <v>100.2</v>
      </c>
      <c r="I197" s="8">
        <v>11704669</v>
      </c>
      <c r="J197" s="8">
        <v>12098548</v>
      </c>
      <c r="K197" s="8">
        <v>484</v>
      </c>
      <c r="L197" s="8">
        <v>455</v>
      </c>
      <c r="M197" s="8">
        <v>446</v>
      </c>
      <c r="N197" s="8">
        <v>2236</v>
      </c>
      <c r="O197" s="8">
        <v>1629</v>
      </c>
      <c r="P197" s="2" t="e">
        <v>#N/A</v>
      </c>
      <c r="Q197" s="12" t="e">
        <v>#N/A</v>
      </c>
      <c r="R197" s="13" t="e">
        <v>#N/A</v>
      </c>
      <c r="S197" s="13" t="e">
        <v>#N/A</v>
      </c>
      <c r="T197" s="8"/>
      <c r="U197" s="8"/>
    </row>
    <row r="198" spans="1:21" x14ac:dyDescent="0.25">
      <c r="A198" s="7">
        <v>42339</v>
      </c>
      <c r="B198" t="s">
        <v>217</v>
      </c>
      <c r="C198" s="2">
        <v>91.1</v>
      </c>
      <c r="D198" s="2">
        <v>0</v>
      </c>
      <c r="E198" s="2">
        <v>98.4</v>
      </c>
      <c r="F198" s="2">
        <v>94.8</v>
      </c>
      <c r="G198" s="2">
        <v>55</v>
      </c>
      <c r="H198" s="2">
        <v>95.2</v>
      </c>
      <c r="I198" s="8">
        <v>14771503</v>
      </c>
      <c r="J198" s="8">
        <v>16774838</v>
      </c>
      <c r="K198" s="8">
        <v>487</v>
      </c>
      <c r="L198" s="8">
        <v>456</v>
      </c>
      <c r="M198" s="8">
        <v>447</v>
      </c>
      <c r="N198" s="8">
        <v>2239</v>
      </c>
      <c r="O198" s="8">
        <v>1631</v>
      </c>
      <c r="P198" s="2" t="e">
        <v>#N/A</v>
      </c>
      <c r="Q198" s="12" t="e">
        <v>#N/A</v>
      </c>
      <c r="R198" s="13" t="e">
        <v>#N/A</v>
      </c>
      <c r="S198" s="13" t="e">
        <v>#N/A</v>
      </c>
      <c r="T198" s="8"/>
      <c r="U198" s="8"/>
    </row>
    <row r="199" spans="1:21" x14ac:dyDescent="0.25">
      <c r="A199" s="7">
        <v>42370</v>
      </c>
      <c r="B199" t="s">
        <v>218</v>
      </c>
      <c r="C199" s="2">
        <v>91.2</v>
      </c>
      <c r="D199" s="2">
        <v>2.5</v>
      </c>
      <c r="E199" s="2">
        <v>98.6</v>
      </c>
      <c r="F199" s="2">
        <v>97.5</v>
      </c>
      <c r="G199" s="2">
        <v>55.8</v>
      </c>
      <c r="H199" s="2">
        <v>107</v>
      </c>
      <c r="I199" s="8">
        <v>11792827</v>
      </c>
      <c r="J199" s="8">
        <v>10939585</v>
      </c>
      <c r="K199" s="8">
        <v>489</v>
      </c>
      <c r="L199" s="8">
        <v>459</v>
      </c>
      <c r="M199" s="8">
        <v>450</v>
      </c>
      <c r="N199" s="8">
        <v>2235</v>
      </c>
      <c r="O199" s="8">
        <v>1638</v>
      </c>
      <c r="P199" s="2" t="e">
        <v>#N/A</v>
      </c>
      <c r="Q199" s="12" t="e">
        <v>#N/A</v>
      </c>
      <c r="R199" s="13" t="e">
        <v>#N/A</v>
      </c>
      <c r="S199" s="13" t="e">
        <v>#N/A</v>
      </c>
      <c r="T199" s="8"/>
      <c r="U199" s="8"/>
    </row>
    <row r="200" spans="1:21" x14ac:dyDescent="0.25">
      <c r="A200" s="7">
        <v>42401</v>
      </c>
      <c r="B200" t="s">
        <v>219</v>
      </c>
      <c r="C200" s="2">
        <v>91.4</v>
      </c>
      <c r="D200" s="2">
        <v>-0.8</v>
      </c>
      <c r="E200" s="2">
        <v>98.9</v>
      </c>
      <c r="F200" s="2">
        <v>96.9</v>
      </c>
      <c r="G200" s="2">
        <v>56</v>
      </c>
      <c r="H200" s="2">
        <v>100.2</v>
      </c>
      <c r="I200" s="8">
        <v>11809411</v>
      </c>
      <c r="J200" s="8">
        <v>11312159</v>
      </c>
      <c r="K200" s="8">
        <v>486</v>
      </c>
      <c r="L200" s="8">
        <v>461</v>
      </c>
      <c r="M200" s="8">
        <v>452</v>
      </c>
      <c r="N200" s="8">
        <v>2238</v>
      </c>
      <c r="O200" s="8">
        <v>1640</v>
      </c>
      <c r="P200" s="2" t="e">
        <v>#N/A</v>
      </c>
      <c r="Q200" s="12" t="e">
        <v>#N/A</v>
      </c>
      <c r="R200" s="13" t="e">
        <v>#N/A</v>
      </c>
      <c r="S200" s="13" t="e">
        <v>#N/A</v>
      </c>
      <c r="T200" s="8"/>
      <c r="U200" s="8"/>
    </row>
    <row r="201" spans="1:21" x14ac:dyDescent="0.25">
      <c r="A201" s="7">
        <v>42430</v>
      </c>
      <c r="B201" t="s">
        <v>220</v>
      </c>
      <c r="C201" s="2">
        <v>91.6</v>
      </c>
      <c r="D201" s="2">
        <v>-0.3</v>
      </c>
      <c r="E201" s="2">
        <v>98.9</v>
      </c>
      <c r="F201" s="2">
        <v>95.1</v>
      </c>
      <c r="G201" s="2">
        <v>57.3</v>
      </c>
      <c r="H201" s="2">
        <v>103.1</v>
      </c>
      <c r="I201" s="8">
        <v>14702642</v>
      </c>
      <c r="J201" s="8">
        <v>14568369</v>
      </c>
      <c r="K201" s="8">
        <v>490</v>
      </c>
      <c r="L201" s="8">
        <v>462</v>
      </c>
      <c r="M201" s="8">
        <v>453</v>
      </c>
      <c r="N201" s="8">
        <v>2245</v>
      </c>
      <c r="O201" s="8">
        <v>1645</v>
      </c>
      <c r="P201" s="2" t="e">
        <v>#N/A</v>
      </c>
      <c r="Q201" s="12" t="e">
        <v>#N/A</v>
      </c>
      <c r="R201" s="13" t="e">
        <v>#N/A</v>
      </c>
      <c r="S201" s="13" t="e">
        <v>#N/A</v>
      </c>
      <c r="T201" s="8"/>
      <c r="U201" s="8"/>
    </row>
    <row r="202" spans="1:21" x14ac:dyDescent="0.25">
      <c r="A202" s="7">
        <v>42461</v>
      </c>
      <c r="B202" t="s">
        <v>221</v>
      </c>
      <c r="C202" s="2">
        <v>92.1</v>
      </c>
      <c r="D202" s="2">
        <v>0.8</v>
      </c>
      <c r="E202" s="2">
        <v>98.3</v>
      </c>
      <c r="F202" s="2">
        <v>98.3</v>
      </c>
      <c r="G202" s="2">
        <v>56.3</v>
      </c>
      <c r="H202" s="2">
        <v>101.5</v>
      </c>
      <c r="I202" s="8">
        <v>11730486</v>
      </c>
      <c r="J202" s="8">
        <v>11488094</v>
      </c>
      <c r="K202" s="8">
        <v>495</v>
      </c>
      <c r="L202" s="8">
        <v>463</v>
      </c>
      <c r="M202" s="8">
        <v>455</v>
      </c>
      <c r="N202" s="8">
        <v>2266</v>
      </c>
      <c r="O202" s="8">
        <v>1651</v>
      </c>
      <c r="P202" s="2" t="e">
        <v>#N/A</v>
      </c>
      <c r="Q202" s="12" t="e">
        <v>#N/A</v>
      </c>
      <c r="R202" s="13" t="e">
        <v>#N/A</v>
      </c>
      <c r="S202" s="13" t="e">
        <v>#N/A</v>
      </c>
      <c r="T202" s="8"/>
      <c r="U202" s="8"/>
    </row>
    <row r="203" spans="1:21" x14ac:dyDescent="0.25">
      <c r="A203" s="7">
        <v>42491</v>
      </c>
      <c r="B203" t="s">
        <v>222</v>
      </c>
      <c r="C203" s="2">
        <v>91.9</v>
      </c>
      <c r="D203" s="2">
        <v>1.6</v>
      </c>
      <c r="E203" s="2">
        <v>99.3</v>
      </c>
      <c r="F203" s="2">
        <v>98.8</v>
      </c>
      <c r="G203" s="2">
        <v>60.8</v>
      </c>
      <c r="H203" s="2">
        <v>104.9</v>
      </c>
      <c r="I203" s="8">
        <v>11823172</v>
      </c>
      <c r="J203" s="8">
        <v>11898526</v>
      </c>
      <c r="K203" s="8">
        <v>493</v>
      </c>
      <c r="L203" s="8">
        <v>462</v>
      </c>
      <c r="M203" s="8">
        <v>453</v>
      </c>
      <c r="N203" s="8">
        <v>2264</v>
      </c>
      <c r="O203" s="8">
        <v>1652</v>
      </c>
      <c r="P203" s="2" t="e">
        <v>#N/A</v>
      </c>
      <c r="Q203" s="12" t="e">
        <v>#N/A</v>
      </c>
      <c r="R203" s="13" t="e">
        <v>#N/A</v>
      </c>
      <c r="S203" s="13" t="e">
        <v>#N/A</v>
      </c>
      <c r="T203" s="8"/>
      <c r="U203" s="8"/>
    </row>
    <row r="204" spans="1:21" x14ac:dyDescent="0.25">
      <c r="A204" s="7">
        <v>42522</v>
      </c>
      <c r="B204" t="s">
        <v>223</v>
      </c>
      <c r="C204" s="2">
        <v>92.1</v>
      </c>
      <c r="D204" s="2">
        <v>-1.8</v>
      </c>
      <c r="E204" s="2">
        <v>99</v>
      </c>
      <c r="F204" s="2">
        <v>96.6</v>
      </c>
      <c r="G204" s="2">
        <v>59.8</v>
      </c>
      <c r="H204" s="2">
        <v>98.2</v>
      </c>
      <c r="I204" s="8">
        <v>14743085</v>
      </c>
      <c r="J204" s="8">
        <v>14722896</v>
      </c>
      <c r="K204" s="8">
        <v>493</v>
      </c>
      <c r="L204" s="8">
        <v>464</v>
      </c>
      <c r="M204" s="8">
        <v>455</v>
      </c>
      <c r="N204" s="8">
        <v>2269</v>
      </c>
      <c r="O204" s="8">
        <v>1654</v>
      </c>
      <c r="P204" s="2" t="e">
        <v>#N/A</v>
      </c>
      <c r="Q204" s="12" t="e">
        <v>#N/A</v>
      </c>
      <c r="R204" s="13" t="e">
        <v>#N/A</v>
      </c>
      <c r="S204" s="13" t="e">
        <v>#N/A</v>
      </c>
      <c r="T204" s="8"/>
      <c r="U204" s="8"/>
    </row>
    <row r="205" spans="1:21" x14ac:dyDescent="0.25">
      <c r="A205" s="7">
        <v>42552</v>
      </c>
      <c r="B205" t="s">
        <v>224</v>
      </c>
      <c r="C205" s="2">
        <v>92.2</v>
      </c>
      <c r="D205" s="2">
        <v>2.2000000000000002</v>
      </c>
      <c r="E205" s="2">
        <v>99.4</v>
      </c>
      <c r="F205" s="2">
        <v>99.8</v>
      </c>
      <c r="G205" s="2">
        <v>60.7</v>
      </c>
      <c r="H205" s="2">
        <v>103.9</v>
      </c>
      <c r="I205" s="8">
        <v>11844199</v>
      </c>
      <c r="J205" s="8">
        <v>11823051</v>
      </c>
      <c r="K205" s="8">
        <v>496</v>
      </c>
      <c r="L205" s="8">
        <v>464</v>
      </c>
      <c r="M205" s="8">
        <v>455</v>
      </c>
      <c r="N205" s="8">
        <v>2275</v>
      </c>
      <c r="O205" s="8">
        <v>1659</v>
      </c>
      <c r="P205" s="2" t="e">
        <v>#N/A</v>
      </c>
      <c r="Q205" s="12" t="e">
        <v>#N/A</v>
      </c>
      <c r="R205" s="13" t="e">
        <v>#N/A</v>
      </c>
      <c r="S205" s="13" t="e">
        <v>#N/A</v>
      </c>
      <c r="T205" s="8"/>
      <c r="U205" s="8"/>
    </row>
    <row r="206" spans="1:21" x14ac:dyDescent="0.25">
      <c r="A206" s="7">
        <v>42583</v>
      </c>
      <c r="B206" t="s">
        <v>225</v>
      </c>
      <c r="C206" s="2">
        <v>92.4</v>
      </c>
      <c r="D206" s="2">
        <v>-0.3</v>
      </c>
      <c r="E206" s="2">
        <v>100.1</v>
      </c>
      <c r="F206" s="2">
        <v>97.8</v>
      </c>
      <c r="G206" s="2">
        <v>62.5</v>
      </c>
      <c r="H206" s="2">
        <v>103.9</v>
      </c>
      <c r="I206" s="8">
        <v>11947465</v>
      </c>
      <c r="J206" s="8">
        <v>11657477</v>
      </c>
      <c r="K206" s="8">
        <v>494</v>
      </c>
      <c r="L206" s="8">
        <v>464</v>
      </c>
      <c r="M206" s="8">
        <v>456</v>
      </c>
      <c r="N206" s="8">
        <v>2270</v>
      </c>
      <c r="O206" s="8">
        <v>1660</v>
      </c>
      <c r="P206" s="2" t="e">
        <v>#N/A</v>
      </c>
      <c r="Q206" s="12" t="e">
        <v>#N/A</v>
      </c>
      <c r="R206" s="13" t="e">
        <v>#N/A</v>
      </c>
      <c r="S206" s="13" t="e">
        <v>#N/A</v>
      </c>
      <c r="T206" s="8"/>
      <c r="U206" s="8"/>
    </row>
    <row r="207" spans="1:21" x14ac:dyDescent="0.25">
      <c r="A207" s="7">
        <v>42614</v>
      </c>
      <c r="B207" t="s">
        <v>226</v>
      </c>
      <c r="C207" s="2">
        <v>92.9</v>
      </c>
      <c r="D207" s="2">
        <v>0.4</v>
      </c>
      <c r="E207" s="2">
        <v>100.5</v>
      </c>
      <c r="F207" s="2">
        <v>97.8</v>
      </c>
      <c r="G207" s="2">
        <v>64.2</v>
      </c>
      <c r="H207" s="2">
        <v>103.2</v>
      </c>
      <c r="I207" s="8">
        <v>15022377</v>
      </c>
      <c r="J207" s="8">
        <v>14520766</v>
      </c>
      <c r="K207" s="8">
        <v>495</v>
      </c>
      <c r="L207" s="8">
        <v>466</v>
      </c>
      <c r="M207" s="8">
        <v>457</v>
      </c>
      <c r="N207" s="8">
        <v>2287</v>
      </c>
      <c r="O207" s="8">
        <v>1664</v>
      </c>
      <c r="P207" s="2" t="e">
        <v>#N/A</v>
      </c>
      <c r="Q207" s="12" t="e">
        <v>#N/A</v>
      </c>
      <c r="R207" s="13" t="e">
        <v>#N/A</v>
      </c>
      <c r="S207" s="13" t="e">
        <v>#N/A</v>
      </c>
      <c r="T207" s="8"/>
      <c r="U207" s="8"/>
    </row>
    <row r="208" spans="1:21" x14ac:dyDescent="0.25">
      <c r="A208" s="7">
        <v>42644</v>
      </c>
      <c r="B208" t="s">
        <v>227</v>
      </c>
      <c r="C208" s="2">
        <v>92.7</v>
      </c>
      <c r="D208" s="2">
        <v>1.7</v>
      </c>
      <c r="E208" s="2">
        <v>100.9</v>
      </c>
      <c r="F208" s="2">
        <v>100.8</v>
      </c>
      <c r="G208" s="2">
        <v>65.900000000000006</v>
      </c>
      <c r="H208" s="2">
        <v>103.8</v>
      </c>
      <c r="I208" s="8">
        <v>12047129</v>
      </c>
      <c r="J208" s="8">
        <v>11862906</v>
      </c>
      <c r="K208" s="8">
        <v>497</v>
      </c>
      <c r="L208" s="8">
        <v>465</v>
      </c>
      <c r="M208" s="8">
        <v>457</v>
      </c>
      <c r="N208" s="8">
        <v>2291</v>
      </c>
      <c r="O208" s="8">
        <v>1663</v>
      </c>
      <c r="P208" s="2" t="e">
        <v>#N/A</v>
      </c>
      <c r="Q208" s="12" t="e">
        <v>#N/A</v>
      </c>
      <c r="R208" s="13" t="e">
        <v>#N/A</v>
      </c>
      <c r="S208" s="13" t="e">
        <v>#N/A</v>
      </c>
      <c r="T208" s="8"/>
      <c r="U208" s="8"/>
    </row>
    <row r="209" spans="1:21" x14ac:dyDescent="0.25">
      <c r="A209" s="7">
        <v>42675</v>
      </c>
      <c r="B209" t="s">
        <v>228</v>
      </c>
      <c r="C209" s="2">
        <v>93.1</v>
      </c>
      <c r="D209" s="2">
        <v>-0.6</v>
      </c>
      <c r="E209" s="2">
        <v>100.4</v>
      </c>
      <c r="F209" s="2">
        <v>99.5</v>
      </c>
      <c r="G209" s="2">
        <v>67.3</v>
      </c>
      <c r="H209" s="2">
        <v>102.7</v>
      </c>
      <c r="I209" s="8">
        <v>12020232</v>
      </c>
      <c r="J209" s="8">
        <v>12339743</v>
      </c>
      <c r="K209" s="8">
        <v>498</v>
      </c>
      <c r="L209" s="8">
        <v>467</v>
      </c>
      <c r="M209" s="8">
        <v>459</v>
      </c>
      <c r="N209" s="8">
        <v>2293</v>
      </c>
      <c r="O209" s="8">
        <v>1666</v>
      </c>
      <c r="P209" s="2" t="e">
        <v>#N/A</v>
      </c>
      <c r="Q209" s="12" t="e">
        <v>#N/A</v>
      </c>
      <c r="R209" s="13" t="e">
        <v>#N/A</v>
      </c>
      <c r="S209" s="13" t="e">
        <v>#N/A</v>
      </c>
      <c r="T209" s="8"/>
      <c r="U209" s="8"/>
    </row>
    <row r="210" spans="1:21" x14ac:dyDescent="0.25">
      <c r="A210" s="7">
        <v>42705</v>
      </c>
      <c r="B210" t="s">
        <v>229</v>
      </c>
      <c r="C210" s="2">
        <v>93.7</v>
      </c>
      <c r="D210" s="2">
        <v>-1.1000000000000001</v>
      </c>
      <c r="E210" s="2">
        <v>99.1</v>
      </c>
      <c r="F210" s="2">
        <v>98.8</v>
      </c>
      <c r="G210" s="2">
        <v>66.8</v>
      </c>
      <c r="H210" s="2">
        <v>101.3</v>
      </c>
      <c r="I210" s="8">
        <v>14936373</v>
      </c>
      <c r="J210" s="8">
        <v>17311945</v>
      </c>
      <c r="K210" s="8">
        <v>496</v>
      </c>
      <c r="L210" s="8">
        <v>466</v>
      </c>
      <c r="M210" s="8">
        <v>459</v>
      </c>
      <c r="N210" s="8">
        <v>2293</v>
      </c>
      <c r="O210" s="8">
        <v>1667</v>
      </c>
      <c r="P210" s="2" t="e">
        <v>#N/A</v>
      </c>
      <c r="Q210" s="12" t="e">
        <v>#N/A</v>
      </c>
      <c r="R210" s="13" t="e">
        <v>#N/A</v>
      </c>
      <c r="S210" s="13" t="e">
        <v>#N/A</v>
      </c>
      <c r="T210" s="8"/>
      <c r="U210" s="8"/>
    </row>
    <row r="211" spans="1:21" x14ac:dyDescent="0.25">
      <c r="A211" s="7">
        <v>42736</v>
      </c>
      <c r="B211" t="s">
        <v>230</v>
      </c>
      <c r="C211" s="2">
        <v>93.9</v>
      </c>
      <c r="D211" s="2">
        <v>-0.6</v>
      </c>
      <c r="E211" s="2">
        <v>99</v>
      </c>
      <c r="F211" s="2">
        <v>97.8</v>
      </c>
      <c r="G211" s="2">
        <v>66.400000000000006</v>
      </c>
      <c r="H211" s="2">
        <v>100.2</v>
      </c>
      <c r="I211" s="8">
        <v>11946475</v>
      </c>
      <c r="J211" s="8">
        <v>10938543</v>
      </c>
      <c r="K211" s="8">
        <v>497</v>
      </c>
      <c r="L211" s="8">
        <v>468</v>
      </c>
      <c r="M211" s="8">
        <v>460</v>
      </c>
      <c r="N211" s="8">
        <v>2288</v>
      </c>
      <c r="O211" s="8">
        <v>1668</v>
      </c>
      <c r="P211" s="2" t="e">
        <v>#N/A</v>
      </c>
      <c r="Q211" s="12" t="e">
        <v>#N/A</v>
      </c>
      <c r="R211" s="13" t="e">
        <v>#N/A</v>
      </c>
      <c r="S211" s="13" t="e">
        <v>#N/A</v>
      </c>
      <c r="T211" s="8"/>
      <c r="U211" s="8"/>
    </row>
    <row r="212" spans="1:21" x14ac:dyDescent="0.25">
      <c r="A212" s="7">
        <v>42767</v>
      </c>
      <c r="B212" t="s">
        <v>231</v>
      </c>
      <c r="C212" s="2">
        <v>94</v>
      </c>
      <c r="D212" s="2">
        <v>0.7</v>
      </c>
      <c r="E212" s="2">
        <v>99.5</v>
      </c>
      <c r="F212" s="2">
        <v>99.1</v>
      </c>
      <c r="G212" s="2">
        <v>66.2</v>
      </c>
      <c r="H212" s="2">
        <v>100.1</v>
      </c>
      <c r="I212" s="8">
        <v>12067495</v>
      </c>
      <c r="J212" s="8">
        <v>11527048</v>
      </c>
      <c r="K212" s="8">
        <v>499</v>
      </c>
      <c r="L212" s="8">
        <v>469</v>
      </c>
      <c r="M212" s="8">
        <v>461</v>
      </c>
      <c r="N212" s="8">
        <v>2304</v>
      </c>
      <c r="O212" s="8">
        <v>1677</v>
      </c>
      <c r="P212" s="2" t="e">
        <v>#N/A</v>
      </c>
      <c r="Q212" s="12" t="e">
        <v>#N/A</v>
      </c>
      <c r="R212" s="13" t="e">
        <v>#N/A</v>
      </c>
      <c r="S212" s="13" t="e">
        <v>#N/A</v>
      </c>
      <c r="T212" s="8"/>
      <c r="U212" s="8"/>
    </row>
    <row r="213" spans="1:21" x14ac:dyDescent="0.25">
      <c r="A213" s="7">
        <v>42795</v>
      </c>
      <c r="B213" t="s">
        <v>232</v>
      </c>
      <c r="C213" s="2">
        <v>94.1</v>
      </c>
      <c r="D213" s="2">
        <v>-0.8</v>
      </c>
      <c r="E213" s="2">
        <v>99.3</v>
      </c>
      <c r="F213" s="2">
        <v>97.9</v>
      </c>
      <c r="G213" s="2">
        <v>66.099999999999994</v>
      </c>
      <c r="H213" s="2">
        <v>98.1</v>
      </c>
      <c r="I213" s="8">
        <v>15110632</v>
      </c>
      <c r="J213" s="8">
        <v>14720554</v>
      </c>
      <c r="K213" s="8">
        <v>501</v>
      </c>
      <c r="L213" s="8">
        <v>470</v>
      </c>
      <c r="M213" s="8">
        <v>462</v>
      </c>
      <c r="N213" s="8">
        <v>2315</v>
      </c>
      <c r="O213" s="8">
        <v>1686</v>
      </c>
      <c r="P213" s="2" t="e">
        <v>#N/A</v>
      </c>
      <c r="Q213" s="12" t="e">
        <v>#N/A</v>
      </c>
      <c r="R213" s="13" t="e">
        <v>#N/A</v>
      </c>
      <c r="S213" s="13" t="e">
        <v>#N/A</v>
      </c>
      <c r="T213" s="8"/>
      <c r="U213" s="8"/>
    </row>
    <row r="214" spans="1:21" x14ac:dyDescent="0.25">
      <c r="A214" s="7">
        <v>42826</v>
      </c>
      <c r="B214" t="s">
        <v>233</v>
      </c>
      <c r="C214" s="2">
        <v>94.4</v>
      </c>
      <c r="D214" s="2">
        <v>1.9</v>
      </c>
      <c r="E214" s="2">
        <v>99.7</v>
      </c>
      <c r="F214" s="2">
        <v>100.3</v>
      </c>
      <c r="G214" s="2">
        <v>68.5</v>
      </c>
      <c r="H214" s="2">
        <v>102.1</v>
      </c>
      <c r="I214" s="8">
        <v>12172427</v>
      </c>
      <c r="J214" s="8">
        <v>12226779</v>
      </c>
      <c r="K214" s="8">
        <v>502</v>
      </c>
      <c r="L214" s="8">
        <v>471</v>
      </c>
      <c r="M214" s="8">
        <v>464</v>
      </c>
      <c r="N214" s="8">
        <v>2322</v>
      </c>
      <c r="O214" s="8">
        <v>1688</v>
      </c>
      <c r="P214" s="2" t="e">
        <v>#N/A</v>
      </c>
      <c r="Q214" s="12" t="e">
        <v>#N/A</v>
      </c>
      <c r="R214" s="13" t="e">
        <v>#N/A</v>
      </c>
      <c r="S214" s="13" t="e">
        <v>#N/A</v>
      </c>
      <c r="T214" s="8"/>
      <c r="U214" s="8"/>
    </row>
    <row r="215" spans="1:21" x14ac:dyDescent="0.25">
      <c r="A215" s="7">
        <v>42856</v>
      </c>
      <c r="B215" t="s">
        <v>234</v>
      </c>
      <c r="C215" s="2">
        <v>94.6</v>
      </c>
      <c r="D215" s="2">
        <v>-1</v>
      </c>
      <c r="E215" s="2">
        <v>98.9</v>
      </c>
      <c r="F215" s="2">
        <v>97.9</v>
      </c>
      <c r="G215" s="2">
        <v>67.3</v>
      </c>
      <c r="H215" s="2">
        <v>107.8</v>
      </c>
      <c r="I215" s="8">
        <v>12103400</v>
      </c>
      <c r="J215" s="8">
        <v>12209328</v>
      </c>
      <c r="K215" s="8">
        <v>503</v>
      </c>
      <c r="L215" s="8">
        <v>473</v>
      </c>
      <c r="M215" s="8">
        <v>464</v>
      </c>
      <c r="N215" s="8">
        <v>2333</v>
      </c>
      <c r="O215" s="8">
        <v>1690</v>
      </c>
      <c r="P215" s="2" t="e">
        <v>#N/A</v>
      </c>
      <c r="Q215" s="12" t="e">
        <v>#N/A</v>
      </c>
      <c r="R215" s="13" t="e">
        <v>#N/A</v>
      </c>
      <c r="S215" s="13" t="e">
        <v>#N/A</v>
      </c>
      <c r="T215" s="8"/>
      <c r="U215" s="8"/>
    </row>
    <row r="216" spans="1:21" x14ac:dyDescent="0.25">
      <c r="A216" s="7">
        <v>42887</v>
      </c>
      <c r="B216" t="s">
        <v>235</v>
      </c>
      <c r="C216" s="2">
        <v>94.6</v>
      </c>
      <c r="D216" s="2">
        <v>0.2</v>
      </c>
      <c r="E216" s="2">
        <v>98.1</v>
      </c>
      <c r="F216" s="2">
        <v>99.9</v>
      </c>
      <c r="G216" s="2">
        <v>69.8</v>
      </c>
      <c r="H216" s="2">
        <v>100.6</v>
      </c>
      <c r="I216" s="8">
        <v>15021106</v>
      </c>
      <c r="J216" s="8">
        <v>14991430</v>
      </c>
      <c r="K216" s="8">
        <v>508</v>
      </c>
      <c r="L216" s="8">
        <v>473</v>
      </c>
      <c r="M216" s="8">
        <v>465</v>
      </c>
      <c r="N216" s="8">
        <v>2333</v>
      </c>
      <c r="O216" s="8">
        <v>1695</v>
      </c>
      <c r="P216" s="2" t="e">
        <v>#N/A</v>
      </c>
      <c r="Q216" s="12" t="e">
        <v>#N/A</v>
      </c>
      <c r="R216" s="13" t="e">
        <v>#N/A</v>
      </c>
      <c r="S216" s="13" t="e">
        <v>#N/A</v>
      </c>
      <c r="T216" s="8"/>
      <c r="U216" s="8"/>
    </row>
    <row r="217" spans="1:21" x14ac:dyDescent="0.25">
      <c r="A217" s="7">
        <v>42917</v>
      </c>
      <c r="B217" t="s">
        <v>236</v>
      </c>
      <c r="C217" s="2">
        <v>94.8</v>
      </c>
      <c r="D217" s="2">
        <v>0.2</v>
      </c>
      <c r="E217" s="2">
        <v>98.7</v>
      </c>
      <c r="F217" s="2">
        <v>99.8</v>
      </c>
      <c r="G217" s="2">
        <v>68.900000000000006</v>
      </c>
      <c r="H217" s="2">
        <v>102.5</v>
      </c>
      <c r="I217" s="8">
        <v>12125706</v>
      </c>
      <c r="J217" s="8">
        <v>12130531</v>
      </c>
      <c r="K217" s="8">
        <v>504</v>
      </c>
      <c r="L217" s="8">
        <v>474</v>
      </c>
      <c r="M217" s="8">
        <v>465</v>
      </c>
      <c r="N217" s="8">
        <v>2330</v>
      </c>
      <c r="O217" s="8">
        <v>1693</v>
      </c>
      <c r="P217" s="2" t="e">
        <v>#N/A</v>
      </c>
      <c r="Q217" s="12" t="e">
        <v>#N/A</v>
      </c>
      <c r="R217" s="13" t="e">
        <v>#N/A</v>
      </c>
      <c r="S217" s="13" t="e">
        <v>#N/A</v>
      </c>
      <c r="T217" s="8"/>
      <c r="U217" s="8"/>
    </row>
    <row r="218" spans="1:21" x14ac:dyDescent="0.25">
      <c r="A218" s="7">
        <v>42948</v>
      </c>
      <c r="B218" t="s">
        <v>237</v>
      </c>
      <c r="C218" s="2">
        <v>95</v>
      </c>
      <c r="D218" s="2">
        <v>0.9</v>
      </c>
      <c r="E218" s="2">
        <v>99.1</v>
      </c>
      <c r="F218" s="2">
        <v>100.8</v>
      </c>
      <c r="G218" s="2">
        <v>71.099999999999994</v>
      </c>
      <c r="H218" s="2">
        <v>102.7</v>
      </c>
      <c r="I218" s="8">
        <v>12149385</v>
      </c>
      <c r="J218" s="8">
        <v>11857642</v>
      </c>
      <c r="K218" s="8">
        <v>507</v>
      </c>
      <c r="L218" s="8">
        <v>475</v>
      </c>
      <c r="M218" s="8">
        <v>467</v>
      </c>
      <c r="N218" s="8">
        <v>2336</v>
      </c>
      <c r="O218" s="8">
        <v>1700</v>
      </c>
      <c r="P218" s="2">
        <v>2.6</v>
      </c>
      <c r="Q218" s="12">
        <v>2.6339999999999999</v>
      </c>
      <c r="R218" s="13" t="e">
        <v>#N/A</v>
      </c>
      <c r="S218" s="13" t="e">
        <v>#N/A</v>
      </c>
      <c r="T218" s="8"/>
      <c r="U218" s="8"/>
    </row>
    <row r="219" spans="1:21" x14ac:dyDescent="0.25">
      <c r="A219" s="7">
        <v>42979</v>
      </c>
      <c r="B219" t="s">
        <v>238</v>
      </c>
      <c r="C219" s="2">
        <v>95.4</v>
      </c>
      <c r="D219" s="2">
        <v>-0.2</v>
      </c>
      <c r="E219" s="2">
        <v>99.2</v>
      </c>
      <c r="F219" s="2">
        <v>98.8</v>
      </c>
      <c r="G219" s="2">
        <v>75.099999999999994</v>
      </c>
      <c r="H219" s="2">
        <v>103</v>
      </c>
      <c r="I219" s="8">
        <v>15280740</v>
      </c>
      <c r="J219" s="8">
        <v>14745776</v>
      </c>
      <c r="K219" s="8">
        <v>509</v>
      </c>
      <c r="L219" s="8">
        <v>476</v>
      </c>
      <c r="M219" s="8">
        <v>468</v>
      </c>
      <c r="N219" s="8">
        <v>2346</v>
      </c>
      <c r="O219" s="8">
        <v>1704</v>
      </c>
      <c r="P219" s="2">
        <v>2.5</v>
      </c>
      <c r="Q219" s="12">
        <v>2.556</v>
      </c>
      <c r="R219" s="13" t="e">
        <v>#N/A</v>
      </c>
      <c r="S219" s="13" t="e">
        <v>#N/A</v>
      </c>
      <c r="T219" s="8"/>
      <c r="U219" s="8"/>
    </row>
    <row r="220" spans="1:21" x14ac:dyDescent="0.25">
      <c r="A220" s="7">
        <v>43009</v>
      </c>
      <c r="B220" t="s">
        <v>239</v>
      </c>
      <c r="C220" s="2">
        <v>95.4</v>
      </c>
      <c r="D220" s="2">
        <v>0.5</v>
      </c>
      <c r="E220" s="2">
        <v>99.6</v>
      </c>
      <c r="F220" s="2">
        <v>100</v>
      </c>
      <c r="G220" s="2">
        <v>72.900000000000006</v>
      </c>
      <c r="H220" s="2">
        <v>104.3</v>
      </c>
      <c r="I220" s="8">
        <v>12336150</v>
      </c>
      <c r="J220" s="8">
        <v>12123767</v>
      </c>
      <c r="K220" s="8">
        <v>509</v>
      </c>
      <c r="L220" s="8">
        <v>476</v>
      </c>
      <c r="M220" s="8">
        <v>468</v>
      </c>
      <c r="N220" s="8">
        <v>2345</v>
      </c>
      <c r="O220" s="8">
        <v>1706</v>
      </c>
      <c r="P220" s="2">
        <v>2.7</v>
      </c>
      <c r="Q220" s="12">
        <v>2.6190000000000002</v>
      </c>
      <c r="R220" s="13" t="e">
        <v>#N/A</v>
      </c>
      <c r="S220" s="13" t="e">
        <v>#N/A</v>
      </c>
      <c r="T220" s="8"/>
      <c r="U220" s="8"/>
    </row>
    <row r="221" spans="1:21" x14ac:dyDescent="0.25">
      <c r="A221" s="7">
        <v>43040</v>
      </c>
      <c r="B221" t="s">
        <v>240</v>
      </c>
      <c r="C221" s="2">
        <v>95.6</v>
      </c>
      <c r="D221" s="2">
        <v>0</v>
      </c>
      <c r="E221" s="2">
        <v>99.5</v>
      </c>
      <c r="F221" s="2">
        <v>100</v>
      </c>
      <c r="G221" s="2">
        <v>73</v>
      </c>
      <c r="H221" s="2">
        <v>104.7</v>
      </c>
      <c r="I221" s="8">
        <v>12355864</v>
      </c>
      <c r="J221" s="8">
        <v>12623267</v>
      </c>
      <c r="K221" s="8">
        <v>510</v>
      </c>
      <c r="L221" s="8">
        <v>478</v>
      </c>
      <c r="M221" s="8">
        <v>470</v>
      </c>
      <c r="N221" s="8">
        <v>2351</v>
      </c>
      <c r="O221" s="8">
        <v>1713</v>
      </c>
      <c r="P221" s="2" t="e">
        <v>#N/A</v>
      </c>
      <c r="Q221" s="12" t="e">
        <v>#N/A</v>
      </c>
      <c r="R221" s="13" t="e">
        <v>#N/A</v>
      </c>
      <c r="S221" s="13" t="e">
        <v>#N/A</v>
      </c>
      <c r="T221" s="8"/>
      <c r="U221" s="8"/>
    </row>
    <row r="222" spans="1:21" x14ac:dyDescent="0.25">
      <c r="A222" s="7">
        <v>43070</v>
      </c>
      <c r="B222" t="s">
        <v>241</v>
      </c>
      <c r="C222" s="2">
        <v>95.9</v>
      </c>
      <c r="D222" s="2">
        <v>0.1</v>
      </c>
      <c r="E222" s="2">
        <v>99.7</v>
      </c>
      <c r="F222" s="2">
        <v>100.5</v>
      </c>
      <c r="G222" s="2">
        <v>72.400000000000006</v>
      </c>
      <c r="H222" s="2">
        <v>103.3</v>
      </c>
      <c r="I222" s="8">
        <v>15489601</v>
      </c>
      <c r="J222" s="8">
        <v>18018148</v>
      </c>
      <c r="K222" s="8">
        <v>512</v>
      </c>
      <c r="L222" s="8">
        <v>479</v>
      </c>
      <c r="M222" s="8">
        <v>472</v>
      </c>
      <c r="N222" s="8">
        <v>2360</v>
      </c>
      <c r="O222" s="8">
        <v>1721</v>
      </c>
      <c r="P222" s="2" t="e">
        <v>#N/A</v>
      </c>
      <c r="Q222" s="12" t="e">
        <v>#N/A</v>
      </c>
      <c r="R222" s="13" t="e">
        <v>#N/A</v>
      </c>
      <c r="S222" s="13" t="e">
        <v>#N/A</v>
      </c>
      <c r="T222" s="8"/>
      <c r="U222" s="8"/>
    </row>
    <row r="223" spans="1:21" x14ac:dyDescent="0.25">
      <c r="A223" s="7">
        <v>43101</v>
      </c>
      <c r="B223" t="s">
        <v>242</v>
      </c>
      <c r="C223" s="2">
        <v>95.7</v>
      </c>
      <c r="D223" s="2">
        <v>-0.7</v>
      </c>
      <c r="E223" s="2">
        <v>98.5</v>
      </c>
      <c r="F223" s="2">
        <v>100.2</v>
      </c>
      <c r="G223" s="2">
        <v>71.400000000000006</v>
      </c>
      <c r="H223" s="2">
        <v>103.9</v>
      </c>
      <c r="I223" s="8">
        <v>12306623</v>
      </c>
      <c r="J223" s="8">
        <v>11195224</v>
      </c>
      <c r="K223" s="8">
        <v>510</v>
      </c>
      <c r="L223" s="8">
        <v>480</v>
      </c>
      <c r="M223" s="8">
        <v>473</v>
      </c>
      <c r="N223" s="8">
        <v>2367</v>
      </c>
      <c r="O223" s="8">
        <v>1725</v>
      </c>
      <c r="P223" s="2" t="e">
        <v>#N/A</v>
      </c>
      <c r="Q223" s="12" t="e">
        <v>#N/A</v>
      </c>
      <c r="R223" s="13" t="e">
        <v>#N/A</v>
      </c>
      <c r="S223" s="13" t="e">
        <v>#N/A</v>
      </c>
      <c r="T223" s="8"/>
      <c r="U223" s="8"/>
    </row>
    <row r="224" spans="1:21" x14ac:dyDescent="0.25">
      <c r="A224" s="7">
        <v>43132</v>
      </c>
      <c r="B224" t="s">
        <v>243</v>
      </c>
      <c r="C224" s="2">
        <v>95.8</v>
      </c>
      <c r="D224" s="2">
        <v>0.3</v>
      </c>
      <c r="E224" s="2">
        <v>99.4</v>
      </c>
      <c r="F224" s="2">
        <v>99.4</v>
      </c>
      <c r="G224" s="2">
        <v>72.7</v>
      </c>
      <c r="H224" s="2">
        <v>104.8</v>
      </c>
      <c r="I224" s="8">
        <v>12415147</v>
      </c>
      <c r="J224" s="8">
        <v>11854367</v>
      </c>
      <c r="K224" s="8">
        <v>513</v>
      </c>
      <c r="L224" s="8">
        <v>482</v>
      </c>
      <c r="M224" s="8">
        <v>475</v>
      </c>
      <c r="N224" s="8">
        <v>2380</v>
      </c>
      <c r="O224" s="8">
        <v>1728</v>
      </c>
      <c r="P224" s="2" t="e">
        <v>#N/A</v>
      </c>
      <c r="Q224" s="12" t="e">
        <v>#N/A</v>
      </c>
      <c r="R224" s="13" t="e">
        <v>#N/A</v>
      </c>
      <c r="S224" s="13" t="e">
        <v>#N/A</v>
      </c>
      <c r="T224" s="8"/>
      <c r="U224" s="8"/>
    </row>
    <row r="225" spans="1:21" x14ac:dyDescent="0.25">
      <c r="A225" s="7">
        <v>43160</v>
      </c>
      <c r="B225" t="s">
        <v>244</v>
      </c>
      <c r="C225" s="2">
        <v>95.7</v>
      </c>
      <c r="D225" s="2">
        <v>-1.7</v>
      </c>
      <c r="E225" s="2">
        <v>98.2</v>
      </c>
      <c r="F225" s="2">
        <v>98.3</v>
      </c>
      <c r="G225" s="2">
        <v>70.8</v>
      </c>
      <c r="H225" s="2">
        <v>99.7</v>
      </c>
      <c r="I225" s="8">
        <v>15362030</v>
      </c>
      <c r="J225" s="8">
        <v>15546592</v>
      </c>
      <c r="K225" s="8">
        <v>513</v>
      </c>
      <c r="L225" s="8">
        <v>484</v>
      </c>
      <c r="M225" s="8">
        <v>476</v>
      </c>
      <c r="N225" s="8">
        <v>2388</v>
      </c>
      <c r="O225" s="8">
        <v>1729</v>
      </c>
      <c r="P225" s="2" t="e">
        <v>#N/A</v>
      </c>
      <c r="Q225" s="12" t="e">
        <v>#N/A</v>
      </c>
      <c r="R225" s="13" t="e">
        <v>#N/A</v>
      </c>
      <c r="S225" s="13" t="e">
        <v>#N/A</v>
      </c>
      <c r="T225" s="8"/>
      <c r="U225" s="8"/>
    </row>
    <row r="226" spans="1:21" x14ac:dyDescent="0.25">
      <c r="A226" s="7">
        <v>43191</v>
      </c>
      <c r="B226" t="s">
        <v>245</v>
      </c>
      <c r="C226" s="2">
        <v>95.7</v>
      </c>
      <c r="D226" s="2">
        <v>1.6</v>
      </c>
      <c r="E226" s="2">
        <v>99.2</v>
      </c>
      <c r="F226" s="2">
        <v>100</v>
      </c>
      <c r="G226" s="2">
        <v>72.400000000000006</v>
      </c>
      <c r="H226" s="2">
        <v>102.4</v>
      </c>
      <c r="I226" s="8">
        <v>12437557</v>
      </c>
      <c r="J226" s="8">
        <v>11990379</v>
      </c>
      <c r="K226" s="8">
        <v>515</v>
      </c>
      <c r="L226" s="8">
        <v>483</v>
      </c>
      <c r="M226" s="8">
        <v>476</v>
      </c>
      <c r="N226" s="8">
        <v>2393</v>
      </c>
      <c r="O226" s="8">
        <v>1729</v>
      </c>
      <c r="P226" s="2" t="e">
        <v>#N/A</v>
      </c>
      <c r="Q226" s="12" t="e">
        <v>#N/A</v>
      </c>
      <c r="R226" s="13" t="e">
        <v>#N/A</v>
      </c>
      <c r="S226" s="13" t="e">
        <v>#N/A</v>
      </c>
      <c r="T226" s="8"/>
      <c r="U226" s="8"/>
    </row>
    <row r="227" spans="1:21" x14ac:dyDescent="0.25">
      <c r="A227" s="7">
        <v>43221</v>
      </c>
      <c r="B227" t="s">
        <v>246</v>
      </c>
      <c r="C227" s="2">
        <v>95.9</v>
      </c>
      <c r="D227" s="2">
        <v>1.8</v>
      </c>
      <c r="E227" s="2">
        <v>100.9</v>
      </c>
      <c r="F227" s="2">
        <v>101</v>
      </c>
      <c r="G227" s="2">
        <v>75.8</v>
      </c>
      <c r="H227" s="2">
        <v>105.1</v>
      </c>
      <c r="I227" s="8">
        <v>12680610</v>
      </c>
      <c r="J227" s="8">
        <v>12806037</v>
      </c>
      <c r="K227" s="8">
        <v>516</v>
      </c>
      <c r="L227" s="8">
        <v>486</v>
      </c>
      <c r="M227" s="8">
        <v>478</v>
      </c>
      <c r="N227" s="8">
        <v>2405</v>
      </c>
      <c r="O227" s="8">
        <v>1749</v>
      </c>
      <c r="P227" s="2" t="e">
        <v>#N/A</v>
      </c>
      <c r="Q227" s="12" t="e">
        <v>#N/A</v>
      </c>
      <c r="R227" s="13" t="e">
        <v>#N/A</v>
      </c>
      <c r="S227" s="13" t="e">
        <v>#N/A</v>
      </c>
      <c r="T227" s="8"/>
      <c r="U227" s="8"/>
    </row>
    <row r="228" spans="1:21" x14ac:dyDescent="0.25">
      <c r="A228" s="7">
        <v>43252</v>
      </c>
      <c r="B228" t="s">
        <v>247</v>
      </c>
      <c r="C228" s="2">
        <v>96.2</v>
      </c>
      <c r="D228" s="2">
        <v>-0.4</v>
      </c>
      <c r="E228" s="2">
        <v>100.9</v>
      </c>
      <c r="F228" s="2">
        <v>100.3</v>
      </c>
      <c r="G228" s="2">
        <v>75.3</v>
      </c>
      <c r="H228" s="2">
        <v>104.6</v>
      </c>
      <c r="I228" s="8">
        <v>15842982</v>
      </c>
      <c r="J228" s="8">
        <v>15804617</v>
      </c>
      <c r="K228" s="8">
        <v>519</v>
      </c>
      <c r="L228" s="8">
        <v>487</v>
      </c>
      <c r="M228" s="8">
        <v>479</v>
      </c>
      <c r="N228" s="8">
        <v>2424</v>
      </c>
      <c r="O228" s="8">
        <v>1756</v>
      </c>
      <c r="P228" s="2" t="e">
        <v>#N/A</v>
      </c>
      <c r="Q228" s="12" t="e">
        <v>#N/A</v>
      </c>
      <c r="R228" s="13" t="e">
        <v>#N/A</v>
      </c>
      <c r="S228" s="13" t="e">
        <v>#N/A</v>
      </c>
      <c r="T228" s="8"/>
      <c r="U228" s="8"/>
    </row>
    <row r="229" spans="1:21" x14ac:dyDescent="0.25">
      <c r="A229" s="7">
        <v>43282</v>
      </c>
      <c r="B229" t="s">
        <v>248</v>
      </c>
      <c r="C229" s="2">
        <v>96</v>
      </c>
      <c r="D229" s="2">
        <v>1</v>
      </c>
      <c r="E229" s="2">
        <v>101.8</v>
      </c>
      <c r="F229" s="2">
        <v>101.4</v>
      </c>
      <c r="G229" s="2">
        <v>77.8</v>
      </c>
      <c r="H229" s="2">
        <v>103.9</v>
      </c>
      <c r="I229" s="8">
        <v>12797776</v>
      </c>
      <c r="J229" s="8">
        <v>12823389</v>
      </c>
      <c r="K229" s="8">
        <v>521</v>
      </c>
      <c r="L229" s="8">
        <v>489</v>
      </c>
      <c r="M229" s="8">
        <v>481</v>
      </c>
      <c r="N229" s="8">
        <v>2417</v>
      </c>
      <c r="O229" s="8">
        <v>1751</v>
      </c>
      <c r="P229" s="2" t="e">
        <v>#N/A</v>
      </c>
      <c r="Q229" s="12" t="e">
        <v>#N/A</v>
      </c>
      <c r="R229" s="13" t="e">
        <v>#N/A</v>
      </c>
      <c r="S229" s="13" t="e">
        <v>#N/A</v>
      </c>
      <c r="T229" s="8"/>
      <c r="U229" s="8"/>
    </row>
    <row r="230" spans="1:21" x14ac:dyDescent="0.25">
      <c r="A230" s="7">
        <v>43313</v>
      </c>
      <c r="B230" t="s">
        <v>249</v>
      </c>
      <c r="C230" s="2">
        <v>96.3</v>
      </c>
      <c r="D230" s="2">
        <v>0.3</v>
      </c>
      <c r="E230" s="2">
        <v>101.2</v>
      </c>
      <c r="F230" s="2">
        <v>102.6</v>
      </c>
      <c r="G230" s="2">
        <v>78.400000000000006</v>
      </c>
      <c r="H230" s="2">
        <v>103.3</v>
      </c>
      <c r="I230" s="8">
        <v>12708576</v>
      </c>
      <c r="J230" s="8">
        <v>12409428</v>
      </c>
      <c r="K230" s="8">
        <v>523</v>
      </c>
      <c r="L230" s="8">
        <v>491</v>
      </c>
      <c r="M230" s="8">
        <v>483</v>
      </c>
      <c r="N230" s="8">
        <v>2430</v>
      </c>
      <c r="O230" s="8">
        <v>1772</v>
      </c>
      <c r="P230" s="2" t="e">
        <v>#N/A</v>
      </c>
      <c r="Q230" s="12" t="e">
        <v>#N/A</v>
      </c>
      <c r="R230" s="13" t="e">
        <v>#N/A</v>
      </c>
      <c r="S230" s="13" t="e">
        <v>#N/A</v>
      </c>
      <c r="T230" s="8"/>
      <c r="U230" s="8"/>
    </row>
    <row r="231" spans="1:21" x14ac:dyDescent="0.25">
      <c r="A231" s="7">
        <v>43344</v>
      </c>
      <c r="B231" t="s">
        <v>250</v>
      </c>
      <c r="C231" s="2">
        <v>96.5</v>
      </c>
      <c r="D231" s="2">
        <v>-0.3</v>
      </c>
      <c r="E231" s="2">
        <v>100.4</v>
      </c>
      <c r="F231" s="2">
        <v>102.4</v>
      </c>
      <c r="G231" s="2">
        <v>78.5</v>
      </c>
      <c r="H231" s="2">
        <v>103.7</v>
      </c>
      <c r="I231" s="8">
        <v>15789728</v>
      </c>
      <c r="J231" s="8">
        <v>15204999</v>
      </c>
      <c r="K231" s="8">
        <v>523</v>
      </c>
      <c r="L231" s="8">
        <v>491</v>
      </c>
      <c r="M231" s="8">
        <v>483</v>
      </c>
      <c r="N231" s="8">
        <v>2424</v>
      </c>
      <c r="O231" s="8">
        <v>1761</v>
      </c>
      <c r="P231" s="2" t="e">
        <v>#N/A</v>
      </c>
      <c r="Q231" s="12" t="e">
        <v>#N/A</v>
      </c>
      <c r="R231" s="13" t="e">
        <v>#N/A</v>
      </c>
      <c r="S231" s="13" t="e">
        <v>#N/A</v>
      </c>
      <c r="T231" s="8"/>
      <c r="U231" s="8"/>
    </row>
    <row r="232" spans="1:21" x14ac:dyDescent="0.25">
      <c r="A232" s="7">
        <v>43374</v>
      </c>
      <c r="B232" t="s">
        <v>251</v>
      </c>
      <c r="C232" s="2">
        <v>96.4</v>
      </c>
      <c r="D232" s="2">
        <v>-0.4</v>
      </c>
      <c r="E232" s="2">
        <v>100.7</v>
      </c>
      <c r="F232" s="2">
        <v>101.6</v>
      </c>
      <c r="G232" s="2">
        <v>78.3</v>
      </c>
      <c r="H232" s="2">
        <v>102.1</v>
      </c>
      <c r="I232" s="8">
        <v>12666174</v>
      </c>
      <c r="J232" s="8">
        <v>12423311</v>
      </c>
      <c r="K232" s="8">
        <v>530</v>
      </c>
      <c r="L232" s="8">
        <v>493</v>
      </c>
      <c r="M232" s="8">
        <v>486</v>
      </c>
      <c r="N232" s="8">
        <v>2436</v>
      </c>
      <c r="O232" s="8">
        <v>1767</v>
      </c>
      <c r="P232" s="2" t="e">
        <v>#N/A</v>
      </c>
      <c r="Q232" s="12" t="e">
        <v>#N/A</v>
      </c>
      <c r="R232" s="13" t="e">
        <v>#N/A</v>
      </c>
      <c r="S232" s="13" t="e">
        <v>#N/A</v>
      </c>
      <c r="T232" s="8"/>
      <c r="U232" s="8"/>
    </row>
    <row r="233" spans="1:21" x14ac:dyDescent="0.25">
      <c r="A233" s="7">
        <v>43405</v>
      </c>
      <c r="B233" t="s">
        <v>252</v>
      </c>
      <c r="C233" s="2">
        <v>96.5</v>
      </c>
      <c r="D233" s="2">
        <v>1.2</v>
      </c>
      <c r="E233" s="2">
        <v>100.8</v>
      </c>
      <c r="F233" s="2">
        <v>103</v>
      </c>
      <c r="G233" s="2">
        <v>79.7</v>
      </c>
      <c r="H233" s="2">
        <v>106.1</v>
      </c>
      <c r="I233" s="8">
        <v>12691736</v>
      </c>
      <c r="J233" s="8">
        <v>12923557</v>
      </c>
      <c r="K233" s="8">
        <v>526</v>
      </c>
      <c r="L233" s="8">
        <v>494</v>
      </c>
      <c r="M233" s="8">
        <v>487</v>
      </c>
      <c r="N233" s="8">
        <v>2431</v>
      </c>
      <c r="O233" s="8">
        <v>1778</v>
      </c>
      <c r="P233" s="2" t="e">
        <v>#N/A</v>
      </c>
      <c r="Q233" s="12" t="e">
        <v>#N/A</v>
      </c>
      <c r="R233" s="13" t="e">
        <v>#N/A</v>
      </c>
      <c r="S233" s="13" t="e">
        <v>#N/A</v>
      </c>
      <c r="T233" s="8"/>
      <c r="U233" s="8"/>
    </row>
    <row r="234" spans="1:21" x14ac:dyDescent="0.25">
      <c r="A234" s="7">
        <v>43435</v>
      </c>
      <c r="B234" t="s">
        <v>253</v>
      </c>
      <c r="C234" s="2">
        <v>96.2</v>
      </c>
      <c r="D234" s="2">
        <v>0.9</v>
      </c>
      <c r="E234" s="2">
        <v>101.4</v>
      </c>
      <c r="F234" s="2">
        <v>103.9</v>
      </c>
      <c r="G234" s="2">
        <v>79.7</v>
      </c>
      <c r="H234" s="2">
        <v>108.9</v>
      </c>
      <c r="I234" s="8">
        <v>15966038</v>
      </c>
      <c r="J234" s="8">
        <v>18307483</v>
      </c>
      <c r="K234" s="8">
        <v>528</v>
      </c>
      <c r="L234" s="8">
        <v>495</v>
      </c>
      <c r="M234" s="8">
        <v>488</v>
      </c>
      <c r="N234" s="8">
        <v>2428</v>
      </c>
      <c r="O234" s="8">
        <v>1772</v>
      </c>
      <c r="P234" s="2" t="e">
        <v>#N/A</v>
      </c>
      <c r="Q234" s="12" t="e">
        <v>#N/A</v>
      </c>
      <c r="R234" s="13" t="e">
        <v>#N/A</v>
      </c>
      <c r="S234" s="13" t="e">
        <v>#N/A</v>
      </c>
      <c r="T234" s="8"/>
      <c r="U234" s="8"/>
    </row>
    <row r="235" spans="1:21" x14ac:dyDescent="0.25">
      <c r="A235" s="7">
        <v>43466</v>
      </c>
      <c r="B235" t="s">
        <v>254</v>
      </c>
      <c r="C235" s="2">
        <v>96.7</v>
      </c>
      <c r="D235" s="2">
        <v>-0.2</v>
      </c>
      <c r="E235" s="2">
        <v>102.2</v>
      </c>
      <c r="F235" s="2">
        <v>102.1</v>
      </c>
      <c r="G235" s="2">
        <v>81.5</v>
      </c>
      <c r="H235" s="2">
        <v>109.3</v>
      </c>
      <c r="I235" s="8">
        <v>12907945</v>
      </c>
      <c r="J235" s="8">
        <v>11668546</v>
      </c>
      <c r="K235" s="8">
        <v>530</v>
      </c>
      <c r="L235" s="8">
        <v>498</v>
      </c>
      <c r="M235" s="8">
        <v>491</v>
      </c>
      <c r="N235" s="8">
        <v>2424</v>
      </c>
      <c r="O235" s="8">
        <v>1784</v>
      </c>
      <c r="P235" s="2" t="e">
        <v>#N/A</v>
      </c>
      <c r="Q235" s="12" t="e">
        <v>#N/A</v>
      </c>
      <c r="R235" s="13">
        <v>4.2443049000000004</v>
      </c>
      <c r="S235" s="13" t="e">
        <v>#N/A</v>
      </c>
      <c r="T235" s="8"/>
      <c r="U235" s="8"/>
    </row>
    <row r="236" spans="1:21" x14ac:dyDescent="0.25">
      <c r="A236" s="7">
        <v>43497</v>
      </c>
      <c r="B236" t="s">
        <v>255</v>
      </c>
      <c r="C236" s="2">
        <v>97.3</v>
      </c>
      <c r="D236" s="2">
        <v>0</v>
      </c>
      <c r="E236" s="2">
        <v>100.8</v>
      </c>
      <c r="F236" s="2">
        <v>102.4</v>
      </c>
      <c r="G236" s="2">
        <v>83.1</v>
      </c>
      <c r="H236" s="2">
        <v>111.3</v>
      </c>
      <c r="I236" s="8">
        <v>12786583</v>
      </c>
      <c r="J236" s="8">
        <v>12200805</v>
      </c>
      <c r="K236" s="8">
        <v>531</v>
      </c>
      <c r="L236" s="8">
        <v>498</v>
      </c>
      <c r="M236" s="8">
        <v>491</v>
      </c>
      <c r="N236" s="8">
        <v>2432</v>
      </c>
      <c r="O236" s="8">
        <v>1791</v>
      </c>
      <c r="P236" s="2" t="e">
        <v>#N/A</v>
      </c>
      <c r="Q236" s="12" t="e">
        <v>#N/A</v>
      </c>
      <c r="R236" s="13">
        <v>4.4496710000000004</v>
      </c>
      <c r="S236" s="13" t="e">
        <v>#N/A</v>
      </c>
      <c r="T236" s="8"/>
      <c r="U236" s="8"/>
    </row>
    <row r="237" spans="1:21" x14ac:dyDescent="0.25">
      <c r="A237" s="7">
        <v>43525</v>
      </c>
      <c r="B237" t="s">
        <v>256</v>
      </c>
      <c r="C237" s="2">
        <v>97.3</v>
      </c>
      <c r="D237" s="2">
        <v>0.5</v>
      </c>
      <c r="E237" s="2">
        <v>101</v>
      </c>
      <c r="F237" s="2">
        <v>103.3</v>
      </c>
      <c r="G237" s="2">
        <v>84.3</v>
      </c>
      <c r="H237" s="2">
        <v>110.7</v>
      </c>
      <c r="I237" s="8">
        <v>15988152</v>
      </c>
      <c r="J237" s="8">
        <v>15705466</v>
      </c>
      <c r="K237" s="8">
        <v>525</v>
      </c>
      <c r="L237" s="8">
        <v>500</v>
      </c>
      <c r="M237" s="8">
        <v>493</v>
      </c>
      <c r="N237" s="8">
        <v>2485</v>
      </c>
      <c r="O237" s="8">
        <v>1799</v>
      </c>
      <c r="P237" s="2" t="e">
        <v>#N/A</v>
      </c>
      <c r="Q237" s="12" t="e">
        <v>#N/A</v>
      </c>
      <c r="R237" s="13">
        <v>4.4962517999999996</v>
      </c>
      <c r="S237" s="13">
        <v>4.3967425000000002</v>
      </c>
      <c r="T237" s="8"/>
      <c r="U237" s="8"/>
    </row>
    <row r="238" spans="1:21" x14ac:dyDescent="0.25">
      <c r="A238" s="7">
        <v>43556</v>
      </c>
      <c r="B238" t="s">
        <v>257</v>
      </c>
      <c r="C238" s="2">
        <v>97</v>
      </c>
      <c r="D238" s="2">
        <v>0.2</v>
      </c>
      <c r="E238" s="2">
        <v>101.3</v>
      </c>
      <c r="F238" s="2">
        <v>103</v>
      </c>
      <c r="G238" s="2">
        <v>85.2</v>
      </c>
      <c r="H238" s="2">
        <v>111.1</v>
      </c>
      <c r="I238" s="8">
        <v>12828156</v>
      </c>
      <c r="J238" s="8">
        <v>12923872</v>
      </c>
      <c r="K238" s="8">
        <v>534</v>
      </c>
      <c r="L238" s="8">
        <v>503</v>
      </c>
      <c r="M238" s="8">
        <v>494</v>
      </c>
      <c r="N238" s="8">
        <v>2493</v>
      </c>
      <c r="O238" s="8">
        <v>1808</v>
      </c>
      <c r="P238" s="2" t="e">
        <v>#N/A</v>
      </c>
      <c r="Q238" s="12" t="e">
        <v>#N/A</v>
      </c>
      <c r="R238" s="13">
        <v>3.8961039</v>
      </c>
      <c r="S238" s="13">
        <v>4.2806755000000001</v>
      </c>
      <c r="T238" s="8"/>
      <c r="U238" s="8"/>
    </row>
    <row r="239" spans="1:21" x14ac:dyDescent="0.25">
      <c r="A239" s="7">
        <v>43586</v>
      </c>
      <c r="B239" t="s">
        <v>258</v>
      </c>
      <c r="C239" s="2">
        <v>97.4</v>
      </c>
      <c r="D239" s="2">
        <v>-1.1000000000000001</v>
      </c>
      <c r="E239" s="2">
        <v>100.8</v>
      </c>
      <c r="F239" s="2">
        <v>101.3</v>
      </c>
      <c r="G239" s="2">
        <v>85</v>
      </c>
      <c r="H239" s="2">
        <v>109</v>
      </c>
      <c r="I239" s="8">
        <v>12818494</v>
      </c>
      <c r="J239" s="8">
        <v>12951323</v>
      </c>
      <c r="K239" s="8">
        <v>537</v>
      </c>
      <c r="L239" s="8">
        <v>504</v>
      </c>
      <c r="M239" s="8">
        <v>496</v>
      </c>
      <c r="N239" s="8">
        <v>2491</v>
      </c>
      <c r="O239" s="8">
        <v>1815</v>
      </c>
      <c r="P239" s="2" t="e">
        <v>#N/A</v>
      </c>
      <c r="Q239" s="12" t="e">
        <v>#N/A</v>
      </c>
      <c r="R239" s="13">
        <v>3.7288158</v>
      </c>
      <c r="S239" s="13">
        <v>4.0403905</v>
      </c>
      <c r="T239" s="8"/>
      <c r="U239" s="8"/>
    </row>
    <row r="240" spans="1:21" x14ac:dyDescent="0.25">
      <c r="A240" s="7">
        <v>43617</v>
      </c>
      <c r="B240" t="s">
        <v>259</v>
      </c>
      <c r="C240" s="2">
        <v>97.9</v>
      </c>
      <c r="D240" s="2">
        <v>1.5</v>
      </c>
      <c r="E240" s="2">
        <v>101</v>
      </c>
      <c r="F240" s="2">
        <v>104.3</v>
      </c>
      <c r="G240" s="2">
        <v>85.6</v>
      </c>
      <c r="H240" s="2">
        <v>110.9</v>
      </c>
      <c r="I240" s="8">
        <v>16130438</v>
      </c>
      <c r="J240" s="8">
        <v>16089590</v>
      </c>
      <c r="K240" s="8">
        <v>540</v>
      </c>
      <c r="L240" s="8">
        <v>506</v>
      </c>
      <c r="M240" s="8">
        <v>498</v>
      </c>
      <c r="N240" s="8">
        <v>2492</v>
      </c>
      <c r="O240" s="8">
        <v>1812</v>
      </c>
      <c r="P240" s="2" t="e">
        <v>#N/A</v>
      </c>
      <c r="Q240" s="12" t="e">
        <v>#N/A</v>
      </c>
      <c r="R240" s="13">
        <v>3.541426</v>
      </c>
      <c r="S240" s="13">
        <v>3.7221153</v>
      </c>
      <c r="T240" s="8"/>
      <c r="U240" s="8"/>
    </row>
    <row r="241" spans="1:21" x14ac:dyDescent="0.25">
      <c r="A241" s="7">
        <v>43647</v>
      </c>
      <c r="B241" t="s">
        <v>260</v>
      </c>
      <c r="C241" s="2">
        <v>98.2</v>
      </c>
      <c r="D241" s="2">
        <v>0.9</v>
      </c>
      <c r="E241" s="2">
        <v>101.8</v>
      </c>
      <c r="F241" s="2">
        <v>103.2</v>
      </c>
      <c r="G241" s="2">
        <v>93.7</v>
      </c>
      <c r="H241" s="2">
        <v>111</v>
      </c>
      <c r="I241" s="8">
        <v>13017084</v>
      </c>
      <c r="J241" s="8">
        <v>13064620</v>
      </c>
      <c r="K241" s="8">
        <v>542</v>
      </c>
      <c r="L241" s="8">
        <v>507</v>
      </c>
      <c r="M241" s="8">
        <v>499</v>
      </c>
      <c r="N241" s="8">
        <v>2495</v>
      </c>
      <c r="O241" s="8">
        <v>1819</v>
      </c>
      <c r="P241" s="2" t="e">
        <v>#N/A</v>
      </c>
      <c r="Q241" s="12" t="e">
        <v>#N/A</v>
      </c>
      <c r="R241" s="13">
        <v>3.4692128000000002</v>
      </c>
      <c r="S241" s="13">
        <v>3.5798182000000001</v>
      </c>
      <c r="T241" s="8"/>
      <c r="U241" s="8"/>
    </row>
    <row r="242" spans="1:21" x14ac:dyDescent="0.25">
      <c r="A242" s="7">
        <v>43678</v>
      </c>
      <c r="B242" t="s">
        <v>261</v>
      </c>
      <c r="C242" s="2">
        <v>98</v>
      </c>
      <c r="D242" s="2">
        <v>-0.5</v>
      </c>
      <c r="E242" s="2">
        <v>102.3</v>
      </c>
      <c r="F242" s="2">
        <v>103</v>
      </c>
      <c r="G242" s="2">
        <v>89.9</v>
      </c>
      <c r="H242" s="2">
        <v>109.9</v>
      </c>
      <c r="I242" s="8">
        <v>13054782</v>
      </c>
      <c r="J242" s="8">
        <v>12744136</v>
      </c>
      <c r="K242" s="8">
        <v>541</v>
      </c>
      <c r="L242" s="8">
        <v>508</v>
      </c>
      <c r="M242" s="8">
        <v>500</v>
      </c>
      <c r="N242" s="8">
        <v>2488</v>
      </c>
      <c r="O242" s="8">
        <v>1826</v>
      </c>
      <c r="P242" s="2" t="e">
        <v>#N/A</v>
      </c>
      <c r="Q242" s="12" t="e">
        <v>#N/A</v>
      </c>
      <c r="R242" s="13">
        <v>3.5714286</v>
      </c>
      <c r="S242" s="13">
        <v>3.5273558</v>
      </c>
      <c r="T242" s="8"/>
      <c r="U242" s="8"/>
    </row>
    <row r="243" spans="1:21" x14ac:dyDescent="0.25">
      <c r="A243" s="7">
        <v>43709</v>
      </c>
      <c r="B243" t="s">
        <v>262</v>
      </c>
      <c r="C243" s="2">
        <v>98.5</v>
      </c>
      <c r="D243" s="2">
        <v>-0.1</v>
      </c>
      <c r="E243" s="2">
        <v>102.6</v>
      </c>
      <c r="F243" s="2">
        <v>102.7</v>
      </c>
      <c r="G243" s="2">
        <v>89.6</v>
      </c>
      <c r="H243" s="2">
        <v>109.3</v>
      </c>
      <c r="I243" s="8">
        <v>16390709</v>
      </c>
      <c r="J243" s="8">
        <v>15740467</v>
      </c>
      <c r="K243" s="8">
        <v>544</v>
      </c>
      <c r="L243" s="8">
        <v>509</v>
      </c>
      <c r="M243" s="8">
        <v>501</v>
      </c>
      <c r="N243" s="8">
        <v>2492</v>
      </c>
      <c r="O243" s="8">
        <v>1821</v>
      </c>
      <c r="P243" s="2" t="e">
        <v>#N/A</v>
      </c>
      <c r="Q243" s="12" t="e">
        <v>#N/A</v>
      </c>
      <c r="R243" s="13">
        <v>3.5359375000000002</v>
      </c>
      <c r="S243" s="13">
        <v>3.5255263000000001</v>
      </c>
      <c r="T243" s="8"/>
      <c r="U243" s="8"/>
    </row>
    <row r="244" spans="1:21" x14ac:dyDescent="0.25">
      <c r="A244" s="7">
        <v>43739</v>
      </c>
      <c r="B244" t="s">
        <v>263</v>
      </c>
      <c r="C244" s="2">
        <v>98.3</v>
      </c>
      <c r="D244" s="2">
        <v>-0.2</v>
      </c>
      <c r="E244" s="2">
        <v>102.5</v>
      </c>
      <c r="F244" s="2">
        <v>102.2</v>
      </c>
      <c r="G244" s="2">
        <v>89.5</v>
      </c>
      <c r="H244" s="2">
        <v>109.9</v>
      </c>
      <c r="I244" s="8">
        <v>13091041</v>
      </c>
      <c r="J244" s="8">
        <v>12813451</v>
      </c>
      <c r="K244" s="8">
        <v>543</v>
      </c>
      <c r="L244" s="8">
        <v>509</v>
      </c>
      <c r="M244" s="8">
        <v>501</v>
      </c>
      <c r="N244" s="8">
        <v>2497</v>
      </c>
      <c r="O244" s="8">
        <v>1825</v>
      </c>
      <c r="P244" s="2" t="e">
        <v>#N/A</v>
      </c>
      <c r="Q244" s="12" t="e">
        <v>#N/A</v>
      </c>
      <c r="R244" s="13">
        <v>3.1548778</v>
      </c>
      <c r="S244" s="13">
        <v>3.4207478999999998</v>
      </c>
      <c r="T244" s="8"/>
      <c r="U244" s="8"/>
    </row>
    <row r="245" spans="1:21" x14ac:dyDescent="0.25">
      <c r="A245" s="7">
        <v>43770</v>
      </c>
      <c r="B245" t="s">
        <v>264</v>
      </c>
      <c r="C245" s="2">
        <v>98.1</v>
      </c>
      <c r="D245" s="2">
        <v>-0.9</v>
      </c>
      <c r="E245" s="2">
        <v>101.5</v>
      </c>
      <c r="F245" s="2">
        <v>101.3</v>
      </c>
      <c r="G245" s="2">
        <v>88.5</v>
      </c>
      <c r="H245" s="2">
        <v>109.2</v>
      </c>
      <c r="I245" s="8">
        <v>13013867</v>
      </c>
      <c r="J245" s="8">
        <v>13186623</v>
      </c>
      <c r="K245" s="8">
        <v>542</v>
      </c>
      <c r="L245" s="8">
        <v>510</v>
      </c>
      <c r="M245" s="8">
        <v>502</v>
      </c>
      <c r="N245" s="8">
        <v>2500</v>
      </c>
      <c r="O245" s="8">
        <v>1830</v>
      </c>
      <c r="P245" s="2" t="e">
        <v>#N/A</v>
      </c>
      <c r="Q245" s="12" t="e">
        <v>#N/A</v>
      </c>
      <c r="R245" s="13">
        <v>3.3403200000000002</v>
      </c>
      <c r="S245" s="13">
        <v>3.3437117000000001</v>
      </c>
      <c r="T245" s="8"/>
      <c r="U245" s="8"/>
    </row>
    <row r="246" spans="1:21" x14ac:dyDescent="0.25">
      <c r="A246" s="7">
        <v>43800</v>
      </c>
      <c r="B246" t="s">
        <v>265</v>
      </c>
      <c r="C246" s="2">
        <v>98.5</v>
      </c>
      <c r="D246" s="2">
        <v>0.4</v>
      </c>
      <c r="E246" s="2">
        <v>100.7</v>
      </c>
      <c r="F246" s="2">
        <v>102.5</v>
      </c>
      <c r="G246" s="2">
        <v>87.9</v>
      </c>
      <c r="H246" s="2">
        <v>112.2</v>
      </c>
      <c r="I246" s="8">
        <v>16031785</v>
      </c>
      <c r="J246" s="8">
        <v>18641485</v>
      </c>
      <c r="K246" s="8">
        <v>542</v>
      </c>
      <c r="L246" s="8">
        <v>511</v>
      </c>
      <c r="M246" s="8">
        <v>503</v>
      </c>
      <c r="N246" s="8">
        <v>2505</v>
      </c>
      <c r="O246" s="8">
        <v>1836</v>
      </c>
      <c r="P246" s="2" t="e">
        <v>#N/A</v>
      </c>
      <c r="Q246" s="12" t="e">
        <v>#N/A</v>
      </c>
      <c r="R246" s="13">
        <v>3.5352820999999999</v>
      </c>
      <c r="S246" s="13">
        <v>3.3434933</v>
      </c>
      <c r="T246" s="8"/>
      <c r="U246" s="8"/>
    </row>
    <row r="247" spans="1:21" x14ac:dyDescent="0.25">
      <c r="A247" s="7">
        <v>43831</v>
      </c>
      <c r="B247" t="s">
        <v>266</v>
      </c>
      <c r="C247" s="2">
        <v>98.6</v>
      </c>
      <c r="D247" s="2">
        <v>0.3</v>
      </c>
      <c r="E247" s="2">
        <v>102.3</v>
      </c>
      <c r="F247" s="2">
        <v>103</v>
      </c>
      <c r="G247" s="2">
        <v>87.6</v>
      </c>
      <c r="H247" s="2">
        <v>107.1</v>
      </c>
      <c r="I247" s="8">
        <v>16421230</v>
      </c>
      <c r="J247" s="8">
        <v>15082018</v>
      </c>
      <c r="K247" s="8">
        <v>546</v>
      </c>
      <c r="L247" s="8">
        <v>512</v>
      </c>
      <c r="M247" s="8">
        <v>505</v>
      </c>
      <c r="N247" s="8">
        <v>2511</v>
      </c>
      <c r="O247" s="8">
        <v>1852</v>
      </c>
      <c r="P247" s="2" t="e">
        <v>#N/A</v>
      </c>
      <c r="Q247" s="12" t="e">
        <v>#N/A</v>
      </c>
      <c r="R247" s="13">
        <v>1.5428929</v>
      </c>
      <c r="S247" s="13">
        <v>2.806165</v>
      </c>
      <c r="T247" s="8"/>
      <c r="U247" s="8"/>
    </row>
    <row r="248" spans="1:21" x14ac:dyDescent="0.25">
      <c r="A248" s="7">
        <v>43862</v>
      </c>
      <c r="B248" t="s">
        <v>267</v>
      </c>
      <c r="C248" s="2">
        <v>98.1</v>
      </c>
      <c r="D248" s="2">
        <v>-1.2</v>
      </c>
      <c r="E248" s="2">
        <v>101.4</v>
      </c>
      <c r="F248" s="2">
        <v>101.2</v>
      </c>
      <c r="G248" s="2">
        <v>86.5</v>
      </c>
      <c r="H248" s="2">
        <v>107.5</v>
      </c>
      <c r="I248" s="8">
        <v>13010322</v>
      </c>
      <c r="J248" s="8">
        <v>12593753</v>
      </c>
      <c r="K248" s="8">
        <v>546</v>
      </c>
      <c r="L248" s="8">
        <v>512</v>
      </c>
      <c r="M248" s="8">
        <v>504</v>
      </c>
      <c r="N248" s="8">
        <v>2509</v>
      </c>
      <c r="O248" s="8">
        <v>1861</v>
      </c>
      <c r="P248" s="2" t="e">
        <v>#N/A</v>
      </c>
      <c r="Q248" s="12" t="e">
        <v>#N/A</v>
      </c>
      <c r="R248" s="13">
        <v>1.8010995999999999</v>
      </c>
      <c r="S248" s="13">
        <v>2.2930915000000001</v>
      </c>
      <c r="T248" s="8"/>
      <c r="U248" s="8"/>
    </row>
    <row r="249" spans="1:21" x14ac:dyDescent="0.25">
      <c r="A249" s="7">
        <v>43891</v>
      </c>
      <c r="B249" t="s">
        <v>268</v>
      </c>
      <c r="C249" s="2">
        <v>91</v>
      </c>
      <c r="D249" s="2">
        <v>-5.4</v>
      </c>
      <c r="E249" s="2">
        <v>110.7</v>
      </c>
      <c r="F249" s="2">
        <v>82.3</v>
      </c>
      <c r="G249" s="2">
        <v>89.9</v>
      </c>
      <c r="H249" s="2">
        <v>87.3</v>
      </c>
      <c r="I249" s="8">
        <v>17611150</v>
      </c>
      <c r="J249" s="8">
        <v>17568169</v>
      </c>
      <c r="K249" s="8">
        <v>529</v>
      </c>
      <c r="L249" s="8">
        <v>512</v>
      </c>
      <c r="M249" s="8">
        <v>504</v>
      </c>
      <c r="N249" s="8">
        <v>2513</v>
      </c>
      <c r="O249" s="8">
        <v>1845</v>
      </c>
      <c r="P249" s="2" t="e">
        <v>#N/A</v>
      </c>
      <c r="Q249" s="12" t="e">
        <v>#N/A</v>
      </c>
      <c r="R249" s="13">
        <v>2.4995216999999998</v>
      </c>
      <c r="S249" s="13">
        <v>1.9478381</v>
      </c>
      <c r="T249" s="8"/>
      <c r="U249" s="8"/>
    </row>
    <row r="250" spans="1:21" x14ac:dyDescent="0.25">
      <c r="A250" s="7">
        <v>43922</v>
      </c>
      <c r="B250" t="s">
        <v>269</v>
      </c>
      <c r="C250" s="2">
        <v>73.2</v>
      </c>
      <c r="D250" s="2">
        <v>-17.8</v>
      </c>
      <c r="E250" s="2">
        <v>107.1</v>
      </c>
      <c r="F250" s="2">
        <v>47.8</v>
      </c>
      <c r="G250" s="2">
        <v>108</v>
      </c>
      <c r="H250" s="2">
        <v>43.1</v>
      </c>
      <c r="I250" s="8">
        <v>13682865</v>
      </c>
      <c r="J250" s="8">
        <v>13612051</v>
      </c>
      <c r="K250" s="8">
        <v>529</v>
      </c>
      <c r="L250" s="8">
        <v>502</v>
      </c>
      <c r="M250" s="8">
        <v>490</v>
      </c>
      <c r="N250" s="8">
        <v>2476</v>
      </c>
      <c r="O250" s="8">
        <v>1791</v>
      </c>
      <c r="P250" s="2" t="e">
        <v>#N/A</v>
      </c>
      <c r="Q250" s="12" t="e">
        <v>#N/A</v>
      </c>
      <c r="R250" s="13">
        <v>5.2105250999999999</v>
      </c>
      <c r="S250" s="13">
        <v>3.1703820999999999</v>
      </c>
      <c r="T250" s="8"/>
      <c r="U250" s="8"/>
    </row>
    <row r="251" spans="1:21" x14ac:dyDescent="0.25">
      <c r="A251" s="7">
        <v>43952</v>
      </c>
      <c r="B251" t="s">
        <v>270</v>
      </c>
      <c r="C251" s="2">
        <v>74.7</v>
      </c>
      <c r="D251" s="2">
        <v>12.6</v>
      </c>
      <c r="E251" s="2">
        <v>108.1</v>
      </c>
      <c r="F251" s="2">
        <v>59.4</v>
      </c>
      <c r="G251" s="2">
        <v>133</v>
      </c>
      <c r="H251" s="2">
        <v>60</v>
      </c>
      <c r="I251" s="8">
        <v>13868841</v>
      </c>
      <c r="J251" s="8">
        <v>14010877</v>
      </c>
      <c r="K251" s="8">
        <v>532</v>
      </c>
      <c r="L251" s="8">
        <v>503</v>
      </c>
      <c r="M251" s="8">
        <v>489</v>
      </c>
      <c r="N251" s="8">
        <v>2468</v>
      </c>
      <c r="O251" s="8">
        <v>1798</v>
      </c>
      <c r="P251" s="2" t="e">
        <v>#N/A</v>
      </c>
      <c r="Q251" s="12" t="e">
        <v>#N/A</v>
      </c>
      <c r="R251" s="13">
        <v>4.5168504</v>
      </c>
      <c r="S251" s="13">
        <v>4.0756323999999999</v>
      </c>
      <c r="T251" s="8"/>
      <c r="U251" s="8"/>
    </row>
    <row r="252" spans="1:21" x14ac:dyDescent="0.25">
      <c r="A252" s="7">
        <v>43983</v>
      </c>
      <c r="B252" t="s">
        <v>271</v>
      </c>
      <c r="C252" s="2">
        <v>81.7</v>
      </c>
      <c r="D252" s="2">
        <v>13.7</v>
      </c>
      <c r="E252" s="2">
        <v>107.5</v>
      </c>
      <c r="F252" s="2">
        <v>86.4</v>
      </c>
      <c r="G252" s="2">
        <v>133.4</v>
      </c>
      <c r="H252" s="2">
        <v>76.099999999999994</v>
      </c>
      <c r="I252" s="8">
        <v>17307529</v>
      </c>
      <c r="J252" s="8">
        <v>17267861</v>
      </c>
      <c r="K252" s="8">
        <v>532</v>
      </c>
      <c r="L252" s="8">
        <v>506</v>
      </c>
      <c r="M252" s="8">
        <v>492</v>
      </c>
      <c r="N252" s="8">
        <v>2497</v>
      </c>
      <c r="O252" s="8">
        <v>1829</v>
      </c>
      <c r="P252" s="2" t="e">
        <v>#N/A</v>
      </c>
      <c r="Q252" s="12" t="e">
        <v>#N/A</v>
      </c>
      <c r="R252" s="13">
        <v>3.7344382</v>
      </c>
      <c r="S252" s="13">
        <v>4.4872712000000003</v>
      </c>
      <c r="T252" s="8"/>
      <c r="U252" s="8"/>
    </row>
    <row r="253" spans="1:21" x14ac:dyDescent="0.25">
      <c r="A253" s="7">
        <v>44013</v>
      </c>
      <c r="B253" t="s">
        <v>272</v>
      </c>
      <c r="C253" s="2">
        <v>87.1</v>
      </c>
      <c r="D253" s="2">
        <v>4.3</v>
      </c>
      <c r="E253" s="2">
        <v>104.8</v>
      </c>
      <c r="F253" s="2">
        <v>97.5</v>
      </c>
      <c r="G253" s="2">
        <v>129.4</v>
      </c>
      <c r="H253" s="2">
        <v>91.8</v>
      </c>
      <c r="I253" s="8">
        <v>13475589</v>
      </c>
      <c r="J253" s="8">
        <v>13361677</v>
      </c>
      <c r="K253" s="8">
        <v>541</v>
      </c>
      <c r="L253" s="8">
        <v>512</v>
      </c>
      <c r="M253" s="8">
        <v>500</v>
      </c>
      <c r="N253" s="8">
        <v>2533</v>
      </c>
      <c r="O253" s="8">
        <v>1859</v>
      </c>
      <c r="P253" s="2" t="e">
        <v>#N/A</v>
      </c>
      <c r="Q253" s="12" t="e">
        <v>#N/A</v>
      </c>
      <c r="R253" s="13">
        <v>3.5714286</v>
      </c>
      <c r="S253" s="13">
        <v>3.9409057000000001</v>
      </c>
      <c r="T253" s="8"/>
      <c r="U253" s="8"/>
    </row>
    <row r="254" spans="1:21" x14ac:dyDescent="0.25">
      <c r="A254" s="7">
        <v>44044</v>
      </c>
      <c r="B254" t="s">
        <v>273</v>
      </c>
      <c r="C254" s="2">
        <v>90</v>
      </c>
      <c r="D254" s="2">
        <v>1.4</v>
      </c>
      <c r="E254" s="2">
        <v>106.4</v>
      </c>
      <c r="F254" s="2">
        <v>100.4</v>
      </c>
      <c r="G254" s="2">
        <v>123.9</v>
      </c>
      <c r="H254" s="2">
        <v>96.5</v>
      </c>
      <c r="I254" s="8">
        <v>13577277</v>
      </c>
      <c r="J254" s="8">
        <v>13236578</v>
      </c>
      <c r="K254" s="8">
        <v>552</v>
      </c>
      <c r="L254" s="8">
        <v>518</v>
      </c>
      <c r="M254" s="8">
        <v>507</v>
      </c>
      <c r="N254" s="8">
        <v>2569</v>
      </c>
      <c r="O254" s="8">
        <v>1881</v>
      </c>
      <c r="P254" s="2" t="e">
        <v>#N/A</v>
      </c>
      <c r="Q254" s="12" t="e">
        <v>#N/A</v>
      </c>
      <c r="R254" s="13">
        <v>3.2284155000000001</v>
      </c>
      <c r="S254" s="13">
        <v>3.5114274000000001</v>
      </c>
      <c r="T254" s="8"/>
      <c r="U254" s="8"/>
    </row>
    <row r="255" spans="1:21" x14ac:dyDescent="0.25">
      <c r="A255" s="7">
        <v>44075</v>
      </c>
      <c r="B255" t="s">
        <v>274</v>
      </c>
      <c r="C255" s="2">
        <v>91.3</v>
      </c>
      <c r="D255" s="2">
        <v>1.5</v>
      </c>
      <c r="E255" s="2">
        <v>107.3</v>
      </c>
      <c r="F255" s="2">
        <v>103.9</v>
      </c>
      <c r="G255" s="2">
        <v>122.2</v>
      </c>
      <c r="H255" s="2">
        <v>97.5</v>
      </c>
      <c r="I255" s="8">
        <v>17121413</v>
      </c>
      <c r="J255" s="8">
        <v>16405481</v>
      </c>
      <c r="K255" s="8">
        <v>558</v>
      </c>
      <c r="L255" s="8">
        <v>523</v>
      </c>
      <c r="M255" s="8">
        <v>513</v>
      </c>
      <c r="N255" s="8">
        <v>2598</v>
      </c>
      <c r="O255" s="8">
        <v>1900</v>
      </c>
      <c r="P255" s="2" t="e">
        <v>#N/A</v>
      </c>
      <c r="Q255" s="12" t="e">
        <v>#N/A</v>
      </c>
      <c r="R255" s="13">
        <v>3.2258065</v>
      </c>
      <c r="S255" s="13">
        <v>3.3418834999999998</v>
      </c>
      <c r="T255" s="8"/>
      <c r="U255" s="8"/>
    </row>
    <row r="256" spans="1:21" x14ac:dyDescent="0.25">
      <c r="A256" s="7">
        <v>44105</v>
      </c>
      <c r="B256" t="s">
        <v>275</v>
      </c>
      <c r="C256" s="2">
        <v>91.7</v>
      </c>
      <c r="D256" s="2">
        <v>0.8</v>
      </c>
      <c r="E256" s="2">
        <v>106</v>
      </c>
      <c r="F256" s="2">
        <v>104.8</v>
      </c>
      <c r="G256" s="2">
        <v>130.6</v>
      </c>
      <c r="H256" s="2">
        <v>97.4</v>
      </c>
      <c r="I256" s="8">
        <v>13575613</v>
      </c>
      <c r="J256" s="8">
        <v>13314369</v>
      </c>
      <c r="K256" s="8">
        <v>563</v>
      </c>
      <c r="L256" s="8">
        <v>527</v>
      </c>
      <c r="M256" s="8">
        <v>518</v>
      </c>
      <c r="N256" s="8">
        <v>2620</v>
      </c>
      <c r="O256" s="8">
        <v>1911</v>
      </c>
      <c r="P256" s="2" t="e">
        <v>#N/A</v>
      </c>
      <c r="Q256" s="12" t="e">
        <v>#N/A</v>
      </c>
      <c r="R256" s="13">
        <v>3.3557060000000001</v>
      </c>
      <c r="S256" s="13">
        <v>3.2699760000000002</v>
      </c>
      <c r="T256" s="8"/>
      <c r="U256" s="8"/>
    </row>
    <row r="257" spans="1:21" x14ac:dyDescent="0.25">
      <c r="A257" s="7">
        <v>44136</v>
      </c>
      <c r="B257" t="s">
        <v>276</v>
      </c>
      <c r="C257" s="2">
        <v>89.7</v>
      </c>
      <c r="D257" s="2">
        <v>-4.8</v>
      </c>
      <c r="E257" s="2">
        <v>108.1</v>
      </c>
      <c r="F257" s="2">
        <v>93.5</v>
      </c>
      <c r="G257" s="2">
        <v>130.19999999999999</v>
      </c>
      <c r="H257" s="2">
        <v>81.599999999999994</v>
      </c>
      <c r="I257" s="8">
        <v>13794404</v>
      </c>
      <c r="J257" s="8">
        <v>14160226</v>
      </c>
      <c r="K257" s="8">
        <v>568</v>
      </c>
      <c r="L257" s="8">
        <v>531</v>
      </c>
      <c r="M257" s="8">
        <v>522</v>
      </c>
      <c r="N257" s="8">
        <v>2632</v>
      </c>
      <c r="O257" s="8">
        <v>1912</v>
      </c>
      <c r="P257" s="2" t="e">
        <v>#N/A</v>
      </c>
      <c r="Q257" s="12" t="e">
        <v>#N/A</v>
      </c>
      <c r="R257" s="13">
        <v>3.3175379999999999</v>
      </c>
      <c r="S257" s="13">
        <v>3.2996835</v>
      </c>
      <c r="T257" s="8"/>
      <c r="U257" s="8"/>
    </row>
    <row r="258" spans="1:21" x14ac:dyDescent="0.25">
      <c r="A258" s="7">
        <v>44166</v>
      </c>
      <c r="B258" t="s">
        <v>277</v>
      </c>
      <c r="C258" s="2">
        <v>91.1</v>
      </c>
      <c r="D258" s="2">
        <v>1.6</v>
      </c>
      <c r="E258" s="2">
        <v>105</v>
      </c>
      <c r="F258" s="2">
        <v>100.7</v>
      </c>
      <c r="G258" s="2">
        <v>130.5</v>
      </c>
      <c r="H258" s="2">
        <v>81.2</v>
      </c>
      <c r="I258" s="8">
        <v>16657666</v>
      </c>
      <c r="J258" s="8">
        <v>18756643</v>
      </c>
      <c r="K258" s="8">
        <v>570</v>
      </c>
      <c r="L258" s="8">
        <v>533</v>
      </c>
      <c r="M258" s="8">
        <v>525</v>
      </c>
      <c r="N258" s="8">
        <v>2647</v>
      </c>
      <c r="O258" s="8">
        <v>1925</v>
      </c>
      <c r="P258" s="2" t="e">
        <v>#N/A</v>
      </c>
      <c r="Q258" s="12" t="e">
        <v>#N/A</v>
      </c>
      <c r="R258" s="13">
        <v>3.5000038</v>
      </c>
      <c r="S258" s="13">
        <v>3.3910825999999998</v>
      </c>
      <c r="T258" s="8"/>
      <c r="U258" s="8"/>
    </row>
    <row r="259" spans="1:21" x14ac:dyDescent="0.25">
      <c r="A259" s="7">
        <v>44197</v>
      </c>
      <c r="B259" t="s">
        <v>278</v>
      </c>
      <c r="C259" s="2">
        <v>88.1</v>
      </c>
      <c r="D259" s="2">
        <v>-8.6</v>
      </c>
      <c r="E259" s="2">
        <v>107.6</v>
      </c>
      <c r="F259" s="2">
        <v>76</v>
      </c>
      <c r="G259" s="2">
        <v>129.30000000000001</v>
      </c>
      <c r="H259" s="2">
        <v>81</v>
      </c>
      <c r="I259" s="8">
        <v>13762902</v>
      </c>
      <c r="J259" s="8">
        <v>12772968</v>
      </c>
      <c r="K259" s="8">
        <v>570</v>
      </c>
      <c r="L259" s="8">
        <v>534</v>
      </c>
      <c r="M259" s="8">
        <v>525</v>
      </c>
      <c r="N259" s="8">
        <v>2640</v>
      </c>
      <c r="O259" s="8">
        <v>1930</v>
      </c>
      <c r="P259" s="2" t="e">
        <v>#N/A</v>
      </c>
      <c r="Q259" s="12" t="e">
        <v>#N/A</v>
      </c>
      <c r="R259" s="13">
        <v>3.8591430999999998</v>
      </c>
      <c r="S259" s="13">
        <v>3.5588950000000001</v>
      </c>
      <c r="T259" s="8"/>
      <c r="U259" s="8"/>
    </row>
    <row r="260" spans="1:21" x14ac:dyDescent="0.25">
      <c r="A260" s="7">
        <v>44228</v>
      </c>
      <c r="B260" t="s">
        <v>279</v>
      </c>
      <c r="C260" s="2">
        <v>89.4</v>
      </c>
      <c r="D260" s="2">
        <v>1.1000000000000001</v>
      </c>
      <c r="E260" s="2">
        <v>108.6</v>
      </c>
      <c r="F260" s="2">
        <v>78.7</v>
      </c>
      <c r="G260" s="2">
        <v>127.4</v>
      </c>
      <c r="H260" s="2">
        <v>79.099999999999994</v>
      </c>
      <c r="I260" s="8">
        <v>13897855</v>
      </c>
      <c r="J260" s="8">
        <v>13438377</v>
      </c>
      <c r="K260" s="8">
        <v>567</v>
      </c>
      <c r="L260" s="8">
        <v>535</v>
      </c>
      <c r="M260" s="8">
        <v>525</v>
      </c>
      <c r="N260" s="8">
        <v>2636</v>
      </c>
      <c r="O260" s="8">
        <v>1942</v>
      </c>
      <c r="P260" s="2" t="e">
        <v>#N/A</v>
      </c>
      <c r="Q260" s="12" t="e">
        <v>#N/A</v>
      </c>
      <c r="R260" s="13">
        <v>3.6196533</v>
      </c>
      <c r="S260" s="13">
        <v>3.6596001</v>
      </c>
      <c r="T260" s="8"/>
      <c r="U260" s="8"/>
    </row>
    <row r="261" spans="1:21" x14ac:dyDescent="0.25">
      <c r="A261" s="7">
        <v>44256</v>
      </c>
      <c r="B261" t="s">
        <v>280</v>
      </c>
      <c r="C261" s="2">
        <v>92</v>
      </c>
      <c r="D261" s="2">
        <v>4.3</v>
      </c>
      <c r="E261" s="2">
        <v>110.7</v>
      </c>
      <c r="F261" s="2">
        <v>85.7</v>
      </c>
      <c r="G261" s="2">
        <v>125.3</v>
      </c>
      <c r="H261" s="2">
        <v>88.7</v>
      </c>
      <c r="I261" s="8">
        <v>17598329</v>
      </c>
      <c r="J261" s="8">
        <v>17951523</v>
      </c>
      <c r="K261" s="8">
        <v>552</v>
      </c>
      <c r="L261" s="8">
        <v>537</v>
      </c>
      <c r="M261" s="8">
        <v>527</v>
      </c>
      <c r="N261" s="8">
        <v>2624</v>
      </c>
      <c r="O261" s="8">
        <v>1948</v>
      </c>
      <c r="P261" s="2" t="e">
        <v>#N/A</v>
      </c>
      <c r="Q261" s="12" t="e">
        <v>#N/A</v>
      </c>
      <c r="R261" s="13">
        <v>2.9649605999999999</v>
      </c>
      <c r="S261" s="13">
        <v>3.4812523</v>
      </c>
      <c r="T261" s="8"/>
      <c r="U261" s="8"/>
    </row>
    <row r="262" spans="1:21" x14ac:dyDescent="0.25">
      <c r="A262" s="7">
        <v>44287</v>
      </c>
      <c r="B262" t="s">
        <v>281</v>
      </c>
      <c r="C262" s="2">
        <v>95.1</v>
      </c>
      <c r="D262" s="2">
        <v>8.5</v>
      </c>
      <c r="E262" s="2">
        <v>109.6</v>
      </c>
      <c r="F262" s="2">
        <v>106.5</v>
      </c>
      <c r="G262" s="2">
        <v>125.3</v>
      </c>
      <c r="H262" s="2">
        <v>97.2</v>
      </c>
      <c r="I262" s="8">
        <v>13988173</v>
      </c>
      <c r="J262" s="8">
        <v>13577457</v>
      </c>
      <c r="K262" s="8">
        <v>576</v>
      </c>
      <c r="L262" s="8">
        <v>540</v>
      </c>
      <c r="M262" s="8">
        <v>531</v>
      </c>
      <c r="N262" s="8">
        <v>2714</v>
      </c>
      <c r="O262" s="8">
        <v>1963</v>
      </c>
      <c r="P262" s="2" t="e">
        <v>#N/A</v>
      </c>
      <c r="Q262" s="12" t="e">
        <v>#N/A</v>
      </c>
      <c r="R262" s="13">
        <v>0.38219229999999998</v>
      </c>
      <c r="S262" s="13">
        <v>2.3222687</v>
      </c>
      <c r="T262" s="8"/>
      <c r="U262" s="8"/>
    </row>
    <row r="263" spans="1:21" x14ac:dyDescent="0.25">
      <c r="A263" s="7">
        <v>44317</v>
      </c>
      <c r="B263" t="s">
        <v>282</v>
      </c>
      <c r="C263" s="2">
        <v>96.5</v>
      </c>
      <c r="D263" s="2">
        <v>-2.1</v>
      </c>
      <c r="E263" s="2">
        <v>103.8</v>
      </c>
      <c r="F263" s="2">
        <v>107.5</v>
      </c>
      <c r="G263" s="2">
        <v>119.4</v>
      </c>
      <c r="H263" s="2">
        <v>100.2</v>
      </c>
      <c r="I263" s="8">
        <v>13337948</v>
      </c>
      <c r="J263" s="8">
        <v>13482043</v>
      </c>
      <c r="K263" s="8">
        <v>581</v>
      </c>
      <c r="L263" s="8">
        <v>540</v>
      </c>
      <c r="M263" s="8">
        <v>531</v>
      </c>
      <c r="N263" s="8">
        <v>2709</v>
      </c>
      <c r="O263" s="8">
        <v>1962</v>
      </c>
      <c r="P263" s="2" t="e">
        <v>#N/A</v>
      </c>
      <c r="Q263" s="12" t="e">
        <v>#N/A</v>
      </c>
      <c r="R263" s="13">
        <v>1.4275</v>
      </c>
      <c r="S263" s="13">
        <v>1.5915509999999999</v>
      </c>
      <c r="T263" s="8"/>
      <c r="U263" s="8"/>
    </row>
    <row r="264" spans="1:21" x14ac:dyDescent="0.25">
      <c r="A264" s="7">
        <v>44348</v>
      </c>
      <c r="B264" t="s">
        <v>283</v>
      </c>
      <c r="C264" s="2">
        <v>97.3</v>
      </c>
      <c r="D264" s="2">
        <v>1</v>
      </c>
      <c r="E264" s="2">
        <v>107.4</v>
      </c>
      <c r="F264" s="2">
        <v>106</v>
      </c>
      <c r="G264" s="2">
        <v>117.9</v>
      </c>
      <c r="H264" s="2">
        <v>104.9</v>
      </c>
      <c r="I264" s="8">
        <v>17442317</v>
      </c>
      <c r="J264" s="8">
        <v>17391618</v>
      </c>
      <c r="K264" s="8">
        <v>577</v>
      </c>
      <c r="L264" s="8">
        <v>541</v>
      </c>
      <c r="M264" s="8">
        <v>532</v>
      </c>
      <c r="N264" s="8">
        <v>2700</v>
      </c>
      <c r="O264" s="8">
        <v>1975</v>
      </c>
      <c r="P264" s="2" t="e">
        <v>#N/A</v>
      </c>
      <c r="Q264" s="12" t="e">
        <v>#N/A</v>
      </c>
      <c r="R264" s="13">
        <v>2.3255813999999999</v>
      </c>
      <c r="S264" s="13">
        <v>1.3784246</v>
      </c>
      <c r="T264" s="8"/>
      <c r="U264" s="8"/>
    </row>
    <row r="265" spans="1:21" x14ac:dyDescent="0.25">
      <c r="A265" s="7">
        <v>44378</v>
      </c>
      <c r="B265" t="s">
        <v>284</v>
      </c>
      <c r="C265" s="2">
        <v>97</v>
      </c>
      <c r="D265" s="2">
        <v>-2.2000000000000002</v>
      </c>
      <c r="E265" s="2">
        <v>106.4</v>
      </c>
      <c r="F265" s="2">
        <v>102.4</v>
      </c>
      <c r="G265" s="2">
        <v>113.7</v>
      </c>
      <c r="H265" s="2">
        <v>104.5</v>
      </c>
      <c r="I265" s="8">
        <v>13765664</v>
      </c>
      <c r="J265" s="8">
        <v>13666488</v>
      </c>
      <c r="K265" s="8">
        <v>581</v>
      </c>
      <c r="L265" s="8">
        <v>543</v>
      </c>
      <c r="M265" s="8">
        <v>533</v>
      </c>
      <c r="N265" s="8">
        <v>2720</v>
      </c>
      <c r="O265" s="8">
        <v>1979</v>
      </c>
      <c r="P265" s="2" t="e">
        <v>#N/A</v>
      </c>
      <c r="Q265" s="12" t="e">
        <v>#N/A</v>
      </c>
      <c r="R265" s="13">
        <v>3.2149461000000001</v>
      </c>
      <c r="S265" s="13">
        <v>2.3226757999999998</v>
      </c>
      <c r="T265" s="8"/>
      <c r="U265" s="8"/>
    </row>
    <row r="266" spans="1:21" x14ac:dyDescent="0.25">
      <c r="A266" s="7">
        <v>44409</v>
      </c>
      <c r="B266" t="s">
        <v>285</v>
      </c>
      <c r="C266" s="2">
        <v>97.9</v>
      </c>
      <c r="D266" s="2">
        <v>0.3</v>
      </c>
      <c r="E266" s="2">
        <v>105.5</v>
      </c>
      <c r="F266" s="2">
        <v>103.9</v>
      </c>
      <c r="G266" s="2">
        <v>112.2</v>
      </c>
      <c r="H266" s="2">
        <v>107.1</v>
      </c>
      <c r="I266" s="8">
        <v>13640259</v>
      </c>
      <c r="J266" s="8">
        <v>13300725</v>
      </c>
      <c r="K266" s="8">
        <v>584</v>
      </c>
      <c r="L266" s="8">
        <v>544</v>
      </c>
      <c r="M266" s="8">
        <v>535</v>
      </c>
      <c r="N266" s="8">
        <v>2727</v>
      </c>
      <c r="O266" s="8">
        <v>1987</v>
      </c>
      <c r="P266" s="2" t="e">
        <v>#N/A</v>
      </c>
      <c r="Q266" s="12" t="e">
        <v>#N/A</v>
      </c>
      <c r="R266" s="13">
        <v>3.654112</v>
      </c>
      <c r="S266" s="13">
        <v>3.0648797999999999</v>
      </c>
      <c r="T266" s="8"/>
      <c r="U266" s="8"/>
    </row>
    <row r="267" spans="1:21" x14ac:dyDescent="0.25">
      <c r="A267" s="7">
        <v>44440</v>
      </c>
      <c r="B267" t="s">
        <v>286</v>
      </c>
      <c r="C267" s="2">
        <v>98.5</v>
      </c>
      <c r="D267" s="2">
        <v>0</v>
      </c>
      <c r="E267" s="2">
        <v>104.8</v>
      </c>
      <c r="F267" s="2">
        <v>103.6</v>
      </c>
      <c r="G267" s="2">
        <v>113.2</v>
      </c>
      <c r="H267" s="2">
        <v>110.5</v>
      </c>
      <c r="I267" s="8">
        <v>17058296</v>
      </c>
      <c r="J267" s="8">
        <v>16331973</v>
      </c>
      <c r="K267" s="8">
        <v>586</v>
      </c>
      <c r="L267" s="8">
        <v>545</v>
      </c>
      <c r="M267" s="8">
        <v>536</v>
      </c>
      <c r="N267" s="8">
        <v>2739</v>
      </c>
      <c r="O267" s="8">
        <v>2008</v>
      </c>
      <c r="P267" s="2" t="e">
        <v>#N/A</v>
      </c>
      <c r="Q267" s="12" t="e">
        <v>#N/A</v>
      </c>
      <c r="R267" s="13">
        <v>3.6599677000000002</v>
      </c>
      <c r="S267" s="13">
        <v>3.5096753000000001</v>
      </c>
      <c r="T267" s="8"/>
      <c r="U267" s="8"/>
    </row>
    <row r="268" spans="1:21" x14ac:dyDescent="0.25">
      <c r="A268" s="7">
        <v>44470</v>
      </c>
      <c r="B268" t="s">
        <v>287</v>
      </c>
      <c r="C268" s="2">
        <v>98.8</v>
      </c>
      <c r="D268" s="2">
        <v>-0.4</v>
      </c>
      <c r="E268" s="2">
        <v>105.1</v>
      </c>
      <c r="F268" s="2">
        <v>105.7</v>
      </c>
      <c r="G268" s="2">
        <v>110.4</v>
      </c>
      <c r="H268" s="2">
        <v>100.2</v>
      </c>
      <c r="I268" s="8">
        <v>13772730</v>
      </c>
      <c r="J268" s="8">
        <v>13496393</v>
      </c>
      <c r="K268" s="8">
        <v>588</v>
      </c>
      <c r="L268" s="8">
        <v>547</v>
      </c>
      <c r="M268" s="8">
        <v>539</v>
      </c>
      <c r="N268" s="8">
        <v>2748</v>
      </c>
      <c r="O268" s="8">
        <v>2009</v>
      </c>
      <c r="P268" s="2" t="e">
        <v>#N/A</v>
      </c>
      <c r="Q268" s="12" t="e">
        <v>#N/A</v>
      </c>
      <c r="R268" s="13">
        <v>3.9861352000000001</v>
      </c>
      <c r="S268" s="13">
        <v>3.7667383000000001</v>
      </c>
      <c r="T268" s="8"/>
      <c r="U268" s="8"/>
    </row>
    <row r="269" spans="1:21" x14ac:dyDescent="0.25">
      <c r="A269" s="7">
        <v>44501</v>
      </c>
      <c r="B269" t="s">
        <v>288</v>
      </c>
      <c r="C269" s="2">
        <v>99.3</v>
      </c>
      <c r="D269" s="2">
        <v>-0.4</v>
      </c>
      <c r="E269" s="2">
        <v>103.8</v>
      </c>
      <c r="F269" s="2">
        <v>104.6</v>
      </c>
      <c r="G269" s="2">
        <v>110.8</v>
      </c>
      <c r="H269" s="2">
        <v>103.9</v>
      </c>
      <c r="I269" s="8">
        <v>13752570</v>
      </c>
      <c r="J269" s="8">
        <v>14088080</v>
      </c>
      <c r="K269" s="8">
        <v>587</v>
      </c>
      <c r="L269" s="8">
        <v>549</v>
      </c>
      <c r="M269" s="8">
        <v>542</v>
      </c>
      <c r="N269" s="8">
        <v>2754</v>
      </c>
      <c r="O269" s="8">
        <v>2015</v>
      </c>
      <c r="P269" s="2" t="e">
        <v>#N/A</v>
      </c>
      <c r="Q269" s="12" t="e">
        <v>#N/A</v>
      </c>
      <c r="R269" s="13">
        <v>3.9132954</v>
      </c>
      <c r="S269" s="13">
        <v>3.8531328</v>
      </c>
      <c r="T269" s="8"/>
      <c r="U269" s="8"/>
    </row>
    <row r="270" spans="1:21" x14ac:dyDescent="0.25">
      <c r="A270" s="7">
        <v>44531</v>
      </c>
      <c r="B270" t="s">
        <v>289</v>
      </c>
      <c r="C270" s="2">
        <v>99.2</v>
      </c>
      <c r="D270" s="2">
        <v>0.3</v>
      </c>
      <c r="E270" s="2">
        <v>105.4</v>
      </c>
      <c r="F270" s="2">
        <v>101.4</v>
      </c>
      <c r="G270" s="2">
        <v>121.8</v>
      </c>
      <c r="H270" s="2">
        <v>99.7</v>
      </c>
      <c r="I270" s="8">
        <v>17440985</v>
      </c>
      <c r="J270" s="8">
        <v>19633542</v>
      </c>
      <c r="K270" s="8">
        <v>603</v>
      </c>
      <c r="L270" s="8">
        <v>553</v>
      </c>
      <c r="M270" s="8">
        <v>546</v>
      </c>
      <c r="N270" s="8">
        <v>2789</v>
      </c>
      <c r="O270" s="8">
        <v>2036</v>
      </c>
      <c r="P270" s="2" t="e">
        <v>#N/A</v>
      </c>
      <c r="Q270" s="12" t="e">
        <v>#N/A</v>
      </c>
      <c r="R270" s="13">
        <v>4</v>
      </c>
      <c r="S270" s="13">
        <v>3.9664769</v>
      </c>
      <c r="T270" s="8"/>
      <c r="U270" s="8"/>
    </row>
    <row r="271" spans="1:21" x14ac:dyDescent="0.25">
      <c r="A271" s="7">
        <v>44562</v>
      </c>
      <c r="B271" t="s">
        <v>290</v>
      </c>
      <c r="C271" s="2">
        <v>99.4</v>
      </c>
      <c r="D271" s="2">
        <v>-1.5</v>
      </c>
      <c r="E271" s="2">
        <v>101.9</v>
      </c>
      <c r="F271" s="2">
        <v>101.8</v>
      </c>
      <c r="G271" s="2">
        <v>117.3</v>
      </c>
      <c r="H271" s="2">
        <v>102.1</v>
      </c>
      <c r="I271" s="8">
        <v>13644661</v>
      </c>
      <c r="J271" s="8">
        <v>12604454</v>
      </c>
      <c r="K271" s="8">
        <v>599</v>
      </c>
      <c r="L271" s="8">
        <v>557</v>
      </c>
      <c r="M271" s="8">
        <v>551</v>
      </c>
      <c r="N271" s="8">
        <v>2833</v>
      </c>
      <c r="O271" s="8">
        <v>2049</v>
      </c>
      <c r="P271" s="2" t="e">
        <v>#N/A</v>
      </c>
      <c r="Q271" s="12" t="e">
        <v>#N/A</v>
      </c>
      <c r="R271" s="13">
        <v>4.1442927999999997</v>
      </c>
      <c r="S271" s="13">
        <v>4.0191961000000003</v>
      </c>
      <c r="T271" s="8"/>
      <c r="U271" s="8"/>
    </row>
    <row r="272" spans="1:21" x14ac:dyDescent="0.25">
      <c r="A272" s="7">
        <v>44593</v>
      </c>
      <c r="B272" t="s">
        <v>291</v>
      </c>
      <c r="C272" s="2">
        <v>100</v>
      </c>
      <c r="D272" s="2">
        <v>-1</v>
      </c>
      <c r="E272" s="2">
        <v>100.9</v>
      </c>
      <c r="F272" s="2">
        <v>102.1</v>
      </c>
      <c r="G272" s="2">
        <v>109.9</v>
      </c>
      <c r="H272" s="2">
        <v>103.9</v>
      </c>
      <c r="I272" s="8">
        <v>13617633</v>
      </c>
      <c r="J272" s="8">
        <v>13176738</v>
      </c>
      <c r="K272" s="8">
        <v>600</v>
      </c>
      <c r="L272" s="8">
        <v>558</v>
      </c>
      <c r="M272" s="8">
        <v>551</v>
      </c>
      <c r="N272" s="8">
        <v>2829</v>
      </c>
      <c r="O272" s="8">
        <v>2055</v>
      </c>
      <c r="P272" s="2" t="e">
        <v>#N/A</v>
      </c>
      <c r="Q272" s="12" t="e">
        <v>#N/A</v>
      </c>
      <c r="R272" s="13">
        <v>4.3577966000000004</v>
      </c>
      <c r="S272" s="13">
        <v>4.1673631000000002</v>
      </c>
      <c r="T272" s="8"/>
      <c r="U272" s="8"/>
    </row>
    <row r="273" spans="1:21" x14ac:dyDescent="0.25">
      <c r="A273" s="7">
        <v>44621</v>
      </c>
      <c r="B273" t="s">
        <v>292</v>
      </c>
      <c r="C273" s="2">
        <v>99.9</v>
      </c>
      <c r="D273" s="2">
        <v>-0.8</v>
      </c>
      <c r="E273" s="2">
        <v>101.2</v>
      </c>
      <c r="F273" s="2">
        <v>104.3</v>
      </c>
      <c r="G273" s="2">
        <v>98.6</v>
      </c>
      <c r="H273" s="2">
        <v>100.7</v>
      </c>
      <c r="I273" s="8">
        <v>17194774</v>
      </c>
      <c r="J273" s="8">
        <v>16940133</v>
      </c>
      <c r="K273" s="8">
        <v>608</v>
      </c>
      <c r="L273" s="8">
        <v>560</v>
      </c>
      <c r="M273" s="8">
        <v>554</v>
      </c>
      <c r="N273" s="8">
        <v>2834</v>
      </c>
      <c r="O273" s="8">
        <v>2075</v>
      </c>
      <c r="P273" s="2" t="e">
        <v>#N/A</v>
      </c>
      <c r="Q273" s="12" t="e">
        <v>#N/A</v>
      </c>
      <c r="R273" s="13">
        <v>5.5555555999999999</v>
      </c>
      <c r="S273" s="13">
        <v>4.6858817000000004</v>
      </c>
      <c r="T273" s="8"/>
      <c r="U273" s="8"/>
    </row>
    <row r="274" spans="1:21" x14ac:dyDescent="0.25">
      <c r="A274" s="7">
        <v>44652</v>
      </c>
      <c r="B274" t="s">
        <v>293</v>
      </c>
      <c r="C274" s="2">
        <v>99.9</v>
      </c>
      <c r="D274" s="2">
        <v>-0.4</v>
      </c>
      <c r="E274" s="2">
        <v>100.6</v>
      </c>
      <c r="F274" s="2">
        <v>101.3</v>
      </c>
      <c r="G274" s="2">
        <v>104.9</v>
      </c>
      <c r="H274" s="2">
        <v>102.5</v>
      </c>
      <c r="I274" s="8">
        <v>13815027</v>
      </c>
      <c r="J274" s="8">
        <v>14007471</v>
      </c>
      <c r="K274" s="8">
        <v>604</v>
      </c>
      <c r="L274" s="8">
        <v>562</v>
      </c>
      <c r="M274" s="8">
        <v>556</v>
      </c>
      <c r="N274" s="8">
        <v>2834</v>
      </c>
      <c r="O274" s="8">
        <v>2078</v>
      </c>
      <c r="P274" s="2" t="e">
        <v>#N/A</v>
      </c>
      <c r="Q274" s="12" t="e">
        <v>#N/A</v>
      </c>
      <c r="R274" s="13">
        <v>6.6217750999999998</v>
      </c>
      <c r="S274" s="13">
        <v>5.5117091</v>
      </c>
      <c r="T274" s="8"/>
      <c r="U274" s="8"/>
    </row>
    <row r="275" spans="1:21" x14ac:dyDescent="0.25">
      <c r="A275" s="7">
        <v>44682</v>
      </c>
      <c r="B275" t="s">
        <v>294</v>
      </c>
      <c r="C275" s="2">
        <v>100.5</v>
      </c>
      <c r="D275" s="2">
        <v>-1.6</v>
      </c>
      <c r="E275" s="2">
        <v>98.1</v>
      </c>
      <c r="F275" s="2">
        <v>100.6</v>
      </c>
      <c r="G275" s="2">
        <v>102</v>
      </c>
      <c r="H275" s="2">
        <v>102.8</v>
      </c>
      <c r="I275" s="8">
        <v>13726169</v>
      </c>
      <c r="J275" s="8">
        <v>13879436</v>
      </c>
      <c r="K275" s="8">
        <v>606</v>
      </c>
      <c r="L275" s="8">
        <v>567</v>
      </c>
      <c r="M275" s="8">
        <v>562</v>
      </c>
      <c r="N275" s="8">
        <v>2842</v>
      </c>
      <c r="O275" s="8">
        <v>2084</v>
      </c>
      <c r="P275" s="2">
        <v>5.5</v>
      </c>
      <c r="Q275" s="12">
        <v>5.4649999999999999</v>
      </c>
      <c r="R275" s="13">
        <v>6.6217750999999998</v>
      </c>
      <c r="S275" s="13">
        <v>6.2663685999999998</v>
      </c>
      <c r="T275" s="8"/>
      <c r="U275" s="8"/>
    </row>
    <row r="276" spans="1:21" x14ac:dyDescent="0.25">
      <c r="A276" s="7">
        <v>44713</v>
      </c>
      <c r="B276" t="s">
        <v>295</v>
      </c>
      <c r="C276" s="2">
        <v>99.5</v>
      </c>
      <c r="D276" s="2">
        <v>-0.1</v>
      </c>
      <c r="E276" s="2">
        <v>100.9</v>
      </c>
      <c r="F276" s="2">
        <v>100</v>
      </c>
      <c r="G276" s="2">
        <v>97.9</v>
      </c>
      <c r="H276" s="2">
        <v>98.8</v>
      </c>
      <c r="I276" s="8">
        <v>17958550</v>
      </c>
      <c r="J276" s="8">
        <v>17899542</v>
      </c>
      <c r="K276" s="8">
        <v>613</v>
      </c>
      <c r="L276" s="8">
        <v>569</v>
      </c>
      <c r="M276" s="8">
        <v>563</v>
      </c>
      <c r="N276" s="8">
        <v>2859</v>
      </c>
      <c r="O276" s="8">
        <v>2103</v>
      </c>
      <c r="P276" s="2">
        <v>5.7</v>
      </c>
      <c r="Q276" s="12">
        <v>5.5780000000000003</v>
      </c>
      <c r="R276" s="13">
        <v>6.5778552000000001</v>
      </c>
      <c r="S276" s="13">
        <v>6.6071350999999998</v>
      </c>
      <c r="T276" s="8"/>
      <c r="U276" s="8"/>
    </row>
    <row r="277" spans="1:21" x14ac:dyDescent="0.25">
      <c r="A277" s="7">
        <v>44743</v>
      </c>
      <c r="B277" t="s">
        <v>296</v>
      </c>
      <c r="C277" s="2">
        <v>100.1</v>
      </c>
      <c r="D277" s="2">
        <v>0.5</v>
      </c>
      <c r="E277" s="2">
        <v>101.9</v>
      </c>
      <c r="F277" s="2">
        <v>99.9</v>
      </c>
      <c r="G277" s="2">
        <v>98.4</v>
      </c>
      <c r="H277" s="2">
        <v>98.9</v>
      </c>
      <c r="I277" s="8">
        <v>14739673</v>
      </c>
      <c r="J277" s="8">
        <v>14653334</v>
      </c>
      <c r="K277" s="8">
        <v>614</v>
      </c>
      <c r="L277" s="8">
        <v>572</v>
      </c>
      <c r="M277" s="8">
        <v>567</v>
      </c>
      <c r="N277" s="8">
        <v>2876</v>
      </c>
      <c r="O277" s="8">
        <v>2111</v>
      </c>
      <c r="P277" s="2">
        <v>5.5</v>
      </c>
      <c r="Q277" s="12">
        <v>5.5410000000000004</v>
      </c>
      <c r="R277" s="13">
        <v>6.3063063000000001</v>
      </c>
      <c r="S277" s="13">
        <v>6.5019789000000001</v>
      </c>
      <c r="T277" s="8"/>
      <c r="U277" s="8"/>
    </row>
    <row r="278" spans="1:21" x14ac:dyDescent="0.25">
      <c r="A278" s="7">
        <v>44774</v>
      </c>
      <c r="B278" t="s">
        <v>297</v>
      </c>
      <c r="C278" s="2">
        <v>100.2</v>
      </c>
      <c r="D278" s="2">
        <v>-1.5</v>
      </c>
      <c r="E278" s="2">
        <v>101.2</v>
      </c>
      <c r="F278" s="2">
        <v>97.3</v>
      </c>
      <c r="G278" s="2">
        <v>97.3</v>
      </c>
      <c r="H278" s="2">
        <v>97.8</v>
      </c>
      <c r="I278" s="8">
        <v>14650012</v>
      </c>
      <c r="J278" s="8">
        <v>14283299</v>
      </c>
      <c r="K278" s="8">
        <v>619</v>
      </c>
      <c r="L278" s="8">
        <v>575</v>
      </c>
      <c r="M278" s="8">
        <v>570</v>
      </c>
      <c r="N278" s="8">
        <v>2889</v>
      </c>
      <c r="O278" s="8">
        <v>2120</v>
      </c>
      <c r="P278" s="2">
        <v>6.4</v>
      </c>
      <c r="Q278" s="12">
        <v>5.8440000000000003</v>
      </c>
      <c r="R278" s="13">
        <v>6.5934065999999998</v>
      </c>
      <c r="S278" s="13">
        <v>6.4925227000000003</v>
      </c>
      <c r="T278" s="8"/>
      <c r="U278" s="8"/>
    </row>
    <row r="279" spans="1:21" x14ac:dyDescent="0.25">
      <c r="A279" s="7">
        <v>44805</v>
      </c>
      <c r="B279" t="s">
        <v>298</v>
      </c>
      <c r="C279" s="2">
        <v>99.6</v>
      </c>
      <c r="D279" s="2">
        <v>-1.2</v>
      </c>
      <c r="E279" s="2">
        <v>98.6</v>
      </c>
      <c r="F279" s="2">
        <v>97.5</v>
      </c>
      <c r="G279" s="2">
        <v>95.6</v>
      </c>
      <c r="H279" s="2">
        <v>97.1</v>
      </c>
      <c r="I279" s="8">
        <v>18185810</v>
      </c>
      <c r="J279" s="8">
        <v>17401422</v>
      </c>
      <c r="K279" s="8">
        <v>621</v>
      </c>
      <c r="L279" s="8">
        <v>578</v>
      </c>
      <c r="M279" s="8">
        <v>574</v>
      </c>
      <c r="N279" s="8">
        <v>2909</v>
      </c>
      <c r="O279" s="8">
        <v>2147</v>
      </c>
      <c r="P279" s="2">
        <v>6.5</v>
      </c>
      <c r="Q279" s="12">
        <v>6.0979999999999999</v>
      </c>
      <c r="R279" s="13">
        <v>6.2536902000000003</v>
      </c>
      <c r="S279" s="13">
        <v>6.3844677000000001</v>
      </c>
      <c r="T279" s="8"/>
      <c r="U279" s="8"/>
    </row>
    <row r="280" spans="1:21" x14ac:dyDescent="0.25">
      <c r="A280" s="7">
        <v>44835</v>
      </c>
      <c r="B280" t="s">
        <v>299</v>
      </c>
      <c r="C280" s="2">
        <v>100.5</v>
      </c>
      <c r="D280" s="2">
        <v>1</v>
      </c>
      <c r="E280" s="2">
        <v>98.4</v>
      </c>
      <c r="F280" s="2">
        <v>99.2</v>
      </c>
      <c r="G280" s="2">
        <v>95.8</v>
      </c>
      <c r="H280" s="2">
        <v>100.7</v>
      </c>
      <c r="I280" s="8">
        <v>14722291</v>
      </c>
      <c r="J280" s="8">
        <v>14428378</v>
      </c>
      <c r="K280" s="8">
        <v>627</v>
      </c>
      <c r="L280" s="8">
        <v>583</v>
      </c>
      <c r="M280" s="8">
        <v>578</v>
      </c>
      <c r="N280" s="8">
        <v>2925</v>
      </c>
      <c r="O280" s="8">
        <v>2146</v>
      </c>
      <c r="P280" s="2">
        <v>6.1</v>
      </c>
      <c r="Q280" s="12">
        <v>6.306</v>
      </c>
      <c r="R280" s="13">
        <v>6.3829786999999998</v>
      </c>
      <c r="S280" s="13">
        <v>6.4100251999999998</v>
      </c>
      <c r="T280" s="8"/>
      <c r="U280" s="8"/>
    </row>
    <row r="281" spans="1:21" x14ac:dyDescent="0.25">
      <c r="A281" s="7">
        <v>44866</v>
      </c>
      <c r="B281" t="s">
        <v>300</v>
      </c>
      <c r="C281" s="2">
        <v>100.5</v>
      </c>
      <c r="D281" s="2">
        <v>-1</v>
      </c>
      <c r="E281" s="2">
        <v>98.6</v>
      </c>
      <c r="F281" s="2">
        <v>98.5</v>
      </c>
      <c r="G281" s="2">
        <v>91.8</v>
      </c>
      <c r="H281" s="2">
        <v>98.2</v>
      </c>
      <c r="I281" s="8">
        <v>14864743</v>
      </c>
      <c r="J281" s="8">
        <v>15194305</v>
      </c>
      <c r="K281" s="8">
        <v>631</v>
      </c>
      <c r="L281" s="8">
        <v>587</v>
      </c>
      <c r="M281" s="8">
        <v>583</v>
      </c>
      <c r="N281" s="8">
        <v>2960</v>
      </c>
      <c r="O281" s="8">
        <v>2188</v>
      </c>
      <c r="P281" s="2">
        <v>6.1</v>
      </c>
      <c r="Q281" s="12">
        <v>6.2190000000000003</v>
      </c>
      <c r="R281" s="13">
        <v>6.3525941000000001</v>
      </c>
      <c r="S281" s="13">
        <v>6.3297543999999997</v>
      </c>
      <c r="T281" s="8"/>
      <c r="U281" s="8"/>
    </row>
    <row r="282" spans="1:21" x14ac:dyDescent="0.25">
      <c r="A282" s="7">
        <v>44896</v>
      </c>
      <c r="B282" t="s">
        <v>301</v>
      </c>
      <c r="C282" s="2">
        <v>100.1</v>
      </c>
      <c r="D282" s="2">
        <v>-0.2</v>
      </c>
      <c r="E282" s="2">
        <v>98.1</v>
      </c>
      <c r="F282" s="2">
        <v>97.7</v>
      </c>
      <c r="G282" s="2">
        <v>93.9</v>
      </c>
      <c r="H282" s="2">
        <v>97.9</v>
      </c>
      <c r="I282" s="8">
        <v>18565688</v>
      </c>
      <c r="J282" s="8">
        <v>21216519</v>
      </c>
      <c r="K282" s="8">
        <v>633</v>
      </c>
      <c r="L282" s="8">
        <v>590</v>
      </c>
      <c r="M282" s="8">
        <v>585</v>
      </c>
      <c r="N282" s="8">
        <v>2959</v>
      </c>
      <c r="O282" s="8">
        <v>2189</v>
      </c>
      <c r="P282" s="2">
        <v>6.6</v>
      </c>
      <c r="Q282" s="12">
        <v>6.26</v>
      </c>
      <c r="R282" s="13">
        <v>6.3714918000000003</v>
      </c>
      <c r="S282" s="13">
        <v>6.3690214999999997</v>
      </c>
      <c r="T282" s="8"/>
      <c r="U282" s="8"/>
    </row>
    <row r="283" spans="1:21" x14ac:dyDescent="0.25">
      <c r="A283" s="7">
        <v>44927</v>
      </c>
      <c r="B283" t="s">
        <v>302</v>
      </c>
      <c r="C283" s="2">
        <v>100.3</v>
      </c>
      <c r="D283" s="2">
        <v>0.2</v>
      </c>
      <c r="E283" s="2">
        <v>97.6</v>
      </c>
      <c r="F283" s="2">
        <v>97.8</v>
      </c>
      <c r="G283" s="2">
        <v>95.6</v>
      </c>
      <c r="H283" s="2">
        <v>99</v>
      </c>
      <c r="I283" s="8">
        <v>14890076</v>
      </c>
      <c r="J283" s="8">
        <v>13696154</v>
      </c>
      <c r="K283" s="8">
        <v>637</v>
      </c>
      <c r="L283" s="8">
        <v>593</v>
      </c>
      <c r="M283" s="8">
        <v>587</v>
      </c>
      <c r="N283" s="8">
        <v>2975</v>
      </c>
      <c r="O283" s="8">
        <v>2193</v>
      </c>
      <c r="P283" s="2">
        <v>6.3</v>
      </c>
      <c r="Q283" s="12">
        <v>6.3390000000000004</v>
      </c>
      <c r="R283" s="13">
        <v>6.3829786999999998</v>
      </c>
      <c r="S283" s="13">
        <v>6.3690214999999997</v>
      </c>
      <c r="T283" s="8"/>
      <c r="U283" s="8"/>
    </row>
    <row r="284" spans="1:21" x14ac:dyDescent="0.25">
      <c r="A284" s="7">
        <v>44958</v>
      </c>
      <c r="B284" t="s">
        <v>303</v>
      </c>
      <c r="C284" s="2">
        <v>100.7</v>
      </c>
      <c r="D284" s="2">
        <v>0.6</v>
      </c>
      <c r="E284" s="2">
        <v>97.9</v>
      </c>
      <c r="F284" s="2">
        <v>99.4</v>
      </c>
      <c r="G284" s="2">
        <v>96.1</v>
      </c>
      <c r="H284" s="2">
        <v>97.3</v>
      </c>
      <c r="I284" s="8">
        <v>15128995</v>
      </c>
      <c r="J284" s="8">
        <v>14644321</v>
      </c>
      <c r="K284" s="8">
        <v>641</v>
      </c>
      <c r="L284" s="8">
        <v>597</v>
      </c>
      <c r="M284" s="8">
        <v>593</v>
      </c>
      <c r="N284" s="8">
        <v>2992</v>
      </c>
      <c r="O284" s="8">
        <v>2209</v>
      </c>
      <c r="P284" s="2">
        <v>6.6</v>
      </c>
      <c r="Q284" s="12">
        <v>6.51</v>
      </c>
      <c r="R284" s="13">
        <v>6.6037736000000002</v>
      </c>
      <c r="S284" s="13">
        <v>6.4527479999999997</v>
      </c>
      <c r="T284" s="8"/>
      <c r="U284" s="8"/>
    </row>
    <row r="285" spans="1:21" x14ac:dyDescent="0.25">
      <c r="A285" s="7">
        <v>44986</v>
      </c>
      <c r="B285" t="s">
        <v>304</v>
      </c>
      <c r="C285" s="2">
        <v>100.4</v>
      </c>
      <c r="D285" s="2">
        <v>-0.8</v>
      </c>
      <c r="E285" s="2">
        <v>97.4</v>
      </c>
      <c r="F285" s="2">
        <v>97.9</v>
      </c>
      <c r="G285" s="2">
        <v>96.4</v>
      </c>
      <c r="H285" s="2">
        <v>96.6</v>
      </c>
      <c r="I285" s="8">
        <v>18899031</v>
      </c>
      <c r="J285" s="8">
        <v>18814627</v>
      </c>
      <c r="K285" s="8">
        <v>643</v>
      </c>
      <c r="L285" s="8">
        <v>600</v>
      </c>
      <c r="M285" s="8">
        <v>595</v>
      </c>
      <c r="N285" s="8">
        <v>3028</v>
      </c>
      <c r="O285" s="8">
        <v>2215</v>
      </c>
      <c r="P285" s="2">
        <v>6.5</v>
      </c>
      <c r="Q285" s="12">
        <v>6.4779999999999998</v>
      </c>
      <c r="R285" s="13">
        <v>6.9841417000000003</v>
      </c>
      <c r="S285" s="13">
        <v>6.6569646999999996</v>
      </c>
      <c r="T285" s="8"/>
      <c r="U285" s="8"/>
    </row>
    <row r="286" spans="1:21" x14ac:dyDescent="0.25">
      <c r="A286" s="7">
        <v>45017</v>
      </c>
      <c r="B286" t="s">
        <v>305</v>
      </c>
      <c r="C286" s="2">
        <v>100.5</v>
      </c>
      <c r="D286" s="2">
        <v>0.8</v>
      </c>
      <c r="E286" s="2">
        <v>98</v>
      </c>
      <c r="F286" s="2">
        <v>99.4</v>
      </c>
      <c r="G286" s="2">
        <v>97</v>
      </c>
      <c r="H286" s="2">
        <v>95.8</v>
      </c>
      <c r="I286" s="8">
        <v>15455729</v>
      </c>
      <c r="J286" s="8">
        <v>15430328</v>
      </c>
      <c r="K286" s="8">
        <v>650</v>
      </c>
      <c r="L286" s="8">
        <v>605</v>
      </c>
      <c r="M286" s="8">
        <v>600</v>
      </c>
      <c r="N286" s="8">
        <v>3029</v>
      </c>
      <c r="O286" s="8">
        <v>2227</v>
      </c>
      <c r="P286" s="2">
        <v>6.6</v>
      </c>
      <c r="Q286" s="12">
        <v>6.5640000000000001</v>
      </c>
      <c r="R286" s="13">
        <v>7.4157007000000004</v>
      </c>
      <c r="S286" s="13">
        <v>7.0012052999999996</v>
      </c>
      <c r="T286" s="8"/>
      <c r="U286" s="8"/>
    </row>
    <row r="287" spans="1:21" x14ac:dyDescent="0.25">
      <c r="A287" s="7">
        <v>45047</v>
      </c>
      <c r="B287" t="s">
        <v>306</v>
      </c>
      <c r="C287" s="2">
        <v>100.1</v>
      </c>
      <c r="D287" s="2">
        <v>-0.7</v>
      </c>
      <c r="E287" s="2">
        <v>97.2</v>
      </c>
      <c r="F287" s="2">
        <v>98.1</v>
      </c>
      <c r="G287" s="2">
        <v>97.4</v>
      </c>
      <c r="H287" s="2">
        <v>96.6</v>
      </c>
      <c r="I287" s="8">
        <v>15497533</v>
      </c>
      <c r="J287" s="8">
        <v>15682032</v>
      </c>
      <c r="K287" s="8">
        <v>654</v>
      </c>
      <c r="L287" s="8">
        <v>611</v>
      </c>
      <c r="M287" s="8">
        <v>607</v>
      </c>
      <c r="N287" s="8">
        <v>3047</v>
      </c>
      <c r="O287" s="8">
        <v>2253</v>
      </c>
      <c r="P287" s="2">
        <v>6.8</v>
      </c>
      <c r="Q287" s="12">
        <v>6.609</v>
      </c>
      <c r="R287" s="13">
        <v>7.2961372999999998</v>
      </c>
      <c r="S287" s="13">
        <v>7.2319933000000001</v>
      </c>
      <c r="T287" s="8"/>
      <c r="U287" s="8"/>
    </row>
    <row r="288" spans="1:21" x14ac:dyDescent="0.25">
      <c r="A288" s="7">
        <v>45078</v>
      </c>
      <c r="B288" t="s">
        <v>307</v>
      </c>
      <c r="C288" s="2">
        <v>100.8</v>
      </c>
      <c r="D288" s="2">
        <v>0.7</v>
      </c>
      <c r="E288" s="2">
        <v>98.2</v>
      </c>
      <c r="F288" s="2">
        <v>99.1</v>
      </c>
      <c r="G288" s="2">
        <v>97.3</v>
      </c>
      <c r="H288" s="2">
        <v>96.4</v>
      </c>
      <c r="I288" s="8">
        <v>19759779</v>
      </c>
      <c r="J288" s="8">
        <v>19675473</v>
      </c>
      <c r="K288" s="8">
        <v>668</v>
      </c>
      <c r="L288" s="8">
        <v>614</v>
      </c>
      <c r="M288" s="8">
        <v>610</v>
      </c>
      <c r="N288" s="8">
        <v>3113</v>
      </c>
      <c r="O288" s="8">
        <v>2303</v>
      </c>
      <c r="P288" s="2">
        <v>7.1</v>
      </c>
      <c r="Q288" s="12">
        <v>6.8250000000000002</v>
      </c>
      <c r="R288" s="13">
        <v>7.2725054</v>
      </c>
      <c r="S288" s="13">
        <v>7.3281144999999999</v>
      </c>
      <c r="T288" s="8"/>
      <c r="U288" s="8"/>
    </row>
    <row r="289" spans="1:21" x14ac:dyDescent="0.25">
      <c r="A289" s="7">
        <v>45108</v>
      </c>
      <c r="B289" t="s">
        <v>308</v>
      </c>
      <c r="C289" s="2">
        <v>100.4</v>
      </c>
      <c r="D289" s="2">
        <v>-1.2</v>
      </c>
      <c r="E289" s="2">
        <v>95.9</v>
      </c>
      <c r="F289" s="2">
        <v>97.5</v>
      </c>
      <c r="G289" s="2">
        <v>98.3</v>
      </c>
      <c r="H289" s="2">
        <v>97.7</v>
      </c>
      <c r="I289" s="8">
        <v>15482518</v>
      </c>
      <c r="J289" s="8">
        <v>15434226</v>
      </c>
      <c r="K289" s="8">
        <v>663</v>
      </c>
      <c r="L289" s="8">
        <v>617</v>
      </c>
      <c r="M289" s="8">
        <v>612</v>
      </c>
      <c r="N289" s="8">
        <v>3063</v>
      </c>
      <c r="O289" s="8">
        <v>2269</v>
      </c>
      <c r="P289" s="2">
        <v>6.7</v>
      </c>
      <c r="Q289" s="12">
        <v>6.8490000000000002</v>
      </c>
      <c r="R289" s="13">
        <v>7.3140063</v>
      </c>
      <c r="S289" s="13">
        <v>7.2942163000000004</v>
      </c>
      <c r="T289" s="8"/>
      <c r="U289" s="8"/>
    </row>
    <row r="290" spans="1:21" x14ac:dyDescent="0.25">
      <c r="A290" s="7">
        <v>45139</v>
      </c>
      <c r="B290" t="s">
        <v>309</v>
      </c>
      <c r="C290" s="2">
        <v>100.4</v>
      </c>
      <c r="D290" s="2">
        <v>0.2</v>
      </c>
      <c r="E290" s="2">
        <v>97.2</v>
      </c>
      <c r="F290" s="2">
        <v>97.1</v>
      </c>
      <c r="G290" s="2">
        <v>98.5</v>
      </c>
      <c r="H290" s="2">
        <v>96.6</v>
      </c>
      <c r="I290" s="8">
        <v>15691167</v>
      </c>
      <c r="J290" s="8">
        <v>15313472</v>
      </c>
      <c r="K290" s="8">
        <v>664</v>
      </c>
      <c r="L290" s="8">
        <v>620</v>
      </c>
      <c r="M290" s="8">
        <v>616</v>
      </c>
      <c r="N290" s="8">
        <v>3071</v>
      </c>
      <c r="O290" s="8">
        <v>2279</v>
      </c>
      <c r="P290" s="2">
        <v>6.9</v>
      </c>
      <c r="Q290" s="12">
        <v>6.8949999999999996</v>
      </c>
      <c r="R290" s="13">
        <v>6.9767441999999997</v>
      </c>
      <c r="S290" s="13">
        <v>7.1877519999999997</v>
      </c>
      <c r="T290" s="8"/>
      <c r="U290" s="8"/>
    </row>
    <row r="291" spans="1:21" x14ac:dyDescent="0.25">
      <c r="A291" s="7">
        <v>45170</v>
      </c>
      <c r="B291" t="s">
        <v>310</v>
      </c>
      <c r="C291" s="2">
        <v>100.3</v>
      </c>
      <c r="D291" s="2">
        <v>-1.1000000000000001</v>
      </c>
      <c r="E291" s="2">
        <v>97.2</v>
      </c>
      <c r="F291" s="2">
        <v>94.7</v>
      </c>
      <c r="G291" s="2">
        <v>96.6</v>
      </c>
      <c r="H291" s="2">
        <v>97.4</v>
      </c>
      <c r="I291" s="8">
        <v>19825844</v>
      </c>
      <c r="J291" s="8">
        <v>18967909</v>
      </c>
      <c r="K291" s="8">
        <v>670</v>
      </c>
      <c r="L291" s="8">
        <v>622</v>
      </c>
      <c r="M291" s="8">
        <v>617</v>
      </c>
      <c r="N291" s="8">
        <v>3067</v>
      </c>
      <c r="O291" s="8">
        <v>2275</v>
      </c>
      <c r="P291" s="2">
        <v>7.1</v>
      </c>
      <c r="Q291" s="12">
        <v>6.8689999999999998</v>
      </c>
      <c r="R291" s="13">
        <v>6.9280463000000001</v>
      </c>
      <c r="S291" s="13">
        <v>7.0729322999999997</v>
      </c>
      <c r="T291" s="8"/>
      <c r="U291" s="8"/>
    </row>
    <row r="292" spans="1:21" x14ac:dyDescent="0.25">
      <c r="A292" s="7">
        <v>45200</v>
      </c>
      <c r="B292" t="s">
        <v>311</v>
      </c>
      <c r="C292" s="2">
        <v>99.9</v>
      </c>
      <c r="D292" s="2">
        <v>0.1</v>
      </c>
      <c r="E292" s="2">
        <v>97.5</v>
      </c>
      <c r="F292" s="2">
        <v>95.2</v>
      </c>
      <c r="G292" s="2">
        <v>97.2</v>
      </c>
      <c r="H292" s="2">
        <v>95.1</v>
      </c>
      <c r="I292" s="8">
        <v>15890102</v>
      </c>
      <c r="J292" s="8">
        <v>15565738</v>
      </c>
      <c r="K292" s="8">
        <v>665</v>
      </c>
      <c r="L292" s="8">
        <v>619</v>
      </c>
      <c r="M292" s="8">
        <v>614</v>
      </c>
      <c r="N292" s="8">
        <v>3082</v>
      </c>
      <c r="O292" s="8">
        <v>2278</v>
      </c>
      <c r="P292" s="2">
        <v>6.8</v>
      </c>
      <c r="Q292" s="12">
        <v>6.9189999999999996</v>
      </c>
      <c r="R292" s="13">
        <v>6.5975269000000001</v>
      </c>
      <c r="S292" s="13">
        <v>6.8341057999999997</v>
      </c>
      <c r="T292" s="8"/>
      <c r="U292" s="8"/>
    </row>
    <row r="293" spans="1:21" x14ac:dyDescent="0.25">
      <c r="A293" s="7">
        <v>45231</v>
      </c>
      <c r="B293" t="s">
        <v>312</v>
      </c>
      <c r="C293" s="2">
        <v>100.2</v>
      </c>
      <c r="D293" s="2">
        <v>1.6</v>
      </c>
      <c r="E293" s="2">
        <v>97.8</v>
      </c>
      <c r="F293" s="2">
        <v>98.2</v>
      </c>
      <c r="G293" s="2">
        <v>98.2</v>
      </c>
      <c r="H293" s="2">
        <v>96.4</v>
      </c>
      <c r="I293" s="8">
        <v>15928145</v>
      </c>
      <c r="J293" s="8">
        <v>16246681</v>
      </c>
      <c r="K293" s="8">
        <v>668</v>
      </c>
      <c r="L293" s="8">
        <v>624</v>
      </c>
      <c r="M293" s="8">
        <v>619</v>
      </c>
      <c r="N293" s="8">
        <v>3098</v>
      </c>
      <c r="O293" s="8">
        <v>2324</v>
      </c>
      <c r="P293" s="2">
        <v>7</v>
      </c>
      <c r="Q293" s="12">
        <v>6.9530000000000003</v>
      </c>
      <c r="R293" s="13">
        <v>6.5217390999999996</v>
      </c>
      <c r="S293" s="13">
        <v>6.6824374999999998</v>
      </c>
      <c r="T293" s="8"/>
      <c r="U293" s="8"/>
    </row>
    <row r="294" spans="1:21" x14ac:dyDescent="0.25">
      <c r="A294" s="7">
        <v>45261</v>
      </c>
      <c r="B294" t="s">
        <v>313</v>
      </c>
      <c r="C294" s="2">
        <v>100.1</v>
      </c>
      <c r="D294" s="2">
        <v>-3.6</v>
      </c>
      <c r="E294" s="2">
        <v>94</v>
      </c>
      <c r="F294" s="2">
        <v>94.4</v>
      </c>
      <c r="G294" s="2">
        <v>96.5</v>
      </c>
      <c r="H294" s="2">
        <v>93.1</v>
      </c>
      <c r="I294" s="8">
        <v>19032940</v>
      </c>
      <c r="J294" s="8">
        <v>21813735</v>
      </c>
      <c r="K294" s="8">
        <v>670</v>
      </c>
      <c r="L294" s="8">
        <v>626</v>
      </c>
      <c r="M294" s="8">
        <v>621</v>
      </c>
      <c r="N294" s="8">
        <v>3114</v>
      </c>
      <c r="O294" s="8">
        <v>2326</v>
      </c>
      <c r="P294" s="2">
        <v>7</v>
      </c>
      <c r="Q294" s="12">
        <v>6.944</v>
      </c>
      <c r="R294" s="13">
        <v>6.5561885000000002</v>
      </c>
      <c r="S294" s="13">
        <v>6.5584848999999998</v>
      </c>
      <c r="T294" s="8"/>
      <c r="U294" s="8"/>
    </row>
    <row r="295" spans="1:21" x14ac:dyDescent="0.25">
      <c r="A295" s="7">
        <v>45292</v>
      </c>
      <c r="B295" t="s">
        <v>314</v>
      </c>
      <c r="C295" s="2">
        <v>100.5</v>
      </c>
      <c r="D295" s="2">
        <v>3.5</v>
      </c>
      <c r="E295" s="2">
        <v>97.5</v>
      </c>
      <c r="F295" s="2">
        <v>97</v>
      </c>
      <c r="G295" s="2">
        <v>97.9</v>
      </c>
      <c r="H295" s="2">
        <v>100.3</v>
      </c>
      <c r="I295" s="8">
        <v>15862406</v>
      </c>
      <c r="J295" s="8">
        <v>14536599</v>
      </c>
      <c r="K295" s="8">
        <v>674</v>
      </c>
      <c r="L295" s="8">
        <v>628</v>
      </c>
      <c r="M295" s="8">
        <v>622</v>
      </c>
      <c r="N295" s="8">
        <v>3123</v>
      </c>
      <c r="O295" s="8">
        <v>2333</v>
      </c>
      <c r="P295" s="2">
        <v>6.5</v>
      </c>
      <c r="Q295" s="12">
        <v>6.8559999999999999</v>
      </c>
      <c r="R295" s="13">
        <v>6.4203115000000004</v>
      </c>
      <c r="S295" s="13">
        <v>6.4994130999999999</v>
      </c>
      <c r="T295" s="8"/>
      <c r="U295" s="8"/>
    </row>
    <row r="296" spans="1:21" x14ac:dyDescent="0.25">
      <c r="A296" s="7">
        <v>45323</v>
      </c>
      <c r="B296" t="s">
        <v>315</v>
      </c>
      <c r="C296" s="2">
        <v>100.7</v>
      </c>
      <c r="D296" s="2">
        <v>0</v>
      </c>
      <c r="E296" s="2">
        <v>97.1</v>
      </c>
      <c r="F296" s="2">
        <v>98</v>
      </c>
      <c r="G296" s="2">
        <v>98</v>
      </c>
      <c r="H296" s="2">
        <v>98.5</v>
      </c>
      <c r="I296" s="8">
        <v>15791897</v>
      </c>
      <c r="J296" s="8">
        <v>15281668</v>
      </c>
      <c r="K296" s="8">
        <v>679</v>
      </c>
      <c r="L296" s="8">
        <v>633</v>
      </c>
      <c r="M296" s="8">
        <v>627</v>
      </c>
      <c r="N296" s="8">
        <v>3139</v>
      </c>
      <c r="O296" s="8">
        <v>2347</v>
      </c>
      <c r="P296" s="2">
        <v>6.5</v>
      </c>
      <c r="Q296" s="12">
        <v>6.6929999999999996</v>
      </c>
      <c r="R296" s="13">
        <v>6.34</v>
      </c>
      <c r="S296" s="13">
        <v>6.4388332999999998</v>
      </c>
      <c r="T296" s="8"/>
      <c r="U296" s="8"/>
    </row>
    <row r="297" spans="1:21" x14ac:dyDescent="0.25">
      <c r="A297" s="7">
        <v>45352</v>
      </c>
      <c r="B297" t="s">
        <v>316</v>
      </c>
      <c r="C297" s="2">
        <v>101.3</v>
      </c>
      <c r="D297" s="2">
        <v>-0.3</v>
      </c>
      <c r="E297" s="2">
        <v>95.7</v>
      </c>
      <c r="F297" s="2">
        <v>98.1</v>
      </c>
      <c r="G297" s="2">
        <v>97.4</v>
      </c>
      <c r="H297" s="2">
        <v>101.5</v>
      </c>
      <c r="I297" s="8">
        <v>19465641</v>
      </c>
      <c r="J297" s="8">
        <v>19760286</v>
      </c>
      <c r="K297" s="8">
        <v>684</v>
      </c>
      <c r="L297" s="8">
        <v>637</v>
      </c>
      <c r="M297" s="8">
        <v>631</v>
      </c>
      <c r="N297" s="8">
        <v>3166</v>
      </c>
      <c r="O297" s="8">
        <v>2356</v>
      </c>
      <c r="P297" s="2">
        <v>6.1</v>
      </c>
      <c r="Q297" s="12">
        <v>6.3780000000000001</v>
      </c>
      <c r="R297" s="13">
        <v>6.5217390999999996</v>
      </c>
      <c r="S297" s="13">
        <v>6.4273502000000002</v>
      </c>
      <c r="T297" s="8"/>
      <c r="U297" s="8"/>
    </row>
    <row r="298" spans="1:21" x14ac:dyDescent="0.25">
      <c r="A298" s="7">
        <v>45383</v>
      </c>
      <c r="B298" t="s">
        <v>317</v>
      </c>
      <c r="C298" s="2">
        <v>101.1</v>
      </c>
      <c r="D298" s="2">
        <v>-1.7</v>
      </c>
      <c r="E298" s="2">
        <v>95.1</v>
      </c>
      <c r="F298" s="2">
        <v>95.7</v>
      </c>
      <c r="G298" s="2">
        <v>97.8</v>
      </c>
      <c r="H298" s="2">
        <v>96.4</v>
      </c>
      <c r="I298" s="8">
        <v>15425904</v>
      </c>
      <c r="J298" s="8">
        <v>14996576</v>
      </c>
      <c r="K298" s="8">
        <v>686</v>
      </c>
      <c r="L298" s="8">
        <v>640</v>
      </c>
      <c r="M298" s="8">
        <v>635</v>
      </c>
      <c r="N298" s="8">
        <v>3186</v>
      </c>
      <c r="O298" s="8">
        <v>2373</v>
      </c>
      <c r="P298" s="2">
        <v>6</v>
      </c>
      <c r="Q298" s="12">
        <v>6.181</v>
      </c>
      <c r="R298" s="13">
        <v>6.8201616999999999</v>
      </c>
      <c r="S298" s="13">
        <v>6.5606336000000001</v>
      </c>
      <c r="T298" s="8"/>
      <c r="U298" s="8"/>
    </row>
    <row r="299" spans="1:21" x14ac:dyDescent="0.25">
      <c r="A299" s="7">
        <v>45413</v>
      </c>
      <c r="B299" t="s">
        <v>318</v>
      </c>
      <c r="C299" s="2">
        <v>101.4</v>
      </c>
      <c r="D299" s="2">
        <v>2.7</v>
      </c>
      <c r="E299" s="2">
        <v>96.1</v>
      </c>
      <c r="F299" s="2">
        <v>98.6</v>
      </c>
      <c r="G299" s="2">
        <v>103.8</v>
      </c>
      <c r="H299" s="2">
        <v>99</v>
      </c>
      <c r="I299" s="8">
        <v>15684174</v>
      </c>
      <c r="J299" s="8">
        <v>15878318</v>
      </c>
      <c r="K299" s="8">
        <v>687</v>
      </c>
      <c r="L299" s="8">
        <v>643</v>
      </c>
      <c r="M299" s="8">
        <v>637</v>
      </c>
      <c r="N299" s="8">
        <v>3194</v>
      </c>
      <c r="O299" s="8">
        <v>2384</v>
      </c>
      <c r="P299" s="2">
        <v>6.1</v>
      </c>
      <c r="Q299" s="12">
        <v>6.0350000000000001</v>
      </c>
      <c r="R299" s="13">
        <v>6.7517611999999998</v>
      </c>
      <c r="S299" s="13">
        <v>6.6978872999999997</v>
      </c>
      <c r="T299" s="8"/>
      <c r="U299" s="8"/>
    </row>
    <row r="300" spans="1:21" x14ac:dyDescent="0.25">
      <c r="A300" s="7">
        <v>45444</v>
      </c>
      <c r="B300" t="s">
        <v>319</v>
      </c>
      <c r="C300" s="2">
        <v>101.3</v>
      </c>
      <c r="D300" s="2">
        <v>-1.3</v>
      </c>
      <c r="E300" s="2">
        <v>94.9</v>
      </c>
      <c r="F300" s="2">
        <v>96.8</v>
      </c>
      <c r="G300" s="2">
        <v>101.5</v>
      </c>
      <c r="H300" s="2">
        <v>100.8</v>
      </c>
      <c r="I300" s="8">
        <v>19507981</v>
      </c>
      <c r="J300" s="8">
        <v>19422465</v>
      </c>
      <c r="K300" s="8">
        <v>689</v>
      </c>
      <c r="L300" s="8">
        <v>645</v>
      </c>
      <c r="M300" s="8">
        <v>640</v>
      </c>
      <c r="N300" s="8">
        <v>3204</v>
      </c>
      <c r="O300" s="8">
        <v>2389</v>
      </c>
      <c r="P300" s="2">
        <v>5.9</v>
      </c>
      <c r="Q300" s="12">
        <v>5.9880000000000004</v>
      </c>
      <c r="R300" s="13">
        <v>6.7917474000000002</v>
      </c>
      <c r="S300" s="13">
        <v>6.7878901000000003</v>
      </c>
      <c r="T300" s="8"/>
      <c r="U300" s="8"/>
    </row>
    <row r="301" spans="1:21" x14ac:dyDescent="0.25">
      <c r="A301" s="7">
        <v>45474</v>
      </c>
      <c r="B301" t="s">
        <v>320</v>
      </c>
      <c r="C301" s="2">
        <v>101.2</v>
      </c>
      <c r="D301" s="2">
        <v>0.7</v>
      </c>
      <c r="E301" s="2">
        <v>95.6</v>
      </c>
      <c r="F301" s="2">
        <v>98.1</v>
      </c>
      <c r="G301" s="2">
        <v>102.1</v>
      </c>
      <c r="H301" s="2">
        <v>99.7</v>
      </c>
      <c r="I301" s="8">
        <v>15764475</v>
      </c>
      <c r="J301" s="8">
        <v>15784204</v>
      </c>
      <c r="K301" s="8">
        <v>690</v>
      </c>
      <c r="L301" s="8">
        <v>648</v>
      </c>
      <c r="M301" s="8">
        <v>642</v>
      </c>
      <c r="N301" s="8">
        <v>3201</v>
      </c>
      <c r="O301" s="8">
        <v>2400</v>
      </c>
      <c r="P301" s="2">
        <v>5.7</v>
      </c>
      <c r="Q301" s="12">
        <v>5.8869999999999996</v>
      </c>
      <c r="R301" s="13">
        <v>6.2717092000000001</v>
      </c>
      <c r="S301" s="13">
        <v>6.6050725999999997</v>
      </c>
      <c r="T301" s="8"/>
      <c r="U301" s="8"/>
    </row>
    <row r="302" spans="1:21" x14ac:dyDescent="0.25">
      <c r="A302" s="7">
        <v>45505</v>
      </c>
      <c r="B302" t="s">
        <v>321</v>
      </c>
      <c r="C302" s="2">
        <v>101.3</v>
      </c>
      <c r="D302" s="2">
        <v>1</v>
      </c>
      <c r="E302" s="2">
        <v>97.7</v>
      </c>
      <c r="F302" s="2">
        <v>98.7</v>
      </c>
      <c r="G302" s="2">
        <v>100.9</v>
      </c>
      <c r="H302" s="2">
        <v>100.3</v>
      </c>
      <c r="I302" s="8">
        <v>15975721</v>
      </c>
      <c r="J302" s="8">
        <v>15594956</v>
      </c>
      <c r="K302" s="8">
        <v>694</v>
      </c>
      <c r="L302" s="8">
        <v>649</v>
      </c>
      <c r="M302" s="8">
        <v>644</v>
      </c>
      <c r="N302" s="8">
        <v>3223</v>
      </c>
      <c r="O302" s="8">
        <v>2413</v>
      </c>
      <c r="P302" s="2">
        <v>5.7</v>
      </c>
      <c r="Q302" s="12">
        <v>5.774</v>
      </c>
      <c r="R302" s="13">
        <v>6.7282973999999998</v>
      </c>
      <c r="S302" s="13">
        <v>6.5972512999999999</v>
      </c>
      <c r="T302" s="8"/>
      <c r="U302" s="8"/>
    </row>
    <row r="303" spans="1:21" x14ac:dyDescent="0.25">
      <c r="A303" s="7">
        <v>45536</v>
      </c>
      <c r="B303" t="s">
        <v>322</v>
      </c>
      <c r="C303" s="2">
        <v>101.3</v>
      </c>
      <c r="D303" s="2">
        <v>-0.1</v>
      </c>
      <c r="E303" s="2">
        <v>95.2</v>
      </c>
      <c r="F303" s="2">
        <v>100.7</v>
      </c>
      <c r="G303" s="2">
        <v>101.3</v>
      </c>
      <c r="H303" s="2">
        <v>99.9</v>
      </c>
      <c r="I303" s="8">
        <v>19653331</v>
      </c>
      <c r="J303" s="8">
        <v>18816223</v>
      </c>
      <c r="K303" s="8">
        <v>701</v>
      </c>
      <c r="L303" s="8">
        <v>653</v>
      </c>
      <c r="M303" s="8">
        <v>648</v>
      </c>
      <c r="N303" s="8">
        <v>3225</v>
      </c>
      <c r="O303" s="8">
        <v>2409</v>
      </c>
      <c r="P303" s="2">
        <v>5.7</v>
      </c>
      <c r="Q303" s="12">
        <v>5.69</v>
      </c>
      <c r="R303" s="13">
        <v>6.7230620999999999</v>
      </c>
      <c r="S303" s="13">
        <v>6.5743562999999998</v>
      </c>
      <c r="T303" s="8"/>
      <c r="U303" s="8"/>
    </row>
    <row r="304" spans="1:21" x14ac:dyDescent="0.25">
      <c r="A304" s="7">
        <v>45566</v>
      </c>
      <c r="B304" t="s">
        <v>323</v>
      </c>
      <c r="C304" s="2">
        <v>101.1</v>
      </c>
      <c r="D304" s="2">
        <v>-0.8</v>
      </c>
      <c r="E304" s="2">
        <v>94.7</v>
      </c>
      <c r="F304" s="2">
        <v>99.1</v>
      </c>
      <c r="G304" s="2">
        <v>100.6</v>
      </c>
      <c r="H304" s="2">
        <v>100.6</v>
      </c>
      <c r="I304" s="8">
        <v>15642883</v>
      </c>
      <c r="J304" s="8">
        <v>15304297</v>
      </c>
      <c r="K304" s="8">
        <v>708</v>
      </c>
      <c r="L304" s="8">
        <v>657</v>
      </c>
      <c r="M304" s="8">
        <v>655</v>
      </c>
      <c r="N304" s="8">
        <v>3308</v>
      </c>
      <c r="O304" s="8">
        <v>2457</v>
      </c>
      <c r="P304" s="2">
        <v>5.4</v>
      </c>
      <c r="Q304" s="12">
        <v>5.6020000000000003</v>
      </c>
      <c r="R304" s="13">
        <v>6.6330812000000003</v>
      </c>
      <c r="S304" s="13">
        <v>6.6948135999999998</v>
      </c>
      <c r="T304" s="8"/>
      <c r="U304" s="8"/>
    </row>
    <row r="305" spans="1:21" x14ac:dyDescent="0.25">
      <c r="A305" s="7">
        <v>45597</v>
      </c>
      <c r="B305" t="s">
        <v>324</v>
      </c>
      <c r="C305" s="2">
        <v>101.2</v>
      </c>
      <c r="D305" s="2">
        <v>-0.1</v>
      </c>
      <c r="E305" s="2">
        <v>94.6</v>
      </c>
      <c r="F305" s="2">
        <v>98.9</v>
      </c>
      <c r="G305" s="2">
        <v>100.7</v>
      </c>
      <c r="H305" s="2">
        <v>100.4</v>
      </c>
      <c r="I305" s="8">
        <v>15672429</v>
      </c>
      <c r="J305" s="8">
        <v>15851839</v>
      </c>
      <c r="K305" s="8">
        <v>705</v>
      </c>
      <c r="L305" s="8">
        <v>659</v>
      </c>
      <c r="M305" s="8">
        <v>656</v>
      </c>
      <c r="N305" s="8">
        <v>3287</v>
      </c>
      <c r="O305" s="8">
        <v>2472</v>
      </c>
      <c r="P305" s="2">
        <v>5.5</v>
      </c>
      <c r="Q305" s="12">
        <v>5.5090000000000003</v>
      </c>
      <c r="R305" s="13">
        <v>6.25</v>
      </c>
      <c r="S305" s="13">
        <v>6.5353811000000004</v>
      </c>
      <c r="T305" s="8"/>
      <c r="U305" s="8"/>
    </row>
    <row r="306" spans="1:21" x14ac:dyDescent="0.25">
      <c r="A306" s="7">
        <v>45627</v>
      </c>
      <c r="B306" t="s">
        <v>325</v>
      </c>
      <c r="C306" s="2">
        <v>101.6</v>
      </c>
      <c r="D306" s="2">
        <v>-0.6</v>
      </c>
      <c r="E306" s="2">
        <v>92.7</v>
      </c>
      <c r="F306" s="2">
        <v>100</v>
      </c>
      <c r="G306" s="2">
        <v>97.3</v>
      </c>
      <c r="H306" s="2">
        <v>101.5</v>
      </c>
      <c r="I306" s="8">
        <v>19103416</v>
      </c>
      <c r="J306" s="8">
        <v>21956089</v>
      </c>
      <c r="K306" s="8">
        <v>712</v>
      </c>
      <c r="L306" s="8">
        <v>664</v>
      </c>
      <c r="M306" s="8">
        <v>659</v>
      </c>
      <c r="N306" s="8">
        <v>3282</v>
      </c>
      <c r="O306" s="8">
        <v>2454</v>
      </c>
      <c r="P306" s="2">
        <v>5.3</v>
      </c>
      <c r="Q306" s="12">
        <v>5.38</v>
      </c>
      <c r="R306" s="13">
        <v>6.1224753999999999</v>
      </c>
      <c r="S306" s="13">
        <v>6.3351854999999997</v>
      </c>
      <c r="T306" s="8"/>
      <c r="U306" s="8"/>
    </row>
    <row r="307" spans="1:21" x14ac:dyDescent="0.25">
      <c r="A307" s="7">
        <v>45658</v>
      </c>
      <c r="B307" t="s">
        <v>326</v>
      </c>
      <c r="C307" s="2">
        <v>101.5</v>
      </c>
      <c r="D307" s="2">
        <v>1.7</v>
      </c>
      <c r="E307" s="2">
        <v>97.9</v>
      </c>
      <c r="F307" s="2">
        <v>98.7</v>
      </c>
      <c r="G307" s="2">
        <v>99.6</v>
      </c>
      <c r="H307" s="2">
        <v>100.3</v>
      </c>
      <c r="I307" s="8">
        <v>20410706</v>
      </c>
      <c r="J307" s="8">
        <v>18521171</v>
      </c>
      <c r="K307" s="8">
        <v>711</v>
      </c>
      <c r="L307" s="8">
        <v>667</v>
      </c>
      <c r="M307" s="8">
        <v>661</v>
      </c>
      <c r="N307" s="8">
        <v>3294</v>
      </c>
      <c r="O307" s="8">
        <v>2474</v>
      </c>
      <c r="P307" s="2">
        <v>5.0999999999999996</v>
      </c>
      <c r="Q307" s="12">
        <v>5.2759999999999998</v>
      </c>
      <c r="R307" s="13">
        <v>6.1224489999999996</v>
      </c>
      <c r="S307" s="13">
        <v>6.1649748000000004</v>
      </c>
      <c r="T307" s="8"/>
      <c r="U307" s="8"/>
    </row>
    <row r="308" spans="1:21" x14ac:dyDescent="0.25">
      <c r="A308" s="7">
        <v>45689</v>
      </c>
      <c r="B308" t="s">
        <v>390</v>
      </c>
      <c r="O308" s="8">
        <v>2465</v>
      </c>
      <c r="P308" s="2">
        <v>5.2</v>
      </c>
      <c r="Q308" s="12">
        <v>5.1749999999999998</v>
      </c>
      <c r="R308" s="13">
        <v>5.6603773999999998</v>
      </c>
      <c r="S308" s="13">
        <v>5.9684339</v>
      </c>
    </row>
  </sheetData>
  <hyperlinks>
    <hyperlink ref="R1" r:id="rId1" xr:uid="{833DD171-F5FF-40D0-9B4E-37540066F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Chart Data</vt:lpstr>
      <vt:lpstr>HAVERM</vt:lpstr>
      <vt:lpstr>Chart - GDP</vt:lpstr>
      <vt:lpstr>Chart - Retail sales</vt:lpstr>
      <vt:lpstr>Chart - Wage growth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2025-03-21T16:40:45Z</dcterms:created>
  <dcterms:modified xsi:type="dcterms:W3CDTF">2025-03-24T15:42:50Z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2025-03-21T16:50:07Z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b3596766-7084-454d-9308-eb36e010f4b0</vt:lpwstr>
  </property>
  <property fmtid="{D5CDD505-2E9C-101B-9397-08002B2CF9AE}" pid="8" name="MSIP_Label_231f5784-19ed-4d1e-9a93-4ea41014d730_ContentBits">
    <vt:lpwstr>0</vt:lpwstr>
  </property>
</Properties>
</file>